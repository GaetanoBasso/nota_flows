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9440" windowHeight="12105" tabRatio="926" activeTab="3"/>
  </bookViews>
  <sheets>
    <sheet name="Chart--Xi and Eps" sheetId="68" r:id="rId1"/>
    <sheet name="Chart--Decomp Partic" sheetId="67" r:id="rId2"/>
    <sheet name="Raw Data Source" sheetId="69" r:id="rId3"/>
    <sheet name="Raw data -- monthly" sheetId="1" r:id="rId4"/>
    <sheet name="Raw data -- quarterly" sheetId="2" r:id="rId5"/>
    <sheet name="Decomposition 1" sheetId="40" r:id="rId6"/>
    <sheet name="Decomposition 2" sheetId="39" r:id="rId7"/>
  </sheets>
  <calcPr calcId="145621" concurrentCalc="0"/>
</workbook>
</file>

<file path=xl/calcChain.xml><?xml version="1.0" encoding="utf-8"?>
<calcChain xmlns="http://schemas.openxmlformats.org/spreadsheetml/2006/main">
  <c r="W5" i="1" l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V4" i="1"/>
  <c r="U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AC190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AC214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AC278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T4" i="1"/>
  <c r="S4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K206" i="1"/>
  <c r="AI207" i="1"/>
  <c r="AJ207" i="1"/>
  <c r="AK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I212" i="1"/>
  <c r="AJ212" i="1"/>
  <c r="AK212" i="1"/>
  <c r="AI213" i="1"/>
  <c r="AJ213" i="1"/>
  <c r="AK213" i="1"/>
  <c r="AI214" i="1"/>
  <c r="AJ214" i="1"/>
  <c r="AK214" i="1"/>
  <c r="AI215" i="1"/>
  <c r="AJ215" i="1"/>
  <c r="AK215" i="1"/>
  <c r="AI216" i="1"/>
  <c r="AJ216" i="1"/>
  <c r="AK216" i="1"/>
  <c r="AI217" i="1"/>
  <c r="AJ217" i="1"/>
  <c r="AK217" i="1"/>
  <c r="AI218" i="1"/>
  <c r="AJ218" i="1"/>
  <c r="AK218" i="1"/>
  <c r="AI219" i="1"/>
  <c r="AJ219" i="1"/>
  <c r="AK219" i="1"/>
  <c r="AI220" i="1"/>
  <c r="AJ220" i="1"/>
  <c r="AK220" i="1"/>
  <c r="AI221" i="1"/>
  <c r="AJ221" i="1"/>
  <c r="AK221" i="1"/>
  <c r="AI222" i="1"/>
  <c r="AJ222" i="1"/>
  <c r="AK222" i="1"/>
  <c r="AI223" i="1"/>
  <c r="AJ223" i="1"/>
  <c r="AK223" i="1"/>
  <c r="AI224" i="1"/>
  <c r="AJ224" i="1"/>
  <c r="AK224" i="1"/>
  <c r="AI225" i="1"/>
  <c r="AJ225" i="1"/>
  <c r="AK225" i="1"/>
  <c r="AI226" i="1"/>
  <c r="AJ226" i="1"/>
  <c r="AK226" i="1"/>
  <c r="AI227" i="1"/>
  <c r="AJ227" i="1"/>
  <c r="AK227" i="1"/>
  <c r="AI228" i="1"/>
  <c r="AJ228" i="1"/>
  <c r="AK228" i="1"/>
  <c r="AI229" i="1"/>
  <c r="AJ229" i="1"/>
  <c r="AK229" i="1"/>
  <c r="AI230" i="1"/>
  <c r="AJ230" i="1"/>
  <c r="AK230" i="1"/>
  <c r="AI231" i="1"/>
  <c r="AJ231" i="1"/>
  <c r="AK231" i="1"/>
  <c r="AI232" i="1"/>
  <c r="AJ232" i="1"/>
  <c r="AK232" i="1"/>
  <c r="AI233" i="1"/>
  <c r="AJ233" i="1"/>
  <c r="AK233" i="1"/>
  <c r="AI234" i="1"/>
  <c r="AJ234" i="1"/>
  <c r="AK234" i="1"/>
  <c r="AI235" i="1"/>
  <c r="AJ235" i="1"/>
  <c r="AK235" i="1"/>
  <c r="AI236" i="1"/>
  <c r="AJ236" i="1"/>
  <c r="AK236" i="1"/>
  <c r="AI237" i="1"/>
  <c r="AJ237" i="1"/>
  <c r="AK237" i="1"/>
  <c r="AI238" i="1"/>
  <c r="AJ238" i="1"/>
  <c r="AK238" i="1"/>
  <c r="AI239" i="1"/>
  <c r="AJ239" i="1"/>
  <c r="AK239" i="1"/>
  <c r="AI240" i="1"/>
  <c r="AJ240" i="1"/>
  <c r="AK240" i="1"/>
  <c r="AI241" i="1"/>
  <c r="AJ241" i="1"/>
  <c r="AK241" i="1"/>
  <c r="AI242" i="1"/>
  <c r="AJ242" i="1"/>
  <c r="AK242" i="1"/>
  <c r="AI243" i="1"/>
  <c r="AJ243" i="1"/>
  <c r="AK243" i="1"/>
  <c r="AI244" i="1"/>
  <c r="AJ244" i="1"/>
  <c r="AK244" i="1"/>
  <c r="AI245" i="1"/>
  <c r="AJ245" i="1"/>
  <c r="AK245" i="1"/>
  <c r="AI246" i="1"/>
  <c r="AJ246" i="1"/>
  <c r="AK246" i="1"/>
  <c r="AI247" i="1"/>
  <c r="AJ247" i="1"/>
  <c r="AK247" i="1"/>
  <c r="AI248" i="1"/>
  <c r="AJ248" i="1"/>
  <c r="AK248" i="1"/>
  <c r="AI249" i="1"/>
  <c r="AJ249" i="1"/>
  <c r="AK249" i="1"/>
  <c r="AI250" i="1"/>
  <c r="AJ250" i="1"/>
  <c r="AK250" i="1"/>
  <c r="AI251" i="1"/>
  <c r="AJ251" i="1"/>
  <c r="AK251" i="1"/>
  <c r="AI252" i="1"/>
  <c r="AJ252" i="1"/>
  <c r="AK252" i="1"/>
  <c r="AI253" i="1"/>
  <c r="AJ253" i="1"/>
  <c r="AK253" i="1"/>
  <c r="AI254" i="1"/>
  <c r="AJ254" i="1"/>
  <c r="AK254" i="1"/>
  <c r="AI255" i="1"/>
  <c r="AJ255" i="1"/>
  <c r="AK255" i="1"/>
  <c r="AI256" i="1"/>
  <c r="AJ256" i="1"/>
  <c r="AK256" i="1"/>
  <c r="AI257" i="1"/>
  <c r="AJ257" i="1"/>
  <c r="AK257" i="1"/>
  <c r="AI258" i="1"/>
  <c r="AJ258" i="1"/>
  <c r="AK258" i="1"/>
  <c r="AI259" i="1"/>
  <c r="AJ259" i="1"/>
  <c r="AK259" i="1"/>
  <c r="AI260" i="1"/>
  <c r="AJ260" i="1"/>
  <c r="AK260" i="1"/>
  <c r="AI261" i="1"/>
  <c r="AJ261" i="1"/>
  <c r="AK261" i="1"/>
  <c r="AI262" i="1"/>
  <c r="AJ262" i="1"/>
  <c r="AK262" i="1"/>
  <c r="AI263" i="1"/>
  <c r="AJ263" i="1"/>
  <c r="AK263" i="1"/>
  <c r="AI264" i="1"/>
  <c r="AJ264" i="1"/>
  <c r="AK264" i="1"/>
  <c r="AI265" i="1"/>
  <c r="AJ265" i="1"/>
  <c r="AK265" i="1"/>
  <c r="AI266" i="1"/>
  <c r="AJ266" i="1"/>
  <c r="AK266" i="1"/>
  <c r="AI267" i="1"/>
  <c r="AJ267" i="1"/>
  <c r="AK267" i="1"/>
  <c r="AI268" i="1"/>
  <c r="AJ268" i="1"/>
  <c r="AK268" i="1"/>
  <c r="AI269" i="1"/>
  <c r="AJ269" i="1"/>
  <c r="AK269" i="1"/>
  <c r="AI270" i="1"/>
  <c r="AJ270" i="1"/>
  <c r="AK270" i="1"/>
  <c r="AI271" i="1"/>
  <c r="AJ271" i="1"/>
  <c r="AK271" i="1"/>
  <c r="AI272" i="1"/>
  <c r="AJ272" i="1"/>
  <c r="AK272" i="1"/>
  <c r="AI273" i="1"/>
  <c r="AJ273" i="1"/>
  <c r="AK273" i="1"/>
  <c r="AI274" i="1"/>
  <c r="AJ274" i="1"/>
  <c r="AK274" i="1"/>
  <c r="AI275" i="1"/>
  <c r="AJ275" i="1"/>
  <c r="AK275" i="1"/>
  <c r="AI276" i="1"/>
  <c r="AJ276" i="1"/>
  <c r="AK276" i="1"/>
  <c r="AI277" i="1"/>
  <c r="AJ277" i="1"/>
  <c r="AK277" i="1"/>
  <c r="AI278" i="1"/>
  <c r="AJ278" i="1"/>
  <c r="AK278" i="1"/>
  <c r="AI279" i="1"/>
  <c r="AJ279" i="1"/>
  <c r="AK279" i="1"/>
  <c r="AI280" i="1"/>
  <c r="AJ280" i="1"/>
  <c r="AK280" i="1"/>
  <c r="AI281" i="1"/>
  <c r="AJ281" i="1"/>
  <c r="AK281" i="1"/>
  <c r="AI282" i="1"/>
  <c r="AJ282" i="1"/>
  <c r="AK282" i="1"/>
  <c r="AI283" i="1"/>
  <c r="AJ283" i="1"/>
  <c r="AK283" i="1"/>
  <c r="AI284" i="1"/>
  <c r="AJ284" i="1"/>
  <c r="AK284" i="1"/>
  <c r="AI285" i="1"/>
  <c r="AJ285" i="1"/>
  <c r="AK285" i="1"/>
  <c r="AI286" i="1"/>
  <c r="AJ286" i="1"/>
  <c r="AK286" i="1"/>
  <c r="AK6" i="1"/>
  <c r="AJ6" i="1"/>
  <c r="AI6" i="1"/>
  <c r="AI4" i="1"/>
  <c r="AJ4" i="1"/>
  <c r="AK4" i="1"/>
  <c r="AI5" i="1"/>
  <c r="AJ5" i="1"/>
  <c r="AK5" i="1"/>
  <c r="AJ3" i="1"/>
  <c r="AK3" i="1"/>
  <c r="AI3" i="1"/>
  <c r="M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3" i="1"/>
  <c r="AE33" i="1"/>
  <c r="AE6" i="1"/>
  <c r="AC13" i="1"/>
  <c r="AB14" i="1"/>
  <c r="AG20" i="1"/>
  <c r="AC21" i="1"/>
  <c r="AE22" i="1"/>
  <c r="AG25" i="1"/>
  <c r="AE27" i="1"/>
  <c r="Z4" i="1"/>
  <c r="AA4" i="1"/>
  <c r="AB4" i="1"/>
  <c r="AC4" i="1"/>
  <c r="AD4" i="1"/>
  <c r="AE4" i="1"/>
  <c r="AF4" i="1"/>
  <c r="AG4" i="1"/>
  <c r="AH4" i="1"/>
  <c r="AA3" i="1"/>
  <c r="AB3" i="1"/>
  <c r="AC3" i="1"/>
  <c r="AD3" i="1"/>
  <c r="AE3" i="1"/>
  <c r="AF3" i="1"/>
  <c r="AG3" i="1"/>
  <c r="AH3" i="1"/>
  <c r="Z3" i="1"/>
  <c r="A3" i="2"/>
  <c r="X4" i="1"/>
  <c r="AC9" i="1"/>
  <c r="AG9" i="1"/>
  <c r="AE14" i="1"/>
  <c r="AG13" i="1"/>
  <c r="AC17" i="1"/>
  <c r="AG17" i="1"/>
  <c r="AG21" i="1"/>
  <c r="AD23" i="1"/>
  <c r="AC25" i="1"/>
  <c r="AE26" i="1"/>
  <c r="AC29" i="1"/>
  <c r="AG29" i="1"/>
  <c r="AE30" i="1"/>
  <c r="AG31" i="1"/>
  <c r="AG34" i="1"/>
  <c r="AC35" i="1"/>
  <c r="AE36" i="1"/>
  <c r="AH38" i="1"/>
  <c r="AD74" i="1"/>
  <c r="AF102" i="1"/>
  <c r="AH116" i="1"/>
  <c r="AD120" i="1"/>
  <c r="AF134" i="1"/>
  <c r="AH148" i="1"/>
  <c r="AD160" i="1"/>
  <c r="AH172" i="1"/>
  <c r="AH188" i="1"/>
  <c r="AF190" i="1"/>
  <c r="AG194" i="1"/>
  <c r="AC198" i="1"/>
  <c r="AE199" i="1"/>
  <c r="AG202" i="1"/>
  <c r="AF206" i="1"/>
  <c r="AD208" i="1"/>
  <c r="AG210" i="1"/>
  <c r="AE215" i="1"/>
  <c r="AC222" i="1"/>
  <c r="AD224" i="1"/>
  <c r="AG226" i="1"/>
  <c r="AC230" i="1"/>
  <c r="AE231" i="1"/>
  <c r="AG234" i="1"/>
  <c r="AH236" i="1"/>
  <c r="AG242" i="1"/>
  <c r="AC246" i="1"/>
  <c r="AH252" i="1"/>
  <c r="AF254" i="1"/>
  <c r="AC254" i="1"/>
  <c r="AG258" i="1"/>
  <c r="AC262" i="1"/>
  <c r="AG266" i="1"/>
  <c r="AF270" i="1"/>
  <c r="AD272" i="1"/>
  <c r="AG274" i="1"/>
  <c r="AG282" i="1"/>
  <c r="AC286" i="1"/>
  <c r="X3" i="1"/>
  <c r="AH5" i="1"/>
  <c r="W3" i="1"/>
  <c r="AG5" i="1"/>
  <c r="V3" i="1"/>
  <c r="AF5" i="1"/>
  <c r="U3" i="1"/>
  <c r="AE5" i="1"/>
  <c r="T3" i="1"/>
  <c r="AD5" i="1"/>
  <c r="S3" i="1"/>
  <c r="AC5" i="1"/>
  <c r="R4" i="1"/>
  <c r="AB6" i="1"/>
  <c r="R5" i="1"/>
  <c r="AB7" i="1"/>
  <c r="R6" i="1"/>
  <c r="AB8" i="1"/>
  <c r="R7" i="1"/>
  <c r="AB9" i="1"/>
  <c r="R8" i="1"/>
  <c r="AB10" i="1"/>
  <c r="R9" i="1"/>
  <c r="AB11" i="1"/>
  <c r="R10" i="1"/>
  <c r="AB12" i="1"/>
  <c r="R11" i="1"/>
  <c r="AB13" i="1"/>
  <c r="R12" i="1"/>
  <c r="R13" i="1"/>
  <c r="AB15" i="1"/>
  <c r="R14" i="1"/>
  <c r="AB16" i="1"/>
  <c r="R15" i="1"/>
  <c r="AB17" i="1"/>
  <c r="R16" i="1"/>
  <c r="AB18" i="1"/>
  <c r="R17" i="1"/>
  <c r="AB19" i="1"/>
  <c r="R18" i="1"/>
  <c r="AB20" i="1"/>
  <c r="R19" i="1"/>
  <c r="AB21" i="1"/>
  <c r="R20" i="1"/>
  <c r="AB22" i="1"/>
  <c r="R21" i="1"/>
  <c r="AB23" i="1"/>
  <c r="R22" i="1"/>
  <c r="AB24" i="1"/>
  <c r="R23" i="1"/>
  <c r="AB25" i="1"/>
  <c r="R24" i="1"/>
  <c r="AB26" i="1"/>
  <c r="R25" i="1"/>
  <c r="AB27" i="1"/>
  <c r="R26" i="1"/>
  <c r="AB28" i="1"/>
  <c r="R27" i="1"/>
  <c r="AB29" i="1"/>
  <c r="R28" i="1"/>
  <c r="AB30" i="1"/>
  <c r="R29" i="1"/>
  <c r="AB31" i="1"/>
  <c r="R30" i="1"/>
  <c r="AB32" i="1"/>
  <c r="R31" i="1"/>
  <c r="AB33" i="1"/>
  <c r="R32" i="1"/>
  <c r="AB34" i="1"/>
  <c r="R33" i="1"/>
  <c r="AB35" i="1"/>
  <c r="R34" i="1"/>
  <c r="AB36" i="1"/>
  <c r="R35" i="1"/>
  <c r="AB37" i="1"/>
  <c r="R36" i="1"/>
  <c r="AB38" i="1"/>
  <c r="R37" i="1"/>
  <c r="AB39" i="1"/>
  <c r="R38" i="1"/>
  <c r="AB40" i="1"/>
  <c r="R39" i="1"/>
  <c r="AB41" i="1"/>
  <c r="R40" i="1"/>
  <c r="AB42" i="1"/>
  <c r="R41" i="1"/>
  <c r="AB43" i="1"/>
  <c r="R42" i="1"/>
  <c r="AB44" i="1"/>
  <c r="R43" i="1"/>
  <c r="AB45" i="1"/>
  <c r="R44" i="1"/>
  <c r="AB46" i="1"/>
  <c r="R45" i="1"/>
  <c r="AB47" i="1"/>
  <c r="R46" i="1"/>
  <c r="AB48" i="1"/>
  <c r="R47" i="1"/>
  <c r="AB49" i="1"/>
  <c r="R48" i="1"/>
  <c r="AB50" i="1"/>
  <c r="R49" i="1"/>
  <c r="AB51" i="1"/>
  <c r="R50" i="1"/>
  <c r="AB52" i="1"/>
  <c r="R51" i="1"/>
  <c r="AB53" i="1"/>
  <c r="R52" i="1"/>
  <c r="AB54" i="1"/>
  <c r="R53" i="1"/>
  <c r="AB55" i="1"/>
  <c r="R54" i="1"/>
  <c r="AB56" i="1"/>
  <c r="R55" i="1"/>
  <c r="AB57" i="1"/>
  <c r="R56" i="1"/>
  <c r="AB58" i="1"/>
  <c r="R57" i="1"/>
  <c r="AB59" i="1"/>
  <c r="R58" i="1"/>
  <c r="AB60" i="1"/>
  <c r="R59" i="1"/>
  <c r="AB61" i="1"/>
  <c r="R60" i="1"/>
  <c r="AB62" i="1"/>
  <c r="R61" i="1"/>
  <c r="AB63" i="1"/>
  <c r="R62" i="1"/>
  <c r="AB64" i="1"/>
  <c r="R63" i="1"/>
  <c r="AB65" i="1"/>
  <c r="R64" i="1"/>
  <c r="AB66" i="1"/>
  <c r="R65" i="1"/>
  <c r="AB67" i="1"/>
  <c r="R66" i="1"/>
  <c r="AB68" i="1"/>
  <c r="R67" i="1"/>
  <c r="AB69" i="1"/>
  <c r="R68" i="1"/>
  <c r="AB70" i="1"/>
  <c r="R69" i="1"/>
  <c r="AB71" i="1"/>
  <c r="R70" i="1"/>
  <c r="AB72" i="1"/>
  <c r="R71" i="1"/>
  <c r="AB73" i="1"/>
  <c r="R72" i="1"/>
  <c r="AB74" i="1"/>
  <c r="R73" i="1"/>
  <c r="AB75" i="1"/>
  <c r="R74" i="1"/>
  <c r="AB76" i="1"/>
  <c r="R75" i="1"/>
  <c r="AB77" i="1"/>
  <c r="R76" i="1"/>
  <c r="AB78" i="1"/>
  <c r="R77" i="1"/>
  <c r="AB79" i="1"/>
  <c r="R78" i="1"/>
  <c r="AB80" i="1"/>
  <c r="R79" i="1"/>
  <c r="AB81" i="1"/>
  <c r="R80" i="1"/>
  <c r="AB82" i="1"/>
  <c r="R81" i="1"/>
  <c r="AB83" i="1"/>
  <c r="R82" i="1"/>
  <c r="AB84" i="1"/>
  <c r="R83" i="1"/>
  <c r="AB85" i="1"/>
  <c r="R84" i="1"/>
  <c r="AB86" i="1"/>
  <c r="R85" i="1"/>
  <c r="AB87" i="1"/>
  <c r="R86" i="1"/>
  <c r="AB88" i="1"/>
  <c r="R87" i="1"/>
  <c r="AB89" i="1"/>
  <c r="R88" i="1"/>
  <c r="AB90" i="1"/>
  <c r="R89" i="1"/>
  <c r="AB91" i="1"/>
  <c r="R90" i="1"/>
  <c r="AB92" i="1"/>
  <c r="R91" i="1"/>
  <c r="AB93" i="1"/>
  <c r="R92" i="1"/>
  <c r="AB94" i="1"/>
  <c r="R93" i="1"/>
  <c r="AB95" i="1"/>
  <c r="R94" i="1"/>
  <c r="AB96" i="1"/>
  <c r="R95" i="1"/>
  <c r="AB97" i="1"/>
  <c r="R96" i="1"/>
  <c r="AB98" i="1"/>
  <c r="R97" i="1"/>
  <c r="AB99" i="1"/>
  <c r="R98" i="1"/>
  <c r="AB100" i="1"/>
  <c r="R99" i="1"/>
  <c r="AB101" i="1"/>
  <c r="R100" i="1"/>
  <c r="AB102" i="1"/>
  <c r="R101" i="1"/>
  <c r="AB103" i="1"/>
  <c r="R102" i="1"/>
  <c r="AB104" i="1"/>
  <c r="R103" i="1"/>
  <c r="AB105" i="1"/>
  <c r="R104" i="1"/>
  <c r="AB106" i="1"/>
  <c r="R105" i="1"/>
  <c r="AB107" i="1"/>
  <c r="R106" i="1"/>
  <c r="AB108" i="1"/>
  <c r="R107" i="1"/>
  <c r="AB109" i="1"/>
  <c r="R108" i="1"/>
  <c r="AB110" i="1"/>
  <c r="R109" i="1"/>
  <c r="AB111" i="1"/>
  <c r="R110" i="1"/>
  <c r="AB112" i="1"/>
  <c r="R111" i="1"/>
  <c r="AB113" i="1"/>
  <c r="R112" i="1"/>
  <c r="AB114" i="1"/>
  <c r="R113" i="1"/>
  <c r="AB115" i="1"/>
  <c r="R114" i="1"/>
  <c r="AB116" i="1"/>
  <c r="R115" i="1"/>
  <c r="AB117" i="1"/>
  <c r="R116" i="1"/>
  <c r="AB118" i="1"/>
  <c r="R117" i="1"/>
  <c r="AB119" i="1"/>
  <c r="R118" i="1"/>
  <c r="AB120" i="1"/>
  <c r="R119" i="1"/>
  <c r="AB121" i="1"/>
  <c r="R120" i="1"/>
  <c r="AB122" i="1"/>
  <c r="R121" i="1"/>
  <c r="AB123" i="1"/>
  <c r="R122" i="1"/>
  <c r="AB124" i="1"/>
  <c r="R123" i="1"/>
  <c r="AB125" i="1"/>
  <c r="R124" i="1"/>
  <c r="AB126" i="1"/>
  <c r="R125" i="1"/>
  <c r="AB127" i="1"/>
  <c r="R126" i="1"/>
  <c r="AB128" i="1"/>
  <c r="R127" i="1"/>
  <c r="AB129" i="1"/>
  <c r="R128" i="1"/>
  <c r="AB130" i="1"/>
  <c r="R129" i="1"/>
  <c r="AB131" i="1"/>
  <c r="R130" i="1"/>
  <c r="AB132" i="1"/>
  <c r="R131" i="1"/>
  <c r="AB133" i="1"/>
  <c r="R132" i="1"/>
  <c r="AB134" i="1"/>
  <c r="R133" i="1"/>
  <c r="AB135" i="1"/>
  <c r="R285" i="1"/>
  <c r="R286" i="1"/>
  <c r="R3" i="1"/>
  <c r="AB5" i="1"/>
  <c r="AF158" i="1"/>
  <c r="AD7" i="1"/>
  <c r="AG285" i="1"/>
  <c r="AE284" i="1"/>
  <c r="AG277" i="1"/>
  <c r="AC273" i="1"/>
  <c r="AG269" i="1"/>
  <c r="AC265" i="1"/>
  <c r="AG261" i="1"/>
  <c r="AE260" i="1"/>
  <c r="AC257" i="1"/>
  <c r="AC241" i="1"/>
  <c r="AE236" i="1"/>
  <c r="AC233" i="1"/>
  <c r="AG221" i="1"/>
  <c r="AC217" i="1"/>
  <c r="AE212" i="1"/>
  <c r="AG205" i="1"/>
  <c r="AE204" i="1"/>
  <c r="AC201" i="1"/>
  <c r="AG197" i="1"/>
  <c r="AE196" i="1"/>
  <c r="AE188" i="1"/>
  <c r="AG28" i="1"/>
  <c r="AC28" i="1"/>
  <c r="AG24" i="1"/>
  <c r="AC24" i="1"/>
  <c r="AE23" i="1"/>
  <c r="AC20" i="1"/>
  <c r="AE18" i="1"/>
  <c r="AE19" i="1"/>
  <c r="AG16" i="1"/>
  <c r="AC16" i="1"/>
  <c r="AE15" i="1"/>
  <c r="AG12" i="1"/>
  <c r="AC12" i="1"/>
  <c r="AE10" i="1"/>
  <c r="AE11" i="1"/>
  <c r="AG8" i="1"/>
  <c r="AC8" i="1"/>
  <c r="AE7" i="1"/>
  <c r="AF286" i="1"/>
  <c r="AF238" i="1"/>
  <c r="AF222" i="1"/>
  <c r="AF174" i="1"/>
  <c r="AH19" i="1"/>
  <c r="AC281" i="1"/>
  <c r="AE276" i="1"/>
  <c r="AE268" i="1"/>
  <c r="AG253" i="1"/>
  <c r="AE252" i="1"/>
  <c r="AC249" i="1"/>
  <c r="AG245" i="1"/>
  <c r="AE244" i="1"/>
  <c r="AG237" i="1"/>
  <c r="AG229" i="1"/>
  <c r="AE228" i="1"/>
  <c r="AC225" i="1"/>
  <c r="AE220" i="1"/>
  <c r="AG213" i="1"/>
  <c r="AC209" i="1"/>
  <c r="AC193" i="1"/>
  <c r="AG189" i="1"/>
  <c r="AH284" i="1"/>
  <c r="AF283" i="1"/>
  <c r="AD280" i="1"/>
  <c r="AD277" i="1"/>
  <c r="AH276" i="1"/>
  <c r="AF275" i="1"/>
  <c r="AH268" i="1"/>
  <c r="AF267" i="1"/>
  <c r="AD264" i="1"/>
  <c r="AH260" i="1"/>
  <c r="AF259" i="1"/>
  <c r="AD256" i="1"/>
  <c r="AD253" i="1"/>
  <c r="AF251" i="1"/>
  <c r="AH249" i="1"/>
  <c r="AD248" i="1"/>
  <c r="AH244" i="1"/>
  <c r="AF243" i="1"/>
  <c r="AD240" i="1"/>
  <c r="AD237" i="1"/>
  <c r="AF235" i="1"/>
  <c r="AH233" i="1"/>
  <c r="AD232" i="1"/>
  <c r="AH228" i="1"/>
  <c r="AF227" i="1"/>
  <c r="AH220" i="1"/>
  <c r="AF219" i="1"/>
  <c r="AD216" i="1"/>
  <c r="AH212" i="1"/>
  <c r="AF211" i="1"/>
  <c r="AH209" i="1"/>
  <c r="AD205" i="1"/>
  <c r="AH204" i="1"/>
  <c r="AF203" i="1"/>
  <c r="AH201" i="1"/>
  <c r="AD200" i="1"/>
  <c r="AH196" i="1"/>
  <c r="AF195" i="1"/>
  <c r="AD192" i="1"/>
  <c r="AF187" i="1"/>
  <c r="AH185" i="1"/>
  <c r="AD176" i="1"/>
  <c r="AH156" i="1"/>
  <c r="AD88" i="1"/>
  <c r="AF21" i="1"/>
  <c r="AD184" i="1"/>
  <c r="AH180" i="1"/>
  <c r="AF179" i="1"/>
  <c r="AD173" i="1"/>
  <c r="AF171" i="1"/>
  <c r="AH169" i="1"/>
  <c r="AD168" i="1"/>
  <c r="AH164" i="1"/>
  <c r="AF163" i="1"/>
  <c r="AD157" i="1"/>
  <c r="AF155" i="1"/>
  <c r="AH153" i="1"/>
  <c r="AD152" i="1"/>
  <c r="AD144" i="1"/>
  <c r="AH140" i="1"/>
  <c r="AD136" i="1"/>
  <c r="AH132" i="1"/>
  <c r="AD128" i="1"/>
  <c r="AF126" i="1"/>
  <c r="AH124" i="1"/>
  <c r="AD112" i="1"/>
  <c r="AF110" i="1"/>
  <c r="AH108" i="1"/>
  <c r="AD104" i="1"/>
  <c r="AH100" i="1"/>
  <c r="AD96" i="1"/>
  <c r="AF94" i="1"/>
  <c r="AH92" i="1"/>
  <c r="AH86" i="1"/>
  <c r="AH70" i="1"/>
  <c r="AD58" i="1"/>
  <c r="AH54" i="1"/>
  <c r="AD42" i="1"/>
  <c r="AF40" i="1"/>
  <c r="AF29" i="1"/>
  <c r="AD27" i="1"/>
  <c r="AH23" i="1"/>
  <c r="AD19" i="1"/>
  <c r="AH15" i="1"/>
  <c r="AF13" i="1"/>
  <c r="AD11" i="1"/>
  <c r="AH7" i="1"/>
  <c r="AC185" i="1"/>
  <c r="AC182" i="1"/>
  <c r="AG181" i="1"/>
  <c r="AE180" i="1"/>
  <c r="AC179" i="1"/>
  <c r="AC177" i="1"/>
  <c r="AG173" i="1"/>
  <c r="AE172" i="1"/>
  <c r="AC169" i="1"/>
  <c r="AC166" i="1"/>
  <c r="AG165" i="1"/>
  <c r="AE164" i="1"/>
  <c r="AG162" i="1"/>
  <c r="AC161" i="1"/>
  <c r="AG157" i="1"/>
  <c r="AE156" i="1"/>
  <c r="AC153" i="1"/>
  <c r="AG149" i="1"/>
  <c r="AC145" i="1"/>
  <c r="AG141" i="1"/>
  <c r="AC137" i="1"/>
  <c r="AG133" i="1"/>
  <c r="AC129" i="1"/>
  <c r="AE127" i="1"/>
  <c r="AG125" i="1"/>
  <c r="AC121" i="1"/>
  <c r="AE119" i="1"/>
  <c r="AG117" i="1"/>
  <c r="AC113" i="1"/>
  <c r="AG109" i="1"/>
  <c r="AC105" i="1"/>
  <c r="AE103" i="1"/>
  <c r="AG101" i="1"/>
  <c r="AC97" i="1"/>
  <c r="AE95" i="1"/>
  <c r="AG93" i="1"/>
  <c r="AC89" i="1"/>
  <c r="AC83" i="1"/>
  <c r="AG79" i="1"/>
  <c r="AC67" i="1"/>
  <c r="AE65" i="1"/>
  <c r="AG63" i="1"/>
  <c r="AC51" i="1"/>
  <c r="AG47" i="1"/>
  <c r="AG35" i="1"/>
  <c r="AE32" i="1"/>
  <c r="AC31" i="1"/>
  <c r="AE28" i="1"/>
  <c r="AG27" i="1"/>
  <c r="AC27" i="1"/>
  <c r="AE24" i="1"/>
  <c r="AG23" i="1"/>
  <c r="AC23" i="1"/>
  <c r="AE20" i="1"/>
  <c r="AG19" i="1"/>
  <c r="AC19" i="1"/>
  <c r="AE16" i="1"/>
  <c r="AG15" i="1"/>
  <c r="AC15" i="1"/>
  <c r="AE12" i="1"/>
  <c r="AG11" i="1"/>
  <c r="AC11" i="1"/>
  <c r="AE8" i="1"/>
  <c r="AG7" i="1"/>
  <c r="AC7" i="1"/>
  <c r="AC181" i="1"/>
  <c r="AG179" i="1"/>
  <c r="AE178" i="1"/>
  <c r="AE176" i="1"/>
  <c r="AC175" i="1"/>
  <c r="AC173" i="1"/>
  <c r="AG171" i="1"/>
  <c r="AE170" i="1"/>
  <c r="AG167" i="1"/>
  <c r="AE166" i="1"/>
  <c r="AC163" i="1"/>
  <c r="AG161" i="1"/>
  <c r="AE160" i="1"/>
  <c r="AC159" i="1"/>
  <c r="AC157" i="1"/>
  <c r="AG155" i="1"/>
  <c r="AE154" i="1"/>
  <c r="AE152" i="1"/>
  <c r="AE150" i="1"/>
  <c r="AC149" i="1"/>
  <c r="AC147" i="1"/>
  <c r="AG145" i="1"/>
  <c r="AG143" i="1"/>
  <c r="AC143" i="1"/>
  <c r="AC142" i="1"/>
  <c r="AC141" i="1"/>
  <c r="AC139" i="1"/>
  <c r="AG137" i="1"/>
  <c r="AE136" i="1"/>
  <c r="AE134" i="1"/>
  <c r="AE132" i="1"/>
  <c r="AG131" i="1"/>
  <c r="AG130" i="1"/>
  <c r="AE130" i="1"/>
  <c r="AG127" i="1"/>
  <c r="AC127" i="1"/>
  <c r="AC126" i="1"/>
  <c r="AE124" i="1"/>
  <c r="AG123" i="1"/>
  <c r="AG122" i="1"/>
  <c r="AE122" i="1"/>
  <c r="AG119" i="1"/>
  <c r="AC119" i="1"/>
  <c r="AC118" i="1"/>
  <c r="AC117" i="1"/>
  <c r="AC115" i="1"/>
  <c r="AG113" i="1"/>
  <c r="AG111" i="1"/>
  <c r="AC111" i="1"/>
  <c r="AC110" i="1"/>
  <c r="AE108" i="1"/>
  <c r="AG107" i="1"/>
  <c r="AG106" i="1"/>
  <c r="AE106" i="1"/>
  <c r="AG103" i="1"/>
  <c r="AC103" i="1"/>
  <c r="AC102" i="1"/>
  <c r="AE100" i="1"/>
  <c r="AG99" i="1"/>
  <c r="AG98" i="1"/>
  <c r="AE98" i="1"/>
  <c r="AG95" i="1"/>
  <c r="AC95" i="1"/>
  <c r="AC94" i="1"/>
  <c r="AE92" i="1"/>
  <c r="AG91" i="1"/>
  <c r="AG90" i="1"/>
  <c r="AE90" i="1"/>
  <c r="AG87" i="1"/>
  <c r="AE86" i="1"/>
  <c r="AC85" i="1"/>
  <c r="AG83" i="1"/>
  <c r="AG82" i="1"/>
  <c r="AE82" i="1"/>
  <c r="AC81" i="1"/>
  <c r="AC79" i="1"/>
  <c r="AG77" i="1"/>
  <c r="AE76" i="1"/>
  <c r="AC75" i="1"/>
  <c r="AG73" i="1"/>
  <c r="AE72" i="1"/>
  <c r="AC71" i="1"/>
  <c r="AC70" i="1"/>
  <c r="AG69" i="1"/>
  <c r="AE68" i="1"/>
  <c r="AG65" i="1"/>
  <c r="AE64" i="1"/>
  <c r="AC63" i="1"/>
  <c r="AG61" i="1"/>
  <c r="AE60" i="1"/>
  <c r="AC59" i="1"/>
  <c r="AG57" i="1"/>
  <c r="AE56" i="1"/>
  <c r="AC55" i="1"/>
  <c r="AC54" i="1"/>
  <c r="AG53" i="1"/>
  <c r="AE52" i="1"/>
  <c r="AG49" i="1"/>
  <c r="AE48" i="1"/>
  <c r="AE46" i="1"/>
  <c r="AC45" i="1"/>
  <c r="AG43" i="1"/>
  <c r="AE42" i="1"/>
  <c r="AC41" i="1"/>
  <c r="AG39" i="1"/>
  <c r="AD286" i="1"/>
  <c r="AD284" i="1"/>
  <c r="AH282" i="1"/>
  <c r="AF281" i="1"/>
  <c r="AH278" i="1"/>
  <c r="AF277" i="1"/>
  <c r="AH274" i="1"/>
  <c r="AF273" i="1"/>
  <c r="AF271" i="1"/>
  <c r="AD270" i="1"/>
  <c r="AD268" i="1"/>
  <c r="AH266" i="1"/>
  <c r="AH264" i="1"/>
  <c r="AF263" i="1"/>
  <c r="AD262" i="1"/>
  <c r="AD260" i="1"/>
  <c r="AH258" i="1"/>
  <c r="AF257" i="1"/>
  <c r="AH254" i="1"/>
  <c r="AF253" i="1"/>
  <c r="AD250" i="1"/>
  <c r="AH248" i="1"/>
  <c r="AF247" i="1"/>
  <c r="AD246" i="1"/>
  <c r="AD244" i="1"/>
  <c r="AD242" i="1"/>
  <c r="AH240" i="1"/>
  <c r="AH238" i="1"/>
  <c r="AF237" i="1"/>
  <c r="AD234" i="1"/>
  <c r="AH232" i="1"/>
  <c r="AF231" i="1"/>
  <c r="AD230" i="1"/>
  <c r="AD228" i="1"/>
  <c r="AH226" i="1"/>
  <c r="AF225" i="1"/>
  <c r="AF223" i="1"/>
  <c r="AD222" i="1"/>
  <c r="AD220" i="1"/>
  <c r="AH218" i="1"/>
  <c r="AF217" i="1"/>
  <c r="AH214" i="1"/>
  <c r="AF213" i="1"/>
  <c r="AD210" i="1"/>
  <c r="AH208" i="1"/>
  <c r="AH206" i="1"/>
  <c r="AF205" i="1"/>
  <c r="AD202" i="1"/>
  <c r="AH200" i="1"/>
  <c r="AF199" i="1"/>
  <c r="AD198" i="1"/>
  <c r="AD196" i="1"/>
  <c r="AH194" i="1"/>
  <c r="AF193" i="1"/>
  <c r="AF191" i="1"/>
  <c r="AD190" i="1"/>
  <c r="AD188" i="1"/>
  <c r="AD186" i="1"/>
  <c r="AH184" i="1"/>
  <c r="AF183" i="1"/>
  <c r="AD182" i="1"/>
  <c r="AD180" i="1"/>
  <c r="AH178" i="1"/>
  <c r="AF177" i="1"/>
  <c r="AH174" i="1"/>
  <c r="AF173" i="1"/>
  <c r="AD170" i="1"/>
  <c r="AH168" i="1"/>
  <c r="AH166" i="1"/>
  <c r="AF165" i="1"/>
  <c r="AD162" i="1"/>
  <c r="AH160" i="1"/>
  <c r="AH158" i="1"/>
  <c r="AF157" i="1"/>
  <c r="AD154" i="1"/>
  <c r="AH152" i="1"/>
  <c r="AH150" i="1"/>
  <c r="AD150" i="1"/>
  <c r="AD149" i="1"/>
  <c r="AF147" i="1"/>
  <c r="AH146" i="1"/>
  <c r="AH145" i="1"/>
  <c r="AF145" i="1"/>
  <c r="AF143" i="1"/>
  <c r="AF141" i="1"/>
  <c r="AF139" i="1"/>
  <c r="AH138" i="1"/>
  <c r="AH137" i="1"/>
  <c r="AF137" i="1"/>
  <c r="AH134" i="1"/>
  <c r="AD134" i="1"/>
  <c r="AD133" i="1"/>
  <c r="AF131" i="1"/>
  <c r="AH130" i="1"/>
  <c r="AH129" i="1"/>
  <c r="AF129" i="1"/>
  <c r="AH126" i="1"/>
  <c r="AD126" i="1"/>
  <c r="AD125" i="1"/>
  <c r="AF123" i="1"/>
  <c r="AH122" i="1"/>
  <c r="AH121" i="1"/>
  <c r="AF121" i="1"/>
  <c r="AF119" i="1"/>
  <c r="AF117" i="1"/>
  <c r="AF115" i="1"/>
  <c r="AH114" i="1"/>
  <c r="AH113" i="1"/>
  <c r="AF113" i="1"/>
  <c r="AH110" i="1"/>
  <c r="AD110" i="1"/>
  <c r="AD109" i="1"/>
  <c r="AF107" i="1"/>
  <c r="AH106" i="1"/>
  <c r="AH105" i="1"/>
  <c r="AF105" i="1"/>
  <c r="AH102" i="1"/>
  <c r="AD102" i="1"/>
  <c r="AD101" i="1"/>
  <c r="AD100" i="1"/>
  <c r="AD98" i="1"/>
  <c r="AH96" i="1"/>
  <c r="AH94" i="1"/>
  <c r="AD94" i="1"/>
  <c r="AD93" i="1"/>
  <c r="AD92" i="1"/>
  <c r="AD90" i="1"/>
  <c r="AH88" i="1"/>
  <c r="AF85" i="1"/>
  <c r="AD84" i="1"/>
  <c r="AH82" i="1"/>
  <c r="AF81" i="1"/>
  <c r="AD80" i="1"/>
  <c r="AH78" i="1"/>
  <c r="AF77" i="1"/>
  <c r="AD76" i="1"/>
  <c r="AH74" i="1"/>
  <c r="AH73" i="1"/>
  <c r="AH72" i="1"/>
  <c r="AF71" i="1"/>
  <c r="AF69" i="1"/>
  <c r="AD68" i="1"/>
  <c r="AH66" i="1"/>
  <c r="AF65" i="1"/>
  <c r="AD64" i="1"/>
  <c r="AH62" i="1"/>
  <c r="AF61" i="1"/>
  <c r="AD60" i="1"/>
  <c r="AH58" i="1"/>
  <c r="AH57" i="1"/>
  <c r="AF57" i="1"/>
  <c r="AD56" i="1"/>
  <c r="AF53" i="1"/>
  <c r="AD52" i="1"/>
  <c r="AH50" i="1"/>
  <c r="AF49" i="1"/>
  <c r="AD48" i="1"/>
  <c r="AH46" i="1"/>
  <c r="AF45" i="1"/>
  <c r="AD44" i="1"/>
  <c r="AH42" i="1"/>
  <c r="AH41" i="1"/>
  <c r="AH40" i="1"/>
  <c r="AF39" i="1"/>
  <c r="AF37" i="1"/>
  <c r="AD36" i="1"/>
  <c r="AD34" i="1"/>
  <c r="AH32" i="1"/>
  <c r="AF31" i="1"/>
  <c r="AF30" i="1"/>
  <c r="AD30" i="1"/>
  <c r="AF27" i="1"/>
  <c r="AF23" i="1"/>
  <c r="AF22" i="1"/>
  <c r="AD22" i="1"/>
  <c r="AH20" i="1"/>
  <c r="AF19" i="1"/>
  <c r="AD18" i="1"/>
  <c r="AH14" i="1"/>
  <c r="AH10" i="1"/>
  <c r="AF9" i="1"/>
  <c r="AD8" i="1"/>
  <c r="AF7" i="1"/>
  <c r="AF6" i="1"/>
  <c r="AD28" i="1"/>
  <c r="AH24" i="1"/>
  <c r="AD12" i="1"/>
  <c r="AH273" i="1"/>
  <c r="AH257" i="1"/>
  <c r="AD245" i="1"/>
  <c r="AH225" i="1"/>
  <c r="AH193" i="1"/>
  <c r="AH177" i="1"/>
  <c r="AG170" i="1"/>
  <c r="AG154" i="1"/>
  <c r="AH285" i="1"/>
  <c r="AF282" i="1"/>
  <c r="AD281" i="1"/>
  <c r="AH277" i="1"/>
  <c r="AF274" i="1"/>
  <c r="AD273" i="1"/>
  <c r="AH269" i="1"/>
  <c r="AF266" i="1"/>
  <c r="AD265" i="1"/>
  <c r="AH261" i="1"/>
  <c r="AF258" i="1"/>
  <c r="AD257" i="1"/>
  <c r="AH253" i="1"/>
  <c r="AF250" i="1"/>
  <c r="AD249" i="1"/>
  <c r="AH245" i="1"/>
  <c r="AF242" i="1"/>
  <c r="AD241" i="1"/>
  <c r="AH237" i="1"/>
  <c r="AF234" i="1"/>
  <c r="AD233" i="1"/>
  <c r="AH229" i="1"/>
  <c r="AF226" i="1"/>
  <c r="AD225" i="1"/>
  <c r="AH221" i="1"/>
  <c r="AF218" i="1"/>
  <c r="AD217" i="1"/>
  <c r="AH213" i="1"/>
  <c r="AF210" i="1"/>
  <c r="AD209" i="1"/>
  <c r="AH205" i="1"/>
  <c r="AF202" i="1"/>
  <c r="AD201" i="1"/>
  <c r="AH197" i="1"/>
  <c r="AF194" i="1"/>
  <c r="AD193" i="1"/>
  <c r="AH189" i="1"/>
  <c r="AF186" i="1"/>
  <c r="AD185" i="1"/>
  <c r="AH181" i="1"/>
  <c r="AF178" i="1"/>
  <c r="AD177" i="1"/>
  <c r="AH173" i="1"/>
  <c r="AF170" i="1"/>
  <c r="AD169" i="1"/>
  <c r="AH165" i="1"/>
  <c r="AF162" i="1"/>
  <c r="AD161" i="1"/>
  <c r="AH157" i="1"/>
  <c r="AF154" i="1"/>
  <c r="AD153" i="1"/>
  <c r="AH149" i="1"/>
  <c r="AF146" i="1"/>
  <c r="AD145" i="1"/>
  <c r="AH141" i="1"/>
  <c r="AF138" i="1"/>
  <c r="AD137" i="1"/>
  <c r="AH133" i="1"/>
  <c r="AF130" i="1"/>
  <c r="AD129" i="1"/>
  <c r="AH125" i="1"/>
  <c r="AF122" i="1"/>
  <c r="AD121" i="1"/>
  <c r="AH117" i="1"/>
  <c r="AF114" i="1"/>
  <c r="AD113" i="1"/>
  <c r="AH109" i="1"/>
  <c r="AF106" i="1"/>
  <c r="AD105" i="1"/>
  <c r="AH101" i="1"/>
  <c r="AF98" i="1"/>
  <c r="AD97" i="1"/>
  <c r="AH93" i="1"/>
  <c r="AF90" i="1"/>
  <c r="AD89" i="1"/>
  <c r="AD85" i="1"/>
  <c r="AH81" i="1"/>
  <c r="AF80" i="1"/>
  <c r="AD69" i="1"/>
  <c r="AH65" i="1"/>
  <c r="AF64" i="1"/>
  <c r="AD53" i="1"/>
  <c r="AH49" i="1"/>
  <c r="AF48" i="1"/>
  <c r="AD37" i="1"/>
  <c r="AD20" i="1"/>
  <c r="AF18" i="1"/>
  <c r="AH16" i="1"/>
  <c r="AD285" i="1"/>
  <c r="AH281" i="1"/>
  <c r="AD269" i="1"/>
  <c r="AH265" i="1"/>
  <c r="AD221" i="1"/>
  <c r="AH217" i="1"/>
  <c r="AD189" i="1"/>
  <c r="AG178" i="1"/>
  <c r="AF142" i="1"/>
  <c r="AE135" i="1"/>
  <c r="AE286" i="1"/>
  <c r="AC285" i="1"/>
  <c r="AG283" i="1"/>
  <c r="AC283" i="1"/>
  <c r="AE282" i="1"/>
  <c r="AG281" i="1"/>
  <c r="AE280" i="1"/>
  <c r="AG279" i="1"/>
  <c r="AC279" i="1"/>
  <c r="AE278" i="1"/>
  <c r="AC277" i="1"/>
  <c r="AG275" i="1"/>
  <c r="AC275" i="1"/>
  <c r="AE274" i="1"/>
  <c r="AG273" i="1"/>
  <c r="AE272" i="1"/>
  <c r="AG271" i="1"/>
  <c r="AC271" i="1"/>
  <c r="AE270" i="1"/>
  <c r="AC269" i="1"/>
  <c r="AG267" i="1"/>
  <c r="AC267" i="1"/>
  <c r="AE266" i="1"/>
  <c r="AG265" i="1"/>
  <c r="AE264" i="1"/>
  <c r="AG263" i="1"/>
  <c r="AC263" i="1"/>
  <c r="AE262" i="1"/>
  <c r="AC261" i="1"/>
  <c r="AG259" i="1"/>
  <c r="AC259" i="1"/>
  <c r="AE258" i="1"/>
  <c r="AG257" i="1"/>
  <c r="AE256" i="1"/>
  <c r="AG255" i="1"/>
  <c r="AC255" i="1"/>
  <c r="AE254" i="1"/>
  <c r="AC253" i="1"/>
  <c r="AG251" i="1"/>
  <c r="AC251" i="1"/>
  <c r="AE250" i="1"/>
  <c r="AG249" i="1"/>
  <c r="AE248" i="1"/>
  <c r="AG247" i="1"/>
  <c r="AC247" i="1"/>
  <c r="AE246" i="1"/>
  <c r="AC245" i="1"/>
  <c r="AG243" i="1"/>
  <c r="AC243" i="1"/>
  <c r="AE242" i="1"/>
  <c r="AG241" i="1"/>
  <c r="AE240" i="1"/>
  <c r="AG239" i="1"/>
  <c r="AC239" i="1"/>
  <c r="AE238" i="1"/>
  <c r="AC237" i="1"/>
  <c r="AG235" i="1"/>
  <c r="AC235" i="1"/>
  <c r="AE234" i="1"/>
  <c r="AG233" i="1"/>
  <c r="AE232" i="1"/>
  <c r="AG231" i="1"/>
  <c r="AC231" i="1"/>
  <c r="AE230" i="1"/>
  <c r="AC229" i="1"/>
  <c r="AG227" i="1"/>
  <c r="AC227" i="1"/>
  <c r="AE226" i="1"/>
  <c r="AG225" i="1"/>
  <c r="AE224" i="1"/>
  <c r="AG223" i="1"/>
  <c r="AC223" i="1"/>
  <c r="AE222" i="1"/>
  <c r="AC221" i="1"/>
  <c r="AG219" i="1"/>
  <c r="AC219" i="1"/>
  <c r="AE218" i="1"/>
  <c r="AG217" i="1"/>
  <c r="AE216" i="1"/>
  <c r="AG215" i="1"/>
  <c r="AC215" i="1"/>
  <c r="AE214" i="1"/>
  <c r="AC213" i="1"/>
  <c r="AG211" i="1"/>
  <c r="AC211" i="1"/>
  <c r="AE210" i="1"/>
  <c r="AG209" i="1"/>
  <c r="AE208" i="1"/>
  <c r="AG207" i="1"/>
  <c r="AC207" i="1"/>
  <c r="AE206" i="1"/>
  <c r="AC205" i="1"/>
  <c r="AG203" i="1"/>
  <c r="AC203" i="1"/>
  <c r="AE202" i="1"/>
  <c r="AG201" i="1"/>
  <c r="AE200" i="1"/>
  <c r="AG199" i="1"/>
  <c r="AC199" i="1"/>
  <c r="AE198" i="1"/>
  <c r="AC197" i="1"/>
  <c r="AG195" i="1"/>
  <c r="AC195" i="1"/>
  <c r="AE194" i="1"/>
  <c r="AG193" i="1"/>
  <c r="AE192" i="1"/>
  <c r="AG191" i="1"/>
  <c r="AC191" i="1"/>
  <c r="AE190" i="1"/>
  <c r="AC189" i="1"/>
  <c r="AG187" i="1"/>
  <c r="AC187" i="1"/>
  <c r="AE186" i="1"/>
  <c r="AG185" i="1"/>
  <c r="AE184" i="1"/>
  <c r="AG183" i="1"/>
  <c r="AC183" i="1"/>
  <c r="AE182" i="1"/>
  <c r="AG177" i="1"/>
  <c r="AG175" i="1"/>
  <c r="AE174" i="1"/>
  <c r="AC171" i="1"/>
  <c r="AG169" i="1"/>
  <c r="AE168" i="1"/>
  <c r="AC167" i="1"/>
  <c r="AC165" i="1"/>
  <c r="AG163" i="1"/>
  <c r="AE162" i="1"/>
  <c r="AG159" i="1"/>
  <c r="AE158" i="1"/>
  <c r="AC155" i="1"/>
  <c r="AG153" i="1"/>
  <c r="AG151" i="1"/>
  <c r="AC151" i="1"/>
  <c r="AC150" i="1"/>
  <c r="AE148" i="1"/>
  <c r="AG147" i="1"/>
  <c r="AG146" i="1"/>
  <c r="AE146" i="1"/>
  <c r="AE144" i="1"/>
  <c r="AE142" i="1"/>
  <c r="AE140" i="1"/>
  <c r="AG139" i="1"/>
  <c r="AG138" i="1"/>
  <c r="AE138" i="1"/>
  <c r="AG135" i="1"/>
  <c r="AC135" i="1"/>
  <c r="AC134" i="1"/>
  <c r="AC133" i="1"/>
  <c r="AC131" i="1"/>
  <c r="AG129" i="1"/>
  <c r="AE128" i="1"/>
  <c r="AE126" i="1"/>
  <c r="AC125" i="1"/>
  <c r="AC123" i="1"/>
  <c r="AG121" i="1"/>
  <c r="AE120" i="1"/>
  <c r="AE118" i="1"/>
  <c r="AE116" i="1"/>
  <c r="AG115" i="1"/>
  <c r="AG114" i="1"/>
  <c r="AE114" i="1"/>
  <c r="AE112" i="1"/>
  <c r="AE110" i="1"/>
  <c r="AC109" i="1"/>
  <c r="AC107" i="1"/>
  <c r="AG105" i="1"/>
  <c r="AE104" i="1"/>
  <c r="AE102" i="1"/>
  <c r="AC101" i="1"/>
  <c r="AC99" i="1"/>
  <c r="AG97" i="1"/>
  <c r="AE96" i="1"/>
  <c r="AE94" i="1"/>
  <c r="AC93" i="1"/>
  <c r="AC91" i="1"/>
  <c r="AG89" i="1"/>
  <c r="AE88" i="1"/>
  <c r="AC87" i="1"/>
  <c r="AC86" i="1"/>
  <c r="AG85" i="1"/>
  <c r="AE84" i="1"/>
  <c r="AG81" i="1"/>
  <c r="AE80" i="1"/>
  <c r="AE78" i="1"/>
  <c r="AC77" i="1"/>
  <c r="AG75" i="1"/>
  <c r="AE74" i="1"/>
  <c r="AC73" i="1"/>
  <c r="AG71" i="1"/>
  <c r="AE70" i="1"/>
  <c r="AC69" i="1"/>
  <c r="AG67" i="1"/>
  <c r="AG66" i="1"/>
  <c r="AE66" i="1"/>
  <c r="AC65" i="1"/>
  <c r="AE62" i="1"/>
  <c r="AC61" i="1"/>
  <c r="AG59" i="1"/>
  <c r="AE58" i="1"/>
  <c r="AC57" i="1"/>
  <c r="AG55" i="1"/>
  <c r="AE54" i="1"/>
  <c r="AC53" i="1"/>
  <c r="AG51" i="1"/>
  <c r="AG50" i="1"/>
  <c r="AE50" i="1"/>
  <c r="AC49" i="1"/>
  <c r="AC47" i="1"/>
  <c r="AG45" i="1"/>
  <c r="AE44" i="1"/>
  <c r="AC43" i="1"/>
  <c r="AG41" i="1"/>
  <c r="AE40" i="1"/>
  <c r="AC39" i="1"/>
  <c r="AC38" i="1"/>
  <c r="AE279" i="1"/>
  <c r="AE263" i="1"/>
  <c r="AE247" i="1"/>
  <c r="AE183" i="1"/>
  <c r="AE167" i="1"/>
  <c r="AE151" i="1"/>
  <c r="AE81" i="1"/>
  <c r="AH286" i="1"/>
  <c r="AF285" i="1"/>
  <c r="AD282" i="1"/>
  <c r="AH280" i="1"/>
  <c r="AF279" i="1"/>
  <c r="AD278" i="1"/>
  <c r="AD276" i="1"/>
  <c r="AD274" i="1"/>
  <c r="AH272" i="1"/>
  <c r="AH270" i="1"/>
  <c r="AF269" i="1"/>
  <c r="AD266" i="1"/>
  <c r="AF265" i="1"/>
  <c r="AH262" i="1"/>
  <c r="AF261" i="1"/>
  <c r="AD258" i="1"/>
  <c r="AH256" i="1"/>
  <c r="AF255" i="1"/>
  <c r="AD254" i="1"/>
  <c r="AD252" i="1"/>
  <c r="AH250" i="1"/>
  <c r="AF249" i="1"/>
  <c r="AH246" i="1"/>
  <c r="AF245" i="1"/>
  <c r="AH242" i="1"/>
  <c r="AF241" i="1"/>
  <c r="AF239" i="1"/>
  <c r="AD238" i="1"/>
  <c r="AD236" i="1"/>
  <c r="AH234" i="1"/>
  <c r="AF233" i="1"/>
  <c r="AH230" i="1"/>
  <c r="AF229" i="1"/>
  <c r="AD226" i="1"/>
  <c r="AH224" i="1"/>
  <c r="AH222" i="1"/>
  <c r="AF221" i="1"/>
  <c r="AD218" i="1"/>
  <c r="AH216" i="1"/>
  <c r="AF215" i="1"/>
  <c r="AD214" i="1"/>
  <c r="AD212" i="1"/>
  <c r="AH210" i="1"/>
  <c r="AF209" i="1"/>
  <c r="AF207" i="1"/>
  <c r="AD206" i="1"/>
  <c r="AD204" i="1"/>
  <c r="AH202" i="1"/>
  <c r="AF201" i="1"/>
  <c r="AH198" i="1"/>
  <c r="AF197" i="1"/>
  <c r="AD194" i="1"/>
  <c r="AH192" i="1"/>
  <c r="AH190" i="1"/>
  <c r="AF189" i="1"/>
  <c r="AH186" i="1"/>
  <c r="AF185" i="1"/>
  <c r="AH182" i="1"/>
  <c r="AF181" i="1"/>
  <c r="AD178" i="1"/>
  <c r="AH176" i="1"/>
  <c r="AF175" i="1"/>
  <c r="AD174" i="1"/>
  <c r="AD172" i="1"/>
  <c r="AH170" i="1"/>
  <c r="AF169" i="1"/>
  <c r="AF167" i="1"/>
  <c r="AD166" i="1"/>
  <c r="AD164" i="1"/>
  <c r="AH162" i="1"/>
  <c r="AF161" i="1"/>
  <c r="AF159" i="1"/>
  <c r="AD158" i="1"/>
  <c r="AD156" i="1"/>
  <c r="AH154" i="1"/>
  <c r="AF153" i="1"/>
  <c r="AF151" i="1"/>
  <c r="AF149" i="1"/>
  <c r="AD148" i="1"/>
  <c r="AD146" i="1"/>
  <c r="AH144" i="1"/>
  <c r="AH142" i="1"/>
  <c r="AD142" i="1"/>
  <c r="AD141" i="1"/>
  <c r="AD140" i="1"/>
  <c r="AD138" i="1"/>
  <c r="AH136" i="1"/>
  <c r="AF135" i="1"/>
  <c r="AF133" i="1"/>
  <c r="AD132" i="1"/>
  <c r="AD130" i="1"/>
  <c r="AH128" i="1"/>
  <c r="AF127" i="1"/>
  <c r="AF125" i="1"/>
  <c r="AD124" i="1"/>
  <c r="AD122" i="1"/>
  <c r="AH120" i="1"/>
  <c r="AH118" i="1"/>
  <c r="AD118" i="1"/>
  <c r="AD117" i="1"/>
  <c r="AD116" i="1"/>
  <c r="AD114" i="1"/>
  <c r="AH112" i="1"/>
  <c r="AF111" i="1"/>
  <c r="AF109" i="1"/>
  <c r="AD108" i="1"/>
  <c r="AD106" i="1"/>
  <c r="AH104" i="1"/>
  <c r="AF103" i="1"/>
  <c r="AF101" i="1"/>
  <c r="AF99" i="1"/>
  <c r="AH98" i="1"/>
  <c r="AH97" i="1"/>
  <c r="AF97" i="1"/>
  <c r="AF95" i="1"/>
  <c r="AF93" i="1"/>
  <c r="AF91" i="1"/>
  <c r="AH90" i="1"/>
  <c r="AH89" i="1"/>
  <c r="AF89" i="1"/>
  <c r="AF87" i="1"/>
  <c r="AD86" i="1"/>
  <c r="AH84" i="1"/>
  <c r="AF83" i="1"/>
  <c r="AD82" i="1"/>
  <c r="AH80" i="1"/>
  <c r="AF79" i="1"/>
  <c r="AD78" i="1"/>
  <c r="AD77" i="1"/>
  <c r="AH76" i="1"/>
  <c r="AF75" i="1"/>
  <c r="AF73" i="1"/>
  <c r="AD72" i="1"/>
  <c r="AD70" i="1"/>
  <c r="AH68" i="1"/>
  <c r="AF67" i="1"/>
  <c r="AD66" i="1"/>
  <c r="AH64" i="1"/>
  <c r="AF63" i="1"/>
  <c r="AD62" i="1"/>
  <c r="AD61" i="1"/>
  <c r="AH60" i="1"/>
  <c r="AF59" i="1"/>
  <c r="AH56" i="1"/>
  <c r="AF55" i="1"/>
  <c r="AD54" i="1"/>
  <c r="AH52" i="1"/>
  <c r="AF51" i="1"/>
  <c r="AD50" i="1"/>
  <c r="AH48" i="1"/>
  <c r="AF47" i="1"/>
  <c r="AD46" i="1"/>
  <c r="AD45" i="1"/>
  <c r="AH44" i="1"/>
  <c r="AF43" i="1"/>
  <c r="AF41" i="1"/>
  <c r="AD40" i="1"/>
  <c r="AD38" i="1"/>
  <c r="AH36" i="1"/>
  <c r="AF35" i="1"/>
  <c r="AH34" i="1"/>
  <c r="AH33" i="1"/>
  <c r="AF33" i="1"/>
  <c r="AF32" i="1"/>
  <c r="AD32" i="1"/>
  <c r="AH30" i="1"/>
  <c r="AH28" i="1"/>
  <c r="AH26" i="1"/>
  <c r="AD26" i="1"/>
  <c r="AF25" i="1"/>
  <c r="AD24" i="1"/>
  <c r="AH22" i="1"/>
  <c r="AH18" i="1"/>
  <c r="AF17" i="1"/>
  <c r="AD16" i="1"/>
  <c r="AF15" i="1"/>
  <c r="AF14" i="1"/>
  <c r="AD14" i="1"/>
  <c r="AH12" i="1"/>
  <c r="AF11" i="1"/>
  <c r="AD10" i="1"/>
  <c r="AH6" i="1"/>
  <c r="AF26" i="1"/>
  <c r="AF10" i="1"/>
  <c r="AH8" i="1"/>
  <c r="AC270" i="1"/>
  <c r="AD261" i="1"/>
  <c r="AG250" i="1"/>
  <c r="AH241" i="1"/>
  <c r="AC238" i="1"/>
  <c r="AD229" i="1"/>
  <c r="AG218" i="1"/>
  <c r="AD213" i="1"/>
  <c r="AC206" i="1"/>
  <c r="AD197" i="1"/>
  <c r="AG186" i="1"/>
  <c r="AD181" i="1"/>
  <c r="AC174" i="1"/>
  <c r="AD165" i="1"/>
  <c r="AH161" i="1"/>
  <c r="AC158" i="1"/>
  <c r="AF72" i="1"/>
  <c r="AG286" i="1"/>
  <c r="AE283" i="1"/>
  <c r="AC282" i="1"/>
  <c r="AG278" i="1"/>
  <c r="AE275" i="1"/>
  <c r="AC274" i="1"/>
  <c r="AG270" i="1"/>
  <c r="AE267" i="1"/>
  <c r="AC266" i="1"/>
  <c r="AG262" i="1"/>
  <c r="AE259" i="1"/>
  <c r="AC258" i="1"/>
  <c r="AG254" i="1"/>
  <c r="AE251" i="1"/>
  <c r="AC250" i="1"/>
  <c r="AG246" i="1"/>
  <c r="AE243" i="1"/>
  <c r="AC242" i="1"/>
  <c r="AG238" i="1"/>
  <c r="AE235" i="1"/>
  <c r="AC234" i="1"/>
  <c r="AG230" i="1"/>
  <c r="AE227" i="1"/>
  <c r="AC226" i="1"/>
  <c r="AG222" i="1"/>
  <c r="AE219" i="1"/>
  <c r="AC218" i="1"/>
  <c r="AG214" i="1"/>
  <c r="AE211" i="1"/>
  <c r="AC210" i="1"/>
  <c r="AG206" i="1"/>
  <c r="AE203" i="1"/>
  <c r="AC202" i="1"/>
  <c r="AG198" i="1"/>
  <c r="AE195" i="1"/>
  <c r="AC194" i="1"/>
  <c r="AG190" i="1"/>
  <c r="AE187" i="1"/>
  <c r="AC186" i="1"/>
  <c r="AG182" i="1"/>
  <c r="AE179" i="1"/>
  <c r="AC178" i="1"/>
  <c r="AG174" i="1"/>
  <c r="AE171" i="1"/>
  <c r="AC170" i="1"/>
  <c r="AG166" i="1"/>
  <c r="AE163" i="1"/>
  <c r="AC162" i="1"/>
  <c r="AG158" i="1"/>
  <c r="AE155" i="1"/>
  <c r="AC154" i="1"/>
  <c r="AG150" i="1"/>
  <c r="AE147" i="1"/>
  <c r="AC146" i="1"/>
  <c r="AG142" i="1"/>
  <c r="AE139" i="1"/>
  <c r="AC138" i="1"/>
  <c r="AG134" i="1"/>
  <c r="AE131" i="1"/>
  <c r="AC130" i="1"/>
  <c r="AG126" i="1"/>
  <c r="AE123" i="1"/>
  <c r="AC122" i="1"/>
  <c r="AG118" i="1"/>
  <c r="AE115" i="1"/>
  <c r="AC114" i="1"/>
  <c r="AG110" i="1"/>
  <c r="AE107" i="1"/>
  <c r="AC106" i="1"/>
  <c r="AG102" i="1"/>
  <c r="AE99" i="1"/>
  <c r="AC98" i="1"/>
  <c r="AG94" i="1"/>
  <c r="AE91" i="1"/>
  <c r="AC90" i="1"/>
  <c r="AC78" i="1"/>
  <c r="AG74" i="1"/>
  <c r="AE73" i="1"/>
  <c r="AC62" i="1"/>
  <c r="AG58" i="1"/>
  <c r="AE57" i="1"/>
  <c r="AC46" i="1"/>
  <c r="AG42" i="1"/>
  <c r="AE41" i="1"/>
  <c r="AH27" i="1"/>
  <c r="AD15" i="1"/>
  <c r="AH11" i="1"/>
  <c r="AF278" i="1"/>
  <c r="AE271" i="1"/>
  <c r="AF262" i="1"/>
  <c r="AE255" i="1"/>
  <c r="AF246" i="1"/>
  <c r="AE239" i="1"/>
  <c r="AF230" i="1"/>
  <c r="AE223" i="1"/>
  <c r="AF214" i="1"/>
  <c r="AE207" i="1"/>
  <c r="AF198" i="1"/>
  <c r="AE191" i="1"/>
  <c r="AF182" i="1"/>
  <c r="AE175" i="1"/>
  <c r="AF166" i="1"/>
  <c r="AE159" i="1"/>
  <c r="AF150" i="1"/>
  <c r="AE143" i="1"/>
  <c r="AF118" i="1"/>
  <c r="AE111" i="1"/>
  <c r="AF56" i="1"/>
  <c r="AE49" i="1"/>
  <c r="AF284" i="1"/>
  <c r="AH283" i="1"/>
  <c r="AD283" i="1"/>
  <c r="AF280" i="1"/>
  <c r="AH279" i="1"/>
  <c r="AD279" i="1"/>
  <c r="AF276" i="1"/>
  <c r="AH275" i="1"/>
  <c r="AD275" i="1"/>
  <c r="AF272" i="1"/>
  <c r="AH271" i="1"/>
  <c r="AD271" i="1"/>
  <c r="AF268" i="1"/>
  <c r="AH267" i="1"/>
  <c r="AD267" i="1"/>
  <c r="AF264" i="1"/>
  <c r="AH263" i="1"/>
  <c r="AD263" i="1"/>
  <c r="AF260" i="1"/>
  <c r="AH259" i="1"/>
  <c r="AD259" i="1"/>
  <c r="AF256" i="1"/>
  <c r="AH255" i="1"/>
  <c r="AD255" i="1"/>
  <c r="AF252" i="1"/>
  <c r="AH251" i="1"/>
  <c r="AD251" i="1"/>
  <c r="AF248" i="1"/>
  <c r="AH247" i="1"/>
  <c r="AD247" i="1"/>
  <c r="AF244" i="1"/>
  <c r="AH243" i="1"/>
  <c r="AD243" i="1"/>
  <c r="AF240" i="1"/>
  <c r="AH239" i="1"/>
  <c r="AD239" i="1"/>
  <c r="AF236" i="1"/>
  <c r="AH235" i="1"/>
  <c r="AD235" i="1"/>
  <c r="AF232" i="1"/>
  <c r="AH231" i="1"/>
  <c r="AD231" i="1"/>
  <c r="AF228" i="1"/>
  <c r="AH227" i="1"/>
  <c r="AD227" i="1"/>
  <c r="AF224" i="1"/>
  <c r="AH223" i="1"/>
  <c r="AD223" i="1"/>
  <c r="AF220" i="1"/>
  <c r="AH219" i="1"/>
  <c r="AD219" i="1"/>
  <c r="AF216" i="1"/>
  <c r="AH215" i="1"/>
  <c r="AD215" i="1"/>
  <c r="AF212" i="1"/>
  <c r="AH211" i="1"/>
  <c r="AD211" i="1"/>
  <c r="AF208" i="1"/>
  <c r="AH207" i="1"/>
  <c r="AD207" i="1"/>
  <c r="AF204" i="1"/>
  <c r="AH203" i="1"/>
  <c r="AD203" i="1"/>
  <c r="AF200" i="1"/>
  <c r="AH199" i="1"/>
  <c r="AD199" i="1"/>
  <c r="AF196" i="1"/>
  <c r="AH195" i="1"/>
  <c r="AD195" i="1"/>
  <c r="AF192" i="1"/>
  <c r="AH191" i="1"/>
  <c r="AD191" i="1"/>
  <c r="AF188" i="1"/>
  <c r="AH187" i="1"/>
  <c r="AD187" i="1"/>
  <c r="AF184" i="1"/>
  <c r="AH183" i="1"/>
  <c r="AD183" i="1"/>
  <c r="AF180" i="1"/>
  <c r="AH179" i="1"/>
  <c r="AD179" i="1"/>
  <c r="AF176" i="1"/>
  <c r="AH175" i="1"/>
  <c r="AD175" i="1"/>
  <c r="AF172" i="1"/>
  <c r="AH171" i="1"/>
  <c r="AD171" i="1"/>
  <c r="AF168" i="1"/>
  <c r="AH167" i="1"/>
  <c r="AD167" i="1"/>
  <c r="AF164" i="1"/>
  <c r="AH163" i="1"/>
  <c r="AD163" i="1"/>
  <c r="AF160" i="1"/>
  <c r="AH159" i="1"/>
  <c r="AD159" i="1"/>
  <c r="AF156" i="1"/>
  <c r="AH155" i="1"/>
  <c r="AD155" i="1"/>
  <c r="AF152" i="1"/>
  <c r="AH151" i="1"/>
  <c r="AD151" i="1"/>
  <c r="AF148" i="1"/>
  <c r="AH147" i="1"/>
  <c r="AD147" i="1"/>
  <c r="AF144" i="1"/>
  <c r="AH143" i="1"/>
  <c r="AD143" i="1"/>
  <c r="AF140" i="1"/>
  <c r="AH139" i="1"/>
  <c r="AD139" i="1"/>
  <c r="AF136" i="1"/>
  <c r="AH135" i="1"/>
  <c r="AD135" i="1"/>
  <c r="AF132" i="1"/>
  <c r="AH131" i="1"/>
  <c r="AD131" i="1"/>
  <c r="AF128" i="1"/>
  <c r="AH127" i="1"/>
  <c r="AD127" i="1"/>
  <c r="AF124" i="1"/>
  <c r="AH123" i="1"/>
  <c r="AD123" i="1"/>
  <c r="AF120" i="1"/>
  <c r="AH119" i="1"/>
  <c r="AD119" i="1"/>
  <c r="AF116" i="1"/>
  <c r="AH115" i="1"/>
  <c r="AD115" i="1"/>
  <c r="AF112" i="1"/>
  <c r="AH111" i="1"/>
  <c r="AD111" i="1"/>
  <c r="AF108" i="1"/>
  <c r="AH107" i="1"/>
  <c r="AD107" i="1"/>
  <c r="AF104" i="1"/>
  <c r="AH103" i="1"/>
  <c r="AD103" i="1"/>
  <c r="AF100" i="1"/>
  <c r="AH99" i="1"/>
  <c r="AD99" i="1"/>
  <c r="AF96" i="1"/>
  <c r="AH95" i="1"/>
  <c r="AD95" i="1"/>
  <c r="AF92" i="1"/>
  <c r="AH91" i="1"/>
  <c r="AD91" i="1"/>
  <c r="AF88" i="1"/>
  <c r="AH87" i="1"/>
  <c r="AD87" i="1"/>
  <c r="AF86" i="1"/>
  <c r="AH85" i="1"/>
  <c r="AF84" i="1"/>
  <c r="AH83" i="1"/>
  <c r="AD83" i="1"/>
  <c r="AF82" i="1"/>
  <c r="AD81" i="1"/>
  <c r="AH79" i="1"/>
  <c r="AD79" i="1"/>
  <c r="AF78" i="1"/>
  <c r="AH77" i="1"/>
  <c r="AF76" i="1"/>
  <c r="AH75" i="1"/>
  <c r="AD75" i="1"/>
  <c r="AF74" i="1"/>
  <c r="AD73" i="1"/>
  <c r="AH71" i="1"/>
  <c r="AD71" i="1"/>
  <c r="AF70" i="1"/>
  <c r="AH69" i="1"/>
  <c r="AF68" i="1"/>
  <c r="AH67" i="1"/>
  <c r="AD67" i="1"/>
  <c r="AF66" i="1"/>
  <c r="AD65" i="1"/>
  <c r="AH63" i="1"/>
  <c r="AD63" i="1"/>
  <c r="AF62" i="1"/>
  <c r="AH61" i="1"/>
  <c r="AF60" i="1"/>
  <c r="AH59" i="1"/>
  <c r="AD59" i="1"/>
  <c r="AF58" i="1"/>
  <c r="AD57" i="1"/>
  <c r="AH55" i="1"/>
  <c r="AD55" i="1"/>
  <c r="AF54" i="1"/>
  <c r="AH53" i="1"/>
  <c r="AF52" i="1"/>
  <c r="AH51" i="1"/>
  <c r="AD51" i="1"/>
  <c r="AF50" i="1"/>
  <c r="AD49" i="1"/>
  <c r="AH47" i="1"/>
  <c r="AD47" i="1"/>
  <c r="AF46" i="1"/>
  <c r="AH45" i="1"/>
  <c r="AF44" i="1"/>
  <c r="AH43" i="1"/>
  <c r="AD43" i="1"/>
  <c r="AF42" i="1"/>
  <c r="AD41" i="1"/>
  <c r="AH39" i="1"/>
  <c r="AD39" i="1"/>
  <c r="AF38" i="1"/>
  <c r="AH37" i="1"/>
  <c r="AF36" i="1"/>
  <c r="AD33" i="1"/>
  <c r="AH29" i="1"/>
  <c r="AD29" i="1"/>
  <c r="AF28" i="1"/>
  <c r="AH25" i="1"/>
  <c r="AD25" i="1"/>
  <c r="AF24" i="1"/>
  <c r="AH21" i="1"/>
  <c r="AD21" i="1"/>
  <c r="AF20" i="1"/>
  <c r="AH17" i="1"/>
  <c r="AD17" i="1"/>
  <c r="AF16" i="1"/>
  <c r="AH13" i="1"/>
  <c r="AD13" i="1"/>
  <c r="AF12" i="1"/>
  <c r="AH9" i="1"/>
  <c r="AD9" i="1"/>
  <c r="AF8" i="1"/>
  <c r="AD6" i="1"/>
  <c r="AE285" i="1"/>
  <c r="AG284" i="1"/>
  <c r="AC284" i="1"/>
  <c r="AE281" i="1"/>
  <c r="AG280" i="1"/>
  <c r="AC280" i="1"/>
  <c r="AE277" i="1"/>
  <c r="AG276" i="1"/>
  <c r="AC276" i="1"/>
  <c r="AE273" i="1"/>
  <c r="AG272" i="1"/>
  <c r="AC272" i="1"/>
  <c r="AE269" i="1"/>
  <c r="AG268" i="1"/>
  <c r="AC268" i="1"/>
  <c r="AE265" i="1"/>
  <c r="AG264" i="1"/>
  <c r="AC264" i="1"/>
  <c r="AE261" i="1"/>
  <c r="AG260" i="1"/>
  <c r="AC260" i="1"/>
  <c r="AE257" i="1"/>
  <c r="AG256" i="1"/>
  <c r="AC256" i="1"/>
  <c r="AE253" i="1"/>
  <c r="AG252" i="1"/>
  <c r="AC252" i="1"/>
  <c r="AE249" i="1"/>
  <c r="AG248" i="1"/>
  <c r="AC248" i="1"/>
  <c r="AE245" i="1"/>
  <c r="AG244" i="1"/>
  <c r="AC244" i="1"/>
  <c r="AE241" i="1"/>
  <c r="AG240" i="1"/>
  <c r="AC240" i="1"/>
  <c r="AE237" i="1"/>
  <c r="AG236" i="1"/>
  <c r="AC236" i="1"/>
  <c r="AE233" i="1"/>
  <c r="AG232" i="1"/>
  <c r="AC232" i="1"/>
  <c r="AE229" i="1"/>
  <c r="AG228" i="1"/>
  <c r="AC228" i="1"/>
  <c r="AE225" i="1"/>
  <c r="AG224" i="1"/>
  <c r="AC224" i="1"/>
  <c r="AE221" i="1"/>
  <c r="AG220" i="1"/>
  <c r="AC220" i="1"/>
  <c r="AE217" i="1"/>
  <c r="AG216" i="1"/>
  <c r="AC216" i="1"/>
  <c r="AE213" i="1"/>
  <c r="AG212" i="1"/>
  <c r="AC212" i="1"/>
  <c r="AE209" i="1"/>
  <c r="AG208" i="1"/>
  <c r="AC208" i="1"/>
  <c r="AE205" i="1"/>
  <c r="AG204" i="1"/>
  <c r="AC204" i="1"/>
  <c r="AE201" i="1"/>
  <c r="AG200" i="1"/>
  <c r="AC200" i="1"/>
  <c r="AE197" i="1"/>
  <c r="AG196" i="1"/>
  <c r="AC196" i="1"/>
  <c r="AE193" i="1"/>
  <c r="AG192" i="1"/>
  <c r="AC192" i="1"/>
  <c r="AE189" i="1"/>
  <c r="AG188" i="1"/>
  <c r="AC188" i="1"/>
  <c r="AE185" i="1"/>
  <c r="AG184" i="1"/>
  <c r="AC184" i="1"/>
  <c r="AE181" i="1"/>
  <c r="AG180" i="1"/>
  <c r="AC180" i="1"/>
  <c r="AE177" i="1"/>
  <c r="AG176" i="1"/>
  <c r="AC176" i="1"/>
  <c r="AE173" i="1"/>
  <c r="AG172" i="1"/>
  <c r="AC172" i="1"/>
  <c r="AE169" i="1"/>
  <c r="AG168" i="1"/>
  <c r="AC168" i="1"/>
  <c r="AE165" i="1"/>
  <c r="AG164" i="1"/>
  <c r="AC164" i="1"/>
  <c r="AE161" i="1"/>
  <c r="AG160" i="1"/>
  <c r="AC160" i="1"/>
  <c r="AE157" i="1"/>
  <c r="AG156" i="1"/>
  <c r="AC156" i="1"/>
  <c r="AE153" i="1"/>
  <c r="AG152" i="1"/>
  <c r="AC152" i="1"/>
  <c r="AE149" i="1"/>
  <c r="AG148" i="1"/>
  <c r="AC148" i="1"/>
  <c r="AE145" i="1"/>
  <c r="AG144" i="1"/>
  <c r="AC144" i="1"/>
  <c r="AE141" i="1"/>
  <c r="AG140" i="1"/>
  <c r="AC140" i="1"/>
  <c r="AE137" i="1"/>
  <c r="AG136" i="1"/>
  <c r="AC136" i="1"/>
  <c r="AE133" i="1"/>
  <c r="AG132" i="1"/>
  <c r="AC132" i="1"/>
  <c r="AE129" i="1"/>
  <c r="AG128" i="1"/>
  <c r="AC128" i="1"/>
  <c r="AE125" i="1"/>
  <c r="AG124" i="1"/>
  <c r="AC124" i="1"/>
  <c r="AE121" i="1"/>
  <c r="AG120" i="1"/>
  <c r="AC120" i="1"/>
  <c r="AE117" i="1"/>
  <c r="AG116" i="1"/>
  <c r="AC116" i="1"/>
  <c r="AE113" i="1"/>
  <c r="AG112" i="1"/>
  <c r="AC112" i="1"/>
  <c r="AE109" i="1"/>
  <c r="AG108" i="1"/>
  <c r="AC108" i="1"/>
  <c r="AE105" i="1"/>
  <c r="AG104" i="1"/>
  <c r="AC104" i="1"/>
  <c r="AE101" i="1"/>
  <c r="AG100" i="1"/>
  <c r="AC100" i="1"/>
  <c r="AE97" i="1"/>
  <c r="AG96" i="1"/>
  <c r="AC96" i="1"/>
  <c r="AE93" i="1"/>
  <c r="AG92" i="1"/>
  <c r="AC92" i="1"/>
  <c r="AE89" i="1"/>
  <c r="AG88" i="1"/>
  <c r="AC88" i="1"/>
  <c r="AE87" i="1"/>
  <c r="AG86" i="1"/>
  <c r="AE85" i="1"/>
  <c r="AG84" i="1"/>
  <c r="AC84" i="1"/>
  <c r="AE83" i="1"/>
  <c r="AC82" i="1"/>
  <c r="AG80" i="1"/>
  <c r="AC80" i="1"/>
  <c r="AE79" i="1"/>
  <c r="AG78" i="1"/>
  <c r="AE77" i="1"/>
  <c r="AG76" i="1"/>
  <c r="AC76" i="1"/>
  <c r="AE75" i="1"/>
  <c r="AC74" i="1"/>
  <c r="AG72" i="1"/>
  <c r="AC72" i="1"/>
  <c r="AE71" i="1"/>
  <c r="AG70" i="1"/>
  <c r="AE69" i="1"/>
  <c r="AG68" i="1"/>
  <c r="AC68" i="1"/>
  <c r="AE67" i="1"/>
  <c r="AC66" i="1"/>
  <c r="AG64" i="1"/>
  <c r="AC64" i="1"/>
  <c r="AE63" i="1"/>
  <c r="AG62" i="1"/>
  <c r="AE61" i="1"/>
  <c r="AG60" i="1"/>
  <c r="AC60" i="1"/>
  <c r="AE59" i="1"/>
  <c r="AC58" i="1"/>
  <c r="AG56" i="1"/>
  <c r="AC56" i="1"/>
  <c r="AE55" i="1"/>
  <c r="AG54" i="1"/>
  <c r="AE53" i="1"/>
  <c r="AG52" i="1"/>
  <c r="AC52" i="1"/>
  <c r="AE51" i="1"/>
  <c r="AC50" i="1"/>
  <c r="AG48" i="1"/>
  <c r="AC48" i="1"/>
  <c r="AE47" i="1"/>
  <c r="AG46" i="1"/>
  <c r="AE45" i="1"/>
  <c r="AG44" i="1"/>
  <c r="AC44" i="1"/>
  <c r="AE43" i="1"/>
  <c r="AC42" i="1"/>
  <c r="AG40" i="1"/>
  <c r="AC40" i="1"/>
  <c r="AE39" i="1"/>
  <c r="AG38" i="1"/>
  <c r="AE37" i="1"/>
  <c r="AG36" i="1"/>
  <c r="AC36" i="1"/>
  <c r="AE35" i="1"/>
  <c r="AC34" i="1"/>
  <c r="AG32" i="1"/>
  <c r="AC32" i="1"/>
  <c r="AE31" i="1"/>
  <c r="AG30" i="1"/>
  <c r="AC30" i="1"/>
  <c r="AE29" i="1"/>
  <c r="AG26" i="1"/>
  <c r="AC26" i="1"/>
  <c r="AE25" i="1"/>
  <c r="AG22" i="1"/>
  <c r="AC22" i="1"/>
  <c r="AE21" i="1"/>
  <c r="AG18" i="1"/>
  <c r="AC18" i="1"/>
  <c r="AE17" i="1"/>
  <c r="AG14" i="1"/>
  <c r="AC14" i="1"/>
  <c r="AE13" i="1"/>
  <c r="AG10" i="1"/>
  <c r="AC10" i="1"/>
  <c r="AE9" i="1"/>
  <c r="AE38" i="1"/>
  <c r="AG37" i="1"/>
  <c r="AC37" i="1"/>
  <c r="AE34" i="1"/>
  <c r="AG33" i="1"/>
  <c r="AC33" i="1"/>
  <c r="AG6" i="1"/>
  <c r="AC6" i="1"/>
  <c r="AH35" i="1"/>
  <c r="AD35" i="1"/>
  <c r="AF34" i="1"/>
  <c r="AH31" i="1"/>
  <c r="AD31" i="1"/>
  <c r="M286" i="1"/>
  <c r="P286" i="1"/>
  <c r="M285" i="1"/>
  <c r="M284" i="1"/>
  <c r="M283" i="1"/>
  <c r="M282" i="1"/>
  <c r="R282" i="1"/>
  <c r="M281" i="1"/>
  <c r="R281" i="1"/>
  <c r="M280" i="1"/>
  <c r="M279" i="1"/>
  <c r="M278" i="1"/>
  <c r="R278" i="1"/>
  <c r="M277" i="1"/>
  <c r="R277" i="1"/>
  <c r="M276" i="1"/>
  <c r="M275" i="1"/>
  <c r="M274" i="1"/>
  <c r="R274" i="1"/>
  <c r="M273" i="1"/>
  <c r="R273" i="1"/>
  <c r="M272" i="1"/>
  <c r="M271" i="1"/>
  <c r="M270" i="1"/>
  <c r="R270" i="1"/>
  <c r="M269" i="1"/>
  <c r="R269" i="1"/>
  <c r="M268" i="1"/>
  <c r="M267" i="1"/>
  <c r="M266" i="1"/>
  <c r="R266" i="1"/>
  <c r="M265" i="1"/>
  <c r="R265" i="1"/>
  <c r="M264" i="1"/>
  <c r="M263" i="1"/>
  <c r="M262" i="1"/>
  <c r="R262" i="1"/>
  <c r="M261" i="1"/>
  <c r="R261" i="1"/>
  <c r="M260" i="1"/>
  <c r="M259" i="1"/>
  <c r="P259" i="1"/>
  <c r="M258" i="1"/>
  <c r="R258" i="1"/>
  <c r="M257" i="1"/>
  <c r="R257" i="1"/>
  <c r="M256" i="1"/>
  <c r="M255" i="1"/>
  <c r="M254" i="1"/>
  <c r="P254" i="1"/>
  <c r="M253" i="1"/>
  <c r="R253" i="1"/>
  <c r="M252" i="1"/>
  <c r="M251" i="1"/>
  <c r="M250" i="1"/>
  <c r="R250" i="1"/>
  <c r="M249" i="1"/>
  <c r="M248" i="1"/>
  <c r="M247" i="1"/>
  <c r="M246" i="1"/>
  <c r="R246" i="1"/>
  <c r="M245" i="1"/>
  <c r="R245" i="1"/>
  <c r="M244" i="1"/>
  <c r="M243" i="1"/>
  <c r="M242" i="1"/>
  <c r="R242" i="1"/>
  <c r="M241" i="1"/>
  <c r="R241" i="1"/>
  <c r="M240" i="1"/>
  <c r="M239" i="1"/>
  <c r="M238" i="1"/>
  <c r="R238" i="1"/>
  <c r="M237" i="1"/>
  <c r="R237" i="1"/>
  <c r="M236" i="1"/>
  <c r="M235" i="1"/>
  <c r="M234" i="1"/>
  <c r="R234" i="1"/>
  <c r="M233" i="1"/>
  <c r="M232" i="1"/>
  <c r="M231" i="1"/>
  <c r="M230" i="1"/>
  <c r="Q230" i="1"/>
  <c r="M229" i="1"/>
  <c r="P229" i="1"/>
  <c r="M228" i="1"/>
  <c r="M227" i="1"/>
  <c r="Q227" i="1"/>
  <c r="M226" i="1"/>
  <c r="R226" i="1"/>
  <c r="M225" i="1"/>
  <c r="M224" i="1"/>
  <c r="M223" i="1"/>
  <c r="M222" i="1"/>
  <c r="R222" i="1"/>
  <c r="M221" i="1"/>
  <c r="M220" i="1"/>
  <c r="M219" i="1"/>
  <c r="Q219" i="1"/>
  <c r="M218" i="1"/>
  <c r="R218" i="1"/>
  <c r="M217" i="1"/>
  <c r="M216" i="1"/>
  <c r="M215" i="1"/>
  <c r="Q215" i="1"/>
  <c r="M214" i="1"/>
  <c r="R214" i="1"/>
  <c r="M213" i="1"/>
  <c r="M212" i="1"/>
  <c r="M211" i="1"/>
  <c r="Q211" i="1"/>
  <c r="M210" i="1"/>
  <c r="R210" i="1"/>
  <c r="M209" i="1"/>
  <c r="M208" i="1"/>
  <c r="M207" i="1"/>
  <c r="Q206" i="1"/>
  <c r="M206" i="1"/>
  <c r="R206" i="1"/>
  <c r="M205" i="1"/>
  <c r="Q205" i="1"/>
  <c r="M204" i="1"/>
  <c r="M203" i="1"/>
  <c r="Q203" i="1"/>
  <c r="M202" i="1"/>
  <c r="R202" i="1"/>
  <c r="M201" i="1"/>
  <c r="M200" i="1"/>
  <c r="M199" i="1"/>
  <c r="Q199" i="1"/>
  <c r="M198" i="1"/>
  <c r="R198" i="1"/>
  <c r="M197" i="1"/>
  <c r="M196" i="1"/>
  <c r="M195" i="1"/>
  <c r="Q195" i="1"/>
  <c r="M194" i="1"/>
  <c r="R194" i="1"/>
  <c r="M193" i="1"/>
  <c r="M192" i="1"/>
  <c r="R192" i="1"/>
  <c r="M191" i="1"/>
  <c r="M190" i="1"/>
  <c r="R190" i="1"/>
  <c r="M189" i="1"/>
  <c r="M188" i="1"/>
  <c r="Q188" i="1"/>
  <c r="M187" i="1"/>
  <c r="Q187" i="1"/>
  <c r="M186" i="1"/>
  <c r="R186" i="1"/>
  <c r="M185" i="1"/>
  <c r="M184" i="1"/>
  <c r="R184" i="1"/>
  <c r="M183" i="1"/>
  <c r="Q183" i="1"/>
  <c r="M182" i="1"/>
  <c r="R182" i="1"/>
  <c r="M181" i="1"/>
  <c r="M180" i="1"/>
  <c r="R180" i="1"/>
  <c r="M179" i="1"/>
  <c r="R179" i="1"/>
  <c r="M178" i="1"/>
  <c r="R178" i="1"/>
  <c r="M177" i="1"/>
  <c r="M176" i="1"/>
  <c r="R176" i="1"/>
  <c r="M175" i="1"/>
  <c r="Q174" i="1"/>
  <c r="M174" i="1"/>
  <c r="R174" i="1"/>
  <c r="M173" i="1"/>
  <c r="M172" i="1"/>
  <c r="R172" i="1"/>
  <c r="M171" i="1"/>
  <c r="Q171" i="1"/>
  <c r="M170" i="1"/>
  <c r="M169" i="1"/>
  <c r="M168" i="1"/>
  <c r="R168" i="1"/>
  <c r="M167" i="1"/>
  <c r="Q167" i="1"/>
  <c r="M166" i="1"/>
  <c r="R166" i="1"/>
  <c r="M165" i="1"/>
  <c r="Q165" i="1"/>
  <c r="M164" i="1"/>
  <c r="R164" i="1"/>
  <c r="M163" i="1"/>
  <c r="Q163" i="1"/>
  <c r="M162" i="1"/>
  <c r="R162" i="1"/>
  <c r="M161" i="1"/>
  <c r="M160" i="1"/>
  <c r="R160" i="1"/>
  <c r="M159" i="1"/>
  <c r="M158" i="1"/>
  <c r="R158" i="1"/>
  <c r="M157" i="1"/>
  <c r="M156" i="1"/>
  <c r="R156" i="1"/>
  <c r="AB158" i="1"/>
  <c r="M155" i="1"/>
  <c r="Q155" i="1"/>
  <c r="M154" i="1"/>
  <c r="R154" i="1"/>
  <c r="M153" i="1"/>
  <c r="R153" i="1"/>
  <c r="AB155" i="1"/>
  <c r="M152" i="1"/>
  <c r="R152" i="1"/>
  <c r="M151" i="1"/>
  <c r="Q151" i="1"/>
  <c r="M150" i="1"/>
  <c r="R150" i="1"/>
  <c r="M149" i="1"/>
  <c r="M148" i="1"/>
  <c r="R148" i="1"/>
  <c r="M147" i="1"/>
  <c r="M146" i="1"/>
  <c r="M145" i="1"/>
  <c r="M144" i="1"/>
  <c r="R144" i="1"/>
  <c r="M143" i="1"/>
  <c r="Q143" i="1"/>
  <c r="P142" i="1"/>
  <c r="M142" i="1"/>
  <c r="M141" i="1"/>
  <c r="M140" i="1"/>
  <c r="R140" i="1"/>
  <c r="Q139" i="1"/>
  <c r="M139" i="1"/>
  <c r="M138" i="1"/>
  <c r="R138" i="1"/>
  <c r="M137" i="1"/>
  <c r="M136" i="1"/>
  <c r="R136" i="1"/>
  <c r="M135" i="1"/>
  <c r="Q135" i="1"/>
  <c r="M134" i="1"/>
  <c r="R134" i="1"/>
  <c r="M133" i="1"/>
  <c r="Q133" i="1"/>
  <c r="M132" i="1"/>
  <c r="M131" i="1"/>
  <c r="P131" i="1"/>
  <c r="M130" i="1"/>
  <c r="P130" i="1"/>
  <c r="M129" i="1"/>
  <c r="Q129" i="1"/>
  <c r="M128" i="1"/>
  <c r="M127" i="1"/>
  <c r="P127" i="1"/>
  <c r="M126" i="1"/>
  <c r="P126" i="1"/>
  <c r="M125" i="1"/>
  <c r="P125" i="1"/>
  <c r="M124" i="1"/>
  <c r="Q124" i="1"/>
  <c r="M123" i="1"/>
  <c r="P123" i="1"/>
  <c r="M122" i="1"/>
  <c r="Q122" i="1"/>
  <c r="M121" i="1"/>
  <c r="Q121" i="1"/>
  <c r="M120" i="1"/>
  <c r="Q120" i="1"/>
  <c r="AA122" i="1"/>
  <c r="M119" i="1"/>
  <c r="P119" i="1"/>
  <c r="M118" i="1"/>
  <c r="Q118" i="1"/>
  <c r="M117" i="1"/>
  <c r="P117" i="1"/>
  <c r="M116" i="1"/>
  <c r="Q116" i="1"/>
  <c r="M115" i="1"/>
  <c r="Q115" i="1"/>
  <c r="M114" i="1"/>
  <c r="P114" i="1"/>
  <c r="M113" i="1"/>
  <c r="Q113" i="1"/>
  <c r="M112" i="1"/>
  <c r="Q112" i="1"/>
  <c r="M111" i="1"/>
  <c r="Q111" i="1"/>
  <c r="M110" i="1"/>
  <c r="P110" i="1"/>
  <c r="M109" i="1"/>
  <c r="Q109" i="1"/>
  <c r="M108" i="1"/>
  <c r="Q108" i="1"/>
  <c r="M107" i="1"/>
  <c r="Q107" i="1"/>
  <c r="M106" i="1"/>
  <c r="P106" i="1"/>
  <c r="M105" i="1"/>
  <c r="P105" i="1"/>
  <c r="M104" i="1"/>
  <c r="Q104" i="1"/>
  <c r="M103" i="1"/>
  <c r="Q103" i="1"/>
  <c r="M102" i="1"/>
  <c r="P102" i="1"/>
  <c r="M101" i="1"/>
  <c r="P101" i="1"/>
  <c r="M100" i="1"/>
  <c r="Q100" i="1"/>
  <c r="M99" i="1"/>
  <c r="Q99" i="1"/>
  <c r="AA101" i="1"/>
  <c r="M98" i="1"/>
  <c r="P98" i="1"/>
  <c r="M97" i="1"/>
  <c r="P97" i="1"/>
  <c r="M96" i="1"/>
  <c r="Q96" i="1"/>
  <c r="M95" i="1"/>
  <c r="Q95" i="1"/>
  <c r="M94" i="1"/>
  <c r="P94" i="1"/>
  <c r="M93" i="1"/>
  <c r="P93" i="1"/>
  <c r="M92" i="1"/>
  <c r="Q92" i="1"/>
  <c r="M91" i="1"/>
  <c r="Q91" i="1"/>
  <c r="M90" i="1"/>
  <c r="P90" i="1"/>
  <c r="M89" i="1"/>
  <c r="P89" i="1"/>
  <c r="M88" i="1"/>
  <c r="Q88" i="1"/>
  <c r="M87" i="1"/>
  <c r="Q87" i="1"/>
  <c r="M86" i="1"/>
  <c r="P86" i="1"/>
  <c r="M85" i="1"/>
  <c r="P85" i="1"/>
  <c r="M84" i="1"/>
  <c r="Q84" i="1"/>
  <c r="M83" i="1"/>
  <c r="Q83" i="1"/>
  <c r="M82" i="1"/>
  <c r="P82" i="1"/>
  <c r="M81" i="1"/>
  <c r="P81" i="1"/>
  <c r="M80" i="1"/>
  <c r="Q80" i="1"/>
  <c r="M79" i="1"/>
  <c r="Q79" i="1"/>
  <c r="M78" i="1"/>
  <c r="P78" i="1"/>
  <c r="M77" i="1"/>
  <c r="P77" i="1"/>
  <c r="M76" i="1"/>
  <c r="P76" i="1"/>
  <c r="Z78" i="1"/>
  <c r="M75" i="1"/>
  <c r="Q75" i="1"/>
  <c r="M74" i="1"/>
  <c r="P74" i="1"/>
  <c r="M73" i="1"/>
  <c r="P73" i="1"/>
  <c r="M72" i="1"/>
  <c r="P72" i="1"/>
  <c r="Z74" i="1"/>
  <c r="M71" i="1"/>
  <c r="Q71" i="1"/>
  <c r="M70" i="1"/>
  <c r="P70" i="1"/>
  <c r="M69" i="1"/>
  <c r="P69" i="1"/>
  <c r="M68" i="1"/>
  <c r="P68" i="1"/>
  <c r="M67" i="1"/>
  <c r="Q67" i="1"/>
  <c r="M66" i="1"/>
  <c r="P66" i="1"/>
  <c r="M65" i="1"/>
  <c r="P65" i="1"/>
  <c r="M64" i="1"/>
  <c r="P64" i="1"/>
  <c r="M63" i="1"/>
  <c r="Q63" i="1"/>
  <c r="M62" i="1"/>
  <c r="P62" i="1"/>
  <c r="M61" i="1"/>
  <c r="P61" i="1"/>
  <c r="M60" i="1"/>
  <c r="P60" i="1"/>
  <c r="P59" i="1"/>
  <c r="M59" i="1"/>
  <c r="Q59" i="1"/>
  <c r="M58" i="1"/>
  <c r="P58" i="1"/>
  <c r="M57" i="1"/>
  <c r="P57" i="1"/>
  <c r="M56" i="1"/>
  <c r="M55" i="1"/>
  <c r="Q55" i="1"/>
  <c r="M54" i="1"/>
  <c r="P54" i="1"/>
  <c r="M53" i="1"/>
  <c r="P53" i="1"/>
  <c r="M52" i="1"/>
  <c r="P52" i="1"/>
  <c r="Z54" i="1"/>
  <c r="M51" i="1"/>
  <c r="Q51" i="1"/>
  <c r="M50" i="1"/>
  <c r="P50" i="1"/>
  <c r="M49" i="1"/>
  <c r="P49" i="1"/>
  <c r="M48" i="1"/>
  <c r="P48" i="1"/>
  <c r="Z50" i="1"/>
  <c r="M47" i="1"/>
  <c r="Q47" i="1"/>
  <c r="M46" i="1"/>
  <c r="P46" i="1"/>
  <c r="M45" i="1"/>
  <c r="M44" i="1"/>
  <c r="P44" i="1"/>
  <c r="M43" i="1"/>
  <c r="Q43" i="1"/>
  <c r="M42" i="1"/>
  <c r="P42" i="1"/>
  <c r="M41" i="1"/>
  <c r="M40" i="1"/>
  <c r="P40" i="1"/>
  <c r="M39" i="1"/>
  <c r="Q39" i="1"/>
  <c r="M38" i="1"/>
  <c r="P38" i="1"/>
  <c r="M37" i="1"/>
  <c r="P37" i="1"/>
  <c r="M36" i="1"/>
  <c r="P36" i="1"/>
  <c r="M35" i="1"/>
  <c r="Q35" i="1"/>
  <c r="M34" i="1"/>
  <c r="P34" i="1"/>
  <c r="M33" i="1"/>
  <c r="P33" i="1"/>
  <c r="M32" i="1"/>
  <c r="Q32" i="1"/>
  <c r="M31" i="1"/>
  <c r="Q31" i="1"/>
  <c r="AA32" i="1"/>
  <c r="M30" i="1"/>
  <c r="P30" i="1"/>
  <c r="M29" i="1"/>
  <c r="P29" i="1"/>
  <c r="M28" i="1"/>
  <c r="P28" i="1"/>
  <c r="M27" i="1"/>
  <c r="Q27" i="1"/>
  <c r="M26" i="1"/>
  <c r="P26" i="1"/>
  <c r="M25" i="1"/>
  <c r="P25" i="1"/>
  <c r="Z25" i="1"/>
  <c r="M24" i="1"/>
  <c r="P24" i="1"/>
  <c r="M23" i="1"/>
  <c r="Q23" i="1"/>
  <c r="M22" i="1"/>
  <c r="P22" i="1"/>
  <c r="M21" i="1"/>
  <c r="P21" i="1"/>
  <c r="M20" i="1"/>
  <c r="P20" i="1"/>
  <c r="Z22" i="1"/>
  <c r="M19" i="1"/>
  <c r="Q19" i="1"/>
  <c r="AA19" i="1"/>
  <c r="M18" i="1"/>
  <c r="P18" i="1"/>
  <c r="M17" i="1"/>
  <c r="P17" i="1"/>
  <c r="M16" i="1"/>
  <c r="P16" i="1"/>
  <c r="M15" i="1"/>
  <c r="Q15" i="1"/>
  <c r="AA16" i="1"/>
  <c r="M14" i="1"/>
  <c r="P14" i="1"/>
  <c r="M13" i="1"/>
  <c r="Q13" i="1"/>
  <c r="M12" i="1"/>
  <c r="Q12" i="1"/>
  <c r="AA14" i="1"/>
  <c r="M11" i="1"/>
  <c r="Q11" i="1"/>
  <c r="AA12" i="1"/>
  <c r="M10" i="1"/>
  <c r="P10" i="1"/>
  <c r="M9" i="1"/>
  <c r="Q9" i="1"/>
  <c r="M8" i="1"/>
  <c r="Q8" i="1"/>
  <c r="M7" i="1"/>
  <c r="Q7" i="1"/>
  <c r="AA9" i="1"/>
  <c r="M6" i="1"/>
  <c r="P6" i="1"/>
  <c r="M5" i="1"/>
  <c r="Q5" i="1"/>
  <c r="M4" i="1"/>
  <c r="P4" i="1"/>
  <c r="Q3" i="1"/>
  <c r="P39" i="1"/>
  <c r="P166" i="1"/>
  <c r="P206" i="1"/>
  <c r="P242" i="1"/>
  <c r="P79" i="1"/>
  <c r="P218" i="1"/>
  <c r="P258" i="1"/>
  <c r="AA13" i="1"/>
  <c r="P103" i="1"/>
  <c r="AA109" i="1"/>
  <c r="Q126" i="1"/>
  <c r="P198" i="1"/>
  <c r="Z198" i="1"/>
  <c r="Q218" i="1"/>
  <c r="P274" i="1"/>
  <c r="P23" i="1"/>
  <c r="P63" i="1"/>
  <c r="P87" i="1"/>
  <c r="Z103" i="1"/>
  <c r="Z127" i="1"/>
  <c r="P154" i="1"/>
  <c r="P190" i="1"/>
  <c r="Z24" i="1"/>
  <c r="P31" i="1"/>
  <c r="P55" i="1"/>
  <c r="P75" i="1"/>
  <c r="P95" i="1"/>
  <c r="Z95" i="1"/>
  <c r="Q130" i="1"/>
  <c r="AA132" i="1"/>
  <c r="Q146" i="1"/>
  <c r="AA148" i="1"/>
  <c r="P174" i="1"/>
  <c r="Q186" i="1"/>
  <c r="Q222" i="1"/>
  <c r="P238" i="1"/>
  <c r="P270" i="1"/>
  <c r="Q286" i="1"/>
  <c r="AB186" i="1"/>
  <c r="Q6" i="1"/>
  <c r="P9" i="1"/>
  <c r="Z59" i="1"/>
  <c r="P107" i="1"/>
  <c r="Z107" i="1"/>
  <c r="Q110" i="1"/>
  <c r="P138" i="1"/>
  <c r="Q202" i="1"/>
  <c r="P246" i="1"/>
  <c r="P262" i="1"/>
  <c r="P278" i="1"/>
  <c r="Z23" i="1"/>
  <c r="P27" i="1"/>
  <c r="Z40" i="1"/>
  <c r="P47" i="1"/>
  <c r="Z60" i="1"/>
  <c r="Z66" i="1"/>
  <c r="P71" i="1"/>
  <c r="Z73" i="1"/>
  <c r="P91" i="1"/>
  <c r="Q114" i="1"/>
  <c r="AA116" i="1"/>
  <c r="Q127" i="1"/>
  <c r="Q158" i="1"/>
  <c r="AA159" i="1"/>
  <c r="P182" i="1"/>
  <c r="Q190" i="1"/>
  <c r="P214" i="1"/>
  <c r="P222" i="1"/>
  <c r="Z223" i="1"/>
  <c r="P234" i="1"/>
  <c r="P250" i="1"/>
  <c r="Z252" i="1"/>
  <c r="P266" i="1"/>
  <c r="P135" i="1"/>
  <c r="Z137" i="1"/>
  <c r="Q149" i="1"/>
  <c r="R149" i="1"/>
  <c r="AB151" i="1"/>
  <c r="P151" i="1"/>
  <c r="R151" i="1"/>
  <c r="P158" i="1"/>
  <c r="Q161" i="1"/>
  <c r="R161" i="1"/>
  <c r="P163" i="1"/>
  <c r="R163" i="1"/>
  <c r="AB164" i="1"/>
  <c r="Q177" i="1"/>
  <c r="R177" i="1"/>
  <c r="P186" i="1"/>
  <c r="R188" i="1"/>
  <c r="Q193" i="1"/>
  <c r="R193" i="1"/>
  <c r="AB195" i="1"/>
  <c r="P195" i="1"/>
  <c r="Z197" i="1"/>
  <c r="R195" i="1"/>
  <c r="P202" i="1"/>
  <c r="Q204" i="1"/>
  <c r="AA205" i="1"/>
  <c r="R204" i="1"/>
  <c r="Q209" i="1"/>
  <c r="R209" i="1"/>
  <c r="P211" i="1"/>
  <c r="R211" i="1"/>
  <c r="Q220" i="1"/>
  <c r="AA220" i="1"/>
  <c r="R220" i="1"/>
  <c r="Q225" i="1"/>
  <c r="R225" i="1"/>
  <c r="Q232" i="1"/>
  <c r="R232" i="1"/>
  <c r="Q236" i="1"/>
  <c r="AA236" i="1"/>
  <c r="R236" i="1"/>
  <c r="AB238" i="1"/>
  <c r="Q240" i="1"/>
  <c r="R240" i="1"/>
  <c r="AB242" i="1"/>
  <c r="Q244" i="1"/>
  <c r="AA246" i="1"/>
  <c r="R244" i="1"/>
  <c r="AB246" i="1"/>
  <c r="Q248" i="1"/>
  <c r="R248" i="1"/>
  <c r="Q252" i="1"/>
  <c r="R252" i="1"/>
  <c r="R256" i="1"/>
  <c r="AB258" i="1"/>
  <c r="Q260" i="1"/>
  <c r="R260" i="1"/>
  <c r="AB262" i="1"/>
  <c r="Q264" i="1"/>
  <c r="AA266" i="1"/>
  <c r="R264" i="1"/>
  <c r="AB266" i="1"/>
  <c r="Q268" i="1"/>
  <c r="R268" i="1"/>
  <c r="AB270" i="1"/>
  <c r="R272" i="1"/>
  <c r="AB274" i="1"/>
  <c r="Q276" i="1"/>
  <c r="R276" i="1"/>
  <c r="AB278" i="1"/>
  <c r="Q280" i="1"/>
  <c r="R280" i="1"/>
  <c r="AB282" i="1"/>
  <c r="Q284" i="1"/>
  <c r="R284" i="1"/>
  <c r="Q145" i="1"/>
  <c r="R145" i="1"/>
  <c r="P147" i="1"/>
  <c r="R147" i="1"/>
  <c r="AB149" i="1"/>
  <c r="Q173" i="1"/>
  <c r="AA175" i="1"/>
  <c r="R173" i="1"/>
  <c r="P175" i="1"/>
  <c r="Z175" i="1"/>
  <c r="R175" i="1"/>
  <c r="AB176" i="1"/>
  <c r="Q189" i="1"/>
  <c r="R189" i="1"/>
  <c r="AB191" i="1"/>
  <c r="P191" i="1"/>
  <c r="R191" i="1"/>
  <c r="AB192" i="1"/>
  <c r="Q200" i="1"/>
  <c r="AA200" i="1"/>
  <c r="R200" i="1"/>
  <c r="AB202" i="1"/>
  <c r="P207" i="1"/>
  <c r="R207" i="1"/>
  <c r="AB209" i="1"/>
  <c r="Q216" i="1"/>
  <c r="R216" i="1"/>
  <c r="AB218" i="1"/>
  <c r="Q221" i="1"/>
  <c r="R221" i="1"/>
  <c r="P223" i="1"/>
  <c r="R223" i="1"/>
  <c r="Q228" i="1"/>
  <c r="R228" i="1"/>
  <c r="P282" i="1"/>
  <c r="Q10" i="1"/>
  <c r="P13" i="1"/>
  <c r="P19" i="1"/>
  <c r="Z21" i="1"/>
  <c r="P35" i="1"/>
  <c r="Z37" i="1"/>
  <c r="P51" i="1"/>
  <c r="Z53" i="1"/>
  <c r="P67" i="1"/>
  <c r="Z68" i="1"/>
  <c r="Z69" i="1"/>
  <c r="P83" i="1"/>
  <c r="P99" i="1"/>
  <c r="P118" i="1"/>
  <c r="Z119" i="1"/>
  <c r="Q131" i="1"/>
  <c r="P134" i="1"/>
  <c r="Q138" i="1"/>
  <c r="Q141" i="1"/>
  <c r="R141" i="1"/>
  <c r="P143" i="1"/>
  <c r="R143" i="1"/>
  <c r="Q147" i="1"/>
  <c r="P150" i="1"/>
  <c r="Q154" i="1"/>
  <c r="AA156" i="1"/>
  <c r="Q157" i="1"/>
  <c r="R157" i="1"/>
  <c r="P159" i="1"/>
  <c r="Z161" i="1"/>
  <c r="R159" i="1"/>
  <c r="AB161" i="1"/>
  <c r="P162" i="1"/>
  <c r="Q166" i="1"/>
  <c r="AA168" i="1"/>
  <c r="Q169" i="1"/>
  <c r="R169" i="1"/>
  <c r="P171" i="1"/>
  <c r="R171" i="1"/>
  <c r="Q175" i="1"/>
  <c r="P178" i="1"/>
  <c r="Q182" i="1"/>
  <c r="AA183" i="1"/>
  <c r="Q185" i="1"/>
  <c r="R185" i="1"/>
  <c r="P187" i="1"/>
  <c r="R187" i="1"/>
  <c r="AB188" i="1"/>
  <c r="Q191" i="1"/>
  <c r="Q196" i="1"/>
  <c r="AA198" i="1"/>
  <c r="R196" i="1"/>
  <c r="AB196" i="1"/>
  <c r="Q198" i="1"/>
  <c r="Q201" i="1"/>
  <c r="R201" i="1"/>
  <c r="AB203" i="1"/>
  <c r="P203" i="1"/>
  <c r="R203" i="1"/>
  <c r="AB204" i="1"/>
  <c r="Q207" i="1"/>
  <c r="P210" i="1"/>
  <c r="Q212" i="1"/>
  <c r="AA213" i="1"/>
  <c r="R212" i="1"/>
  <c r="Q214" i="1"/>
  <c r="AA216" i="1"/>
  <c r="Q217" i="1"/>
  <c r="AA219" i="1"/>
  <c r="R217" i="1"/>
  <c r="P219" i="1"/>
  <c r="R219" i="1"/>
  <c r="AB219" i="1"/>
  <c r="Q223" i="1"/>
  <c r="P226" i="1"/>
  <c r="Q229" i="1"/>
  <c r="R229" i="1"/>
  <c r="P233" i="1"/>
  <c r="Q234" i="1"/>
  <c r="P237" i="1"/>
  <c r="Q238" i="1"/>
  <c r="AA240" i="1"/>
  <c r="P241" i="1"/>
  <c r="Q242" i="1"/>
  <c r="P245" i="1"/>
  <c r="Q246" i="1"/>
  <c r="P249" i="1"/>
  <c r="Z251" i="1"/>
  <c r="Q250" i="1"/>
  <c r="P253" i="1"/>
  <c r="Q254" i="1"/>
  <c r="P257" i="1"/>
  <c r="Q258" i="1"/>
  <c r="AA260" i="1"/>
  <c r="P261" i="1"/>
  <c r="Q262" i="1"/>
  <c r="P265" i="1"/>
  <c r="Q266" i="1"/>
  <c r="P269" i="1"/>
  <c r="Z270" i="1"/>
  <c r="Q270" i="1"/>
  <c r="P273" i="1"/>
  <c r="Q274" i="1"/>
  <c r="P277" i="1"/>
  <c r="Q278" i="1"/>
  <c r="AA280" i="1"/>
  <c r="P281" i="1"/>
  <c r="Q282" i="1"/>
  <c r="Q134" i="1"/>
  <c r="AA136" i="1"/>
  <c r="Q137" i="1"/>
  <c r="AA139" i="1"/>
  <c r="R137" i="1"/>
  <c r="AB138" i="1"/>
  <c r="P139" i="1"/>
  <c r="Z140" i="1"/>
  <c r="R139" i="1"/>
  <c r="Q150" i="1"/>
  <c r="AA150" i="1"/>
  <c r="Q153" i="1"/>
  <c r="P155" i="1"/>
  <c r="R155" i="1"/>
  <c r="AB156" i="1"/>
  <c r="Q162" i="1"/>
  <c r="R165" i="1"/>
  <c r="AB166" i="1"/>
  <c r="P167" i="1"/>
  <c r="R167" i="1"/>
  <c r="AB168" i="1"/>
  <c r="Q178" i="1"/>
  <c r="Q181" i="1"/>
  <c r="R181" i="1"/>
  <c r="AB183" i="1"/>
  <c r="P183" i="1"/>
  <c r="Z185" i="1"/>
  <c r="R183" i="1"/>
  <c r="Q192" i="1"/>
  <c r="AA194" i="1"/>
  <c r="Q194" i="1"/>
  <c r="Q197" i="1"/>
  <c r="R197" i="1"/>
  <c r="P199" i="1"/>
  <c r="R199" i="1"/>
  <c r="Q208" i="1"/>
  <c r="R208" i="1"/>
  <c r="Q210" i="1"/>
  <c r="AA212" i="1"/>
  <c r="Q213" i="1"/>
  <c r="R213" i="1"/>
  <c r="AB215" i="1"/>
  <c r="P215" i="1"/>
  <c r="R215" i="1"/>
  <c r="Q224" i="1"/>
  <c r="R224" i="1"/>
  <c r="Q226" i="1"/>
  <c r="AA228" i="1"/>
  <c r="Q231" i="1"/>
  <c r="AA232" i="1"/>
  <c r="R231" i="1"/>
  <c r="Q235" i="1"/>
  <c r="R235" i="1"/>
  <c r="Q237" i="1"/>
  <c r="Q239" i="1"/>
  <c r="R239" i="1"/>
  <c r="Q241" i="1"/>
  <c r="Q243" i="1"/>
  <c r="R243" i="1"/>
  <c r="Q245" i="1"/>
  <c r="AA247" i="1"/>
  <c r="Q247" i="1"/>
  <c r="R247" i="1"/>
  <c r="Q251" i="1"/>
  <c r="AA253" i="1"/>
  <c r="R251" i="1"/>
  <c r="AB253" i="1"/>
  <c r="Q253" i="1"/>
  <c r="Q255" i="1"/>
  <c r="R255" i="1"/>
  <c r="AB257" i="1"/>
  <c r="Q257" i="1"/>
  <c r="Q259" i="1"/>
  <c r="R259" i="1"/>
  <c r="Q261" i="1"/>
  <c r="Q263" i="1"/>
  <c r="R263" i="1"/>
  <c r="AB263" i="1"/>
  <c r="Q265" i="1"/>
  <c r="AA267" i="1"/>
  <c r="Q267" i="1"/>
  <c r="R267" i="1"/>
  <c r="Q269" i="1"/>
  <c r="Q271" i="1"/>
  <c r="R271" i="1"/>
  <c r="AB273" i="1"/>
  <c r="Q273" i="1"/>
  <c r="Q277" i="1"/>
  <c r="AA279" i="1"/>
  <c r="Q279" i="1"/>
  <c r="R279" i="1"/>
  <c r="AB279" i="1"/>
  <c r="Q281" i="1"/>
  <c r="AA281" i="1"/>
  <c r="Q283" i="1"/>
  <c r="R283" i="1"/>
  <c r="AB283" i="1"/>
  <c r="P5" i="1"/>
  <c r="Z6" i="1"/>
  <c r="Q18" i="1"/>
  <c r="Q22" i="1"/>
  <c r="AA24" i="1"/>
  <c r="Q70" i="1"/>
  <c r="AA72" i="1"/>
  <c r="Q78" i="1"/>
  <c r="AA80" i="1"/>
  <c r="Q94" i="1"/>
  <c r="AA96" i="1"/>
  <c r="Q17" i="1"/>
  <c r="Q21" i="1"/>
  <c r="Q25" i="1"/>
  <c r="AA25" i="1"/>
  <c r="Q29" i="1"/>
  <c r="Q33" i="1"/>
  <c r="Q37" i="1"/>
  <c r="Q49" i="1"/>
  <c r="Q53" i="1"/>
  <c r="Q57" i="1"/>
  <c r="Q61" i="1"/>
  <c r="AA63" i="1"/>
  <c r="Q65" i="1"/>
  <c r="Q69" i="1"/>
  <c r="Q73" i="1"/>
  <c r="Q77" i="1"/>
  <c r="Q81" i="1"/>
  <c r="Q85" i="1"/>
  <c r="Q89" i="1"/>
  <c r="Q93" i="1"/>
  <c r="AA95" i="1"/>
  <c r="Q97" i="1"/>
  <c r="AA99" i="1"/>
  <c r="Q101" i="1"/>
  <c r="Q105" i="1"/>
  <c r="AA105" i="1"/>
  <c r="Q159" i="1"/>
  <c r="Q74" i="1"/>
  <c r="AA76" i="1"/>
  <c r="P113" i="1"/>
  <c r="Q117" i="1"/>
  <c r="P122" i="1"/>
  <c r="Z124" i="1"/>
  <c r="Q26" i="1"/>
  <c r="AA28" i="1"/>
  <c r="Q30" i="1"/>
  <c r="Q34" i="1"/>
  <c r="AA36" i="1"/>
  <c r="Q38" i="1"/>
  <c r="Q42" i="1"/>
  <c r="Q46" i="1"/>
  <c r="Q54" i="1"/>
  <c r="Q58" i="1"/>
  <c r="AA60" i="1"/>
  <c r="Q62" i="1"/>
  <c r="Q66" i="1"/>
  <c r="Q82" i="1"/>
  <c r="AA83" i="1"/>
  <c r="Q86" i="1"/>
  <c r="AA88" i="1"/>
  <c r="Q90" i="1"/>
  <c r="AA92" i="1"/>
  <c r="Q98" i="1"/>
  <c r="AA100" i="1"/>
  <c r="Q102" i="1"/>
  <c r="AA103" i="1"/>
  <c r="Q106" i="1"/>
  <c r="AA108" i="1"/>
  <c r="P115" i="1"/>
  <c r="Z117" i="1"/>
  <c r="Q14" i="1"/>
  <c r="P109" i="1"/>
  <c r="Z110" i="1"/>
  <c r="P111" i="1"/>
  <c r="Z113" i="1"/>
  <c r="Q125" i="1"/>
  <c r="AA126" i="1"/>
  <c r="P129" i="1"/>
  <c r="Z131" i="1"/>
  <c r="P133" i="1"/>
  <c r="P137" i="1"/>
  <c r="Z139" i="1"/>
  <c r="P141" i="1"/>
  <c r="Z141" i="1"/>
  <c r="P145" i="1"/>
  <c r="P149" i="1"/>
  <c r="Z151" i="1"/>
  <c r="P153" i="1"/>
  <c r="Z155" i="1"/>
  <c r="P157" i="1"/>
  <c r="P161" i="1"/>
  <c r="P165" i="1"/>
  <c r="Z167" i="1"/>
  <c r="P169" i="1"/>
  <c r="Z169" i="1"/>
  <c r="P173" i="1"/>
  <c r="P177" i="1"/>
  <c r="P181" i="1"/>
  <c r="Z183" i="1"/>
  <c r="P185" i="1"/>
  <c r="P189" i="1"/>
  <c r="Z191" i="1"/>
  <c r="P193" i="1"/>
  <c r="P197" i="1"/>
  <c r="P201" i="1"/>
  <c r="Z203" i="1"/>
  <c r="P205" i="1"/>
  <c r="Z207" i="1"/>
  <c r="P209" i="1"/>
  <c r="P213" i="1"/>
  <c r="P217" i="1"/>
  <c r="Z218" i="1"/>
  <c r="Z219" i="1"/>
  <c r="P221" i="1"/>
  <c r="P225" i="1"/>
  <c r="P8" i="1"/>
  <c r="Z9" i="1"/>
  <c r="Z10" i="1"/>
  <c r="P3" i="1"/>
  <c r="Z5" i="1"/>
  <c r="Q4" i="1"/>
  <c r="AA5" i="1"/>
  <c r="P7" i="1"/>
  <c r="P11" i="1"/>
  <c r="Z13" i="1"/>
  <c r="P15" i="1"/>
  <c r="Z17" i="1"/>
  <c r="Q16" i="1"/>
  <c r="Q20" i="1"/>
  <c r="AA21" i="1"/>
  <c r="Q24" i="1"/>
  <c r="Q28" i="1"/>
  <c r="AA30" i="1"/>
  <c r="Q36" i="1"/>
  <c r="AA38" i="1"/>
  <c r="Q44" i="1"/>
  <c r="Q48" i="1"/>
  <c r="AA49" i="1"/>
  <c r="Q52" i="1"/>
  <c r="AA54" i="1"/>
  <c r="Q60" i="1"/>
  <c r="AA61" i="1"/>
  <c r="Q64" i="1"/>
  <c r="Q68" i="1"/>
  <c r="AA70" i="1"/>
  <c r="Q72" i="1"/>
  <c r="Q76" i="1"/>
  <c r="AA77" i="1"/>
  <c r="P120" i="1"/>
  <c r="Z122" i="1"/>
  <c r="Q123" i="1"/>
  <c r="P12" i="1"/>
  <c r="P32" i="1"/>
  <c r="Z34" i="1"/>
  <c r="P80" i="1"/>
  <c r="Z82" i="1"/>
  <c r="P84" i="1"/>
  <c r="Z86" i="1"/>
  <c r="P88" i="1"/>
  <c r="Z88" i="1"/>
  <c r="P92" i="1"/>
  <c r="Z94" i="1"/>
  <c r="P96" i="1"/>
  <c r="Z98" i="1"/>
  <c r="P100" i="1"/>
  <c r="Z102" i="1"/>
  <c r="P104" i="1"/>
  <c r="Z104" i="1"/>
  <c r="P108" i="1"/>
  <c r="P112" i="1"/>
  <c r="Z114" i="1"/>
  <c r="P116" i="1"/>
  <c r="Q119" i="1"/>
  <c r="AA120" i="1"/>
  <c r="AA121" i="1"/>
  <c r="P121" i="1"/>
  <c r="Z123" i="1"/>
  <c r="P124" i="1"/>
  <c r="Z126" i="1"/>
  <c r="Q128" i="1"/>
  <c r="AA130" i="1"/>
  <c r="P128" i="1"/>
  <c r="Z129" i="1"/>
  <c r="Q132" i="1"/>
  <c r="P132" i="1"/>
  <c r="Z134" i="1"/>
  <c r="Q136" i="1"/>
  <c r="AA138" i="1"/>
  <c r="P136" i="1"/>
  <c r="Z138" i="1"/>
  <c r="Q140" i="1"/>
  <c r="P140" i="1"/>
  <c r="Q144" i="1"/>
  <c r="P144" i="1"/>
  <c r="Q148" i="1"/>
  <c r="P148" i="1"/>
  <c r="Z150" i="1"/>
  <c r="Q152" i="1"/>
  <c r="P152" i="1"/>
  <c r="Q156" i="1"/>
  <c r="P156" i="1"/>
  <c r="Z158" i="1"/>
  <c r="Q160" i="1"/>
  <c r="AA161" i="1"/>
  <c r="P160" i="1"/>
  <c r="Z162" i="1"/>
  <c r="Q164" i="1"/>
  <c r="P164" i="1"/>
  <c r="Z164" i="1"/>
  <c r="Z166" i="1"/>
  <c r="Q168" i="1"/>
  <c r="AA169" i="1"/>
  <c r="P168" i="1"/>
  <c r="Q172" i="1"/>
  <c r="AA173" i="1"/>
  <c r="AA174" i="1"/>
  <c r="P172" i="1"/>
  <c r="Z174" i="1"/>
  <c r="Q176" i="1"/>
  <c r="P176" i="1"/>
  <c r="Z176" i="1"/>
  <c r="Q180" i="1"/>
  <c r="P180" i="1"/>
  <c r="Q184" i="1"/>
  <c r="AA185" i="1"/>
  <c r="P184" i="1"/>
  <c r="P188" i="1"/>
  <c r="Z190" i="1"/>
  <c r="P192" i="1"/>
  <c r="P196" i="1"/>
  <c r="P200" i="1"/>
  <c r="Z202" i="1"/>
  <c r="P204" i="1"/>
  <c r="P208" i="1"/>
  <c r="Z210" i="1"/>
  <c r="P212" i="1"/>
  <c r="P216" i="1"/>
  <c r="P220" i="1"/>
  <c r="Z222" i="1"/>
  <c r="P224" i="1"/>
  <c r="Z226" i="1"/>
  <c r="P228" i="1"/>
  <c r="P232" i="1"/>
  <c r="P236" i="1"/>
  <c r="Z238" i="1"/>
  <c r="P240" i="1"/>
  <c r="Z242" i="1"/>
  <c r="P244" i="1"/>
  <c r="P248" i="1"/>
  <c r="Z250" i="1"/>
  <c r="P252" i="1"/>
  <c r="Z254" i="1"/>
  <c r="P260" i="1"/>
  <c r="Z262" i="1"/>
  <c r="P264" i="1"/>
  <c r="Z266" i="1"/>
  <c r="P268" i="1"/>
  <c r="P276" i="1"/>
  <c r="P280" i="1"/>
  <c r="Z282" i="1"/>
  <c r="P284" i="1"/>
  <c r="P227" i="1"/>
  <c r="Z229" i="1"/>
  <c r="P231" i="1"/>
  <c r="P235" i="1"/>
  <c r="P239" i="1"/>
  <c r="P243" i="1"/>
  <c r="Z245" i="1"/>
  <c r="P247" i="1"/>
  <c r="P251" i="1"/>
  <c r="P255" i="1"/>
  <c r="P263" i="1"/>
  <c r="P267" i="1"/>
  <c r="Z267" i="1"/>
  <c r="P271" i="1"/>
  <c r="P279" i="1"/>
  <c r="Z279" i="1"/>
  <c r="P283" i="1"/>
  <c r="AA166" i="1"/>
  <c r="AA26" i="1"/>
  <c r="AA119" i="1"/>
  <c r="AA79" i="1"/>
  <c r="AA31" i="1"/>
  <c r="AA20" i="1"/>
  <c r="AB245" i="1"/>
  <c r="AA199" i="1"/>
  <c r="AA167" i="1"/>
  <c r="Z247" i="1"/>
  <c r="Z152" i="1"/>
  <c r="AA147" i="1"/>
  <c r="AB154" i="1"/>
  <c r="Z36" i="1"/>
  <c r="Z248" i="1"/>
  <c r="AA137" i="1"/>
  <c r="AB200" i="1"/>
  <c r="Z184" i="1"/>
  <c r="AB244" i="1"/>
  <c r="AA162" i="1"/>
  <c r="Z118" i="1"/>
  <c r="AB285" i="1"/>
  <c r="AB269" i="1"/>
  <c r="AB237" i="1"/>
  <c r="AB217" i="1"/>
  <c r="AB259" i="1"/>
  <c r="AA90" i="1"/>
  <c r="Z280" i="1"/>
  <c r="Z33" i="1"/>
  <c r="AA89" i="1"/>
  <c r="Z157" i="1"/>
  <c r="AB240" i="1"/>
  <c r="AA135" i="1"/>
  <c r="AA98" i="1"/>
  <c r="AA188" i="1"/>
  <c r="AA17" i="1"/>
  <c r="AA134" i="1"/>
  <c r="AA66" i="1"/>
  <c r="Z111" i="1"/>
  <c r="AB226" i="1"/>
  <c r="Z271" i="1"/>
  <c r="Z239" i="1"/>
  <c r="AB221" i="1"/>
  <c r="Z15" i="1"/>
  <c r="AA223" i="1"/>
  <c r="AA202" i="1"/>
  <c r="Z213" i="1"/>
  <c r="Z153" i="1"/>
  <c r="Z236" i="1"/>
  <c r="AB160" i="1"/>
  <c r="AA118" i="1"/>
  <c r="Z92" i="1"/>
  <c r="Z84" i="1"/>
  <c r="Z71" i="1"/>
  <c r="AA86" i="1"/>
  <c r="Z55" i="1"/>
  <c r="Z253" i="1"/>
  <c r="Z237" i="1"/>
  <c r="Z178" i="1"/>
  <c r="Z154" i="1"/>
  <c r="AA78" i="1"/>
  <c r="Z227" i="1"/>
  <c r="Z249" i="1"/>
  <c r="Z278" i="1"/>
  <c r="Z246" i="1"/>
  <c r="Z214" i="1"/>
  <c r="AA178" i="1"/>
  <c r="AA154" i="1"/>
  <c r="Z14" i="1"/>
  <c r="AA74" i="1"/>
  <c r="AA18" i="1"/>
  <c r="AA6" i="1"/>
  <c r="Z159" i="1"/>
  <c r="AA127" i="1"/>
  <c r="AA64" i="1"/>
  <c r="AA44" i="1"/>
  <c r="AA87" i="1"/>
  <c r="AA55" i="1"/>
  <c r="AA23" i="1"/>
  <c r="AA265" i="1"/>
  <c r="AA259" i="1"/>
  <c r="AB194" i="1"/>
  <c r="AB157" i="1"/>
  <c r="AA152" i="1"/>
  <c r="Z259" i="1"/>
  <c r="Z243" i="1"/>
  <c r="Z235" i="1"/>
  <c r="AA214" i="1"/>
  <c r="Z205" i="1"/>
  <c r="AB198" i="1"/>
  <c r="Z173" i="1"/>
  <c r="AB145" i="1"/>
  <c r="Z101" i="1"/>
  <c r="Z225" i="1"/>
  <c r="AA218" i="1"/>
  <c r="AA207" i="1"/>
  <c r="Z177" i="1"/>
  <c r="Z149" i="1"/>
  <c r="AA262" i="1"/>
  <c r="AA254" i="1"/>
  <c r="AA238" i="1"/>
  <c r="AB197" i="1"/>
  <c r="AB190" i="1"/>
  <c r="AA151" i="1"/>
  <c r="Z268" i="1"/>
  <c r="AB243" i="1"/>
  <c r="AB220" i="1"/>
  <c r="AA192" i="1"/>
  <c r="AA157" i="1"/>
  <c r="Z93" i="1"/>
  <c r="AA53" i="1"/>
  <c r="Z264" i="1"/>
  <c r="Z109" i="1"/>
  <c r="AA82" i="1"/>
  <c r="Z52" i="1"/>
  <c r="Z244" i="1"/>
  <c r="Z168" i="1"/>
  <c r="Z105" i="1"/>
  <c r="AB247" i="1"/>
  <c r="AA224" i="1"/>
  <c r="AA117" i="1"/>
  <c r="Z91" i="1"/>
  <c r="AA10" i="1"/>
  <c r="AB252" i="1"/>
  <c r="AA73" i="1"/>
  <c r="AA165" i="1"/>
  <c r="AA102" i="1"/>
  <c r="Z75" i="1"/>
  <c r="AA221" i="1"/>
  <c r="AA189" i="1"/>
  <c r="B3" i="2"/>
  <c r="Z217" i="1"/>
  <c r="Z165" i="1"/>
  <c r="Z216" i="1"/>
  <c r="AA106" i="1"/>
  <c r="AB264" i="1"/>
  <c r="Z20" i="1"/>
  <c r="AA7" i="1"/>
  <c r="AB239" i="1"/>
  <c r="Z132" i="1"/>
  <c r="AA182" i="1"/>
  <c r="Z215" i="1"/>
  <c r="AA133" i="1"/>
  <c r="AA230" i="1"/>
  <c r="Z209" i="1"/>
  <c r="AA227" i="1"/>
  <c r="Z188" i="1"/>
  <c r="AB208" i="1"/>
  <c r="Z87" i="1"/>
  <c r="AA33" i="1"/>
  <c r="AA201" i="1"/>
  <c r="AA69" i="1"/>
  <c r="AA217" i="1"/>
  <c r="Z125" i="1"/>
  <c r="Z16" i="1"/>
  <c r="AB224" i="1"/>
  <c r="AB280" i="1"/>
  <c r="AA34" i="1"/>
  <c r="Z8" i="1"/>
  <c r="Z269" i="1"/>
  <c r="Z186" i="1"/>
  <c r="AA62" i="1"/>
  <c r="AA22" i="1"/>
  <c r="Z163" i="1"/>
  <c r="AA48" i="1"/>
  <c r="AA107" i="1"/>
  <c r="Z7" i="1"/>
  <c r="AB281" i="1"/>
  <c r="AB265" i="1"/>
  <c r="AA261" i="1"/>
  <c r="AA255" i="1"/>
  <c r="AA245" i="1"/>
  <c r="AA239" i="1"/>
  <c r="AA215" i="1"/>
  <c r="AB201" i="1"/>
  <c r="AA196" i="1"/>
  <c r="AB169" i="1"/>
  <c r="AA164" i="1"/>
  <c r="AA155" i="1"/>
  <c r="AB139" i="1"/>
  <c r="AA284" i="1"/>
  <c r="AA268" i="1"/>
  <c r="AA252" i="1"/>
  <c r="AA244" i="1"/>
  <c r="Z221" i="1"/>
  <c r="AB214" i="1"/>
  <c r="AA187" i="1"/>
  <c r="AB173" i="1"/>
  <c r="AB159" i="1"/>
  <c r="AA149" i="1"/>
  <c r="Z120" i="1"/>
  <c r="AB193" i="1"/>
  <c r="AB177" i="1"/>
  <c r="AB222" i="1"/>
  <c r="AB211" i="1"/>
  <c r="Z204" i="1"/>
  <c r="AA163" i="1"/>
  <c r="AB272" i="1"/>
  <c r="Z224" i="1"/>
  <c r="AB178" i="1"/>
  <c r="AA160" i="1"/>
  <c r="AA97" i="1"/>
  <c r="Z83" i="1"/>
  <c r="AA15" i="1"/>
  <c r="AB271" i="1"/>
  <c r="AB236" i="1"/>
  <c r="AB184" i="1"/>
  <c r="AA93" i="1"/>
  <c r="AA29" i="1"/>
  <c r="AA208" i="1"/>
  <c r="AB174" i="1"/>
  <c r="AB140" i="1"/>
  <c r="Z112" i="1"/>
  <c r="AA85" i="1"/>
  <c r="Z51" i="1"/>
  <c r="Z31" i="1"/>
  <c r="Z208" i="1"/>
  <c r="AB182" i="1"/>
  <c r="AB152" i="1"/>
  <c r="AA141" i="1"/>
  <c r="Z121" i="1"/>
  <c r="Z108" i="1"/>
  <c r="AA81" i="1"/>
  <c r="Z67" i="1"/>
  <c r="Z27" i="1"/>
  <c r="Z12" i="1"/>
  <c r="AB268" i="1"/>
  <c r="AB216" i="1"/>
  <c r="AB150" i="1"/>
  <c r="Z32" i="1"/>
  <c r="AB267" i="1"/>
  <c r="Z200" i="1"/>
  <c r="Z133" i="1"/>
  <c r="AA115" i="1"/>
  <c r="Z81" i="1"/>
  <c r="Z48" i="1"/>
  <c r="Z28" i="1"/>
  <c r="AA153" i="1"/>
  <c r="AA11" i="1"/>
  <c r="A4" i="2"/>
  <c r="J3" i="2"/>
  <c r="I3" i="2"/>
  <c r="G3" i="2"/>
  <c r="C3" i="2"/>
  <c r="H4" i="2"/>
  <c r="F4" i="2"/>
  <c r="AB179" i="1"/>
  <c r="AB180" i="1"/>
  <c r="AB181" i="1"/>
  <c r="Z256" i="1"/>
  <c r="AA94" i="1"/>
  <c r="AA193" i="1"/>
  <c r="AA68" i="1"/>
  <c r="Z97" i="1"/>
  <c r="AA114" i="1"/>
  <c r="AA197" i="1"/>
  <c r="AA37" i="1"/>
  <c r="Z72" i="1"/>
  <c r="Z80" i="1"/>
  <c r="Z160" i="1"/>
  <c r="AA222" i="1"/>
  <c r="Z201" i="1"/>
  <c r="Z143" i="1"/>
  <c r="Z156" i="1"/>
  <c r="Z96" i="1"/>
  <c r="Z89" i="1"/>
  <c r="Z272" i="1"/>
  <c r="Z273" i="1"/>
  <c r="Z142" i="1"/>
  <c r="Z106" i="1"/>
  <c r="Z90" i="1"/>
  <c r="Z187" i="1"/>
  <c r="Z116" i="1"/>
  <c r="AA104" i="1"/>
  <c r="AA84" i="1"/>
  <c r="Z115" i="1"/>
  <c r="AA71" i="1"/>
  <c r="AA35" i="1"/>
  <c r="AA271" i="1"/>
  <c r="AA269" i="1"/>
  <c r="AA270" i="1"/>
  <c r="AB241" i="1"/>
  <c r="AA237" i="1"/>
  <c r="AB210" i="1"/>
  <c r="AB199" i="1"/>
  <c r="AB167" i="1"/>
  <c r="Z283" i="1"/>
  <c r="AA203" i="1"/>
  <c r="AB187" i="1"/>
  <c r="AB185" i="1"/>
  <c r="AA177" i="1"/>
  <c r="AA176" i="1"/>
  <c r="AA206" i="1"/>
  <c r="AA195" i="1"/>
  <c r="Z130" i="1"/>
  <c r="Z128" i="1"/>
  <c r="AA67" i="1"/>
  <c r="AA65" i="1"/>
  <c r="AA264" i="1"/>
  <c r="AA263" i="1"/>
  <c r="AA231" i="1"/>
  <c r="AA229" i="1"/>
  <c r="Z220" i="1"/>
  <c r="Z145" i="1"/>
  <c r="Z144" i="1"/>
  <c r="Z99" i="1"/>
  <c r="Z100" i="1"/>
  <c r="AB286" i="1"/>
  <c r="AB284" i="1"/>
  <c r="AB248" i="1"/>
  <c r="AA112" i="1"/>
  <c r="AA110" i="1"/>
  <c r="AA111" i="1"/>
  <c r="Z240" i="1"/>
  <c r="Z65" i="1"/>
  <c r="Z64" i="1"/>
  <c r="Z281" i="1"/>
  <c r="Z265" i="1"/>
  <c r="Z263" i="1"/>
  <c r="Z206" i="1"/>
  <c r="AA186" i="1"/>
  <c r="AA184" i="1"/>
  <c r="AA142" i="1"/>
  <c r="AA140" i="1"/>
  <c r="AA283" i="1"/>
  <c r="AA282" i="1"/>
  <c r="AA225" i="1"/>
  <c r="AA226" i="1"/>
  <c r="AA248" i="1"/>
  <c r="Z228" i="1"/>
  <c r="Z212" i="1"/>
  <c r="Z211" i="1"/>
  <c r="Z136" i="1"/>
  <c r="Z135" i="1"/>
  <c r="Z284" i="1"/>
  <c r="AB223" i="1"/>
  <c r="AB225" i="1"/>
  <c r="AB213" i="1"/>
  <c r="AA211" i="1"/>
  <c r="AA209" i="1"/>
  <c r="AB163" i="1"/>
  <c r="AB162" i="1"/>
  <c r="AA129" i="1"/>
  <c r="P41" i="1"/>
  <c r="Q41" i="1"/>
  <c r="AA43" i="1"/>
  <c r="P45" i="1"/>
  <c r="Z47" i="1"/>
  <c r="Q45" i="1"/>
  <c r="Q56" i="1"/>
  <c r="P56" i="1"/>
  <c r="Z63" i="1"/>
  <c r="AA131" i="1"/>
  <c r="P179" i="1"/>
  <c r="Q179" i="1"/>
  <c r="Q256" i="1"/>
  <c r="P256" i="1"/>
  <c r="Z258" i="1"/>
  <c r="Z261" i="1"/>
  <c r="Z260" i="1"/>
  <c r="Q272" i="1"/>
  <c r="P272" i="1"/>
  <c r="Z274" i="1"/>
  <c r="R275" i="1"/>
  <c r="P275" i="1"/>
  <c r="Q275" i="1"/>
  <c r="AA277" i="1"/>
  <c r="Q285" i="1"/>
  <c r="AA286" i="1"/>
  <c r="P285" i="1"/>
  <c r="Z285" i="1"/>
  <c r="Z257" i="1"/>
  <c r="Z241" i="1"/>
  <c r="Z234" i="1"/>
  <c r="Z233" i="1"/>
  <c r="Z182" i="1"/>
  <c r="AA50" i="1"/>
  <c r="AA75" i="1"/>
  <c r="AA59" i="1"/>
  <c r="AA27" i="1"/>
  <c r="AB261" i="1"/>
  <c r="AB260" i="1"/>
  <c r="AA242" i="1"/>
  <c r="AA243" i="1"/>
  <c r="AA275" i="1"/>
  <c r="Z255" i="1"/>
  <c r="Z189" i="1"/>
  <c r="Z193" i="1"/>
  <c r="Z192" i="1"/>
  <c r="AA191" i="1"/>
  <c r="AA190" i="1"/>
  <c r="AA204" i="1"/>
  <c r="Z19" i="1"/>
  <c r="Z35" i="1"/>
  <c r="Z39" i="1"/>
  <c r="AA39" i="1"/>
  <c r="AA158" i="1"/>
  <c r="AA146" i="1"/>
  <c r="AA145" i="1"/>
  <c r="AA125" i="1"/>
  <c r="AA123" i="1"/>
  <c r="AA124" i="1"/>
  <c r="Z199" i="1"/>
  <c r="AA241" i="1"/>
  <c r="AB189" i="1"/>
  <c r="AA278" i="1"/>
  <c r="AB254" i="1"/>
  <c r="AB212" i="1"/>
  <c r="AB165" i="1"/>
  <c r="Z11" i="1"/>
  <c r="Z77" i="1"/>
  <c r="Z76" i="1"/>
  <c r="Z29" i="1"/>
  <c r="AA8" i="1"/>
  <c r="C4" i="2"/>
  <c r="Z62" i="1"/>
  <c r="AA128" i="1"/>
  <c r="Q40" i="1"/>
  <c r="Q50" i="1"/>
  <c r="AA91" i="1"/>
  <c r="AA285" i="1"/>
  <c r="AA210" i="1"/>
  <c r="AB141" i="1"/>
  <c r="Z85" i="1"/>
  <c r="R205" i="1"/>
  <c r="AB175" i="1"/>
  <c r="R227" i="1"/>
  <c r="AB153" i="1"/>
  <c r="Z49" i="1"/>
  <c r="P43" i="1"/>
  <c r="Z70" i="1"/>
  <c r="Z79" i="1"/>
  <c r="AA113" i="1"/>
  <c r="P146" i="1"/>
  <c r="R146" i="1"/>
  <c r="P170" i="1"/>
  <c r="R170" i="1"/>
  <c r="AB172" i="1"/>
  <c r="Q170" i="1"/>
  <c r="Q233" i="1"/>
  <c r="R233" i="1"/>
  <c r="Q249" i="1"/>
  <c r="R249" i="1"/>
  <c r="AB251" i="1"/>
  <c r="Z18" i="1"/>
  <c r="Z26" i="1"/>
  <c r="Z30" i="1"/>
  <c r="Z38" i="1"/>
  <c r="Z61" i="1"/>
  <c r="P230" i="1"/>
  <c r="R230" i="1"/>
  <c r="R135" i="1"/>
  <c r="D3" i="2"/>
  <c r="H3" i="2"/>
  <c r="P194" i="1"/>
  <c r="R142" i="1"/>
  <c r="Q142" i="1"/>
  <c r="R254" i="1"/>
  <c r="E3" i="2"/>
  <c r="F3" i="2"/>
  <c r="J4" i="2"/>
  <c r="G4" i="2"/>
  <c r="E4" i="2"/>
  <c r="A5" i="2"/>
  <c r="B5" i="2"/>
  <c r="B4" i="2"/>
  <c r="D4" i="2"/>
  <c r="I4" i="2"/>
  <c r="AB142" i="1"/>
  <c r="AB144" i="1"/>
  <c r="Z230" i="1"/>
  <c r="Z231" i="1"/>
  <c r="Z232" i="1"/>
  <c r="AB143" i="1"/>
  <c r="AA56" i="1"/>
  <c r="AA58" i="1"/>
  <c r="AA57" i="1"/>
  <c r="AA171" i="1"/>
  <c r="AA170" i="1"/>
  <c r="AA172" i="1"/>
  <c r="Z147" i="1"/>
  <c r="Z148" i="1"/>
  <c r="Z45" i="1"/>
  <c r="Z44" i="1"/>
  <c r="AA42" i="1"/>
  <c r="AA41" i="1"/>
  <c r="Z196" i="1"/>
  <c r="Z195" i="1"/>
  <c r="AB230" i="1"/>
  <c r="AB232" i="1"/>
  <c r="AB231" i="1"/>
  <c r="AA250" i="1"/>
  <c r="AA251" i="1"/>
  <c r="AB206" i="1"/>
  <c r="AB207" i="1"/>
  <c r="AB205" i="1"/>
  <c r="AB171" i="1"/>
  <c r="AA180" i="1"/>
  <c r="AA181" i="1"/>
  <c r="Z57" i="1"/>
  <c r="Z56" i="1"/>
  <c r="Z58" i="1"/>
  <c r="AB255" i="1"/>
  <c r="AB256" i="1"/>
  <c r="AB235" i="1"/>
  <c r="AB233" i="1"/>
  <c r="Z170" i="1"/>
  <c r="Z172" i="1"/>
  <c r="AB277" i="1"/>
  <c r="AB275" i="1"/>
  <c r="AB276" i="1"/>
  <c r="Z180" i="1"/>
  <c r="Z181" i="1"/>
  <c r="Z179" i="1"/>
  <c r="Z42" i="1"/>
  <c r="Z43" i="1"/>
  <c r="AA249" i="1"/>
  <c r="AB249" i="1"/>
  <c r="AA144" i="1"/>
  <c r="AA143" i="1"/>
  <c r="AA234" i="1"/>
  <c r="AA233" i="1"/>
  <c r="AA235" i="1"/>
  <c r="AB147" i="1"/>
  <c r="AB146" i="1"/>
  <c r="AB148" i="1"/>
  <c r="AB229" i="1"/>
  <c r="AB227" i="1"/>
  <c r="AB228" i="1"/>
  <c r="AA51" i="1"/>
  <c r="AA52" i="1"/>
  <c r="Z46" i="1"/>
  <c r="AB234" i="1"/>
  <c r="AA47" i="1"/>
  <c r="AA45" i="1"/>
  <c r="AA46" i="1"/>
  <c r="Z41" i="1"/>
  <c r="AA179" i="1"/>
  <c r="Z146" i="1"/>
  <c r="Z171" i="1"/>
  <c r="AB137" i="1"/>
  <c r="AB136" i="1"/>
  <c r="AA40" i="1"/>
  <c r="AB170" i="1"/>
  <c r="AA272" i="1"/>
  <c r="AA273" i="1"/>
  <c r="AA274" i="1"/>
  <c r="AA258" i="1"/>
  <c r="AA257" i="1"/>
  <c r="AA256" i="1"/>
  <c r="AB250" i="1"/>
  <c r="Z194" i="1"/>
  <c r="Z286" i="1"/>
  <c r="Z277" i="1"/>
  <c r="Z275" i="1"/>
  <c r="Z276" i="1"/>
  <c r="AA276" i="1"/>
  <c r="A6" i="2"/>
  <c r="F5" i="2"/>
  <c r="G5" i="2"/>
  <c r="H5" i="2"/>
  <c r="E5" i="2"/>
  <c r="I5" i="2"/>
  <c r="D5" i="2"/>
  <c r="J5" i="2"/>
  <c r="C5" i="2"/>
  <c r="H6" i="2"/>
  <c r="B6" i="2"/>
  <c r="D6" i="2"/>
  <c r="E6" i="2"/>
  <c r="I6" i="2"/>
  <c r="J6" i="2"/>
  <c r="C6" i="2"/>
  <c r="A7" i="2"/>
  <c r="G6" i="2"/>
  <c r="F6" i="2"/>
  <c r="A8" i="2"/>
  <c r="C7" i="2"/>
  <c r="D7" i="2"/>
  <c r="E7" i="2"/>
  <c r="F7" i="2"/>
  <c r="G7" i="2"/>
  <c r="J7" i="2"/>
  <c r="I7" i="2"/>
  <c r="B7" i="2"/>
  <c r="H7" i="2"/>
  <c r="G8" i="2"/>
  <c r="H8" i="2"/>
  <c r="A9" i="2"/>
  <c r="E8" i="2"/>
  <c r="I8" i="2"/>
  <c r="B8" i="2"/>
  <c r="F8" i="2"/>
  <c r="J8" i="2"/>
  <c r="D8" i="2"/>
  <c r="C8" i="2"/>
  <c r="F9" i="2"/>
  <c r="J9" i="2"/>
  <c r="I9" i="2"/>
  <c r="E9" i="2"/>
  <c r="A10" i="2"/>
  <c r="H9" i="2"/>
  <c r="D9" i="2"/>
  <c r="C9" i="2"/>
  <c r="G9" i="2"/>
  <c r="B9" i="2"/>
  <c r="A11" i="2"/>
  <c r="I10" i="2"/>
  <c r="E10" i="2"/>
  <c r="F10" i="2"/>
  <c r="J10" i="2"/>
  <c r="G10" i="2"/>
  <c r="D10" i="2"/>
  <c r="H10" i="2"/>
  <c r="C10" i="2"/>
  <c r="B10" i="2"/>
  <c r="I11" i="2"/>
  <c r="J11" i="2"/>
  <c r="D11" i="2"/>
  <c r="A12" i="2"/>
  <c r="H11" i="2"/>
  <c r="C11" i="2"/>
  <c r="E11" i="2"/>
  <c r="F11" i="2"/>
  <c r="G11" i="2"/>
  <c r="B11" i="2"/>
  <c r="A13" i="2"/>
  <c r="I12" i="2"/>
  <c r="C12" i="2"/>
  <c r="G12" i="2"/>
  <c r="J12" i="2"/>
  <c r="E12" i="2"/>
  <c r="H12" i="2"/>
  <c r="B12" i="2"/>
  <c r="D12" i="2"/>
  <c r="F12" i="2"/>
  <c r="E13" i="2"/>
  <c r="F13" i="2"/>
  <c r="I13" i="2"/>
  <c r="A14" i="2"/>
  <c r="H13" i="2"/>
  <c r="J13" i="2"/>
  <c r="G13" i="2"/>
  <c r="D13" i="2"/>
  <c r="C13" i="2"/>
  <c r="B13" i="2"/>
  <c r="D14" i="2"/>
  <c r="I14" i="2"/>
  <c r="G14" i="2"/>
  <c r="H14" i="2"/>
  <c r="J14" i="2"/>
  <c r="F14" i="2"/>
  <c r="A15" i="2"/>
  <c r="E14" i="2"/>
  <c r="C14" i="2"/>
  <c r="B14" i="2"/>
  <c r="J15" i="2"/>
  <c r="H15" i="2"/>
  <c r="D15" i="2"/>
  <c r="F15" i="2"/>
  <c r="E15" i="2"/>
  <c r="A16" i="2"/>
  <c r="G15" i="2"/>
  <c r="I15" i="2"/>
  <c r="C15" i="2"/>
  <c r="B15" i="2"/>
  <c r="A17" i="2"/>
  <c r="D16" i="2"/>
  <c r="G16" i="2"/>
  <c r="E16" i="2"/>
  <c r="F16" i="2"/>
  <c r="J16" i="2"/>
  <c r="H16" i="2"/>
  <c r="I16" i="2"/>
  <c r="C16" i="2"/>
  <c r="B16" i="2"/>
  <c r="A18" i="2"/>
  <c r="F17" i="2"/>
  <c r="I17" i="2"/>
  <c r="J17" i="2"/>
  <c r="E17" i="2"/>
  <c r="H17" i="2"/>
  <c r="G17" i="2"/>
  <c r="D17" i="2"/>
  <c r="B17" i="2"/>
  <c r="C17" i="2"/>
  <c r="G18" i="2"/>
  <c r="I18" i="2"/>
  <c r="D18" i="2"/>
  <c r="A19" i="2"/>
  <c r="J18" i="2"/>
  <c r="H18" i="2"/>
  <c r="F18" i="2"/>
  <c r="B18" i="2"/>
  <c r="E18" i="2"/>
  <c r="C18" i="2"/>
  <c r="D19" i="2"/>
  <c r="J19" i="2"/>
  <c r="C19" i="2"/>
  <c r="E19" i="2"/>
  <c r="B19" i="2"/>
  <c r="F19" i="2"/>
  <c r="A20" i="2"/>
  <c r="I19" i="2"/>
  <c r="G19" i="2"/>
  <c r="H19" i="2"/>
  <c r="H20" i="2"/>
  <c r="E20" i="2"/>
  <c r="D20" i="2"/>
  <c r="A21" i="2"/>
  <c r="G20" i="2"/>
  <c r="F20" i="2"/>
  <c r="J20" i="2"/>
  <c r="I20" i="2"/>
  <c r="C20" i="2"/>
  <c r="B20" i="2"/>
  <c r="D21" i="2"/>
  <c r="F21" i="2"/>
  <c r="J21" i="2"/>
  <c r="G21" i="2"/>
  <c r="E21" i="2"/>
  <c r="B21" i="2"/>
  <c r="H21" i="2"/>
  <c r="I21" i="2"/>
  <c r="A22" i="2"/>
  <c r="C21" i="2"/>
  <c r="G22" i="2"/>
  <c r="I22" i="2"/>
  <c r="J22" i="2"/>
  <c r="D22" i="2"/>
  <c r="C22" i="2"/>
  <c r="F22" i="2"/>
  <c r="A23" i="2"/>
  <c r="H22" i="2"/>
  <c r="E22" i="2"/>
  <c r="B22" i="2"/>
  <c r="D23" i="2"/>
  <c r="I23" i="2"/>
  <c r="A24" i="2"/>
  <c r="G23" i="2"/>
  <c r="E23" i="2"/>
  <c r="H23" i="2"/>
  <c r="J23" i="2"/>
  <c r="F23" i="2"/>
  <c r="B23" i="2"/>
  <c r="C23" i="2"/>
  <c r="F24" i="2"/>
  <c r="G24" i="2"/>
  <c r="D24" i="2"/>
  <c r="B24" i="2"/>
  <c r="J24" i="2"/>
  <c r="E24" i="2"/>
  <c r="I24" i="2"/>
  <c r="H24" i="2"/>
  <c r="A25" i="2"/>
  <c r="C24" i="2"/>
  <c r="A26" i="2"/>
  <c r="I25" i="2"/>
  <c r="B25" i="2"/>
  <c r="E25" i="2"/>
  <c r="F25" i="2"/>
  <c r="D25" i="2"/>
  <c r="J25" i="2"/>
  <c r="G25" i="2"/>
  <c r="H25" i="2"/>
  <c r="C25" i="2"/>
  <c r="G26" i="2"/>
  <c r="I26" i="2"/>
  <c r="F26" i="2"/>
  <c r="E26" i="2"/>
  <c r="D26" i="2"/>
  <c r="C26" i="2"/>
  <c r="J26" i="2"/>
  <c r="B26" i="2"/>
  <c r="A27" i="2"/>
  <c r="H26" i="2"/>
  <c r="A28" i="2"/>
  <c r="I27" i="2"/>
  <c r="C27" i="2"/>
  <c r="D27" i="2"/>
  <c r="H27" i="2"/>
  <c r="G27" i="2"/>
  <c r="E27" i="2"/>
  <c r="J27" i="2"/>
  <c r="F27" i="2"/>
  <c r="B27" i="2"/>
  <c r="H28" i="2"/>
  <c r="E28" i="2"/>
  <c r="J28" i="2"/>
  <c r="C28" i="2"/>
  <c r="I28" i="2"/>
  <c r="A29" i="2"/>
  <c r="F28" i="2"/>
  <c r="D28" i="2"/>
  <c r="G28" i="2"/>
  <c r="B28" i="2"/>
  <c r="D29" i="2"/>
  <c r="E29" i="2"/>
  <c r="G29" i="2"/>
  <c r="C29" i="2"/>
  <c r="A30" i="2"/>
  <c r="F29" i="2"/>
  <c r="I29" i="2"/>
  <c r="J29" i="2"/>
  <c r="H29" i="2"/>
  <c r="B29" i="2"/>
  <c r="I30" i="2"/>
  <c r="J30" i="2"/>
  <c r="G30" i="2"/>
  <c r="C30" i="2"/>
  <c r="F30" i="2"/>
  <c r="D30" i="2"/>
  <c r="B30" i="2"/>
  <c r="H30" i="2"/>
  <c r="E30" i="2"/>
  <c r="A31" i="2"/>
  <c r="G31" i="2"/>
  <c r="I31" i="2"/>
  <c r="D31" i="2"/>
  <c r="C31" i="2"/>
  <c r="A32" i="2"/>
  <c r="F31" i="2"/>
  <c r="H31" i="2"/>
  <c r="J31" i="2"/>
  <c r="E31" i="2"/>
  <c r="B31" i="2"/>
  <c r="J32" i="2"/>
  <c r="H32" i="2"/>
  <c r="B32" i="2"/>
  <c r="I32" i="2"/>
  <c r="C32" i="2"/>
  <c r="F32" i="2"/>
  <c r="A33" i="2"/>
  <c r="G32" i="2"/>
  <c r="D32" i="2"/>
  <c r="E32" i="2"/>
  <c r="J33" i="2"/>
  <c r="I33" i="2"/>
  <c r="E33" i="2"/>
  <c r="G33" i="2"/>
  <c r="A34" i="2"/>
  <c r="D33" i="2"/>
  <c r="F33" i="2"/>
  <c r="H33" i="2"/>
  <c r="B33" i="2"/>
  <c r="C33" i="2"/>
  <c r="E34" i="2"/>
  <c r="H34" i="2"/>
  <c r="G34" i="2"/>
  <c r="B34" i="2"/>
  <c r="J34" i="2"/>
  <c r="A35" i="2"/>
  <c r="I34" i="2"/>
  <c r="C34" i="2"/>
  <c r="D34" i="2"/>
  <c r="F34" i="2"/>
  <c r="H35" i="2"/>
  <c r="E35" i="2"/>
  <c r="I35" i="2"/>
  <c r="C35" i="2"/>
  <c r="A36" i="2"/>
  <c r="G35" i="2"/>
  <c r="F35" i="2"/>
  <c r="J35" i="2"/>
  <c r="B35" i="2"/>
  <c r="D35" i="2"/>
  <c r="A37" i="2"/>
  <c r="J36" i="2"/>
  <c r="B36" i="2"/>
  <c r="F36" i="2"/>
  <c r="H36" i="2"/>
  <c r="I36" i="2"/>
  <c r="G36" i="2"/>
  <c r="E36" i="2"/>
  <c r="D36" i="2"/>
  <c r="C36" i="2"/>
  <c r="G37" i="2"/>
  <c r="E37" i="2"/>
  <c r="D37" i="2"/>
  <c r="I37" i="2"/>
  <c r="J37" i="2"/>
  <c r="C37" i="2"/>
  <c r="A38" i="2"/>
  <c r="H37" i="2"/>
  <c r="B37" i="2"/>
  <c r="F37" i="2"/>
  <c r="A39" i="2"/>
  <c r="F38" i="2"/>
  <c r="B38" i="2"/>
  <c r="H38" i="2"/>
  <c r="I38" i="2"/>
  <c r="J38" i="2"/>
  <c r="D38" i="2"/>
  <c r="E38" i="2"/>
  <c r="G38" i="2"/>
  <c r="C38" i="2"/>
  <c r="E39" i="2"/>
  <c r="J39" i="2"/>
  <c r="F39" i="2"/>
  <c r="D39" i="2"/>
  <c r="G39" i="2"/>
  <c r="I39" i="2"/>
  <c r="B39" i="2"/>
  <c r="A40" i="2"/>
  <c r="H39" i="2"/>
  <c r="C39" i="2"/>
  <c r="J40" i="2"/>
  <c r="H40" i="2"/>
  <c r="D40" i="2"/>
  <c r="E40" i="2"/>
  <c r="G40" i="2"/>
  <c r="I40" i="2"/>
  <c r="C40" i="2"/>
  <c r="A41" i="2"/>
  <c r="F40" i="2"/>
  <c r="B40" i="2"/>
  <c r="A42" i="2"/>
  <c r="F41" i="2"/>
  <c r="B41" i="2"/>
  <c r="D41" i="2"/>
  <c r="I41" i="2"/>
  <c r="J41" i="2"/>
  <c r="C41" i="2"/>
  <c r="H41" i="2"/>
  <c r="E41" i="2"/>
  <c r="G41" i="2"/>
  <c r="G42" i="2"/>
  <c r="F42" i="2"/>
  <c r="D42" i="2"/>
  <c r="E42" i="2"/>
  <c r="H42" i="2"/>
  <c r="B42" i="2"/>
  <c r="J42" i="2"/>
  <c r="A43" i="2"/>
  <c r="I42" i="2"/>
  <c r="C42" i="2"/>
  <c r="G43" i="2"/>
  <c r="F43" i="2"/>
  <c r="J43" i="2"/>
  <c r="H43" i="2"/>
  <c r="I43" i="2"/>
  <c r="A44" i="2"/>
  <c r="D43" i="2"/>
  <c r="E43" i="2"/>
  <c r="B43" i="2"/>
  <c r="C43" i="2"/>
  <c r="E44" i="2"/>
  <c r="H44" i="2"/>
  <c r="D44" i="2"/>
  <c r="I44" i="2"/>
  <c r="F44" i="2"/>
  <c r="G44" i="2"/>
  <c r="A45" i="2"/>
  <c r="J44" i="2"/>
  <c r="C44" i="2"/>
  <c r="B44" i="2"/>
  <c r="A46" i="2"/>
  <c r="H45" i="2"/>
  <c r="B45" i="2"/>
  <c r="G45" i="2"/>
  <c r="D45" i="2"/>
  <c r="F45" i="2"/>
  <c r="E45" i="2"/>
  <c r="J45" i="2"/>
  <c r="I45" i="2"/>
  <c r="C45" i="2"/>
  <c r="F46" i="2"/>
  <c r="D2" i="40"/>
  <c r="G46" i="2"/>
  <c r="G2" i="40"/>
  <c r="A47" i="2"/>
  <c r="J46" i="2"/>
  <c r="E2" i="40"/>
  <c r="C46" i="2"/>
  <c r="D46" i="2"/>
  <c r="E46" i="2"/>
  <c r="C2" i="40"/>
  <c r="H46" i="2"/>
  <c r="H2" i="40"/>
  <c r="I46" i="2"/>
  <c r="B46" i="2"/>
  <c r="A2" i="40"/>
  <c r="F2" i="40"/>
  <c r="E47" i="2"/>
  <c r="C3" i="40"/>
  <c r="G47" i="2"/>
  <c r="G3" i="40"/>
  <c r="I47" i="2"/>
  <c r="C47" i="2"/>
  <c r="A48" i="2"/>
  <c r="H47" i="2"/>
  <c r="H3" i="40"/>
  <c r="A3" i="40"/>
  <c r="A5" i="39"/>
  <c r="J47" i="2"/>
  <c r="E3" i="40"/>
  <c r="F47" i="2"/>
  <c r="D3" i="40"/>
  <c r="B47" i="2"/>
  <c r="D47" i="2"/>
  <c r="J5" i="39"/>
  <c r="P5" i="39"/>
  <c r="I5" i="39"/>
  <c r="Q5" i="39"/>
  <c r="A4" i="40"/>
  <c r="A6" i="39"/>
  <c r="E48" i="2"/>
  <c r="C4" i="40"/>
  <c r="D48" i="2"/>
  <c r="J6" i="39"/>
  <c r="F48" i="2"/>
  <c r="D4" i="40"/>
  <c r="I48" i="2"/>
  <c r="B48" i="2"/>
  <c r="I6" i="39"/>
  <c r="Q6" i="39"/>
  <c r="H48" i="2"/>
  <c r="H4" i="40"/>
  <c r="G48" i="2"/>
  <c r="G4" i="40"/>
  <c r="A49" i="2"/>
  <c r="J48" i="2"/>
  <c r="E4" i="40"/>
  <c r="C48" i="2"/>
  <c r="F3" i="40"/>
  <c r="I2" i="40"/>
  <c r="P2" i="40"/>
  <c r="I3" i="40"/>
  <c r="J3" i="40"/>
  <c r="F4" i="40"/>
  <c r="K2" i="40"/>
  <c r="L2" i="40"/>
  <c r="N2" i="40"/>
  <c r="J2" i="40"/>
  <c r="M2" i="40"/>
  <c r="O2" i="40"/>
  <c r="P6" i="39"/>
  <c r="K3" i="40"/>
  <c r="A5" i="40"/>
  <c r="A7" i="39"/>
  <c r="E49" i="2"/>
  <c r="C5" i="40"/>
  <c r="I49" i="2"/>
  <c r="H49" i="2"/>
  <c r="H5" i="40"/>
  <c r="G49" i="2"/>
  <c r="G5" i="40"/>
  <c r="J49" i="2"/>
  <c r="E5" i="40"/>
  <c r="F49" i="2"/>
  <c r="D5" i="40"/>
  <c r="A50" i="2"/>
  <c r="B49" i="2"/>
  <c r="C49" i="2"/>
  <c r="D49" i="2"/>
  <c r="J7" i="39"/>
  <c r="I7" i="39"/>
  <c r="Q7" i="39"/>
  <c r="E50" i="2"/>
  <c r="C6" i="40"/>
  <c r="J50" i="2"/>
  <c r="E6" i="40"/>
  <c r="A51" i="2"/>
  <c r="H50" i="2"/>
  <c r="H6" i="40"/>
  <c r="G50" i="2"/>
  <c r="G6" i="40"/>
  <c r="F50" i="2"/>
  <c r="D6" i="40"/>
  <c r="I50" i="2"/>
  <c r="A6" i="40"/>
  <c r="A8" i="39"/>
  <c r="C50" i="2"/>
  <c r="D50" i="2"/>
  <c r="J8" i="39"/>
  <c r="B50" i="2"/>
  <c r="P7" i="39"/>
  <c r="I4" i="40"/>
  <c r="P4" i="40"/>
  <c r="B5" i="39"/>
  <c r="M3" i="40"/>
  <c r="O3" i="40"/>
  <c r="F5" i="40"/>
  <c r="C5" i="39"/>
  <c r="L3" i="40"/>
  <c r="P3" i="40"/>
  <c r="I5" i="40"/>
  <c r="P5" i="40"/>
  <c r="N3" i="40"/>
  <c r="E5" i="39"/>
  <c r="I8" i="39"/>
  <c r="Q8" i="39"/>
  <c r="F5" i="39"/>
  <c r="K4" i="40"/>
  <c r="J4" i="40"/>
  <c r="P8" i="39"/>
  <c r="F6" i="40"/>
  <c r="A52" i="2"/>
  <c r="I51" i="2"/>
  <c r="D51" i="2"/>
  <c r="J9" i="39"/>
  <c r="A7" i="40"/>
  <c r="A9" i="39"/>
  <c r="E51" i="2"/>
  <c r="C7" i="40"/>
  <c r="F51" i="2"/>
  <c r="D7" i="40"/>
  <c r="C51" i="2"/>
  <c r="B51" i="2"/>
  <c r="H51" i="2"/>
  <c r="H7" i="40"/>
  <c r="J51" i="2"/>
  <c r="E7" i="40"/>
  <c r="G51" i="2"/>
  <c r="G7" i="40"/>
  <c r="I9" i="39"/>
  <c r="Q9" i="39"/>
  <c r="C6" i="39"/>
  <c r="L4" i="40"/>
  <c r="N4" i="40"/>
  <c r="G5" i="39"/>
  <c r="K5" i="39"/>
  <c r="P9" i="39"/>
  <c r="P6" i="40"/>
  <c r="I6" i="40"/>
  <c r="J6" i="40"/>
  <c r="L5" i="39"/>
  <c r="F7" i="40"/>
  <c r="K6" i="40"/>
  <c r="A53" i="2"/>
  <c r="J52" i="2"/>
  <c r="E8" i="40"/>
  <c r="B52" i="2"/>
  <c r="H52" i="2"/>
  <c r="H8" i="40"/>
  <c r="C52" i="2"/>
  <c r="F52" i="2"/>
  <c r="D8" i="40"/>
  <c r="E52" i="2"/>
  <c r="C8" i="40"/>
  <c r="D52" i="2"/>
  <c r="J10" i="39"/>
  <c r="A8" i="40"/>
  <c r="A10" i="39"/>
  <c r="I52" i="2"/>
  <c r="G52" i="2"/>
  <c r="G8" i="40"/>
  <c r="B6" i="39"/>
  <c r="F6" i="39"/>
  <c r="M4" i="40"/>
  <c r="O4" i="40"/>
  <c r="J5" i="40"/>
  <c r="K5" i="40"/>
  <c r="L6" i="39"/>
  <c r="B7" i="39"/>
  <c r="F7" i="39"/>
  <c r="M5" i="40"/>
  <c r="O5" i="40"/>
  <c r="F8" i="40"/>
  <c r="I7" i="40"/>
  <c r="J7" i="40"/>
  <c r="P7" i="40"/>
  <c r="B8" i="39"/>
  <c r="M6" i="40"/>
  <c r="O6" i="40"/>
  <c r="M5" i="39"/>
  <c r="U5" i="39"/>
  <c r="H53" i="2"/>
  <c r="H9" i="40"/>
  <c r="J53" i="2"/>
  <c r="C53" i="2"/>
  <c r="F53" i="2"/>
  <c r="D9" i="40"/>
  <c r="B53" i="2"/>
  <c r="I11" i="39"/>
  <c r="Q11" i="39"/>
  <c r="A54" i="2"/>
  <c r="E53" i="2"/>
  <c r="C9" i="40"/>
  <c r="A9" i="40"/>
  <c r="A11" i="39"/>
  <c r="G53" i="2"/>
  <c r="G9" i="40"/>
  <c r="I53" i="2"/>
  <c r="F9" i="40"/>
  <c r="D53" i="2"/>
  <c r="J11" i="39"/>
  <c r="K7" i="40"/>
  <c r="L7" i="40"/>
  <c r="N7" i="40"/>
  <c r="P10" i="39"/>
  <c r="C7" i="39"/>
  <c r="L5" i="40"/>
  <c r="N5" i="40"/>
  <c r="I10" i="39"/>
  <c r="Q10" i="39"/>
  <c r="C8" i="39"/>
  <c r="L6" i="40"/>
  <c r="N6" i="40"/>
  <c r="E6" i="39"/>
  <c r="F8" i="39"/>
  <c r="L7" i="39"/>
  <c r="P11" i="39"/>
  <c r="I8" i="40"/>
  <c r="P8" i="40"/>
  <c r="C9" i="39"/>
  <c r="H54" i="2"/>
  <c r="H10" i="40"/>
  <c r="G54" i="2"/>
  <c r="G10" i="40"/>
  <c r="E54" i="2"/>
  <c r="C10" i="40"/>
  <c r="A10" i="40"/>
  <c r="A12" i="39"/>
  <c r="J54" i="2"/>
  <c r="E10" i="40"/>
  <c r="I54" i="2"/>
  <c r="F54" i="2"/>
  <c r="D10" i="40"/>
  <c r="B54" i="2"/>
  <c r="A55" i="2"/>
  <c r="D54" i="2"/>
  <c r="J12" i="39"/>
  <c r="C54" i="2"/>
  <c r="E9" i="40"/>
  <c r="I9" i="40"/>
  <c r="B9" i="39"/>
  <c r="M7" i="40"/>
  <c r="O7" i="40"/>
  <c r="E7" i="39"/>
  <c r="G6" i="39"/>
  <c r="K6" i="39"/>
  <c r="P9" i="40"/>
  <c r="K9" i="40"/>
  <c r="A56" i="2"/>
  <c r="G55" i="2"/>
  <c r="G11" i="40"/>
  <c r="B55" i="2"/>
  <c r="J55" i="2"/>
  <c r="E11" i="40"/>
  <c r="D55" i="2"/>
  <c r="J13" i="39"/>
  <c r="A11" i="40"/>
  <c r="A13" i="39"/>
  <c r="I55" i="2"/>
  <c r="H55" i="2"/>
  <c r="H11" i="40"/>
  <c r="C55" i="2"/>
  <c r="F55" i="2"/>
  <c r="D11" i="40"/>
  <c r="E55" i="2"/>
  <c r="C11" i="40"/>
  <c r="G7" i="39"/>
  <c r="E8" i="39"/>
  <c r="K7" i="39"/>
  <c r="P12" i="39"/>
  <c r="F10" i="40"/>
  <c r="J9" i="40"/>
  <c r="I12" i="39"/>
  <c r="Q12" i="39"/>
  <c r="J8" i="40"/>
  <c r="K8" i="40"/>
  <c r="M6" i="39"/>
  <c r="U6" i="39"/>
  <c r="F9" i="39"/>
  <c r="L8" i="39"/>
  <c r="C10" i="39"/>
  <c r="L8" i="40"/>
  <c r="N8" i="40"/>
  <c r="B10" i="39"/>
  <c r="F10" i="39"/>
  <c r="M8" i="40"/>
  <c r="O8" i="40"/>
  <c r="M7" i="39"/>
  <c r="U7" i="39"/>
  <c r="F11" i="40"/>
  <c r="P13" i="39"/>
  <c r="A12" i="40"/>
  <c r="A14" i="39"/>
  <c r="G56" i="2"/>
  <c r="G12" i="40"/>
  <c r="C56" i="2"/>
  <c r="I56" i="2"/>
  <c r="F56" i="2"/>
  <c r="D12" i="40"/>
  <c r="J56" i="2"/>
  <c r="E12" i="40"/>
  <c r="B56" i="2"/>
  <c r="I14" i="39"/>
  <c r="Q14" i="39"/>
  <c r="E56" i="2"/>
  <c r="C12" i="40"/>
  <c r="H56" i="2"/>
  <c r="H12" i="40"/>
  <c r="A57" i="2"/>
  <c r="D56" i="2"/>
  <c r="J14" i="39"/>
  <c r="C11" i="39"/>
  <c r="L9" i="40"/>
  <c r="N9" i="40"/>
  <c r="L9" i="39"/>
  <c r="B11" i="39"/>
  <c r="M9" i="40"/>
  <c r="O9" i="40"/>
  <c r="G8" i="39"/>
  <c r="E9" i="39"/>
  <c r="K8" i="39"/>
  <c r="I10" i="40"/>
  <c r="I13" i="39"/>
  <c r="Q13" i="39"/>
  <c r="M8" i="39"/>
  <c r="U8" i="39"/>
  <c r="J10" i="40"/>
  <c r="K10" i="40"/>
  <c r="A13" i="40"/>
  <c r="A15" i="39"/>
  <c r="J57" i="2"/>
  <c r="E13" i="40"/>
  <c r="B57" i="2"/>
  <c r="A58" i="2"/>
  <c r="I57" i="2"/>
  <c r="G57" i="2"/>
  <c r="G13" i="40"/>
  <c r="F57" i="2"/>
  <c r="D13" i="40"/>
  <c r="H57" i="2"/>
  <c r="H13" i="40"/>
  <c r="E57" i="2"/>
  <c r="C13" i="40"/>
  <c r="C57" i="2"/>
  <c r="D57" i="2"/>
  <c r="J15" i="39"/>
  <c r="F12" i="40"/>
  <c r="I12" i="40"/>
  <c r="P12" i="40"/>
  <c r="P14" i="39"/>
  <c r="E10" i="39"/>
  <c r="G9" i="39"/>
  <c r="K9" i="39"/>
  <c r="F11" i="39"/>
  <c r="L10" i="39"/>
  <c r="I11" i="40"/>
  <c r="P11" i="40"/>
  <c r="P10" i="40"/>
  <c r="J12" i="40"/>
  <c r="K12" i="40"/>
  <c r="L12" i="40"/>
  <c r="N12" i="40"/>
  <c r="M9" i="39"/>
  <c r="U9" i="39"/>
  <c r="E11" i="39"/>
  <c r="G10" i="39"/>
  <c r="K10" i="39"/>
  <c r="L11" i="39"/>
  <c r="J11" i="40"/>
  <c r="M11" i="40"/>
  <c r="O11" i="40"/>
  <c r="K11" i="40"/>
  <c r="C14" i="39"/>
  <c r="P15" i="39"/>
  <c r="I15" i="39"/>
  <c r="Q15" i="39"/>
  <c r="B12" i="39"/>
  <c r="M10" i="40"/>
  <c r="O10" i="40"/>
  <c r="F13" i="40"/>
  <c r="H58" i="2"/>
  <c r="H14" i="40"/>
  <c r="F58" i="2"/>
  <c r="D14" i="40"/>
  <c r="A59" i="2"/>
  <c r="E58" i="2"/>
  <c r="C14" i="40"/>
  <c r="G58" i="2"/>
  <c r="G14" i="40"/>
  <c r="J58" i="2"/>
  <c r="E14" i="40"/>
  <c r="A14" i="40"/>
  <c r="A16" i="39"/>
  <c r="I58" i="2"/>
  <c r="B58" i="2"/>
  <c r="C58" i="2"/>
  <c r="D58" i="2"/>
  <c r="J16" i="39"/>
  <c r="C12" i="39"/>
  <c r="L10" i="40"/>
  <c r="N10" i="40"/>
  <c r="M12" i="40"/>
  <c r="O12" i="40"/>
  <c r="F12" i="39"/>
  <c r="L12" i="39"/>
  <c r="I16" i="39"/>
  <c r="Q16" i="39"/>
  <c r="F14" i="40"/>
  <c r="I14" i="40"/>
  <c r="B13" i="39"/>
  <c r="C13" i="39"/>
  <c r="L11" i="40"/>
  <c r="N11" i="40"/>
  <c r="G11" i="39"/>
  <c r="E12" i="39"/>
  <c r="K11" i="39"/>
  <c r="P16" i="39"/>
  <c r="A15" i="40"/>
  <c r="A17" i="39"/>
  <c r="E59" i="2"/>
  <c r="C15" i="40"/>
  <c r="D59" i="2"/>
  <c r="J17" i="39"/>
  <c r="A60" i="2"/>
  <c r="J59" i="2"/>
  <c r="E15" i="40"/>
  <c r="F59" i="2"/>
  <c r="D15" i="40"/>
  <c r="B59" i="2"/>
  <c r="G59" i="2"/>
  <c r="G15" i="40"/>
  <c r="C59" i="2"/>
  <c r="I59" i="2"/>
  <c r="H59" i="2"/>
  <c r="H15" i="40"/>
  <c r="I13" i="40"/>
  <c r="B14" i="39"/>
  <c r="M10" i="39"/>
  <c r="U10" i="39"/>
  <c r="F13" i="39"/>
  <c r="F14" i="39"/>
  <c r="L13" i="39"/>
  <c r="P14" i="40"/>
  <c r="J14" i="40"/>
  <c r="K14" i="40"/>
  <c r="K13" i="40"/>
  <c r="J13" i="40"/>
  <c r="I17" i="39"/>
  <c r="Q17" i="39"/>
  <c r="F15" i="40"/>
  <c r="P13" i="40"/>
  <c r="I15" i="40"/>
  <c r="J15" i="40"/>
  <c r="A16" i="40"/>
  <c r="A18" i="39"/>
  <c r="J60" i="2"/>
  <c r="E16" i="40"/>
  <c r="D60" i="2"/>
  <c r="J18" i="39"/>
  <c r="I60" i="2"/>
  <c r="H60" i="2"/>
  <c r="H16" i="40"/>
  <c r="B60" i="2"/>
  <c r="E60" i="2"/>
  <c r="C16" i="40"/>
  <c r="G60" i="2"/>
  <c r="G16" i="40"/>
  <c r="F60" i="2"/>
  <c r="D16" i="40"/>
  <c r="A61" i="2"/>
  <c r="C60" i="2"/>
  <c r="P17" i="39"/>
  <c r="E13" i="39"/>
  <c r="G12" i="39"/>
  <c r="K12" i="39"/>
  <c r="K15" i="40"/>
  <c r="C17" i="39"/>
  <c r="M11" i="39"/>
  <c r="U11" i="39"/>
  <c r="B17" i="39"/>
  <c r="M15" i="40"/>
  <c r="O15" i="40"/>
  <c r="H61" i="2"/>
  <c r="H17" i="40"/>
  <c r="G61" i="2"/>
  <c r="G17" i="40"/>
  <c r="J61" i="2"/>
  <c r="E17" i="40"/>
  <c r="E61" i="2"/>
  <c r="C17" i="40"/>
  <c r="I61" i="2"/>
  <c r="A62" i="2"/>
  <c r="F61" i="2"/>
  <c r="D17" i="40"/>
  <c r="A17" i="40"/>
  <c r="A19" i="39"/>
  <c r="D61" i="2"/>
  <c r="J19" i="39"/>
  <c r="B61" i="2"/>
  <c r="C61" i="2"/>
  <c r="I18" i="39"/>
  <c r="Q18" i="39"/>
  <c r="M12" i="39"/>
  <c r="U12" i="39"/>
  <c r="B16" i="39"/>
  <c r="M14" i="40"/>
  <c r="O14" i="40"/>
  <c r="F16" i="40"/>
  <c r="L15" i="40"/>
  <c r="N15" i="40"/>
  <c r="M13" i="40"/>
  <c r="O13" i="40"/>
  <c r="B15" i="39"/>
  <c r="F15" i="39"/>
  <c r="P18" i="39"/>
  <c r="P15" i="40"/>
  <c r="C15" i="39"/>
  <c r="L13" i="40"/>
  <c r="N13" i="40"/>
  <c r="E14" i="39"/>
  <c r="G13" i="39"/>
  <c r="K13" i="39"/>
  <c r="C16" i="39"/>
  <c r="L14" i="40"/>
  <c r="N14" i="40"/>
  <c r="L14" i="39"/>
  <c r="F16" i="39"/>
  <c r="L15" i="39"/>
  <c r="I19" i="39"/>
  <c r="Q19" i="39"/>
  <c r="A18" i="40"/>
  <c r="A20" i="39"/>
  <c r="G62" i="2"/>
  <c r="G18" i="40"/>
  <c r="C62" i="2"/>
  <c r="I62" i="2"/>
  <c r="A63" i="2"/>
  <c r="E62" i="2"/>
  <c r="C18" i="40"/>
  <c r="H62" i="2"/>
  <c r="H18" i="40"/>
  <c r="D62" i="2"/>
  <c r="J20" i="39"/>
  <c r="J62" i="2"/>
  <c r="E18" i="40"/>
  <c r="F62" i="2"/>
  <c r="D18" i="40"/>
  <c r="B62" i="2"/>
  <c r="M13" i="39"/>
  <c r="U13" i="39"/>
  <c r="P19" i="39"/>
  <c r="F17" i="40"/>
  <c r="G14" i="39"/>
  <c r="E15" i="39"/>
  <c r="K14" i="39"/>
  <c r="I16" i="40"/>
  <c r="P16" i="40"/>
  <c r="I20" i="39"/>
  <c r="Q20" i="39"/>
  <c r="E16" i="39"/>
  <c r="G15" i="39"/>
  <c r="K15" i="39"/>
  <c r="M14" i="39"/>
  <c r="U14" i="39"/>
  <c r="I17" i="40"/>
  <c r="J17" i="40"/>
  <c r="K16" i="40"/>
  <c r="J16" i="40"/>
  <c r="P20" i="39"/>
  <c r="F18" i="40"/>
  <c r="G63" i="2"/>
  <c r="G19" i="40"/>
  <c r="I63" i="2"/>
  <c r="A19" i="40"/>
  <c r="A21" i="39"/>
  <c r="F63" i="2"/>
  <c r="D19" i="40"/>
  <c r="A64" i="2"/>
  <c r="C63" i="2"/>
  <c r="J63" i="2"/>
  <c r="E19" i="40"/>
  <c r="B63" i="2"/>
  <c r="E63" i="2"/>
  <c r="C19" i="40"/>
  <c r="H63" i="2"/>
  <c r="H19" i="40"/>
  <c r="D63" i="2"/>
  <c r="J21" i="39"/>
  <c r="F17" i="39"/>
  <c r="L16" i="39"/>
  <c r="A65" i="2"/>
  <c r="H64" i="2"/>
  <c r="H20" i="40"/>
  <c r="D64" i="2"/>
  <c r="J22" i="39"/>
  <c r="J64" i="2"/>
  <c r="E20" i="40"/>
  <c r="E64" i="2"/>
  <c r="C20" i="40"/>
  <c r="G64" i="2"/>
  <c r="G20" i="40"/>
  <c r="A20" i="40"/>
  <c r="A22" i="39"/>
  <c r="C64" i="2"/>
  <c r="F64" i="2"/>
  <c r="D20" i="40"/>
  <c r="I64" i="2"/>
  <c r="B64" i="2"/>
  <c r="I22" i="39"/>
  <c r="Q22" i="39"/>
  <c r="L17" i="39"/>
  <c r="I21" i="39"/>
  <c r="Q21" i="39"/>
  <c r="P21" i="39"/>
  <c r="F19" i="40"/>
  <c r="C18" i="39"/>
  <c r="L16" i="40"/>
  <c r="N16" i="40"/>
  <c r="G16" i="39"/>
  <c r="E17" i="39"/>
  <c r="K16" i="39"/>
  <c r="I18" i="40"/>
  <c r="J18" i="40"/>
  <c r="P18" i="40"/>
  <c r="B19" i="39"/>
  <c r="M17" i="40"/>
  <c r="O17" i="40"/>
  <c r="P17" i="40"/>
  <c r="B18" i="39"/>
  <c r="M16" i="40"/>
  <c r="O16" i="40"/>
  <c r="M15" i="39"/>
  <c r="U15" i="39"/>
  <c r="K17" i="40"/>
  <c r="F20" i="40"/>
  <c r="B20" i="39"/>
  <c r="M18" i="40"/>
  <c r="O18" i="40"/>
  <c r="M16" i="39"/>
  <c r="U16" i="39"/>
  <c r="I19" i="40"/>
  <c r="J19" i="40"/>
  <c r="F18" i="39"/>
  <c r="C19" i="39"/>
  <c r="L17" i="40"/>
  <c r="N17" i="40"/>
  <c r="P22" i="39"/>
  <c r="G17" i="39"/>
  <c r="E18" i="39"/>
  <c r="K17" i="39"/>
  <c r="J65" i="2"/>
  <c r="E21" i="40"/>
  <c r="H65" i="2"/>
  <c r="H21" i="40"/>
  <c r="A66" i="2"/>
  <c r="F65" i="2"/>
  <c r="D21" i="40"/>
  <c r="D65" i="2"/>
  <c r="J23" i="39"/>
  <c r="A21" i="40"/>
  <c r="A23" i="39"/>
  <c r="E65" i="2"/>
  <c r="C21" i="40"/>
  <c r="B65" i="2"/>
  <c r="I65" i="2"/>
  <c r="G65" i="2"/>
  <c r="G21" i="40"/>
  <c r="C65" i="2"/>
  <c r="K18" i="40"/>
  <c r="F21" i="40"/>
  <c r="P23" i="39"/>
  <c r="C20" i="39"/>
  <c r="L18" i="40"/>
  <c r="N18" i="40"/>
  <c r="I23" i="39"/>
  <c r="Q23" i="39"/>
  <c r="M17" i="39"/>
  <c r="U17" i="39"/>
  <c r="P19" i="40"/>
  <c r="I21" i="40"/>
  <c r="P21" i="40"/>
  <c r="F19" i="39"/>
  <c r="L18" i="39"/>
  <c r="M19" i="40"/>
  <c r="O19" i="40"/>
  <c r="B21" i="39"/>
  <c r="K19" i="40"/>
  <c r="E66" i="2"/>
  <c r="C22" i="40"/>
  <c r="F66" i="2"/>
  <c r="D22" i="40"/>
  <c r="G66" i="2"/>
  <c r="G22" i="40"/>
  <c r="J66" i="2"/>
  <c r="E22" i="40"/>
  <c r="A67" i="2"/>
  <c r="H66" i="2"/>
  <c r="H22" i="40"/>
  <c r="C66" i="2"/>
  <c r="D66" i="2"/>
  <c r="J24" i="39"/>
  <c r="A22" i="40"/>
  <c r="A24" i="39"/>
  <c r="I66" i="2"/>
  <c r="B66" i="2"/>
  <c r="G18" i="39"/>
  <c r="E19" i="39"/>
  <c r="K18" i="39"/>
  <c r="I20" i="40"/>
  <c r="P20" i="40"/>
  <c r="J21" i="40"/>
  <c r="M21" i="40"/>
  <c r="O21" i="40"/>
  <c r="A23" i="40"/>
  <c r="A25" i="39"/>
  <c r="H67" i="2"/>
  <c r="H23" i="40"/>
  <c r="D67" i="2"/>
  <c r="J25" i="39"/>
  <c r="I67" i="2"/>
  <c r="J67" i="2"/>
  <c r="E23" i="40"/>
  <c r="G67" i="2"/>
  <c r="G23" i="40"/>
  <c r="B67" i="2"/>
  <c r="E67" i="2"/>
  <c r="C23" i="40"/>
  <c r="F67" i="2"/>
  <c r="D23" i="40"/>
  <c r="A68" i="2"/>
  <c r="C67" i="2"/>
  <c r="P24" i="39"/>
  <c r="J20" i="40"/>
  <c r="K20" i="40"/>
  <c r="I24" i="39"/>
  <c r="Q24" i="39"/>
  <c r="F22" i="40"/>
  <c r="K21" i="40"/>
  <c r="M18" i="39"/>
  <c r="U18" i="39"/>
  <c r="C21" i="39"/>
  <c r="L19" i="40"/>
  <c r="N19" i="40"/>
  <c r="G19" i="39"/>
  <c r="E20" i="39"/>
  <c r="K19" i="39"/>
  <c r="B23" i="39"/>
  <c r="F20" i="39"/>
  <c r="L19" i="39"/>
  <c r="M19" i="39"/>
  <c r="U19" i="39"/>
  <c r="C22" i="39"/>
  <c r="L20" i="40"/>
  <c r="N20" i="40"/>
  <c r="I22" i="40"/>
  <c r="M20" i="40"/>
  <c r="O20" i="40"/>
  <c r="B22" i="39"/>
  <c r="F23" i="40"/>
  <c r="I25" i="39"/>
  <c r="Q25" i="39"/>
  <c r="P25" i="39"/>
  <c r="L21" i="40"/>
  <c r="N21" i="40"/>
  <c r="C23" i="39"/>
  <c r="A69" i="2"/>
  <c r="H68" i="2"/>
  <c r="H24" i="40"/>
  <c r="E68" i="2"/>
  <c r="C24" i="40"/>
  <c r="J68" i="2"/>
  <c r="E24" i="40"/>
  <c r="B68" i="2"/>
  <c r="I26" i="39"/>
  <c r="Q26" i="39"/>
  <c r="A24" i="40"/>
  <c r="A26" i="39"/>
  <c r="G68" i="2"/>
  <c r="G24" i="40"/>
  <c r="C68" i="2"/>
  <c r="F68" i="2"/>
  <c r="D24" i="40"/>
  <c r="I68" i="2"/>
  <c r="D68" i="2"/>
  <c r="J26" i="39"/>
  <c r="F21" i="39"/>
  <c r="L20" i="39"/>
  <c r="G20" i="39"/>
  <c r="E21" i="39"/>
  <c r="K20" i="39"/>
  <c r="K22" i="40"/>
  <c r="J22" i="40"/>
  <c r="F22" i="39"/>
  <c r="L21" i="39"/>
  <c r="G21" i="39"/>
  <c r="E22" i="39"/>
  <c r="K21" i="39"/>
  <c r="M20" i="39"/>
  <c r="U20" i="39"/>
  <c r="P26" i="39"/>
  <c r="I23" i="40"/>
  <c r="P22" i="40"/>
  <c r="F24" i="40"/>
  <c r="A25" i="40"/>
  <c r="A27" i="39"/>
  <c r="F69" i="2"/>
  <c r="D25" i="40"/>
  <c r="B69" i="2"/>
  <c r="G69" i="2"/>
  <c r="G25" i="40"/>
  <c r="J69" i="2"/>
  <c r="E25" i="40"/>
  <c r="E69" i="2"/>
  <c r="C25" i="40"/>
  <c r="D69" i="2"/>
  <c r="J27" i="39"/>
  <c r="H69" i="2"/>
  <c r="H25" i="40"/>
  <c r="I69" i="2"/>
  <c r="A70" i="2"/>
  <c r="C69" i="2"/>
  <c r="J23" i="40"/>
  <c r="K23" i="40"/>
  <c r="M21" i="39"/>
  <c r="U21" i="39"/>
  <c r="B24" i="39"/>
  <c r="M22" i="40"/>
  <c r="O22" i="40"/>
  <c r="P27" i="39"/>
  <c r="F70" i="2"/>
  <c r="D26" i="40"/>
  <c r="I70" i="2"/>
  <c r="A26" i="40"/>
  <c r="A28" i="39"/>
  <c r="E70" i="2"/>
  <c r="C26" i="40"/>
  <c r="G70" i="2"/>
  <c r="G26" i="40"/>
  <c r="H70" i="2"/>
  <c r="H26" i="40"/>
  <c r="J70" i="2"/>
  <c r="E26" i="40"/>
  <c r="A71" i="2"/>
  <c r="C70" i="2"/>
  <c r="B70" i="2"/>
  <c r="D70" i="2"/>
  <c r="J28" i="39"/>
  <c r="F25" i="40"/>
  <c r="I25" i="40"/>
  <c r="J25" i="40"/>
  <c r="P23" i="40"/>
  <c r="G22" i="39"/>
  <c r="E23" i="39"/>
  <c r="K22" i="39"/>
  <c r="F23" i="39"/>
  <c r="L22" i="39"/>
  <c r="I27" i="39"/>
  <c r="Q27" i="39"/>
  <c r="I24" i="40"/>
  <c r="P24" i="40"/>
  <c r="C24" i="39"/>
  <c r="L22" i="40"/>
  <c r="N22" i="40"/>
  <c r="M25" i="40"/>
  <c r="O25" i="40"/>
  <c r="M22" i="39"/>
  <c r="U22" i="39"/>
  <c r="I28" i="39"/>
  <c r="Q28" i="39"/>
  <c r="F26" i="40"/>
  <c r="I26" i="40"/>
  <c r="K24" i="40"/>
  <c r="J24" i="40"/>
  <c r="F24" i="39"/>
  <c r="L23" i="39"/>
  <c r="A27" i="40"/>
  <c r="A29" i="39"/>
  <c r="I71" i="2"/>
  <c r="D71" i="2"/>
  <c r="J29" i="39"/>
  <c r="G71" i="2"/>
  <c r="G27" i="40"/>
  <c r="B71" i="2"/>
  <c r="A72" i="2"/>
  <c r="F71" i="2"/>
  <c r="E71" i="2"/>
  <c r="H71" i="2"/>
  <c r="H27" i="40"/>
  <c r="J71" i="2"/>
  <c r="E27" i="40"/>
  <c r="C71" i="2"/>
  <c r="C25" i="39"/>
  <c r="L23" i="40"/>
  <c r="N23" i="40"/>
  <c r="E24" i="39"/>
  <c r="G23" i="39"/>
  <c r="K23" i="39"/>
  <c r="P28" i="39"/>
  <c r="B25" i="39"/>
  <c r="M23" i="40"/>
  <c r="O23" i="40"/>
  <c r="P25" i="40"/>
  <c r="K25" i="40"/>
  <c r="P26" i="40"/>
  <c r="J26" i="40"/>
  <c r="K26" i="40"/>
  <c r="C27" i="40"/>
  <c r="C26" i="39"/>
  <c r="L24" i="40"/>
  <c r="N24" i="40"/>
  <c r="I29" i="39"/>
  <c r="Q29" i="39"/>
  <c r="B26" i="39"/>
  <c r="M24" i="40"/>
  <c r="O24" i="40"/>
  <c r="M23" i="39"/>
  <c r="U23" i="39"/>
  <c r="C27" i="39"/>
  <c r="L25" i="40"/>
  <c r="N25" i="40"/>
  <c r="E25" i="39"/>
  <c r="G24" i="39"/>
  <c r="K24" i="39"/>
  <c r="D27" i="40"/>
  <c r="P29" i="39"/>
  <c r="B27" i="39"/>
  <c r="A28" i="40"/>
  <c r="A30" i="39"/>
  <c r="G72" i="2"/>
  <c r="G28" i="40"/>
  <c r="A73" i="2"/>
  <c r="E72" i="2"/>
  <c r="C28" i="40"/>
  <c r="F72" i="2"/>
  <c r="D28" i="40"/>
  <c r="H72" i="2"/>
  <c r="H28" i="40"/>
  <c r="I72" i="2"/>
  <c r="J72" i="2"/>
  <c r="E28" i="40"/>
  <c r="C72" i="2"/>
  <c r="B72" i="2"/>
  <c r="D72" i="2"/>
  <c r="J30" i="39"/>
  <c r="F27" i="40"/>
  <c r="F25" i="39"/>
  <c r="L24" i="39"/>
  <c r="F26" i="39"/>
  <c r="L25" i="39"/>
  <c r="I30" i="39"/>
  <c r="Q30" i="39"/>
  <c r="E26" i="39"/>
  <c r="G25" i="39"/>
  <c r="K25" i="39"/>
  <c r="B28" i="39"/>
  <c r="M26" i="40"/>
  <c r="O26" i="40"/>
  <c r="I27" i="40"/>
  <c r="K27" i="40"/>
  <c r="P30" i="39"/>
  <c r="F28" i="40"/>
  <c r="A74" i="2"/>
  <c r="I73" i="2"/>
  <c r="D73" i="2"/>
  <c r="J31" i="39"/>
  <c r="G73" i="2"/>
  <c r="G29" i="40"/>
  <c r="B73" i="2"/>
  <c r="J73" i="2"/>
  <c r="E29" i="40"/>
  <c r="C73" i="2"/>
  <c r="A29" i="40"/>
  <c r="A31" i="39"/>
  <c r="E73" i="2"/>
  <c r="C29" i="40"/>
  <c r="F73" i="2"/>
  <c r="H73" i="2"/>
  <c r="H29" i="40"/>
  <c r="M24" i="39"/>
  <c r="U24" i="39"/>
  <c r="C28" i="39"/>
  <c r="L26" i="40"/>
  <c r="N26" i="40"/>
  <c r="L27" i="40"/>
  <c r="N27" i="40"/>
  <c r="C29" i="39"/>
  <c r="A30" i="40"/>
  <c r="A32" i="39"/>
  <c r="F74" i="2"/>
  <c r="D30" i="40"/>
  <c r="D74" i="2"/>
  <c r="J32" i="39"/>
  <c r="J74" i="2"/>
  <c r="E30" i="40"/>
  <c r="B74" i="2"/>
  <c r="A75" i="2"/>
  <c r="I74" i="2"/>
  <c r="C74" i="2"/>
  <c r="H74" i="2"/>
  <c r="H30" i="40"/>
  <c r="E74" i="2"/>
  <c r="C30" i="40"/>
  <c r="G74" i="2"/>
  <c r="G30" i="40"/>
  <c r="P31" i="39"/>
  <c r="I28" i="40"/>
  <c r="P28" i="40"/>
  <c r="P27" i="40"/>
  <c r="J27" i="40"/>
  <c r="D29" i="40"/>
  <c r="F29" i="40"/>
  <c r="M25" i="39"/>
  <c r="U25" i="39"/>
  <c r="I31" i="39"/>
  <c r="Q31" i="39"/>
  <c r="E27" i="39"/>
  <c r="G26" i="39"/>
  <c r="K26" i="39"/>
  <c r="F27" i="39"/>
  <c r="L26" i="39"/>
  <c r="M26" i="39"/>
  <c r="U26" i="39"/>
  <c r="P32" i="39"/>
  <c r="G27" i="39"/>
  <c r="E28" i="39"/>
  <c r="K27" i="39"/>
  <c r="G75" i="2"/>
  <c r="G31" i="40"/>
  <c r="F75" i="2"/>
  <c r="D31" i="40"/>
  <c r="C75" i="2"/>
  <c r="A31" i="40"/>
  <c r="A33" i="39"/>
  <c r="E75" i="2"/>
  <c r="C31" i="40"/>
  <c r="J75" i="2"/>
  <c r="E31" i="40"/>
  <c r="B75" i="2"/>
  <c r="D75" i="2"/>
  <c r="J33" i="39"/>
  <c r="A76" i="2"/>
  <c r="I75" i="2"/>
  <c r="H75" i="2"/>
  <c r="H31" i="40"/>
  <c r="F28" i="39"/>
  <c r="L27" i="39"/>
  <c r="I29" i="40"/>
  <c r="P29" i="40"/>
  <c r="B29" i="39"/>
  <c r="M27" i="40"/>
  <c r="O27" i="40"/>
  <c r="K29" i="40"/>
  <c r="I32" i="39"/>
  <c r="Q32" i="39"/>
  <c r="F30" i="40"/>
  <c r="I30" i="40"/>
  <c r="K30" i="40"/>
  <c r="J29" i="40"/>
  <c r="K28" i="40"/>
  <c r="J28" i="40"/>
  <c r="C32" i="39"/>
  <c r="L30" i="40"/>
  <c r="N30" i="40"/>
  <c r="I33" i="39"/>
  <c r="Q33" i="39"/>
  <c r="M29" i="40"/>
  <c r="O29" i="40"/>
  <c r="B31" i="39"/>
  <c r="L29" i="40"/>
  <c r="N29" i="40"/>
  <c r="C31" i="39"/>
  <c r="J30" i="40"/>
  <c r="F76" i="2"/>
  <c r="D32" i="40"/>
  <c r="J76" i="2"/>
  <c r="E32" i="40"/>
  <c r="D76" i="2"/>
  <c r="J34" i="39"/>
  <c r="G76" i="2"/>
  <c r="G32" i="40"/>
  <c r="E76" i="2"/>
  <c r="C32" i="40"/>
  <c r="C76" i="2"/>
  <c r="I76" i="2"/>
  <c r="H76" i="2"/>
  <c r="H32" i="40"/>
  <c r="A77" i="2"/>
  <c r="B76" i="2"/>
  <c r="A32" i="40"/>
  <c r="A34" i="39"/>
  <c r="M27" i="39"/>
  <c r="U27" i="39"/>
  <c r="B30" i="39"/>
  <c r="M28" i="40"/>
  <c r="O28" i="40"/>
  <c r="P30" i="40"/>
  <c r="F29" i="39"/>
  <c r="L28" i="39"/>
  <c r="P33" i="39"/>
  <c r="C30" i="39"/>
  <c r="L28" i="40"/>
  <c r="N28" i="40"/>
  <c r="F31" i="40"/>
  <c r="G28" i="39"/>
  <c r="E29" i="39"/>
  <c r="K28" i="39"/>
  <c r="B32" i="39"/>
  <c r="M30" i="40"/>
  <c r="O30" i="40"/>
  <c r="I31" i="40"/>
  <c r="J31" i="40"/>
  <c r="F30" i="39"/>
  <c r="L29" i="39"/>
  <c r="G29" i="39"/>
  <c r="E30" i="39"/>
  <c r="K29" i="39"/>
  <c r="I34" i="39"/>
  <c r="Q34" i="39"/>
  <c r="M28" i="39"/>
  <c r="U28" i="39"/>
  <c r="H77" i="2"/>
  <c r="H33" i="40"/>
  <c r="G77" i="2"/>
  <c r="G33" i="40"/>
  <c r="I77" i="2"/>
  <c r="C77" i="2"/>
  <c r="J77" i="2"/>
  <c r="E33" i="40"/>
  <c r="B77" i="2"/>
  <c r="E77" i="2"/>
  <c r="C33" i="40"/>
  <c r="F77" i="2"/>
  <c r="D33" i="40"/>
  <c r="A78" i="2"/>
  <c r="A33" i="40"/>
  <c r="A35" i="39"/>
  <c r="D77" i="2"/>
  <c r="J35" i="39"/>
  <c r="K31" i="40"/>
  <c r="F32" i="40"/>
  <c r="P34" i="39"/>
  <c r="P31" i="40"/>
  <c r="P35" i="39"/>
  <c r="F33" i="40"/>
  <c r="G30" i="39"/>
  <c r="E31" i="39"/>
  <c r="K30" i="39"/>
  <c r="I32" i="40"/>
  <c r="J32" i="40"/>
  <c r="C33" i="39"/>
  <c r="L31" i="40"/>
  <c r="N31" i="40"/>
  <c r="G78" i="2"/>
  <c r="G34" i="40"/>
  <c r="H78" i="2"/>
  <c r="H34" i="40"/>
  <c r="A79" i="2"/>
  <c r="C78" i="2"/>
  <c r="J78" i="2"/>
  <c r="E34" i="40"/>
  <c r="F78" i="2"/>
  <c r="D34" i="40"/>
  <c r="I78" i="2"/>
  <c r="A34" i="40"/>
  <c r="A36" i="39"/>
  <c r="E78" i="2"/>
  <c r="C34" i="40"/>
  <c r="B78" i="2"/>
  <c r="D78" i="2"/>
  <c r="J36" i="39"/>
  <c r="F31" i="39"/>
  <c r="L30" i="39"/>
  <c r="I35" i="39"/>
  <c r="Q35" i="39"/>
  <c r="M29" i="39"/>
  <c r="U29" i="39"/>
  <c r="B33" i="39"/>
  <c r="M31" i="40"/>
  <c r="O31" i="40"/>
  <c r="K32" i="40"/>
  <c r="P32" i="40"/>
  <c r="I33" i="40"/>
  <c r="P33" i="40"/>
  <c r="C34" i="39"/>
  <c r="L32" i="40"/>
  <c r="N32" i="40"/>
  <c r="F32" i="39"/>
  <c r="L31" i="39"/>
  <c r="I36" i="39"/>
  <c r="Q36" i="39"/>
  <c r="M30" i="39"/>
  <c r="U30" i="39"/>
  <c r="B34" i="39"/>
  <c r="M32" i="40"/>
  <c r="O32" i="40"/>
  <c r="P36" i="39"/>
  <c r="F34" i="40"/>
  <c r="A35" i="40"/>
  <c r="A37" i="39"/>
  <c r="E79" i="2"/>
  <c r="C35" i="40"/>
  <c r="J79" i="2"/>
  <c r="E35" i="40"/>
  <c r="H79" i="2"/>
  <c r="H35" i="40"/>
  <c r="A80" i="2"/>
  <c r="G79" i="2"/>
  <c r="G35" i="40"/>
  <c r="F79" i="2"/>
  <c r="D35" i="40"/>
  <c r="I79" i="2"/>
  <c r="B79" i="2"/>
  <c r="D79" i="2"/>
  <c r="J37" i="39"/>
  <c r="C79" i="2"/>
  <c r="E32" i="39"/>
  <c r="G31" i="39"/>
  <c r="K31" i="39"/>
  <c r="E33" i="39"/>
  <c r="G32" i="39"/>
  <c r="K32" i="39"/>
  <c r="F35" i="40"/>
  <c r="I35" i="40"/>
  <c r="P35" i="40"/>
  <c r="K35" i="40"/>
  <c r="I34" i="40"/>
  <c r="J34" i="40"/>
  <c r="P34" i="40"/>
  <c r="J35" i="40"/>
  <c r="B37" i="39"/>
  <c r="P37" i="39"/>
  <c r="M31" i="39"/>
  <c r="U31" i="39"/>
  <c r="I37" i="39"/>
  <c r="Q37" i="39"/>
  <c r="H80" i="2"/>
  <c r="H36" i="40"/>
  <c r="I80" i="2"/>
  <c r="F36" i="40"/>
  <c r="E80" i="2"/>
  <c r="C36" i="40"/>
  <c r="A81" i="2"/>
  <c r="B80" i="2"/>
  <c r="I38" i="39"/>
  <c r="Q38" i="39"/>
  <c r="A36" i="40"/>
  <c r="A38" i="39"/>
  <c r="J80" i="2"/>
  <c r="F80" i="2"/>
  <c r="D36" i="40"/>
  <c r="G80" i="2"/>
  <c r="G36" i="40"/>
  <c r="D80" i="2"/>
  <c r="J38" i="39"/>
  <c r="C80" i="2"/>
  <c r="F33" i="39"/>
  <c r="L32" i="39"/>
  <c r="J33" i="40"/>
  <c r="K33" i="40"/>
  <c r="K34" i="40"/>
  <c r="C37" i="39"/>
  <c r="P38" i="39"/>
  <c r="M32" i="39"/>
  <c r="U32" i="39"/>
  <c r="F34" i="39"/>
  <c r="L33" i="39"/>
  <c r="A82" i="2"/>
  <c r="E81" i="2"/>
  <c r="C37" i="40"/>
  <c r="D81" i="2"/>
  <c r="J39" i="39"/>
  <c r="H81" i="2"/>
  <c r="H37" i="40"/>
  <c r="G81" i="2"/>
  <c r="G37" i="40"/>
  <c r="J81" i="2"/>
  <c r="E37" i="40"/>
  <c r="C81" i="2"/>
  <c r="B81" i="2"/>
  <c r="A37" i="40"/>
  <c r="A39" i="39"/>
  <c r="I81" i="2"/>
  <c r="F81" i="2"/>
  <c r="D37" i="40"/>
  <c r="M35" i="40"/>
  <c r="O35" i="40"/>
  <c r="C35" i="39"/>
  <c r="L33" i="40"/>
  <c r="N33" i="40"/>
  <c r="E36" i="40"/>
  <c r="I36" i="40"/>
  <c r="L35" i="40"/>
  <c r="N35" i="40"/>
  <c r="B36" i="39"/>
  <c r="M34" i="40"/>
  <c r="O34" i="40"/>
  <c r="B35" i="39"/>
  <c r="M33" i="40"/>
  <c r="O33" i="40"/>
  <c r="C36" i="39"/>
  <c r="L34" i="40"/>
  <c r="N34" i="40"/>
  <c r="G33" i="39"/>
  <c r="E34" i="39"/>
  <c r="K33" i="39"/>
  <c r="K36" i="40"/>
  <c r="P36" i="40"/>
  <c r="P39" i="39"/>
  <c r="E35" i="39"/>
  <c r="G34" i="39"/>
  <c r="K34" i="39"/>
  <c r="A38" i="40"/>
  <c r="A40" i="39"/>
  <c r="F82" i="2"/>
  <c r="D38" i="40"/>
  <c r="H82" i="2"/>
  <c r="H38" i="40"/>
  <c r="I82" i="2"/>
  <c r="A83" i="2"/>
  <c r="E82" i="2"/>
  <c r="C38" i="40"/>
  <c r="D82" i="2"/>
  <c r="J40" i="39"/>
  <c r="B82" i="2"/>
  <c r="J82" i="2"/>
  <c r="E38" i="40"/>
  <c r="G82" i="2"/>
  <c r="G38" i="40"/>
  <c r="C82" i="2"/>
  <c r="M33" i="39"/>
  <c r="U33" i="39"/>
  <c r="I39" i="39"/>
  <c r="Q39" i="39"/>
  <c r="P57" i="39" a="1"/>
  <c r="J36" i="40"/>
  <c r="F37" i="40"/>
  <c r="F35" i="39"/>
  <c r="L34" i="39"/>
  <c r="I37" i="40"/>
  <c r="J37" i="40"/>
  <c r="P37" i="40"/>
  <c r="A39" i="40"/>
  <c r="A41" i="39"/>
  <c r="H83" i="2"/>
  <c r="H39" i="40"/>
  <c r="B83" i="2"/>
  <c r="I41" i="39"/>
  <c r="Q41" i="39"/>
  <c r="A84" i="2"/>
  <c r="E83" i="2"/>
  <c r="I83" i="2"/>
  <c r="G83" i="2"/>
  <c r="G39" i="40"/>
  <c r="C83" i="2"/>
  <c r="D83" i="2"/>
  <c r="J41" i="39"/>
  <c r="F83" i="2"/>
  <c r="J83" i="2"/>
  <c r="E39" i="40"/>
  <c r="Q57" i="39"/>
  <c r="P57" i="39"/>
  <c r="E36" i="39"/>
  <c r="G35" i="39"/>
  <c r="K35" i="39"/>
  <c r="F36" i="39"/>
  <c r="L35" i="39"/>
  <c r="B38" i="39"/>
  <c r="M36" i="40"/>
  <c r="O36" i="40"/>
  <c r="K37" i="40"/>
  <c r="I40" i="39"/>
  <c r="Q40" i="39"/>
  <c r="F38" i="40"/>
  <c r="P40" i="39"/>
  <c r="M34" i="39"/>
  <c r="U34" i="39"/>
  <c r="C38" i="39"/>
  <c r="L36" i="40"/>
  <c r="N36" i="40"/>
  <c r="G36" i="39"/>
  <c r="E37" i="39"/>
  <c r="K36" i="39"/>
  <c r="L37" i="40"/>
  <c r="N37" i="40"/>
  <c r="C39" i="39"/>
  <c r="F37" i="39"/>
  <c r="L36" i="39"/>
  <c r="D39" i="40"/>
  <c r="I38" i="40"/>
  <c r="P41" i="39"/>
  <c r="C39" i="40"/>
  <c r="M35" i="39"/>
  <c r="U35" i="39"/>
  <c r="R40" i="39"/>
  <c r="R36" i="39"/>
  <c r="R13" i="39"/>
  <c r="R26" i="39"/>
  <c r="R33" i="39"/>
  <c r="R34" i="39"/>
  <c r="R39" i="39"/>
  <c r="R22" i="39"/>
  <c r="R27" i="39"/>
  <c r="R10" i="39"/>
  <c r="R38" i="39"/>
  <c r="R14" i="39"/>
  <c r="R21" i="39"/>
  <c r="R35" i="39"/>
  <c r="R20" i="39"/>
  <c r="R24" i="39"/>
  <c r="R25" i="39"/>
  <c r="R29" i="39"/>
  <c r="R9" i="39"/>
  <c r="R5" i="39"/>
  <c r="R8" i="39"/>
  <c r="R30" i="39"/>
  <c r="R7" i="39"/>
  <c r="R18" i="39"/>
  <c r="R11" i="39"/>
  <c r="R16" i="39"/>
  <c r="R32" i="39"/>
  <c r="R31" i="39"/>
  <c r="R17" i="39"/>
  <c r="R15" i="39"/>
  <c r="R28" i="39"/>
  <c r="R41" i="39"/>
  <c r="R37" i="39"/>
  <c r="R6" i="39"/>
  <c r="R12" i="39"/>
  <c r="R19" i="39"/>
  <c r="R23" i="39"/>
  <c r="G84" i="2"/>
  <c r="G40" i="40"/>
  <c r="H84" i="2"/>
  <c r="H40" i="40"/>
  <c r="A40" i="40"/>
  <c r="A42" i="39"/>
  <c r="I84" i="2"/>
  <c r="F84" i="2"/>
  <c r="D40" i="40"/>
  <c r="A85" i="2"/>
  <c r="B84" i="2"/>
  <c r="J84" i="2"/>
  <c r="E40" i="40"/>
  <c r="E84" i="2"/>
  <c r="C40" i="40"/>
  <c r="D84" i="2"/>
  <c r="J42" i="39"/>
  <c r="C84" i="2"/>
  <c r="F39" i="40"/>
  <c r="B39" i="39"/>
  <c r="M37" i="40"/>
  <c r="O37" i="40"/>
  <c r="F40" i="40"/>
  <c r="J38" i="40"/>
  <c r="K38" i="40"/>
  <c r="F38" i="39"/>
  <c r="L37" i="39"/>
  <c r="E38" i="39"/>
  <c r="G37" i="39"/>
  <c r="K37" i="39"/>
  <c r="P42" i="39"/>
  <c r="F85" i="2"/>
  <c r="D41" i="40"/>
  <c r="I85" i="2"/>
  <c r="A41" i="40"/>
  <c r="A43" i="39"/>
  <c r="J85" i="2"/>
  <c r="E41" i="40"/>
  <c r="H85" i="2"/>
  <c r="H41" i="40"/>
  <c r="E85" i="2"/>
  <c r="C41" i="40"/>
  <c r="B85" i="2"/>
  <c r="A86" i="2"/>
  <c r="G85" i="2"/>
  <c r="G41" i="40"/>
  <c r="D85" i="2"/>
  <c r="J43" i="39"/>
  <c r="C85" i="2"/>
  <c r="I39" i="40"/>
  <c r="K39" i="40"/>
  <c r="P39" i="40"/>
  <c r="P38" i="40"/>
  <c r="I42" i="39"/>
  <c r="M36" i="39"/>
  <c r="U36" i="39"/>
  <c r="Q42" i="39"/>
  <c r="I86" i="2"/>
  <c r="E86" i="2"/>
  <c r="A42" i="40"/>
  <c r="A44" i="39"/>
  <c r="H86" i="2"/>
  <c r="H42" i="40"/>
  <c r="C86" i="2"/>
  <c r="B86" i="2"/>
  <c r="G86" i="2"/>
  <c r="G42" i="40"/>
  <c r="A87" i="2"/>
  <c r="J86" i="2"/>
  <c r="E42" i="40"/>
  <c r="F86" i="2"/>
  <c r="D86" i="2"/>
  <c r="J44" i="39"/>
  <c r="I40" i="40"/>
  <c r="P40" i="40"/>
  <c r="L39" i="40"/>
  <c r="N39" i="40"/>
  <c r="C41" i="39"/>
  <c r="J39" i="40"/>
  <c r="P43" i="39"/>
  <c r="F41" i="40"/>
  <c r="M37" i="39"/>
  <c r="U37" i="39"/>
  <c r="C40" i="39"/>
  <c r="L38" i="40"/>
  <c r="N38" i="40"/>
  <c r="E39" i="39"/>
  <c r="G38" i="39"/>
  <c r="K38" i="39"/>
  <c r="B40" i="39"/>
  <c r="M38" i="40"/>
  <c r="O38" i="40"/>
  <c r="I43" i="39"/>
  <c r="F39" i="39"/>
  <c r="L38" i="39"/>
  <c r="Q43" i="39"/>
  <c r="I41" i="40"/>
  <c r="P41" i="40"/>
  <c r="B41" i="39"/>
  <c r="M39" i="40"/>
  <c r="O39" i="40"/>
  <c r="G87" i="2"/>
  <c r="G43" i="40"/>
  <c r="I87" i="2"/>
  <c r="D87" i="2"/>
  <c r="J45" i="39"/>
  <c r="J87" i="2"/>
  <c r="E43" i="40"/>
  <c r="H87" i="2"/>
  <c r="H43" i="40"/>
  <c r="A43" i="40"/>
  <c r="A45" i="39"/>
  <c r="A88" i="2"/>
  <c r="E87" i="2"/>
  <c r="C43" i="40"/>
  <c r="F87" i="2"/>
  <c r="D43" i="40"/>
  <c r="B87" i="2"/>
  <c r="C87" i="2"/>
  <c r="G39" i="39"/>
  <c r="E40" i="39"/>
  <c r="K39" i="39"/>
  <c r="F40" i="39"/>
  <c r="L39" i="39"/>
  <c r="D42" i="40"/>
  <c r="I44" i="39"/>
  <c r="C42" i="40"/>
  <c r="J40" i="40"/>
  <c r="K40" i="40"/>
  <c r="F42" i="40"/>
  <c r="M38" i="39"/>
  <c r="U38" i="39"/>
  <c r="P44" i="39"/>
  <c r="R42" i="39"/>
  <c r="I45" i="39"/>
  <c r="K41" i="40"/>
  <c r="J41" i="40"/>
  <c r="Q44" i="39"/>
  <c r="I42" i="40"/>
  <c r="P42" i="40"/>
  <c r="E41" i="39"/>
  <c r="G40" i="39"/>
  <c r="K40" i="39"/>
  <c r="F43" i="40"/>
  <c r="C42" i="39"/>
  <c r="L40" i="40"/>
  <c r="N40" i="40"/>
  <c r="M39" i="39"/>
  <c r="U39" i="39"/>
  <c r="U57" i="39" a="1"/>
  <c r="B42" i="39"/>
  <c r="M40" i="40"/>
  <c r="O40" i="40"/>
  <c r="F41" i="39"/>
  <c r="L40" i="39"/>
  <c r="K42" i="40"/>
  <c r="A44" i="40"/>
  <c r="A46" i="39"/>
  <c r="H88" i="2"/>
  <c r="H44" i="40"/>
  <c r="A89" i="2"/>
  <c r="E88" i="2"/>
  <c r="C44" i="40"/>
  <c r="F88" i="2"/>
  <c r="D44" i="40"/>
  <c r="I88" i="2"/>
  <c r="F44" i="40"/>
  <c r="C88" i="2"/>
  <c r="J88" i="2"/>
  <c r="G88" i="2"/>
  <c r="G44" i="40"/>
  <c r="D88" i="2"/>
  <c r="J46" i="39"/>
  <c r="B88" i="2"/>
  <c r="P45" i="39"/>
  <c r="R43" i="39"/>
  <c r="J42" i="40"/>
  <c r="B44" i="39"/>
  <c r="R44" i="39"/>
  <c r="E44" i="40"/>
  <c r="C44" i="39"/>
  <c r="L42" i="40"/>
  <c r="N42" i="40"/>
  <c r="M42" i="40"/>
  <c r="O42" i="40"/>
  <c r="I46" i="39"/>
  <c r="A45" i="40"/>
  <c r="A47" i="39"/>
  <c r="F89" i="2"/>
  <c r="D45" i="40"/>
  <c r="E89" i="2"/>
  <c r="C45" i="40"/>
  <c r="D89" i="2"/>
  <c r="J47" i="39"/>
  <c r="A90" i="2"/>
  <c r="G89" i="2"/>
  <c r="G45" i="40"/>
  <c r="H89" i="2"/>
  <c r="H45" i="40"/>
  <c r="J89" i="2"/>
  <c r="E45" i="40"/>
  <c r="I89" i="2"/>
  <c r="C89" i="2"/>
  <c r="B89" i="2"/>
  <c r="M40" i="39"/>
  <c r="U40" i="39"/>
  <c r="B43" i="39"/>
  <c r="M41" i="40"/>
  <c r="O41" i="40"/>
  <c r="P46" i="39"/>
  <c r="F42" i="39"/>
  <c r="L41" i="39"/>
  <c r="U57" i="39"/>
  <c r="V57" i="39"/>
  <c r="I43" i="40"/>
  <c r="P43" i="40"/>
  <c r="E42" i="39"/>
  <c r="G41" i="39"/>
  <c r="K41" i="39"/>
  <c r="C43" i="39"/>
  <c r="L41" i="40"/>
  <c r="N41" i="40"/>
  <c r="Q45" i="39"/>
  <c r="E43" i="39"/>
  <c r="G42" i="39"/>
  <c r="K42" i="39"/>
  <c r="I44" i="40"/>
  <c r="H90" i="2"/>
  <c r="H46" i="40"/>
  <c r="J90" i="2"/>
  <c r="E46" i="40"/>
  <c r="C90" i="2"/>
  <c r="D90" i="2"/>
  <c r="J48" i="39"/>
  <c r="A46" i="40"/>
  <c r="A48" i="39"/>
  <c r="F90" i="2"/>
  <c r="D46" i="40"/>
  <c r="A91" i="2"/>
  <c r="I90" i="2"/>
  <c r="G90" i="2"/>
  <c r="G46" i="40"/>
  <c r="E90" i="2"/>
  <c r="C46" i="40"/>
  <c r="B90" i="2"/>
  <c r="R45" i="39"/>
  <c r="K43" i="40"/>
  <c r="J43" i="40"/>
  <c r="F43" i="39"/>
  <c r="L42" i="39"/>
  <c r="I47" i="39"/>
  <c r="Q46" i="39"/>
  <c r="M41" i="39"/>
  <c r="U41" i="39"/>
  <c r="V26" i="39"/>
  <c r="V33" i="39"/>
  <c r="V44" i="39"/>
  <c r="V41" i="39"/>
  <c r="V23" i="39"/>
  <c r="V10" i="39"/>
  <c r="V31" i="39"/>
  <c r="V13" i="39"/>
  <c r="V14" i="39"/>
  <c r="V35" i="39"/>
  <c r="V17" i="39"/>
  <c r="V34" i="39"/>
  <c r="V12" i="39"/>
  <c r="V37" i="39"/>
  <c r="V11" i="39"/>
  <c r="V32" i="39"/>
  <c r="V45" i="39"/>
  <c r="V29" i="39"/>
  <c r="V30" i="39"/>
  <c r="V8" i="39"/>
  <c r="V7" i="39"/>
  <c r="V28" i="39"/>
  <c r="V6" i="39"/>
  <c r="V27" i="39"/>
  <c r="V9" i="39"/>
  <c r="V40" i="39"/>
  <c r="V20" i="39"/>
  <c r="V24" i="39"/>
  <c r="V43" i="39"/>
  <c r="V42" i="39"/>
  <c r="V22" i="39"/>
  <c r="V25" i="39"/>
  <c r="V46" i="39"/>
  <c r="V15" i="39"/>
  <c r="V36" i="39"/>
  <c r="V19" i="39"/>
  <c r="V5" i="39"/>
  <c r="V18" i="39"/>
  <c r="V39" i="39"/>
  <c r="V21" i="39"/>
  <c r="V38" i="39"/>
  <c r="V16" i="39"/>
  <c r="F45" i="40"/>
  <c r="P47" i="39"/>
  <c r="I45" i="40"/>
  <c r="P45" i="40"/>
  <c r="M43" i="40"/>
  <c r="O43" i="40"/>
  <c r="B45" i="39"/>
  <c r="I48" i="39"/>
  <c r="G91" i="2"/>
  <c r="G47" i="40"/>
  <c r="H91" i="2"/>
  <c r="H47" i="40"/>
  <c r="A92" i="2"/>
  <c r="A47" i="40"/>
  <c r="A49" i="39"/>
  <c r="I91" i="2"/>
  <c r="J91" i="2"/>
  <c r="E47" i="40"/>
  <c r="D91" i="2"/>
  <c r="J49" i="39"/>
  <c r="E91" i="2"/>
  <c r="C47" i="40"/>
  <c r="B91" i="2"/>
  <c r="F91" i="2"/>
  <c r="D47" i="40"/>
  <c r="C91" i="2"/>
  <c r="R46" i="39"/>
  <c r="Q47" i="39"/>
  <c r="C45" i="39"/>
  <c r="L43" i="40"/>
  <c r="N43" i="40"/>
  <c r="M42" i="39"/>
  <c r="U42" i="39"/>
  <c r="G43" i="39"/>
  <c r="E44" i="39"/>
  <c r="K43" i="39"/>
  <c r="F44" i="39"/>
  <c r="L43" i="39"/>
  <c r="F46" i="40"/>
  <c r="P48" i="39"/>
  <c r="P44" i="40"/>
  <c r="K44" i="40"/>
  <c r="J44" i="40"/>
  <c r="M43" i="39"/>
  <c r="U43" i="39"/>
  <c r="R47" i="39"/>
  <c r="V47" i="39"/>
  <c r="F45" i="39"/>
  <c r="L44" i="39"/>
  <c r="B46" i="39"/>
  <c r="M44" i="40"/>
  <c r="O44" i="40"/>
  <c r="I49" i="39"/>
  <c r="F47" i="40"/>
  <c r="C46" i="39"/>
  <c r="L44" i="40"/>
  <c r="N44" i="40"/>
  <c r="I46" i="40"/>
  <c r="P46" i="40"/>
  <c r="E45" i="39"/>
  <c r="G44" i="39"/>
  <c r="K44" i="39"/>
  <c r="Q48" i="39"/>
  <c r="P49" i="39"/>
  <c r="G92" i="2"/>
  <c r="G48" i="40"/>
  <c r="E92" i="2"/>
  <c r="C48" i="40"/>
  <c r="A93" i="2"/>
  <c r="F92" i="2"/>
  <c r="D48" i="40"/>
  <c r="D92" i="2"/>
  <c r="J50" i="39"/>
  <c r="I92" i="2"/>
  <c r="A48" i="40"/>
  <c r="A50" i="39"/>
  <c r="J92" i="2"/>
  <c r="E48" i="40"/>
  <c r="H92" i="2"/>
  <c r="H48" i="40"/>
  <c r="B92" i="2"/>
  <c r="C92" i="2"/>
  <c r="J45" i="40"/>
  <c r="K45" i="40"/>
  <c r="F48" i="40"/>
  <c r="C47" i="39"/>
  <c r="L45" i="40"/>
  <c r="N45" i="40"/>
  <c r="P50" i="39"/>
  <c r="B47" i="39"/>
  <c r="M45" i="40"/>
  <c r="O45" i="40"/>
  <c r="K46" i="40"/>
  <c r="J46" i="40"/>
  <c r="I47" i="40"/>
  <c r="P47" i="40"/>
  <c r="F46" i="39"/>
  <c r="L45" i="39"/>
  <c r="H93" i="2"/>
  <c r="H49" i="40"/>
  <c r="A49" i="40"/>
  <c r="A51" i="39"/>
  <c r="G93" i="2"/>
  <c r="G49" i="40"/>
  <c r="A94" i="2"/>
  <c r="I93" i="2"/>
  <c r="F93" i="2"/>
  <c r="D49" i="40"/>
  <c r="E93" i="2"/>
  <c r="C49" i="40"/>
  <c r="J93" i="2"/>
  <c r="E49" i="40"/>
  <c r="C93" i="2"/>
  <c r="D93" i="2"/>
  <c r="J51" i="39"/>
  <c r="B93" i="2"/>
  <c r="R48" i="39"/>
  <c r="V48" i="39"/>
  <c r="M44" i="39"/>
  <c r="U44" i="39"/>
  <c r="I50" i="39"/>
  <c r="G45" i="39"/>
  <c r="E46" i="39"/>
  <c r="K45" i="39"/>
  <c r="Q49" i="39"/>
  <c r="R49" i="39"/>
  <c r="V49" i="39"/>
  <c r="Q50" i="39"/>
  <c r="E47" i="39"/>
  <c r="G46" i="39"/>
  <c r="K46" i="39"/>
  <c r="F94" i="2"/>
  <c r="D50" i="40"/>
  <c r="A95" i="2"/>
  <c r="B94" i="2"/>
  <c r="D94" i="2"/>
  <c r="J52" i="39"/>
  <c r="A50" i="40"/>
  <c r="A52" i="39"/>
  <c r="G94" i="2"/>
  <c r="G50" i="40"/>
  <c r="J94" i="2"/>
  <c r="E50" i="40"/>
  <c r="H94" i="2"/>
  <c r="H50" i="40"/>
  <c r="E94" i="2"/>
  <c r="C50" i="40"/>
  <c r="I94" i="2"/>
  <c r="C94" i="2"/>
  <c r="B48" i="39"/>
  <c r="M46" i="40"/>
  <c r="O46" i="40"/>
  <c r="M45" i="39"/>
  <c r="U45" i="39"/>
  <c r="I51" i="39"/>
  <c r="F47" i="39"/>
  <c r="L46" i="39"/>
  <c r="L46" i="40"/>
  <c r="N46" i="40"/>
  <c r="C48" i="39"/>
  <c r="P51" i="39"/>
  <c r="I48" i="40"/>
  <c r="J48" i="40"/>
  <c r="F49" i="40"/>
  <c r="J47" i="40"/>
  <c r="K47" i="40"/>
  <c r="M48" i="40"/>
  <c r="O48" i="40"/>
  <c r="B50" i="39"/>
  <c r="K48" i="40"/>
  <c r="I49" i="40"/>
  <c r="L47" i="40"/>
  <c r="N47" i="40"/>
  <c r="C49" i="39"/>
  <c r="F48" i="39"/>
  <c r="L47" i="39"/>
  <c r="Q51" i="39"/>
  <c r="P52" i="39"/>
  <c r="R50" i="39"/>
  <c r="V50" i="39"/>
  <c r="B49" i="39"/>
  <c r="M47" i="40"/>
  <c r="O47" i="40"/>
  <c r="P48" i="40"/>
  <c r="I52" i="39"/>
  <c r="M46" i="39"/>
  <c r="U46" i="39"/>
  <c r="F50" i="40"/>
  <c r="I50" i="40"/>
  <c r="J50" i="40"/>
  <c r="G95" i="2"/>
  <c r="G51" i="40"/>
  <c r="D95" i="2"/>
  <c r="J53" i="39"/>
  <c r="I95" i="2"/>
  <c r="C95" i="2"/>
  <c r="E95" i="2"/>
  <c r="C51" i="40"/>
  <c r="J95" i="2"/>
  <c r="E51" i="40"/>
  <c r="A51" i="40"/>
  <c r="A53" i="39"/>
  <c r="F95" i="2"/>
  <c r="D51" i="40"/>
  <c r="A96" i="2"/>
  <c r="H95" i="2"/>
  <c r="H51" i="40"/>
  <c r="B95" i="2"/>
  <c r="E48" i="39"/>
  <c r="G47" i="39"/>
  <c r="K47" i="39"/>
  <c r="M50" i="40"/>
  <c r="O50" i="40"/>
  <c r="M47" i="39"/>
  <c r="U47" i="39"/>
  <c r="G96" i="2"/>
  <c r="G52" i="40"/>
  <c r="A97" i="2"/>
  <c r="J96" i="2"/>
  <c r="E52" i="40"/>
  <c r="H96" i="2"/>
  <c r="H52" i="40"/>
  <c r="A52" i="40"/>
  <c r="A54" i="39"/>
  <c r="E96" i="2"/>
  <c r="C52" i="40"/>
  <c r="I96" i="2"/>
  <c r="F96" i="2"/>
  <c r="D52" i="40"/>
  <c r="C96" i="2"/>
  <c r="D96" i="2"/>
  <c r="J54" i="39"/>
  <c r="B96" i="2"/>
  <c r="K50" i="40"/>
  <c r="F49" i="39"/>
  <c r="L48" i="39"/>
  <c r="J49" i="40"/>
  <c r="K49" i="40"/>
  <c r="E49" i="39"/>
  <c r="G48" i="39"/>
  <c r="K48" i="39"/>
  <c r="R51" i="39"/>
  <c r="V51" i="39"/>
  <c r="C50" i="39"/>
  <c r="L48" i="40"/>
  <c r="N48" i="40"/>
  <c r="I53" i="39"/>
  <c r="F51" i="40"/>
  <c r="P53" i="39"/>
  <c r="P50" i="40"/>
  <c r="Q52" i="39"/>
  <c r="P49" i="40"/>
  <c r="B51" i="39"/>
  <c r="M49" i="40"/>
  <c r="O49" i="40"/>
  <c r="M48" i="39"/>
  <c r="U48" i="39"/>
  <c r="R52" i="39"/>
  <c r="V52" i="39"/>
  <c r="Q53" i="39"/>
  <c r="E50" i="39"/>
  <c r="G49" i="39"/>
  <c r="K49" i="39"/>
  <c r="F50" i="39"/>
  <c r="L49" i="39"/>
  <c r="I54" i="39"/>
  <c r="F52" i="40"/>
  <c r="I52" i="40"/>
  <c r="P52" i="40"/>
  <c r="C51" i="39"/>
  <c r="L49" i="40"/>
  <c r="N49" i="40"/>
  <c r="C52" i="39"/>
  <c r="L50" i="40"/>
  <c r="N50" i="40"/>
  <c r="P54" i="39"/>
  <c r="B97" i="2"/>
  <c r="C97" i="2"/>
  <c r="D97" i="2"/>
  <c r="I97" i="2"/>
  <c r="F97" i="2"/>
  <c r="G97" i="2"/>
  <c r="J97" i="2"/>
  <c r="H97" i="2"/>
  <c r="E97" i="2"/>
  <c r="I51" i="40"/>
  <c r="J51" i="40"/>
  <c r="J52" i="40"/>
  <c r="B54" i="39"/>
  <c r="K52" i="40"/>
  <c r="L52" i="40"/>
  <c r="N52" i="40"/>
  <c r="B52" i="39"/>
  <c r="B53" i="39"/>
  <c r="M51" i="40"/>
  <c r="O51" i="40"/>
  <c r="E51" i="39"/>
  <c r="G50" i="39"/>
  <c r="K50" i="39"/>
  <c r="F51" i="39"/>
  <c r="L50" i="39"/>
  <c r="R53" i="39"/>
  <c r="V53" i="39"/>
  <c r="M52" i="40"/>
  <c r="O52" i="40"/>
  <c r="Q54" i="39"/>
  <c r="M49" i="39"/>
  <c r="U49" i="39"/>
  <c r="K51" i="40"/>
  <c r="C54" i="39"/>
  <c r="P51" i="40"/>
  <c r="R54" i="39"/>
  <c r="V54" i="39"/>
  <c r="P58" i="39" a="1"/>
  <c r="M50" i="39"/>
  <c r="U50" i="39"/>
  <c r="F52" i="39"/>
  <c r="L51" i="39"/>
  <c r="G51" i="39"/>
  <c r="E52" i="39"/>
  <c r="K51" i="39"/>
  <c r="C53" i="39"/>
  <c r="L51" i="40"/>
  <c r="N51" i="40"/>
  <c r="P58" i="39"/>
  <c r="Q58" i="39"/>
  <c r="F53" i="39"/>
  <c r="L52" i="39"/>
  <c r="E53" i="39"/>
  <c r="G52" i="39"/>
  <c r="K52" i="39"/>
  <c r="M51" i="39"/>
  <c r="U51" i="39"/>
  <c r="F54" i="39"/>
  <c r="L54" i="39"/>
  <c r="L53" i="39"/>
  <c r="M52" i="39"/>
  <c r="U52" i="39"/>
  <c r="S52" i="39"/>
  <c r="T52" i="39"/>
  <c r="S50" i="39"/>
  <c r="T50" i="39"/>
  <c r="S48" i="39"/>
  <c r="T48" i="39"/>
  <c r="S49" i="39"/>
  <c r="T49" i="39"/>
  <c r="S51" i="39"/>
  <c r="T51" i="39"/>
  <c r="S42" i="39"/>
  <c r="T42" i="39"/>
  <c r="S46" i="39"/>
  <c r="T46" i="39"/>
  <c r="S45" i="39"/>
  <c r="T45" i="39"/>
  <c r="S54" i="39"/>
  <c r="T54" i="39"/>
  <c r="S44" i="39"/>
  <c r="T44" i="39"/>
  <c r="S47" i="39"/>
  <c r="T47" i="39"/>
  <c r="S43" i="39"/>
  <c r="T43" i="39"/>
  <c r="S53" i="39"/>
  <c r="T53" i="39"/>
  <c r="E54" i="39"/>
  <c r="G53" i="39"/>
  <c r="K53" i="39"/>
  <c r="M53" i="39"/>
  <c r="U53" i="39"/>
  <c r="G54" i="39"/>
  <c r="K54" i="39"/>
  <c r="M54" i="39"/>
  <c r="U54" i="39"/>
  <c r="U58" i="39" a="1"/>
  <c r="U58" i="39"/>
  <c r="V58" i="39"/>
  <c r="W42" i="39"/>
  <c r="X42" i="39"/>
  <c r="W43" i="39"/>
  <c r="X43" i="39"/>
  <c r="W44" i="39"/>
  <c r="X44" i="39"/>
  <c r="W45" i="39"/>
  <c r="X45" i="39"/>
  <c r="W46" i="39"/>
  <c r="X46" i="39"/>
  <c r="W47" i="39"/>
  <c r="X47" i="39"/>
  <c r="W48" i="39"/>
  <c r="X48" i="39"/>
  <c r="W49" i="39"/>
  <c r="X49" i="39"/>
  <c r="W50" i="39"/>
  <c r="X50" i="39"/>
  <c r="W51" i="39"/>
  <c r="X51" i="39"/>
  <c r="W52" i="39"/>
  <c r="X52" i="39"/>
  <c r="W53" i="39"/>
  <c r="X53" i="39"/>
  <c r="W54" i="39"/>
  <c r="X54" i="39"/>
</calcChain>
</file>

<file path=xl/sharedStrings.xml><?xml version="1.0" encoding="utf-8"?>
<sst xmlns="http://schemas.openxmlformats.org/spreadsheetml/2006/main" count="154" uniqueCount="101">
  <si>
    <t>UE</t>
  </si>
  <si>
    <t>UN</t>
  </si>
  <si>
    <t>EN</t>
  </si>
  <si>
    <t>NU</t>
  </si>
  <si>
    <t>NE</t>
  </si>
  <si>
    <t>EU</t>
  </si>
  <si>
    <t>N</t>
  </si>
  <si>
    <t>E</t>
  </si>
  <si>
    <t>U</t>
  </si>
  <si>
    <t>V</t>
  </si>
  <si>
    <t>L</t>
  </si>
  <si>
    <t>U/L</t>
  </si>
  <si>
    <t>N/L</t>
  </si>
  <si>
    <t>ND</t>
  </si>
  <si>
    <t>uer</t>
  </si>
  <si>
    <t>unr</t>
  </si>
  <si>
    <t>eur</t>
  </si>
  <si>
    <t>enr</t>
  </si>
  <si>
    <t>nur</t>
  </si>
  <si>
    <t>ner</t>
  </si>
  <si>
    <t>V/L</t>
  </si>
  <si>
    <t>Quarter</t>
  </si>
  <si>
    <t>3MMA</t>
  </si>
  <si>
    <t>u/l</t>
  </si>
  <si>
    <t>epsilon_f_theta</t>
  </si>
  <si>
    <t>Pi_NE</t>
  </si>
  <si>
    <t>PI_NU</t>
  </si>
  <si>
    <t>PI_UN</t>
  </si>
  <si>
    <t>PI_EN</t>
  </si>
  <si>
    <t>PI_NE+PI_NU</t>
  </si>
  <si>
    <t>dln Xi</t>
  </si>
  <si>
    <t>dln Eps</t>
  </si>
  <si>
    <t>w_lambda</t>
  </si>
  <si>
    <t>Lambda</t>
  </si>
  <si>
    <t>w_f</t>
  </si>
  <si>
    <t>f</t>
  </si>
  <si>
    <t>v/l xi</t>
  </si>
  <si>
    <t>v/l eps</t>
  </si>
  <si>
    <t>v/l Partic</t>
  </si>
  <si>
    <t>Contrib eps</t>
  </si>
  <si>
    <t>Contrib xi</t>
  </si>
  <si>
    <t>Contrib Partic</t>
  </si>
  <si>
    <t>v/l act</t>
  </si>
  <si>
    <t>w_eps</t>
  </si>
  <si>
    <t>w_xi</t>
  </si>
  <si>
    <t>w_nu</t>
  </si>
  <si>
    <t>beta</t>
  </si>
  <si>
    <t>constant</t>
  </si>
  <si>
    <t>vpred_stable</t>
  </si>
  <si>
    <t>vpred_new</t>
  </si>
  <si>
    <t>lnv_nopart</t>
  </si>
  <si>
    <t>stable</t>
  </si>
  <si>
    <t>new</t>
  </si>
  <si>
    <t>vpred_stable_nopart</t>
  </si>
  <si>
    <t>vpred_new_nopart</t>
  </si>
  <si>
    <r>
      <rPr>
        <sz val="11"/>
        <color theme="1"/>
        <rFont val="Calibri"/>
        <family val="2"/>
      </rPr>
      <t xml:space="preserve">ξ </t>
    </r>
    <r>
      <rPr>
        <sz val="11"/>
        <color theme="1"/>
        <rFont val="Calibri"/>
        <family val="2"/>
        <scheme val="minor"/>
      </rPr>
      <t>(left axis)</t>
    </r>
  </si>
  <si>
    <t>ϵ (right axis)</t>
  </si>
  <si>
    <t>lnv act</t>
  </si>
  <si>
    <t xml:space="preserve">lnu </t>
  </si>
  <si>
    <t>vertical diff</t>
  </si>
  <si>
    <t>Actual and Counterfactual Vertical Shifts</t>
  </si>
  <si>
    <t>Actual and Counterfactual v</t>
  </si>
  <si>
    <t>Data in "Raw data--monthly" are from the Bureau of Labor Statistics.  Series IDs are listed here:</t>
  </si>
  <si>
    <t>Column</t>
  </si>
  <si>
    <t>Abbreviation</t>
  </si>
  <si>
    <t>D</t>
  </si>
  <si>
    <t>C</t>
  </si>
  <si>
    <t>F</t>
  </si>
  <si>
    <t>G</t>
  </si>
  <si>
    <t>H</t>
  </si>
  <si>
    <t>I</t>
  </si>
  <si>
    <t>J</t>
  </si>
  <si>
    <t>K</t>
  </si>
  <si>
    <t>M</t>
  </si>
  <si>
    <t>Name</t>
  </si>
  <si>
    <t>Total Nonfarm Job Openings</t>
  </si>
  <si>
    <t>Dataset</t>
  </si>
  <si>
    <t>JOLTS</t>
  </si>
  <si>
    <t>Series ID</t>
  </si>
  <si>
    <t>Civilian Labor Force</t>
  </si>
  <si>
    <t>CPS</t>
  </si>
  <si>
    <t>LNS11000000</t>
  </si>
  <si>
    <t>Civilian unemployment</t>
  </si>
  <si>
    <t>Civilian Employment</t>
  </si>
  <si>
    <t>LNS13000000</t>
  </si>
  <si>
    <t>JTS00000000JOL</t>
  </si>
  <si>
    <t>Civilian Not in the labor force</t>
  </si>
  <si>
    <t>LNS12000000</t>
  </si>
  <si>
    <t>LNS15000000</t>
  </si>
  <si>
    <t>LNS17100000</t>
  </si>
  <si>
    <t>LNS17200000</t>
  </si>
  <si>
    <t>LNS17400000</t>
  </si>
  <si>
    <t>LNS17600000</t>
  </si>
  <si>
    <t>LNS17800000</t>
  </si>
  <si>
    <t>LNS17900000</t>
  </si>
  <si>
    <t>Unemployed to employed</t>
  </si>
  <si>
    <t>Unemployed to NLF</t>
  </si>
  <si>
    <t>Employed to Unemployed</t>
  </si>
  <si>
    <t>Employed to NLF</t>
  </si>
  <si>
    <t>NLF to Unemployed</t>
  </si>
  <si>
    <t>NLF to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</si>
</sst>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/>
    </xf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emf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161236725196502E-2"/>
          <c:y val="5.0133712233930393E-2"/>
          <c:w val="0.97283876327480345"/>
          <c:h val="0.94986628776606963"/>
        </c:manualLayout>
      </c:layout>
      <c:lineChart>
        <c:grouping val="standard"/>
        <c:varyColors val="0"/>
        <c:ser>
          <c:idx val="0"/>
          <c:order val="0"/>
          <c:tx>
            <c:strRef>
              <c:f>'Decomposition 1'!$J$1</c:f>
              <c:strCache>
                <c:ptCount val="1"/>
                <c:pt idx="0">
                  <c:v>ξ (left axis)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'Decomposition 1'!$A$2:$A$52</c:f>
              <c:numCache>
                <c:formatCode>m/d/yyyy</c:formatCode>
                <c:ptCount val="51"/>
                <c:pt idx="0">
                  <c:v>36861</c:v>
                </c:pt>
                <c:pt idx="1">
                  <c:v>36951</c:v>
                </c:pt>
                <c:pt idx="2">
                  <c:v>37043</c:v>
                </c:pt>
                <c:pt idx="3">
                  <c:v>37135</c:v>
                </c:pt>
                <c:pt idx="4">
                  <c:v>37226</c:v>
                </c:pt>
                <c:pt idx="5">
                  <c:v>37316</c:v>
                </c:pt>
                <c:pt idx="6">
                  <c:v>37408</c:v>
                </c:pt>
                <c:pt idx="7">
                  <c:v>37500</c:v>
                </c:pt>
                <c:pt idx="8">
                  <c:v>37591</c:v>
                </c:pt>
                <c:pt idx="9">
                  <c:v>37681</c:v>
                </c:pt>
                <c:pt idx="10">
                  <c:v>37773</c:v>
                </c:pt>
                <c:pt idx="11">
                  <c:v>37865</c:v>
                </c:pt>
                <c:pt idx="12">
                  <c:v>37956</c:v>
                </c:pt>
                <c:pt idx="13">
                  <c:v>38047</c:v>
                </c:pt>
                <c:pt idx="14">
                  <c:v>38139</c:v>
                </c:pt>
                <c:pt idx="15">
                  <c:v>38231</c:v>
                </c:pt>
                <c:pt idx="16">
                  <c:v>38322</c:v>
                </c:pt>
                <c:pt idx="17">
                  <c:v>38412</c:v>
                </c:pt>
                <c:pt idx="18">
                  <c:v>38504</c:v>
                </c:pt>
                <c:pt idx="19">
                  <c:v>38596</c:v>
                </c:pt>
                <c:pt idx="20">
                  <c:v>38687</c:v>
                </c:pt>
                <c:pt idx="21">
                  <c:v>38777</c:v>
                </c:pt>
                <c:pt idx="22">
                  <c:v>38869</c:v>
                </c:pt>
                <c:pt idx="23">
                  <c:v>38961</c:v>
                </c:pt>
                <c:pt idx="24">
                  <c:v>39052</c:v>
                </c:pt>
                <c:pt idx="25">
                  <c:v>39142</c:v>
                </c:pt>
                <c:pt idx="26">
                  <c:v>39234</c:v>
                </c:pt>
                <c:pt idx="27">
                  <c:v>39326</c:v>
                </c:pt>
                <c:pt idx="28">
                  <c:v>39417</c:v>
                </c:pt>
                <c:pt idx="29">
                  <c:v>39508</c:v>
                </c:pt>
                <c:pt idx="30">
                  <c:v>39600</c:v>
                </c:pt>
                <c:pt idx="31">
                  <c:v>39692</c:v>
                </c:pt>
                <c:pt idx="32">
                  <c:v>39783</c:v>
                </c:pt>
                <c:pt idx="33">
                  <c:v>39873</c:v>
                </c:pt>
                <c:pt idx="34">
                  <c:v>39965</c:v>
                </c:pt>
                <c:pt idx="35">
                  <c:v>40057</c:v>
                </c:pt>
                <c:pt idx="36">
                  <c:v>40148</c:v>
                </c:pt>
                <c:pt idx="37">
                  <c:v>40238</c:v>
                </c:pt>
                <c:pt idx="38">
                  <c:v>40330</c:v>
                </c:pt>
                <c:pt idx="39">
                  <c:v>40422</c:v>
                </c:pt>
                <c:pt idx="40">
                  <c:v>40513</c:v>
                </c:pt>
                <c:pt idx="41">
                  <c:v>40603</c:v>
                </c:pt>
                <c:pt idx="42">
                  <c:v>40695</c:v>
                </c:pt>
                <c:pt idx="43">
                  <c:v>40787</c:v>
                </c:pt>
                <c:pt idx="44">
                  <c:v>40878</c:v>
                </c:pt>
                <c:pt idx="45">
                  <c:v>40969</c:v>
                </c:pt>
                <c:pt idx="46">
                  <c:v>41061</c:v>
                </c:pt>
                <c:pt idx="47">
                  <c:v>41153</c:v>
                </c:pt>
                <c:pt idx="48">
                  <c:v>41244</c:v>
                </c:pt>
                <c:pt idx="49">
                  <c:v>41334</c:v>
                </c:pt>
                <c:pt idx="50">
                  <c:v>41426</c:v>
                </c:pt>
              </c:numCache>
            </c:numRef>
          </c:cat>
          <c:val>
            <c:numRef>
              <c:f>'Decomposition 1'!$J$2:$J$52</c:f>
              <c:numCache>
                <c:formatCode>0.00</c:formatCode>
                <c:ptCount val="51"/>
                <c:pt idx="0">
                  <c:v>0.16137356465483055</c:v>
                </c:pt>
                <c:pt idx="1">
                  <c:v>0.16575166914051978</c:v>
                </c:pt>
                <c:pt idx="2">
                  <c:v>0.16321702534747415</c:v>
                </c:pt>
                <c:pt idx="3">
                  <c:v>0.15234263151866637</c:v>
                </c:pt>
                <c:pt idx="4">
                  <c:v>0.13585647331741887</c:v>
                </c:pt>
                <c:pt idx="5">
                  <c:v>0.13348716894101598</c:v>
                </c:pt>
                <c:pt idx="6">
                  <c:v>0.13772285085184988</c:v>
                </c:pt>
                <c:pt idx="7">
                  <c:v>0.14025529457647698</c:v>
                </c:pt>
                <c:pt idx="8">
                  <c:v>0.13960986012979729</c:v>
                </c:pt>
                <c:pt idx="9">
                  <c:v>0.14674661704304182</c:v>
                </c:pt>
                <c:pt idx="10">
                  <c:v>0.13110782094534837</c:v>
                </c:pt>
                <c:pt idx="11">
                  <c:v>0.1408541654708669</c:v>
                </c:pt>
                <c:pt idx="12">
                  <c:v>0.14240106675300093</c:v>
                </c:pt>
                <c:pt idx="13">
                  <c:v>0.14120647030012506</c:v>
                </c:pt>
                <c:pt idx="14">
                  <c:v>0.1414025194196373</c:v>
                </c:pt>
                <c:pt idx="15">
                  <c:v>0.15250424669969145</c:v>
                </c:pt>
                <c:pt idx="16">
                  <c:v>0.14547306231271145</c:v>
                </c:pt>
                <c:pt idx="17">
                  <c:v>0.14667466492260653</c:v>
                </c:pt>
                <c:pt idx="18">
                  <c:v>0.15444111745466851</c:v>
                </c:pt>
                <c:pt idx="19">
                  <c:v>0.16003086495171756</c:v>
                </c:pt>
                <c:pt idx="20">
                  <c:v>0.16144752973463442</c:v>
                </c:pt>
                <c:pt idx="21">
                  <c:v>0.16368439070482571</c:v>
                </c:pt>
                <c:pt idx="22">
                  <c:v>0.16826209559108612</c:v>
                </c:pt>
                <c:pt idx="23">
                  <c:v>0.16351771032206414</c:v>
                </c:pt>
                <c:pt idx="24">
                  <c:v>0.16772037347908178</c:v>
                </c:pt>
                <c:pt idx="25">
                  <c:v>0.16259111321132086</c:v>
                </c:pt>
                <c:pt idx="26">
                  <c:v>0.15848236417746522</c:v>
                </c:pt>
                <c:pt idx="27">
                  <c:v>0.15491266604386478</c:v>
                </c:pt>
                <c:pt idx="28">
                  <c:v>0.15005464971543023</c:v>
                </c:pt>
                <c:pt idx="29">
                  <c:v>0.15089702855916631</c:v>
                </c:pt>
                <c:pt idx="30">
                  <c:v>0.14571925537732039</c:v>
                </c:pt>
                <c:pt idx="31">
                  <c:v>0.13236254011586018</c:v>
                </c:pt>
                <c:pt idx="32">
                  <c:v>0.1252399978245142</c:v>
                </c:pt>
                <c:pt idx="33">
                  <c:v>0.11213664801927162</c:v>
                </c:pt>
                <c:pt idx="34">
                  <c:v>9.9474771119313563E-2</c:v>
                </c:pt>
                <c:pt idx="35">
                  <c:v>0.10147817999977081</c:v>
                </c:pt>
                <c:pt idx="36">
                  <c:v>9.9375172737069209E-2</c:v>
                </c:pt>
                <c:pt idx="37">
                  <c:v>0.1010281046264787</c:v>
                </c:pt>
                <c:pt idx="38">
                  <c:v>0.1025293774571719</c:v>
                </c:pt>
                <c:pt idx="39">
                  <c:v>0.10617841250398276</c:v>
                </c:pt>
                <c:pt idx="40">
                  <c:v>0.10748757215143476</c:v>
                </c:pt>
                <c:pt idx="41">
                  <c:v>0.11334954526481129</c:v>
                </c:pt>
                <c:pt idx="42">
                  <c:v>0.10911318025303747</c:v>
                </c:pt>
                <c:pt idx="43">
                  <c:v>0.11343942264768844</c:v>
                </c:pt>
                <c:pt idx="44">
                  <c:v>0.11223850341123127</c:v>
                </c:pt>
                <c:pt idx="45">
                  <c:v>0.11540596894330046</c:v>
                </c:pt>
                <c:pt idx="46">
                  <c:v>0.11650074806554674</c:v>
                </c:pt>
                <c:pt idx="47">
                  <c:v>0.12551491901299494</c:v>
                </c:pt>
                <c:pt idx="48">
                  <c:v>0.12630333892309509</c:v>
                </c:pt>
                <c:pt idx="49">
                  <c:v>0.12508180398918253</c:v>
                </c:pt>
                <c:pt idx="50">
                  <c:v>0.12358387302856724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11008"/>
        <c:axId val="129970944"/>
      </c:lineChart>
      <c:lineChart>
        <c:grouping val="standard"/>
        <c:varyColors val="0"/>
        <c:ser>
          <c:idx val="1"/>
          <c:order val="1"/>
          <c:tx>
            <c:strRef>
              <c:f>'Decomposition 1'!$K$1</c:f>
              <c:strCache>
                <c:ptCount val="1"/>
                <c:pt idx="0">
                  <c:v>ϵ (right axis)</c:v>
                </c:pt>
              </c:strCache>
            </c:strRef>
          </c:tx>
          <c:spPr>
            <a:ln w="28575">
              <a:solidFill>
                <a:schemeClr val="tx1"/>
              </a:solidFill>
              <a:prstDash val="lgDash"/>
            </a:ln>
          </c:spPr>
          <c:marker>
            <c:symbol val="none"/>
          </c:marker>
          <c:val>
            <c:numRef>
              <c:f>'Decomposition 1'!$K$2:$K$52</c:f>
              <c:numCache>
                <c:formatCode>0.000</c:formatCode>
                <c:ptCount val="51"/>
                <c:pt idx="0">
                  <c:v>8.1157679842942688E-3</c:v>
                </c:pt>
                <c:pt idx="1">
                  <c:v>8.4741724141295261E-3</c:v>
                </c:pt>
                <c:pt idx="2">
                  <c:v>9.3888820884880375E-3</c:v>
                </c:pt>
                <c:pt idx="3">
                  <c:v>9.4618016816256038E-3</c:v>
                </c:pt>
                <c:pt idx="4">
                  <c:v>1.0184056781947018E-2</c:v>
                </c:pt>
                <c:pt idx="5">
                  <c:v>9.6767010332438758E-3</c:v>
                </c:pt>
                <c:pt idx="6">
                  <c:v>9.5433047354389362E-3</c:v>
                </c:pt>
                <c:pt idx="7">
                  <c:v>9.2058161075228104E-3</c:v>
                </c:pt>
                <c:pt idx="8">
                  <c:v>9.9262896163592428E-3</c:v>
                </c:pt>
                <c:pt idx="9">
                  <c:v>9.4664137883285898E-3</c:v>
                </c:pt>
                <c:pt idx="10">
                  <c:v>9.9683552287336014E-3</c:v>
                </c:pt>
                <c:pt idx="11">
                  <c:v>1.010054085503403E-2</c:v>
                </c:pt>
                <c:pt idx="12">
                  <c:v>9.7489138871383885E-3</c:v>
                </c:pt>
                <c:pt idx="13">
                  <c:v>9.8891956134901111E-3</c:v>
                </c:pt>
                <c:pt idx="14">
                  <c:v>9.6017708187653393E-3</c:v>
                </c:pt>
                <c:pt idx="15">
                  <c:v>9.8393541147829243E-3</c:v>
                </c:pt>
                <c:pt idx="16">
                  <c:v>9.8432488885910434E-3</c:v>
                </c:pt>
                <c:pt idx="17">
                  <c:v>9.3458538749921979E-3</c:v>
                </c:pt>
                <c:pt idx="18">
                  <c:v>9.0444555576556646E-3</c:v>
                </c:pt>
                <c:pt idx="19">
                  <c:v>9.1265131763125212E-3</c:v>
                </c:pt>
                <c:pt idx="20">
                  <c:v>9.71799296608368E-3</c:v>
                </c:pt>
                <c:pt idx="21">
                  <c:v>8.86878619162987E-3</c:v>
                </c:pt>
                <c:pt idx="22">
                  <c:v>9.1652752150514615E-3</c:v>
                </c:pt>
                <c:pt idx="23">
                  <c:v>9.2916167372838719E-3</c:v>
                </c:pt>
                <c:pt idx="24">
                  <c:v>8.1123306159039017E-3</c:v>
                </c:pt>
                <c:pt idx="25">
                  <c:v>9.1027220166564875E-3</c:v>
                </c:pt>
                <c:pt idx="26">
                  <c:v>8.7873053718305911E-3</c:v>
                </c:pt>
                <c:pt idx="27">
                  <c:v>8.6539362101068478E-3</c:v>
                </c:pt>
                <c:pt idx="28">
                  <c:v>9.1131577339779932E-3</c:v>
                </c:pt>
                <c:pt idx="29">
                  <c:v>8.7864521992293589E-3</c:v>
                </c:pt>
                <c:pt idx="30">
                  <c:v>9.5248725949573978E-3</c:v>
                </c:pt>
                <c:pt idx="31">
                  <c:v>1.0118476275525101E-2</c:v>
                </c:pt>
                <c:pt idx="32">
                  <c:v>1.0582068340414251E-2</c:v>
                </c:pt>
                <c:pt idx="33">
                  <c:v>1.1281008011548299E-2</c:v>
                </c:pt>
                <c:pt idx="34">
                  <c:v>1.1540416832316715E-2</c:v>
                </c:pt>
                <c:pt idx="35">
                  <c:v>1.2194740869735213E-2</c:v>
                </c:pt>
                <c:pt idx="36">
                  <c:v>1.2193576758507107E-2</c:v>
                </c:pt>
                <c:pt idx="37">
                  <c:v>1.1953097045295649E-2</c:v>
                </c:pt>
                <c:pt idx="38">
                  <c:v>1.2306923578167005E-2</c:v>
                </c:pt>
                <c:pt idx="39">
                  <c:v>1.1874674243132013E-2</c:v>
                </c:pt>
                <c:pt idx="40">
                  <c:v>1.2457722956711926E-2</c:v>
                </c:pt>
                <c:pt idx="41">
                  <c:v>1.1780814611431576E-2</c:v>
                </c:pt>
                <c:pt idx="42">
                  <c:v>1.2403571481596801E-2</c:v>
                </c:pt>
                <c:pt idx="43">
                  <c:v>1.1801502426688659E-2</c:v>
                </c:pt>
                <c:pt idx="44">
                  <c:v>1.1727933188217651E-2</c:v>
                </c:pt>
                <c:pt idx="45">
                  <c:v>1.2178808842658975E-2</c:v>
                </c:pt>
                <c:pt idx="46">
                  <c:v>1.1870841097890042E-2</c:v>
                </c:pt>
                <c:pt idx="47">
                  <c:v>1.1629129111530068E-2</c:v>
                </c:pt>
                <c:pt idx="48">
                  <c:v>1.1859174838904482E-2</c:v>
                </c:pt>
                <c:pt idx="49">
                  <c:v>1.2050571169827516E-2</c:v>
                </c:pt>
                <c:pt idx="50">
                  <c:v>1.1203411485646866E-2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78368"/>
        <c:axId val="129972480"/>
      </c:lineChart>
      <c:dateAx>
        <c:axId val="125611008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970944"/>
        <c:crosses val="min"/>
        <c:auto val="1"/>
        <c:lblOffset val="100"/>
        <c:baseTimeUnit val="months"/>
        <c:majorUnit val="12"/>
        <c:majorTimeUnit val="months"/>
      </c:dateAx>
      <c:valAx>
        <c:axId val="129970944"/>
        <c:scaling>
          <c:orientation val="minMax"/>
          <c:max val="0.18000000000000002"/>
          <c:min val="9.0000000000000024E-2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2225" cap="flat" cmpd="sng" algn="ctr">
            <a:solidFill>
              <a:prstClr val="black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11008"/>
        <c:crosses val="autoZero"/>
        <c:crossBetween val="between"/>
      </c:valAx>
      <c:valAx>
        <c:axId val="129972480"/>
        <c:scaling>
          <c:orientation val="minMax"/>
          <c:max val="1.4000000000000002E-2"/>
          <c:min val="7.0000000000000019E-3"/>
        </c:scaling>
        <c:delete val="0"/>
        <c:axPos val="r"/>
        <c:numFmt formatCode="0.000" sourceLinked="1"/>
        <c:majorTickMark val="in"/>
        <c:minorTickMark val="none"/>
        <c:tickLblPos val="nextTo"/>
        <c:spPr>
          <a:noFill/>
          <a:ln w="22225" cap="flat" cmpd="sng" algn="ctr">
            <a:solidFill>
              <a:prstClr val="black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978368"/>
        <c:crosses val="max"/>
        <c:crossBetween val="between"/>
      </c:valAx>
      <c:catAx>
        <c:axId val="129978368"/>
        <c:scaling>
          <c:orientation val="minMax"/>
        </c:scaling>
        <c:delete val="1"/>
        <c:axPos val="b"/>
        <c:majorTickMark val="out"/>
        <c:minorTickMark val="none"/>
        <c:tickLblPos val="nextTo"/>
        <c:crossAx val="129972480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8.1851862488871024E-3"/>
          <c:y val="5.0133712574729948E-2"/>
          <c:w val="0.99181481375111291"/>
          <c:h val="0.91641786466548447"/>
        </c:manualLayout>
      </c:layout>
      <c:lineChart>
        <c:grouping val="standard"/>
        <c:varyColors val="0"/>
        <c:ser>
          <c:idx val="2"/>
          <c:order val="2"/>
          <c:tx>
            <c:v>_FRBDummySeriesRight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37536"/>
        <c:axId val="149936000"/>
      </c:lineChart>
      <c:scatterChart>
        <c:scatterStyle val="lineMarker"/>
        <c:varyColors val="0"/>
        <c:ser>
          <c:idx val="0"/>
          <c:order val="0"/>
          <c:tx>
            <c:strRef>
              <c:f>'Decomposition 2'!$J$4</c:f>
              <c:strCache>
                <c:ptCount val="1"/>
                <c:pt idx="0">
                  <c:v>v/l act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'Decomposition 2'!$I$5:$I$54</c:f>
              <c:numCache>
                <c:formatCode>0.000</c:formatCode>
                <c:ptCount val="50"/>
                <c:pt idx="0">
                  <c:v>4.2308442600205054E-2</c:v>
                </c:pt>
                <c:pt idx="1">
                  <c:v>4.4116879762990724E-2</c:v>
                </c:pt>
                <c:pt idx="2">
                  <c:v>4.8191410997929118E-2</c:v>
                </c:pt>
                <c:pt idx="3">
                  <c:v>5.5369403355283474E-2</c:v>
                </c:pt>
                <c:pt idx="4">
                  <c:v>5.7043804125865773E-2</c:v>
                </c:pt>
                <c:pt idx="5">
                  <c:v>5.8441518378437779E-2</c:v>
                </c:pt>
                <c:pt idx="6">
                  <c:v>5.7297818148795365E-2</c:v>
                </c:pt>
                <c:pt idx="7">
                  <c:v>5.8488858746386402E-2</c:v>
                </c:pt>
                <c:pt idx="8">
                  <c:v>5.8727135704808198E-2</c:v>
                </c:pt>
                <c:pt idx="9">
                  <c:v>6.1504924746967476E-2</c:v>
                </c:pt>
                <c:pt idx="10">
                  <c:v>6.1047638953544314E-2</c:v>
                </c:pt>
                <c:pt idx="11">
                  <c:v>5.8179864963577105E-2</c:v>
                </c:pt>
                <c:pt idx="12">
                  <c:v>5.6817327212168534E-2</c:v>
                </c:pt>
                <c:pt idx="13">
                  <c:v>5.5888715236400023E-2</c:v>
                </c:pt>
                <c:pt idx="14">
                  <c:v>5.433590168905069E-2</c:v>
                </c:pt>
                <c:pt idx="15">
                  <c:v>5.3888293630012261E-2</c:v>
                </c:pt>
                <c:pt idx="16">
                  <c:v>5.2836613982295867E-2</c:v>
                </c:pt>
                <c:pt idx="17">
                  <c:v>5.1063726243783497E-2</c:v>
                </c:pt>
                <c:pt idx="18">
                  <c:v>4.9656233811252781E-2</c:v>
                </c:pt>
                <c:pt idx="19">
                  <c:v>4.9540375817642514E-2</c:v>
                </c:pt>
                <c:pt idx="20">
                  <c:v>4.7202763953106075E-2</c:v>
                </c:pt>
                <c:pt idx="21">
                  <c:v>4.6549785693897082E-2</c:v>
                </c:pt>
                <c:pt idx="22">
                  <c:v>4.6427768338602293E-2</c:v>
                </c:pt>
                <c:pt idx="23">
                  <c:v>4.453612082638455E-2</c:v>
                </c:pt>
                <c:pt idx="24">
                  <c:v>4.5241373495960364E-2</c:v>
                </c:pt>
                <c:pt idx="25">
                  <c:v>4.4952284138899345E-2</c:v>
                </c:pt>
                <c:pt idx="26">
                  <c:v>4.6570242960462443E-2</c:v>
                </c:pt>
                <c:pt idx="27">
                  <c:v>4.7992287474356188E-2</c:v>
                </c:pt>
                <c:pt idx="28">
                  <c:v>4.9832172810359232E-2</c:v>
                </c:pt>
                <c:pt idx="29">
                  <c:v>5.3213528370194885E-2</c:v>
                </c:pt>
                <c:pt idx="30">
                  <c:v>6.0103319389037922E-2</c:v>
                </c:pt>
                <c:pt idx="31">
                  <c:v>6.8722389430276434E-2</c:v>
                </c:pt>
                <c:pt idx="32">
                  <c:v>8.2914942257482041E-2</c:v>
                </c:pt>
                <c:pt idx="33">
                  <c:v>9.2734293072551585E-2</c:v>
                </c:pt>
                <c:pt idx="34">
                  <c:v>9.6044355183087918E-2</c:v>
                </c:pt>
                <c:pt idx="35">
                  <c:v>9.9172152340792477E-2</c:v>
                </c:pt>
                <c:pt idx="36">
                  <c:v>9.8209110279632014E-2</c:v>
                </c:pt>
                <c:pt idx="37">
                  <c:v>9.649303443568448E-2</c:v>
                </c:pt>
                <c:pt idx="38">
                  <c:v>9.4838563695528455E-2</c:v>
                </c:pt>
                <c:pt idx="39">
                  <c:v>9.5414185581296981E-2</c:v>
                </c:pt>
                <c:pt idx="40">
                  <c:v>9.0255568023758614E-2</c:v>
                </c:pt>
                <c:pt idx="41">
                  <c:v>9.0588965067584612E-2</c:v>
                </c:pt>
                <c:pt idx="42">
                  <c:v>9.0139465885700723E-2</c:v>
                </c:pt>
                <c:pt idx="43">
                  <c:v>8.6721799590019952E-2</c:v>
                </c:pt>
                <c:pt idx="44">
                  <c:v>8.2433913551608451E-2</c:v>
                </c:pt>
                <c:pt idx="45">
                  <c:v>8.1605295278135148E-2</c:v>
                </c:pt>
                <c:pt idx="46">
                  <c:v>8.0289336618338772E-2</c:v>
                </c:pt>
                <c:pt idx="47">
                  <c:v>7.8249059903687537E-2</c:v>
                </c:pt>
                <c:pt idx="48">
                  <c:v>7.7444141746910902E-2</c:v>
                </c:pt>
                <c:pt idx="49">
                  <c:v>7.5409267283785414E-2</c:v>
                </c:pt>
              </c:numCache>
            </c:numRef>
          </c:xVal>
          <c:yVal>
            <c:numRef>
              <c:f>'Decomposition 2'!$J$5:$J$54</c:f>
              <c:numCache>
                <c:formatCode>0.000</c:formatCode>
                <c:ptCount val="50"/>
                <c:pt idx="0">
                  <c:v>3.3984909995759184E-2</c:v>
                </c:pt>
                <c:pt idx="1">
                  <c:v>3.1242070057245299E-2</c:v>
                </c:pt>
                <c:pt idx="2">
                  <c:v>2.872045462639462E-2</c:v>
                </c:pt>
                <c:pt idx="3">
                  <c:v>2.4686175601690234E-2</c:v>
                </c:pt>
                <c:pt idx="4">
                  <c:v>2.4254258755499372E-2</c:v>
                </c:pt>
                <c:pt idx="5">
                  <c:v>2.3260251026514328E-2</c:v>
                </c:pt>
                <c:pt idx="6">
                  <c:v>2.3218202335193158E-2</c:v>
                </c:pt>
                <c:pt idx="7">
                  <c:v>2.3261838039535975E-2</c:v>
                </c:pt>
                <c:pt idx="8">
                  <c:v>2.2947007595833541E-2</c:v>
                </c:pt>
                <c:pt idx="9">
                  <c:v>2.1386633473477898E-2</c:v>
                </c:pt>
                <c:pt idx="10">
                  <c:v>2.1251168279784145E-2</c:v>
                </c:pt>
                <c:pt idx="11">
                  <c:v>2.1979846166643984E-2</c:v>
                </c:pt>
                <c:pt idx="12">
                  <c:v>2.2999187272950142E-2</c:v>
                </c:pt>
                <c:pt idx="13">
                  <c:v>2.3941828137179159E-2</c:v>
                </c:pt>
                <c:pt idx="14">
                  <c:v>2.5264845535133484E-2</c:v>
                </c:pt>
                <c:pt idx="15">
                  <c:v>2.4835886281557557E-2</c:v>
                </c:pt>
                <c:pt idx="16">
                  <c:v>2.54295633335333E-2</c:v>
                </c:pt>
                <c:pt idx="17">
                  <c:v>2.6816065546348727E-2</c:v>
                </c:pt>
                <c:pt idx="18">
                  <c:v>2.7900349638332825E-2</c:v>
                </c:pt>
                <c:pt idx="19">
                  <c:v>2.8740369012615768E-2</c:v>
                </c:pt>
                <c:pt idx="20">
                  <c:v>2.8892336986104179E-2</c:v>
                </c:pt>
                <c:pt idx="21">
                  <c:v>2.9247939162282622E-2</c:v>
                </c:pt>
                <c:pt idx="22">
                  <c:v>2.8886763522722892E-2</c:v>
                </c:pt>
                <c:pt idx="23">
                  <c:v>3.0013827852673494E-2</c:v>
                </c:pt>
                <c:pt idx="24">
                  <c:v>3.0036107104304252E-2</c:v>
                </c:pt>
                <c:pt idx="25">
                  <c:v>2.983020911562792E-2</c:v>
                </c:pt>
                <c:pt idx="26">
                  <c:v>2.9247462156771622E-2</c:v>
                </c:pt>
                <c:pt idx="27">
                  <c:v>2.8044985088220026E-2</c:v>
                </c:pt>
                <c:pt idx="28">
                  <c:v>2.6542765360996628E-2</c:v>
                </c:pt>
                <c:pt idx="29">
                  <c:v>2.5152555342716505E-2</c:v>
                </c:pt>
                <c:pt idx="30">
                  <c:v>2.2990234362615741E-2</c:v>
                </c:pt>
                <c:pt idx="31">
                  <c:v>2.057378907942788E-2</c:v>
                </c:pt>
                <c:pt idx="32">
                  <c:v>1.7735546537390495E-2</c:v>
                </c:pt>
                <c:pt idx="33">
                  <c:v>1.5269305554402425E-2</c:v>
                </c:pt>
                <c:pt idx="34">
                  <c:v>1.4998745275181344E-2</c:v>
                </c:pt>
                <c:pt idx="35">
                  <c:v>1.5733574120725107E-2</c:v>
                </c:pt>
                <c:pt idx="36">
                  <c:v>1.7223945258310308E-2</c:v>
                </c:pt>
                <c:pt idx="37">
                  <c:v>1.8676862794987526E-2</c:v>
                </c:pt>
                <c:pt idx="38">
                  <c:v>1.8648688629899737E-2</c:v>
                </c:pt>
                <c:pt idx="39">
                  <c:v>1.9532939262570138E-2</c:v>
                </c:pt>
                <c:pt idx="40">
                  <c:v>1.9546521812375005E-2</c:v>
                </c:pt>
                <c:pt idx="41">
                  <c:v>1.9857014547712663E-2</c:v>
                </c:pt>
                <c:pt idx="42">
                  <c:v>2.1519106378053748E-2</c:v>
                </c:pt>
                <c:pt idx="43">
                  <c:v>2.1231713711150294E-2</c:v>
                </c:pt>
                <c:pt idx="44">
                  <c:v>2.3257088381161809E-2</c:v>
                </c:pt>
                <c:pt idx="45">
                  <c:v>2.3866518358252414E-2</c:v>
                </c:pt>
                <c:pt idx="46">
                  <c:v>2.3099144265973839E-2</c:v>
                </c:pt>
                <c:pt idx="47">
                  <c:v>2.3685699670556757E-2</c:v>
                </c:pt>
                <c:pt idx="48">
                  <c:v>2.442148672600299E-2</c:v>
                </c:pt>
                <c:pt idx="49">
                  <c:v>2.4801994357238399E-2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'Decomposition 2'!$M$4</c:f>
              <c:strCache>
                <c:ptCount val="1"/>
                <c:pt idx="0">
                  <c:v>v/l Partic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'Decomposition 2'!$I$5:$I$54</c:f>
              <c:numCache>
                <c:formatCode>0.000</c:formatCode>
                <c:ptCount val="50"/>
                <c:pt idx="0">
                  <c:v>4.2308442600205054E-2</c:v>
                </c:pt>
                <c:pt idx="1">
                  <c:v>4.4116879762990724E-2</c:v>
                </c:pt>
                <c:pt idx="2">
                  <c:v>4.8191410997929118E-2</c:v>
                </c:pt>
                <c:pt idx="3">
                  <c:v>5.5369403355283474E-2</c:v>
                </c:pt>
                <c:pt idx="4">
                  <c:v>5.7043804125865773E-2</c:v>
                </c:pt>
                <c:pt idx="5">
                  <c:v>5.8441518378437779E-2</c:v>
                </c:pt>
                <c:pt idx="6">
                  <c:v>5.7297818148795365E-2</c:v>
                </c:pt>
                <c:pt idx="7">
                  <c:v>5.8488858746386402E-2</c:v>
                </c:pt>
                <c:pt idx="8">
                  <c:v>5.8727135704808198E-2</c:v>
                </c:pt>
                <c:pt idx="9">
                  <c:v>6.1504924746967476E-2</c:v>
                </c:pt>
                <c:pt idx="10">
                  <c:v>6.1047638953544314E-2</c:v>
                </c:pt>
                <c:pt idx="11">
                  <c:v>5.8179864963577105E-2</c:v>
                </c:pt>
                <c:pt idx="12">
                  <c:v>5.6817327212168534E-2</c:v>
                </c:pt>
                <c:pt idx="13">
                  <c:v>5.5888715236400023E-2</c:v>
                </c:pt>
                <c:pt idx="14">
                  <c:v>5.433590168905069E-2</c:v>
                </c:pt>
                <c:pt idx="15">
                  <c:v>5.3888293630012261E-2</c:v>
                </c:pt>
                <c:pt idx="16">
                  <c:v>5.2836613982295867E-2</c:v>
                </c:pt>
                <c:pt idx="17">
                  <c:v>5.1063726243783497E-2</c:v>
                </c:pt>
                <c:pt idx="18">
                  <c:v>4.9656233811252781E-2</c:v>
                </c:pt>
                <c:pt idx="19">
                  <c:v>4.9540375817642514E-2</c:v>
                </c:pt>
                <c:pt idx="20">
                  <c:v>4.7202763953106075E-2</c:v>
                </c:pt>
                <c:pt idx="21">
                  <c:v>4.6549785693897082E-2</c:v>
                </c:pt>
                <c:pt idx="22">
                  <c:v>4.6427768338602293E-2</c:v>
                </c:pt>
                <c:pt idx="23">
                  <c:v>4.453612082638455E-2</c:v>
                </c:pt>
                <c:pt idx="24">
                  <c:v>4.5241373495960364E-2</c:v>
                </c:pt>
                <c:pt idx="25">
                  <c:v>4.4952284138899345E-2</c:v>
                </c:pt>
                <c:pt idx="26">
                  <c:v>4.6570242960462443E-2</c:v>
                </c:pt>
                <c:pt idx="27">
                  <c:v>4.7992287474356188E-2</c:v>
                </c:pt>
                <c:pt idx="28">
                  <c:v>4.9832172810359232E-2</c:v>
                </c:pt>
                <c:pt idx="29">
                  <c:v>5.3213528370194885E-2</c:v>
                </c:pt>
                <c:pt idx="30">
                  <c:v>6.0103319389037922E-2</c:v>
                </c:pt>
                <c:pt idx="31">
                  <c:v>6.8722389430276434E-2</c:v>
                </c:pt>
                <c:pt idx="32">
                  <c:v>8.2914942257482041E-2</c:v>
                </c:pt>
                <c:pt idx="33">
                  <c:v>9.2734293072551585E-2</c:v>
                </c:pt>
                <c:pt idx="34">
                  <c:v>9.6044355183087918E-2</c:v>
                </c:pt>
                <c:pt idx="35">
                  <c:v>9.9172152340792477E-2</c:v>
                </c:pt>
                <c:pt idx="36">
                  <c:v>9.8209110279632014E-2</c:v>
                </c:pt>
                <c:pt idx="37">
                  <c:v>9.649303443568448E-2</c:v>
                </c:pt>
                <c:pt idx="38">
                  <c:v>9.4838563695528455E-2</c:v>
                </c:pt>
                <c:pt idx="39">
                  <c:v>9.5414185581296981E-2</c:v>
                </c:pt>
                <c:pt idx="40">
                  <c:v>9.0255568023758614E-2</c:v>
                </c:pt>
                <c:pt idx="41">
                  <c:v>9.0588965067584612E-2</c:v>
                </c:pt>
                <c:pt idx="42">
                  <c:v>9.0139465885700723E-2</c:v>
                </c:pt>
                <c:pt idx="43">
                  <c:v>8.6721799590019952E-2</c:v>
                </c:pt>
                <c:pt idx="44">
                  <c:v>8.2433913551608451E-2</c:v>
                </c:pt>
                <c:pt idx="45">
                  <c:v>8.1605295278135148E-2</c:v>
                </c:pt>
                <c:pt idx="46">
                  <c:v>8.0289336618338772E-2</c:v>
                </c:pt>
                <c:pt idx="47">
                  <c:v>7.8249059903687537E-2</c:v>
                </c:pt>
                <c:pt idx="48">
                  <c:v>7.7444141746910902E-2</c:v>
                </c:pt>
                <c:pt idx="49">
                  <c:v>7.5409267283785414E-2</c:v>
                </c:pt>
              </c:numCache>
            </c:numRef>
          </c:xVal>
          <c:yVal>
            <c:numRef>
              <c:f>'Decomposition 2'!$M$5:$M$54</c:f>
              <c:numCache>
                <c:formatCode>0.000</c:formatCode>
                <c:ptCount val="50"/>
                <c:pt idx="0">
                  <c:v>3.3168064442470745E-2</c:v>
                </c:pt>
                <c:pt idx="1">
                  <c:v>2.6374698484498926E-2</c:v>
                </c:pt>
                <c:pt idx="2">
                  <c:v>2.2359456433703118E-2</c:v>
                </c:pt>
                <c:pt idx="3">
                  <c:v>1.5657884995737417E-2</c:v>
                </c:pt>
                <c:pt idx="4">
                  <c:v>1.6067300706659553E-2</c:v>
                </c:pt>
                <c:pt idx="5">
                  <c:v>1.6239150460870322E-2</c:v>
                </c:pt>
                <c:pt idx="6">
                  <c:v>1.7286811863418829E-2</c:v>
                </c:pt>
                <c:pt idx="7">
                  <c:v>1.5633078317020484E-2</c:v>
                </c:pt>
                <c:pt idx="8">
                  <c:v>1.7434611494400228E-2</c:v>
                </c:pt>
                <c:pt idx="9">
                  <c:v>1.3430307566087119E-2</c:v>
                </c:pt>
                <c:pt idx="10">
                  <c:v>1.4304838687925666E-2</c:v>
                </c:pt>
                <c:pt idx="11">
                  <c:v>1.5712496406420313E-2</c:v>
                </c:pt>
                <c:pt idx="12">
                  <c:v>1.5962691805213008E-2</c:v>
                </c:pt>
                <c:pt idx="13">
                  <c:v>1.7306372917888547E-2</c:v>
                </c:pt>
                <c:pt idx="14">
                  <c:v>1.932448361702483E-2</c:v>
                </c:pt>
                <c:pt idx="15">
                  <c:v>1.8031553362307311E-2</c:v>
                </c:pt>
                <c:pt idx="16">
                  <c:v>1.9954343077621322E-2</c:v>
                </c:pt>
                <c:pt idx="17">
                  <c:v>2.3374302257853075E-2</c:v>
                </c:pt>
                <c:pt idx="18">
                  <c:v>2.5078562615349891E-2</c:v>
                </c:pt>
                <c:pt idx="19">
                  <c:v>2.3859580135912141E-2</c:v>
                </c:pt>
                <c:pt idx="20">
                  <c:v>2.7687776645910978E-2</c:v>
                </c:pt>
                <c:pt idx="21">
                  <c:v>2.7704994008723536E-2</c:v>
                </c:pt>
                <c:pt idx="22">
                  <c:v>2.6013655972524856E-2</c:v>
                </c:pt>
                <c:pt idx="23">
                  <c:v>3.3005772607390564E-2</c:v>
                </c:pt>
                <c:pt idx="24">
                  <c:v>2.7453238019628855E-2</c:v>
                </c:pt>
                <c:pt idx="25">
                  <c:v>2.7746262441097579E-2</c:v>
                </c:pt>
                <c:pt idx="26">
                  <c:v>2.7041720056996378E-2</c:v>
                </c:pt>
                <c:pt idx="27">
                  <c:v>2.3365979281640796E-2</c:v>
                </c:pt>
                <c:pt idx="28">
                  <c:v>2.3325030310124402E-2</c:v>
                </c:pt>
                <c:pt idx="29">
                  <c:v>1.9123899788850457E-2</c:v>
                </c:pt>
                <c:pt idx="30">
                  <c:v>1.4549987581883422E-2</c:v>
                </c:pt>
                <c:pt idx="31">
                  <c:v>1.1535044419585199E-2</c:v>
                </c:pt>
                <c:pt idx="32">
                  <c:v>8.0739250173645378E-3</c:v>
                </c:pt>
                <c:pt idx="33">
                  <c:v>5.9083630927203312E-3</c:v>
                </c:pt>
                <c:pt idx="34">
                  <c:v>5.5389669860744263E-3</c:v>
                </c:pt>
                <c:pt idx="35">
                  <c:v>5.6609095194956986E-3</c:v>
                </c:pt>
                <c:pt idx="36">
                  <c:v>6.4917595983671906E-3</c:v>
                </c:pt>
                <c:pt idx="37">
                  <c:v>6.8829775072121284E-3</c:v>
                </c:pt>
                <c:pt idx="38">
                  <c:v>7.5411750678259695E-3</c:v>
                </c:pt>
                <c:pt idx="39">
                  <c:v>7.5052522232344114E-3</c:v>
                </c:pt>
                <c:pt idx="40">
                  <c:v>8.7609473317360308E-3</c:v>
                </c:pt>
                <c:pt idx="41">
                  <c:v>7.8678346468997341E-3</c:v>
                </c:pt>
                <c:pt idx="42">
                  <c:v>9.6336651038054014E-3</c:v>
                </c:pt>
                <c:pt idx="43">
                  <c:v>9.4644391836792349E-3</c:v>
                </c:pt>
                <c:pt idx="44">
                  <c:v>1.0143747624453196E-2</c:v>
                </c:pt>
                <c:pt idx="45">
                  <c:v>1.0951629276605479E-2</c:v>
                </c:pt>
                <c:pt idx="46">
                  <c:v>1.2103856829838932E-2</c:v>
                </c:pt>
                <c:pt idx="47">
                  <c:v>1.2145138216561107E-2</c:v>
                </c:pt>
                <c:pt idx="48">
                  <c:v>1.2050074331595445E-2</c:v>
                </c:pt>
                <c:pt idx="49">
                  <c:v>1.3392432480032263E-2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15904"/>
        <c:axId val="149934464"/>
      </c:scatterChart>
      <c:valAx>
        <c:axId val="149915904"/>
        <c:scaling>
          <c:orientation val="minMax"/>
          <c:max val="0.11000000000000001"/>
          <c:min val="3.0000000000000006E-2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34464"/>
        <c:crosses val="min"/>
        <c:crossBetween val="midCat"/>
      </c:valAx>
      <c:valAx>
        <c:axId val="149934464"/>
        <c:scaling>
          <c:orientation val="minMax"/>
          <c:min val="5.000000000000001E-3"/>
        </c:scaling>
        <c:delete val="0"/>
        <c:axPos val="l"/>
        <c:numFmt formatCode="General" sourceLinked="0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15904"/>
        <c:crosses val="autoZero"/>
        <c:crossBetween val="midCat"/>
      </c:valAx>
      <c:valAx>
        <c:axId val="149936000"/>
        <c:scaling>
          <c:orientation val="minMax"/>
          <c:max val="3.9999999999999994E-2"/>
          <c:min val="5.000000000000001E-3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37536"/>
        <c:crosses val="max"/>
        <c:crossBetween val="between"/>
        <c:majorUnit val="5.0000000000000001E-3"/>
        <c:minorUnit val="1E-3"/>
      </c:valAx>
      <c:catAx>
        <c:axId val="149937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936000"/>
        <c:crosses val="min"/>
        <c:auto val="1"/>
        <c:lblAlgn val="ctr"/>
        <c:lblOffset val="100"/>
        <c:noMultiLvlLbl val="0"/>
      </c:catAx>
      <c:spPr>
        <a:noFill/>
        <a:ln w="22225">
          <a:solidFill>
            <a:srgbClr val="00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0.10182</cdr:y>
    </cdr:from>
    <cdr:to>
      <cdr:x>0.05163</cdr:x>
      <cdr:y>0.12851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0.02716</cdr:x>
      <cdr:y>0.96866</cdr:y>
    </cdr:from>
    <cdr:to>
      <cdr:x>0.92455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252859" y="5887357"/>
          <a:ext cx="8354247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0.02716</cdr:x>
      <cdr:y>0.00836</cdr:y>
    </cdr:from>
    <cdr:to>
      <cdr:x>0.92455</cdr:x>
      <cdr:y>0.05433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252859" y="50800"/>
          <a:ext cx="8354247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0.11916</cdr:x>
      <cdr:y>0.00834</cdr:y>
    </cdr:from>
    <cdr:to>
      <cdr:x>0.89036</cdr:x>
      <cdr:y>0.06685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763432" y="50800"/>
          <a:ext cx="4940816" cy="3562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0.77665</cdr:x>
      <cdr:y>0.05015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61" y="50895"/>
          <a:ext cx="4940816" cy="254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0.00793</cdr:x>
      <cdr:y>0.00834</cdr:y>
    </cdr:from>
    <cdr:to>
      <cdr:x>0.40531</cdr:x>
      <cdr:y>0.05028</cdr:y>
    </cdr:to>
    <cdr:sp macro="" textlink="">
      <cdr:nvSpPr>
        <cdr:cNvPr id="9" name="ylabelleft"/>
        <cdr:cNvSpPr txBox="1"/>
      </cdr:nvSpPr>
      <cdr:spPr>
        <a:xfrm xmlns:a="http://schemas.openxmlformats.org/drawingml/2006/main">
          <a:off x="50800" y="50799"/>
          <a:ext cx="2545896" cy="25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Outflow rate, </a:t>
          </a:r>
          <a:r>
            <a:rPr lang="el-GR" sz="1600" b="0" i="0" u="none">
              <a:solidFill>
                <a:srgbClr val="000000"/>
              </a:solidFill>
              <a:latin typeface="Calibri"/>
            </a:rPr>
            <a:t>ξ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0.52566</cdr:x>
      <cdr:y>0.00834</cdr:y>
    </cdr:from>
    <cdr:to>
      <cdr:x>1</cdr:x>
      <cdr:y>0.05214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367768" y="50800"/>
          <a:ext cx="3038928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I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nflow rate, </a:t>
          </a:r>
          <a:r>
            <a:rPr lang="el-GR" sz="1600" b="0" i="0" u="none" baseline="0">
              <a:solidFill>
                <a:srgbClr val="000000"/>
              </a:solidFill>
              <a:latin typeface="Calibri"/>
            </a:rPr>
            <a:t>ϵ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1" name="FRBMDSeriesMarkers: ξ (left axis)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0.23085</cdr:x>
      <cdr:y>0.17819</cdr:y>
    </cdr:from>
    <cdr:to>
      <cdr:x>0.43549</cdr:x>
      <cdr:y>0.2557</cdr:y>
    </cdr:to>
    <cdr:sp macro="" textlink="">
      <cdr:nvSpPr>
        <cdr:cNvPr id="12" name="SeriesLabel: ξ (left axis)"/>
        <cdr:cNvSpPr txBox="1"/>
      </cdr:nvSpPr>
      <cdr:spPr>
        <a:xfrm xmlns:a="http://schemas.openxmlformats.org/drawingml/2006/main">
          <a:off x="1479002" y="1085063"/>
          <a:ext cx="1311065" cy="471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Outflow rate,</a:t>
          </a:r>
          <a:r>
            <a:rPr lang="en-GB" sz="1600" b="1" i="0" u="none" baseline="0">
              <a:solidFill>
                <a:sysClr val="windowText" lastClr="000000"/>
              </a:solidFill>
              <a:latin typeface="Arial"/>
            </a:rPr>
            <a:t> </a:t>
          </a:r>
        </a:p>
        <a:p xmlns:a="http://schemas.openxmlformats.org/drawingml/2006/main">
          <a:pPr algn="ctr"/>
          <a:r>
            <a:rPr lang="el-GR" sz="1600" b="1" i="0" u="none">
              <a:solidFill>
                <a:sysClr val="windowText" lastClr="000000"/>
              </a:solidFill>
              <a:latin typeface="Arial"/>
            </a:rPr>
            <a:t>ξ </a:t>
          </a:r>
          <a:r>
            <a:rPr lang="el-GR" sz="1200" b="1" i="0" u="none">
              <a:solidFill>
                <a:sysClr val="windowText" lastClr="000000"/>
              </a:solidFill>
              <a:latin typeface="Arial"/>
            </a:rPr>
            <a:t>(</a:t>
          </a:r>
          <a:r>
            <a:rPr lang="en-GB" sz="1200" b="1" i="0" u="none">
              <a:solidFill>
                <a:sysClr val="windowText" lastClr="000000"/>
              </a:solidFill>
              <a:latin typeface="Arial"/>
            </a:rPr>
            <a:t>left axis)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3" name="FRBMDSeriesMarkers: ϵ (right axis)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0.67981</cdr:x>
      <cdr:y>0.17261</cdr:y>
    </cdr:from>
    <cdr:to>
      <cdr:x>0.85776</cdr:x>
      <cdr:y>0.25011</cdr:y>
    </cdr:to>
    <cdr:sp macro="" textlink="">
      <cdr:nvSpPr>
        <cdr:cNvPr id="14" name="SeriesLabel: ϵ (right axis)"/>
        <cdr:cNvSpPr txBox="1"/>
      </cdr:nvSpPr>
      <cdr:spPr>
        <a:xfrm xmlns:a="http://schemas.openxmlformats.org/drawingml/2006/main">
          <a:off x="4355304" y="1051046"/>
          <a:ext cx="1140119" cy="471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Inflow rate,</a:t>
          </a:r>
          <a:r>
            <a:rPr lang="en-GB" sz="1600" b="1" i="0" u="none" baseline="0">
              <a:solidFill>
                <a:sysClr val="windowText" lastClr="000000"/>
              </a:solidFill>
              <a:latin typeface="Arial"/>
            </a:rPr>
            <a:t> </a:t>
          </a:r>
        </a:p>
        <a:p xmlns:a="http://schemas.openxmlformats.org/drawingml/2006/main">
          <a:pPr algn="ctr"/>
          <a:r>
            <a:rPr lang="el-GR" sz="1600" b="1" i="0" u="none">
              <a:solidFill>
                <a:sysClr val="windowText" lastClr="000000"/>
              </a:solidFill>
              <a:latin typeface="Arial"/>
            </a:rPr>
            <a:t>ϵ</a:t>
          </a:r>
          <a:r>
            <a:rPr lang="el-GR" sz="1200" b="1" i="0" u="none">
              <a:solidFill>
                <a:sysClr val="windowText" lastClr="000000"/>
              </a:solidFill>
              <a:latin typeface="Arial"/>
            </a:rPr>
            <a:t> (</a:t>
          </a:r>
          <a:r>
            <a:rPr lang="en-GB" sz="1200" b="1" i="0" u="none">
              <a:solidFill>
                <a:sysClr val="windowText" lastClr="000000"/>
              </a:solidFill>
              <a:latin typeface="Arial"/>
            </a:rPr>
            <a:t>right axis)</a:t>
          </a:r>
          <a:endParaRPr lang="en-GB" sz="1600" b="1" i="0" u="none">
            <a:solidFill>
              <a:sysClr val="windowText" lastClr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 i="0"/>
            <a:t>False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01/12/2000!*FRB*!01/07/2013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0.11916</cdr:x>
      <cdr:y>0.06877</cdr:y>
    </cdr:from>
    <cdr:to>
      <cdr:x>0.89036</cdr:x>
      <cdr:y>0.06877</cdr:y>
    </cdr:to>
    <cdr:cxnSp macro="">
      <cdr:nvCxnSpPr>
        <cdr:cNvPr id="19" name="FRBMDHlineConnector" hidden="1"/>
        <cdr:cNvCxnSpPr/>
      </cdr:nvCxnSpPr>
      <cdr:spPr>
        <a:xfrm xmlns:a="http://schemas.openxmlformats.org/drawingml/2006/main">
          <a:off x="763432" y="418780"/>
          <a:ext cx="4940816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0.11916</cdr:x>
      <cdr:y>0.06877</cdr:y>
    </cdr:from>
    <cdr:to>
      <cdr:x>0.11916</cdr:x>
      <cdr:y>0.90248</cdr:y>
    </cdr:to>
    <cdr:cxnSp macro="">
      <cdr:nvCxnSpPr>
        <cdr:cNvPr id="21" name="FRBMDVlineConnector" hidden="1"/>
        <cdr:cNvCxnSpPr/>
      </cdr:nvCxnSpPr>
      <cdr:spPr>
        <a:xfrm xmlns:a="http://schemas.openxmlformats.org/drawingml/2006/main">
          <a:off x="763432" y="418779"/>
          <a:ext cx="0" cy="5076606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4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0.10182</cdr:y>
    </cdr:from>
    <cdr:to>
      <cdr:x>0.05163</cdr:x>
      <cdr:y>0.12851</cdr:y>
    </cdr:to>
    <cdr:sp macro="" textlink="">
      <cdr:nvSpPr>
        <cdr:cNvPr id="5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0.03761</cdr:x>
      <cdr:y>0.96866</cdr:y>
    </cdr:from>
    <cdr:to>
      <cdr:x>0.92455</cdr:x>
      <cdr:y>1</cdr:y>
    </cdr:to>
    <cdr:sp macro="" textlink="">
      <cdr:nvSpPr>
        <cdr:cNvPr id="6" name="source" hidden="1"/>
        <cdr:cNvSpPr txBox="1"/>
      </cdr:nvSpPr>
      <cdr:spPr>
        <a:xfrm xmlns:a="http://schemas.openxmlformats.org/drawingml/2006/main">
          <a:off x="350171" y="5887357"/>
          <a:ext cx="825693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0.03761</cdr:x>
      <cdr:y>0.00836</cdr:y>
    </cdr:from>
    <cdr:to>
      <cdr:x>0.92455</cdr:x>
      <cdr:y>0.05433</cdr:y>
    </cdr:to>
    <cdr:sp macro="" textlink="">
      <cdr:nvSpPr>
        <cdr:cNvPr id="10" name="subtitle" hidden="1"/>
        <cdr:cNvSpPr txBox="1"/>
      </cdr:nvSpPr>
      <cdr:spPr>
        <a:xfrm xmlns:a="http://schemas.openxmlformats.org/drawingml/2006/main">
          <a:off x="350171" y="50800"/>
          <a:ext cx="825693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0.05095</cdr:x>
      <cdr:y>0.00834</cdr:y>
    </cdr:from>
    <cdr:to>
      <cdr:x>0.89036</cdr:x>
      <cdr:y>0.06685</cdr:y>
    </cdr:to>
    <cdr:sp macro="" textlink="">
      <cdr:nvSpPr>
        <cdr:cNvPr id="11" name="title" hidden="1"/>
        <cdr:cNvSpPr txBox="1"/>
      </cdr:nvSpPr>
      <cdr:spPr>
        <a:xfrm xmlns:a="http://schemas.openxmlformats.org/drawingml/2006/main">
          <a:off x="326412" y="50800"/>
          <a:ext cx="5377837" cy="3562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0.05095</cdr:x>
      <cdr:y>0.95821</cdr:y>
    </cdr:from>
    <cdr:to>
      <cdr:x>0.89036</cdr:x>
      <cdr:y>1</cdr:y>
    </cdr:to>
    <cdr:sp macro="" textlink="">
      <cdr:nvSpPr>
        <cdr:cNvPr id="12" name="xlabel"/>
        <cdr:cNvSpPr txBox="1"/>
      </cdr:nvSpPr>
      <cdr:spPr>
        <a:xfrm xmlns:a="http://schemas.openxmlformats.org/drawingml/2006/main">
          <a:off x="326411" y="5885522"/>
          <a:ext cx="5377837" cy="254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Unemployment rate (U/L, CPS)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0.05015</cdr:y>
    </cdr:to>
    <cdr:sp macro="" textlink="">
      <cdr:nvSpPr>
        <cdr:cNvPr id="13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0.51681</cdr:x>
      <cdr:y>0.00834</cdr:y>
    </cdr:from>
    <cdr:to>
      <cdr:x>1</cdr:x>
      <cdr:y>0.05214</cdr:y>
    </cdr:to>
    <cdr:sp macro="" textlink="">
      <cdr:nvSpPr>
        <cdr:cNvPr id="14" name="ylabelright"/>
        <cdr:cNvSpPr txBox="1"/>
      </cdr:nvSpPr>
      <cdr:spPr>
        <a:xfrm xmlns:a="http://schemas.openxmlformats.org/drawingml/2006/main">
          <a:off x="3311071" y="50800"/>
          <a:ext cx="30956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Vacancy rate (V/L, JOLTS, CPS)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5" name="FRBMDSeriesMarkers: v/l ac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0.44553</cdr:x>
      <cdr:y>0.37902</cdr:y>
    </cdr:from>
    <cdr:to>
      <cdr:x>0.80157</cdr:x>
      <cdr:y>0.41777</cdr:y>
    </cdr:to>
    <cdr:sp macro="" textlink="">
      <cdr:nvSpPr>
        <cdr:cNvPr id="16" name="SeriesLabel: v/l act"/>
        <cdr:cNvSpPr txBox="1"/>
      </cdr:nvSpPr>
      <cdr:spPr>
        <a:xfrm xmlns:a="http://schemas.openxmlformats.org/drawingml/2006/main">
          <a:off x="2854398" y="2307917"/>
          <a:ext cx="228101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Actual Beveridge curve</a:t>
          </a: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7" name="FRBMDSeriesMarkers: v/l Partic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0.22189</cdr:x>
      <cdr:y>0.77305</cdr:y>
    </cdr:from>
    <cdr:to>
      <cdr:x>0.5725</cdr:x>
      <cdr:y>0.85055</cdr:y>
    </cdr:to>
    <cdr:sp macro="" textlink="">
      <cdr:nvSpPr>
        <cdr:cNvPr id="18" name="SeriesLabel: v/l Partic"/>
        <cdr:cNvSpPr txBox="1"/>
      </cdr:nvSpPr>
      <cdr:spPr>
        <a:xfrm xmlns:a="http://schemas.openxmlformats.org/drawingml/2006/main">
          <a:off x="1421584" y="4707258"/>
          <a:ext cx="2246256" cy="471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Implied</a:t>
          </a:r>
          <a:r>
            <a:rPr lang="en-GB" sz="1600" b="1" i="0" u="none" baseline="0">
              <a:solidFill>
                <a:sysClr val="windowText" lastClr="000000"/>
              </a:solidFill>
              <a:latin typeface="Arial"/>
            </a:rPr>
            <a:t> by constant </a:t>
          </a:r>
        </a:p>
        <a:p xmlns:a="http://schemas.openxmlformats.org/drawingml/2006/main">
          <a:pPr algn="ctr"/>
          <a:r>
            <a:rPr lang="en-GB" sz="1600" b="1" i="0" u="none" baseline="0">
              <a:solidFill>
                <a:sysClr val="windowText" lastClr="000000"/>
              </a:solidFill>
              <a:latin typeface="Arial"/>
            </a:rPr>
            <a:t>participation flow rates</a:t>
          </a:r>
          <a:endParaRPr lang="en-GB" sz="1600" b="1" i="0" u="none">
            <a:solidFill>
              <a:sysClr val="windowText" lastClr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19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0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1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2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0.05095</cdr:x>
      <cdr:y>0.06877</cdr:y>
    </cdr:from>
    <cdr:to>
      <cdr:x>0.89036</cdr:x>
      <cdr:y>0.06877</cdr:y>
    </cdr:to>
    <cdr:cxnSp macro="">
      <cdr:nvCxnSpPr>
        <cdr:cNvPr id="23" name="FRBMDHlineConnector" hidden="1"/>
        <cdr:cNvCxnSpPr/>
      </cdr:nvCxnSpPr>
      <cdr:spPr>
        <a:xfrm xmlns:a="http://schemas.openxmlformats.org/drawingml/2006/main">
          <a:off x="326412" y="418780"/>
          <a:ext cx="537783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4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0.05095</cdr:x>
      <cdr:y>0.06877</cdr:y>
    </cdr:from>
    <cdr:to>
      <cdr:x>0.05095</cdr:x>
      <cdr:y>0.906</cdr:y>
    </cdr:to>
    <cdr:cxnSp macro="">
      <cdr:nvCxnSpPr>
        <cdr:cNvPr id="25" name="FRBMDVlineConnector" hidden="1"/>
        <cdr:cNvCxnSpPr/>
      </cdr:nvCxnSpPr>
      <cdr:spPr>
        <a:xfrm xmlns:a="http://schemas.openxmlformats.org/drawingml/2006/main">
          <a:off x="326411" y="418780"/>
          <a:ext cx="0" cy="509803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0.00836</cdr:y>
    </cdr:from>
    <cdr:to>
      <cdr:x>0.14188</cdr:x>
      <cdr:y>0.21731</cdr:y>
    </cdr:to>
    <cdr:sp macro="" textlink="">
      <cdr:nvSpPr>
        <cdr:cNvPr id="26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"/>
  <sheetViews>
    <sheetView workbookViewId="0">
      <selection activeCell="C9" sqref="C9"/>
    </sheetView>
  </sheetViews>
  <sheetFormatPr defaultRowHeight="15" x14ac:dyDescent="0.25"/>
  <cols>
    <col min="2" max="2" width="12.5703125" bestFit="1" customWidth="1"/>
    <col min="3" max="3" width="26.5703125" bestFit="1" customWidth="1"/>
    <col min="5" max="5" width="14.85546875" bestFit="1" customWidth="1"/>
  </cols>
  <sheetData>
    <row r="1" spans="1:5" x14ac:dyDescent="0.25">
      <c r="A1" t="s">
        <v>62</v>
      </c>
    </row>
    <row r="2" spans="1:5" x14ac:dyDescent="0.25">
      <c r="A2" t="s">
        <v>63</v>
      </c>
      <c r="B2" t="s">
        <v>64</v>
      </c>
      <c r="C2" t="s">
        <v>74</v>
      </c>
      <c r="D2" t="s">
        <v>76</v>
      </c>
      <c r="E2" t="s">
        <v>78</v>
      </c>
    </row>
    <row r="3" spans="1:5" x14ac:dyDescent="0.25">
      <c r="A3" t="s">
        <v>66</v>
      </c>
      <c r="B3" t="s">
        <v>0</v>
      </c>
      <c r="C3" t="s">
        <v>95</v>
      </c>
      <c r="D3" t="s">
        <v>80</v>
      </c>
      <c r="E3" s="16" t="s">
        <v>89</v>
      </c>
    </row>
    <row r="4" spans="1:5" x14ac:dyDescent="0.25">
      <c r="A4" t="s">
        <v>65</v>
      </c>
      <c r="B4" t="s">
        <v>1</v>
      </c>
      <c r="C4" t="s">
        <v>96</v>
      </c>
      <c r="D4" t="s">
        <v>80</v>
      </c>
      <c r="E4" s="16" t="s">
        <v>94</v>
      </c>
    </row>
    <row r="5" spans="1:5" x14ac:dyDescent="0.25">
      <c r="A5" t="s">
        <v>7</v>
      </c>
      <c r="B5" t="s">
        <v>5</v>
      </c>
      <c r="C5" t="s">
        <v>97</v>
      </c>
      <c r="D5" t="s">
        <v>80</v>
      </c>
      <c r="E5" s="16" t="s">
        <v>91</v>
      </c>
    </row>
    <row r="6" spans="1:5" x14ac:dyDescent="0.25">
      <c r="A6" t="s">
        <v>67</v>
      </c>
      <c r="B6" t="s">
        <v>2</v>
      </c>
      <c r="C6" t="s">
        <v>98</v>
      </c>
      <c r="D6" t="s">
        <v>80</v>
      </c>
      <c r="E6" s="16" t="s">
        <v>93</v>
      </c>
    </row>
    <row r="7" spans="1:5" x14ac:dyDescent="0.25">
      <c r="A7" t="s">
        <v>68</v>
      </c>
      <c r="B7" t="s">
        <v>3</v>
      </c>
      <c r="C7" t="s">
        <v>99</v>
      </c>
      <c r="D7" t="s">
        <v>80</v>
      </c>
      <c r="E7" s="16" t="s">
        <v>92</v>
      </c>
    </row>
    <row r="8" spans="1:5" x14ac:dyDescent="0.25">
      <c r="A8" t="s">
        <v>69</v>
      </c>
      <c r="B8" t="s">
        <v>4</v>
      </c>
      <c r="C8" t="s">
        <v>100</v>
      </c>
      <c r="D8" t="s">
        <v>80</v>
      </c>
      <c r="E8" s="16" t="s">
        <v>90</v>
      </c>
    </row>
    <row r="9" spans="1:5" x14ac:dyDescent="0.25">
      <c r="A9" t="s">
        <v>70</v>
      </c>
      <c r="B9" t="s">
        <v>6</v>
      </c>
      <c r="C9" t="s">
        <v>86</v>
      </c>
      <c r="D9" t="s">
        <v>80</v>
      </c>
      <c r="E9" s="16" t="s">
        <v>88</v>
      </c>
    </row>
    <row r="10" spans="1:5" x14ac:dyDescent="0.25">
      <c r="A10" t="s">
        <v>71</v>
      </c>
      <c r="B10" t="s">
        <v>7</v>
      </c>
      <c r="C10" t="s">
        <v>83</v>
      </c>
      <c r="D10" t="s">
        <v>80</v>
      </c>
      <c r="E10" s="16" t="s">
        <v>87</v>
      </c>
    </row>
    <row r="11" spans="1:5" x14ac:dyDescent="0.25">
      <c r="A11" t="s">
        <v>72</v>
      </c>
      <c r="B11" t="s">
        <v>8</v>
      </c>
      <c r="C11" t="s">
        <v>82</v>
      </c>
      <c r="D11" t="s">
        <v>80</v>
      </c>
      <c r="E11" t="s">
        <v>84</v>
      </c>
    </row>
    <row r="12" spans="1:5" x14ac:dyDescent="0.25">
      <c r="A12" t="s">
        <v>10</v>
      </c>
      <c r="B12" t="s">
        <v>9</v>
      </c>
      <c r="C12" t="s">
        <v>75</v>
      </c>
      <c r="D12" t="s">
        <v>77</v>
      </c>
      <c r="E12" t="s">
        <v>85</v>
      </c>
    </row>
    <row r="13" spans="1:5" x14ac:dyDescent="0.25">
      <c r="A13" t="s">
        <v>73</v>
      </c>
      <c r="B13" t="s">
        <v>10</v>
      </c>
      <c r="C13" t="s">
        <v>79</v>
      </c>
      <c r="D13" t="s">
        <v>80</v>
      </c>
      <c r="E13" s="1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U7" sqref="U7"/>
    </sheetView>
  </sheetViews>
  <sheetFormatPr defaultRowHeight="15" x14ac:dyDescent="0.25"/>
  <sheetData>
    <row r="1" spans="1:37" ht="14.45" x14ac:dyDescent="0.3">
      <c r="Z1" s="15" t="s">
        <v>22</v>
      </c>
      <c r="AA1" s="15"/>
      <c r="AB1" s="15"/>
      <c r="AC1" s="15"/>
      <c r="AD1" s="15"/>
      <c r="AE1" s="15"/>
      <c r="AF1" s="15"/>
      <c r="AG1" s="15"/>
      <c r="AH1" s="15"/>
    </row>
    <row r="2" spans="1:37" ht="15" customHeight="1" x14ac:dyDescent="0.3">
      <c r="C2" t="s">
        <v>0</v>
      </c>
      <c r="D2" t="s">
        <v>1</v>
      </c>
      <c r="E2" t="s">
        <v>5</v>
      </c>
      <c r="F2" t="s">
        <v>2</v>
      </c>
      <c r="G2" t="s">
        <v>3</v>
      </c>
      <c r="H2" t="s">
        <v>4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11</v>
      </c>
      <c r="Q2" t="s">
        <v>12</v>
      </c>
      <c r="R2" t="s">
        <v>20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Z2" t="s">
        <v>11</v>
      </c>
      <c r="AA2" t="s">
        <v>12</v>
      </c>
      <c r="AB2" t="s">
        <v>20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7</v>
      </c>
      <c r="AJ2" t="s">
        <v>6</v>
      </c>
      <c r="AK2" t="s">
        <v>8</v>
      </c>
    </row>
    <row r="3" spans="1:37" ht="15" customHeight="1" x14ac:dyDescent="0.3">
      <c r="A3" s="1">
        <v>32874</v>
      </c>
      <c r="B3" s="1">
        <v>32874</v>
      </c>
      <c r="C3" t="s">
        <v>13</v>
      </c>
      <c r="D3" t="s">
        <v>13</v>
      </c>
      <c r="F3" t="s">
        <v>13</v>
      </c>
      <c r="G3" t="s">
        <v>13</v>
      </c>
      <c r="H3" t="s">
        <v>13</v>
      </c>
      <c r="I3">
        <v>62580</v>
      </c>
      <c r="J3">
        <v>119081</v>
      </c>
      <c r="K3">
        <v>6752</v>
      </c>
      <c r="M3">
        <f>J3+K3</f>
        <v>125833</v>
      </c>
      <c r="P3">
        <f>K3/M3</f>
        <v>5.3658420287206056E-2</v>
      </c>
      <c r="Q3">
        <f>I3/M3</f>
        <v>0.49732582073065096</v>
      </c>
      <c r="R3" t="e">
        <f>IF(ISNUMBER(L3),L3/M3,NA())</f>
        <v>#N/A</v>
      </c>
      <c r="S3" t="e">
        <f>IF(ISNUMBER(C3),C3/$K3,NA())</f>
        <v>#N/A</v>
      </c>
      <c r="T3" t="e">
        <f t="shared" ref="T3" si="0">IF(ISNUMBER(D3),D3/$K3,NA())</f>
        <v>#N/A</v>
      </c>
      <c r="U3" t="e">
        <f>IF(ISNUMBER(E3),E3/$J3,NA())</f>
        <v>#N/A</v>
      </c>
      <c r="V3" t="e">
        <f>IF(ISNUMBER(F3),F3/$J3,NA())</f>
        <v>#N/A</v>
      </c>
      <c r="W3" t="e">
        <f>IF(ISNUMBER(G3),G3/$I3,NA())</f>
        <v>#N/A</v>
      </c>
      <c r="X3" t="e">
        <f>IF(ISNUMBER(H3),H3/$I3,NA())</f>
        <v>#N/A</v>
      </c>
      <c r="Y3" s="1">
        <f>B3</f>
        <v>32874</v>
      </c>
      <c r="Z3" t="e">
        <f>IF(ISNUMBER(P1),AVERAGE(P1:P3),NA())</f>
        <v>#N/A</v>
      </c>
      <c r="AA3" t="e">
        <f t="shared" ref="AA3:AH3" si="1">IF(ISNUMBER(Q1),AVERAGE(Q1:Q3),NA())</f>
        <v>#N/A</v>
      </c>
      <c r="AB3" t="e">
        <f t="shared" si="1"/>
        <v>#N/A</v>
      </c>
      <c r="AC3" t="e">
        <f t="shared" si="1"/>
        <v>#N/A</v>
      </c>
      <c r="AD3" t="e">
        <f t="shared" si="1"/>
        <v>#N/A</v>
      </c>
      <c r="AE3" t="e">
        <f t="shared" si="1"/>
        <v>#N/A</v>
      </c>
      <c r="AF3" t="e">
        <f t="shared" si="1"/>
        <v>#N/A</v>
      </c>
      <c r="AG3" t="e">
        <f t="shared" si="1"/>
        <v>#N/A</v>
      </c>
      <c r="AH3" t="e">
        <f t="shared" si="1"/>
        <v>#N/A</v>
      </c>
      <c r="AI3" t="e">
        <f>NA()</f>
        <v>#N/A</v>
      </c>
      <c r="AJ3" t="e">
        <f>NA()</f>
        <v>#N/A</v>
      </c>
      <c r="AK3" t="e">
        <f>NA()</f>
        <v>#N/A</v>
      </c>
    </row>
    <row r="4" spans="1:37" ht="15" customHeight="1" x14ac:dyDescent="0.3">
      <c r="A4" s="1">
        <v>32905</v>
      </c>
      <c r="B4" s="1">
        <v>32905</v>
      </c>
      <c r="C4">
        <v>2152</v>
      </c>
      <c r="D4">
        <v>1360</v>
      </c>
      <c r="E4">
        <v>1823</v>
      </c>
      <c r="F4">
        <v>3583</v>
      </c>
      <c r="G4">
        <v>1573</v>
      </c>
      <c r="H4">
        <v>3204</v>
      </c>
      <c r="I4">
        <v>62806</v>
      </c>
      <c r="J4">
        <v>119059</v>
      </c>
      <c r="K4">
        <v>6651</v>
      </c>
      <c r="M4">
        <f t="shared" ref="M4:M67" si="2">J4+K4</f>
        <v>125710</v>
      </c>
      <c r="P4">
        <f t="shared" ref="P4:P67" si="3">K4/M4</f>
        <v>5.2907485482459632E-2</v>
      </c>
      <c r="Q4">
        <f t="shared" ref="Q4:Q67" si="4">I4/M4</f>
        <v>0.49961021398456767</v>
      </c>
      <c r="R4" t="e">
        <f t="shared" ref="R4:R67" si="5">IF(ISNUMBER(L4),L4/M4,NA())</f>
        <v>#N/A</v>
      </c>
      <c r="S4">
        <f>IF(ISNUMBER(C4),C4/$K3,NA())</f>
        <v>0.31872037914691942</v>
      </c>
      <c r="T4">
        <f>IF(ISNUMBER(D4),D4/$K3,NA())</f>
        <v>0.2014218009478673</v>
      </c>
      <c r="U4">
        <f>IF(ISNUMBER(E4),E4/$J3,NA())</f>
        <v>1.5308907382369983E-2</v>
      </c>
      <c r="V4">
        <f>IF(ISNUMBER(F4),F4/$J3,NA())</f>
        <v>3.0088763110823726E-2</v>
      </c>
      <c r="W4">
        <f>IF(ISNUMBER(G4),G4/$I3,NA())</f>
        <v>2.5135826142537551E-2</v>
      </c>
      <c r="X4">
        <f t="shared" ref="X4" si="6">IF(ISNUMBER(H4),H4/$I4,NA())</f>
        <v>5.1014234308824E-2</v>
      </c>
      <c r="Y4" s="1">
        <f t="shared" ref="Y4:Y67" si="7">B4</f>
        <v>32905</v>
      </c>
      <c r="Z4" t="e">
        <f>IF(ISNUMBER(P2),AVERAGE(P2:P4),NA())</f>
        <v>#N/A</v>
      </c>
      <c r="AA4" t="e">
        <f t="shared" ref="AA4:AA6" si="8">IF(ISNUMBER(Q2),AVERAGE(Q2:Q4),NA())</f>
        <v>#N/A</v>
      </c>
      <c r="AB4" t="e">
        <f t="shared" ref="AB4:AB6" si="9">IF(ISNUMBER(R2),AVERAGE(R2:R4),NA())</f>
        <v>#N/A</v>
      </c>
      <c r="AC4" t="e">
        <f t="shared" ref="AC4:AC6" si="10">IF(ISNUMBER(S2),AVERAGE(S2:S4),NA())</f>
        <v>#N/A</v>
      </c>
      <c r="AD4" t="e">
        <f t="shared" ref="AD4:AD6" si="11">IF(ISNUMBER(T2),AVERAGE(T2:T4),NA())</f>
        <v>#N/A</v>
      </c>
      <c r="AE4" t="e">
        <f t="shared" ref="AE4:AE6" si="12">IF(ISNUMBER(U2),AVERAGE(U2:U4),NA())</f>
        <v>#N/A</v>
      </c>
      <c r="AF4" t="e">
        <f t="shared" ref="AF4:AF6" si="13">IF(ISNUMBER(V2),AVERAGE(V2:V4),NA())</f>
        <v>#N/A</v>
      </c>
      <c r="AG4" t="e">
        <f t="shared" ref="AG4:AG6" si="14">IF(ISNUMBER(W2),AVERAGE(W2:W4),NA())</f>
        <v>#N/A</v>
      </c>
      <c r="AH4" t="e">
        <f t="shared" ref="AH4:AH6" si="15">IF(ISNUMBER(X2),AVERAGE(X2:X4),NA())</f>
        <v>#N/A</v>
      </c>
      <c r="AI4" t="e">
        <f>NA()</f>
        <v>#N/A</v>
      </c>
      <c r="AJ4" t="e">
        <f>NA()</f>
        <v>#N/A</v>
      </c>
      <c r="AK4" t="e">
        <f>NA()</f>
        <v>#N/A</v>
      </c>
    </row>
    <row r="5" spans="1:37" ht="15" customHeight="1" x14ac:dyDescent="0.3">
      <c r="A5" s="1">
        <v>32933</v>
      </c>
      <c r="B5" s="1">
        <v>32933</v>
      </c>
      <c r="C5">
        <v>1964</v>
      </c>
      <c r="D5">
        <v>1466</v>
      </c>
      <c r="E5">
        <v>1764</v>
      </c>
      <c r="F5">
        <v>3367</v>
      </c>
      <c r="G5">
        <v>1604</v>
      </c>
      <c r="H5">
        <v>3244</v>
      </c>
      <c r="I5">
        <v>62829</v>
      </c>
      <c r="J5">
        <v>119203</v>
      </c>
      <c r="K5">
        <v>6598</v>
      </c>
      <c r="M5">
        <f t="shared" si="2"/>
        <v>125801</v>
      </c>
      <c r="P5">
        <f t="shared" si="3"/>
        <v>5.2447913768570997E-2</v>
      </c>
      <c r="Q5">
        <f t="shared" si="4"/>
        <v>0.49943164203782164</v>
      </c>
      <c r="R5" t="e">
        <f t="shared" si="5"/>
        <v>#N/A</v>
      </c>
      <c r="S5">
        <f t="shared" ref="S5:S68" si="16">IF(ISNUMBER(C5),C5/$K4,NA())</f>
        <v>0.29529394076078785</v>
      </c>
      <c r="T5">
        <f t="shared" ref="T5:T68" si="17">IF(ISNUMBER(D5),D5/$K4,NA())</f>
        <v>0.22041798225830703</v>
      </c>
      <c r="U5">
        <f t="shared" ref="U5:U68" si="18">IF(ISNUMBER(E5),E5/$J4,NA())</f>
        <v>1.4816183572850436E-2</v>
      </c>
      <c r="V5">
        <f t="shared" ref="V5:V68" si="19">IF(ISNUMBER(F5),F5/$J4,NA())</f>
        <v>2.8280096422781981E-2</v>
      </c>
      <c r="W5">
        <f t="shared" ref="W5:W68" si="20">IF(ISNUMBER(G5),G5/$I4,NA())</f>
        <v>2.5538961245740854E-2</v>
      </c>
      <c r="X5">
        <f t="shared" ref="X5:X68" si="21">IF(ISNUMBER(H5),H5/$I5,NA())</f>
        <v>5.1632208056789065E-2</v>
      </c>
      <c r="Y5" s="1">
        <f t="shared" si="7"/>
        <v>32933</v>
      </c>
      <c r="Z5">
        <f>IF(ISNUMBER(P3),AVERAGE(P3:P5),NA())</f>
        <v>5.3004606512745557E-2</v>
      </c>
      <c r="AA5">
        <f t="shared" si="8"/>
        <v>0.49878922558434674</v>
      </c>
      <c r="AB5" t="e">
        <f t="shared" si="9"/>
        <v>#N/A</v>
      </c>
      <c r="AC5" t="e">
        <f t="shared" si="10"/>
        <v>#N/A</v>
      </c>
      <c r="AD5" t="e">
        <f t="shared" si="11"/>
        <v>#N/A</v>
      </c>
      <c r="AE5" t="e">
        <f t="shared" si="12"/>
        <v>#N/A</v>
      </c>
      <c r="AF5" t="e">
        <f t="shared" si="13"/>
        <v>#N/A</v>
      </c>
      <c r="AG5" t="e">
        <f t="shared" si="14"/>
        <v>#N/A</v>
      </c>
      <c r="AH5" t="e">
        <f t="shared" si="15"/>
        <v>#N/A</v>
      </c>
      <c r="AI5" t="e">
        <f>NA()</f>
        <v>#N/A</v>
      </c>
      <c r="AJ5" t="e">
        <f>NA()</f>
        <v>#N/A</v>
      </c>
      <c r="AK5" t="e">
        <f>NA()</f>
        <v>#N/A</v>
      </c>
    </row>
    <row r="6" spans="1:37" ht="15" customHeight="1" x14ac:dyDescent="0.3">
      <c r="A6" s="1">
        <v>32964</v>
      </c>
      <c r="B6" s="1">
        <v>32964</v>
      </c>
      <c r="C6">
        <v>1801</v>
      </c>
      <c r="D6">
        <v>1394</v>
      </c>
      <c r="E6">
        <v>1873</v>
      </c>
      <c r="F6">
        <v>3495</v>
      </c>
      <c r="G6">
        <v>1510</v>
      </c>
      <c r="H6">
        <v>3148</v>
      </c>
      <c r="I6">
        <v>63129</v>
      </c>
      <c r="J6">
        <v>118852</v>
      </c>
      <c r="K6">
        <v>6797</v>
      </c>
      <c r="M6">
        <f t="shared" si="2"/>
        <v>125649</v>
      </c>
      <c r="P6">
        <f t="shared" si="3"/>
        <v>5.4095138043279291E-2</v>
      </c>
      <c r="Q6">
        <f t="shared" si="4"/>
        <v>0.50242341761573905</v>
      </c>
      <c r="R6" t="e">
        <f t="shared" si="5"/>
        <v>#N/A</v>
      </c>
      <c r="S6">
        <f t="shared" si="16"/>
        <v>0.27296150348590481</v>
      </c>
      <c r="T6">
        <f t="shared" si="17"/>
        <v>0.21127614428614733</v>
      </c>
      <c r="U6">
        <f t="shared" si="18"/>
        <v>1.5712691794669598E-2</v>
      </c>
      <c r="V6">
        <f t="shared" si="19"/>
        <v>2.9319731885942467E-2</v>
      </c>
      <c r="W6">
        <f t="shared" si="20"/>
        <v>2.4033487720638558E-2</v>
      </c>
      <c r="X6">
        <f t="shared" si="21"/>
        <v>4.9866147095629587E-2</v>
      </c>
      <c r="Y6" s="1">
        <f t="shared" si="7"/>
        <v>32964</v>
      </c>
      <c r="Z6">
        <f t="shared" ref="Z6:Z33" si="22">IF(ISNUMBER(P4),AVERAGE(P4:P6),NA())</f>
        <v>5.3150179098103302E-2</v>
      </c>
      <c r="AA6">
        <f t="shared" si="8"/>
        <v>0.5004884245460427</v>
      </c>
      <c r="AB6" t="e">
        <f t="shared" si="9"/>
        <v>#N/A</v>
      </c>
      <c r="AC6">
        <f t="shared" si="10"/>
        <v>0.29565860779787068</v>
      </c>
      <c r="AD6">
        <f t="shared" si="11"/>
        <v>0.21103864249744056</v>
      </c>
      <c r="AE6">
        <f t="shared" si="12"/>
        <v>1.5279260916630006E-2</v>
      </c>
      <c r="AF6">
        <f t="shared" si="13"/>
        <v>2.9229530473182729E-2</v>
      </c>
      <c r="AG6">
        <f t="shared" si="14"/>
        <v>2.4902758369638987E-2</v>
      </c>
      <c r="AH6">
        <f t="shared" si="15"/>
        <v>5.0837529820414222E-2</v>
      </c>
      <c r="AI6">
        <f>AVERAGE(J4:J6)</f>
        <v>119038</v>
      </c>
      <c r="AJ6">
        <f>AVERAGE(I4:I6)</f>
        <v>62921.333333333336</v>
      </c>
      <c r="AK6">
        <f>AVERAGE(K4:K6)</f>
        <v>6682</v>
      </c>
    </row>
    <row r="7" spans="1:37" ht="15" customHeight="1" x14ac:dyDescent="0.3">
      <c r="A7" s="1">
        <v>32994</v>
      </c>
      <c r="B7" s="1">
        <v>32994</v>
      </c>
      <c r="C7">
        <v>1931</v>
      </c>
      <c r="D7">
        <v>1313</v>
      </c>
      <c r="E7">
        <v>1676</v>
      </c>
      <c r="F7">
        <v>3125</v>
      </c>
      <c r="G7">
        <v>1496</v>
      </c>
      <c r="H7">
        <v>3119</v>
      </c>
      <c r="I7">
        <v>63020</v>
      </c>
      <c r="J7">
        <v>119151</v>
      </c>
      <c r="K7">
        <v>6742</v>
      </c>
      <c r="M7">
        <f t="shared" si="2"/>
        <v>125893</v>
      </c>
      <c r="P7">
        <f t="shared" si="3"/>
        <v>5.3553414407473014E-2</v>
      </c>
      <c r="Q7">
        <f t="shared" si="4"/>
        <v>0.50058382912473287</v>
      </c>
      <c r="R7" t="e">
        <f t="shared" si="5"/>
        <v>#N/A</v>
      </c>
      <c r="S7">
        <f t="shared" si="16"/>
        <v>0.28409592467264971</v>
      </c>
      <c r="T7">
        <f t="shared" si="17"/>
        <v>0.19317345887891718</v>
      </c>
      <c r="U7">
        <f t="shared" si="18"/>
        <v>1.4101571702621747E-2</v>
      </c>
      <c r="V7">
        <f t="shared" si="19"/>
        <v>2.6293204994446876E-2</v>
      </c>
      <c r="W7">
        <f t="shared" si="20"/>
        <v>2.369750827670326E-2</v>
      </c>
      <c r="X7">
        <f t="shared" si="21"/>
        <v>4.9492224690574418E-2</v>
      </c>
      <c r="Y7" s="1">
        <f t="shared" si="7"/>
        <v>32994</v>
      </c>
      <c r="Z7">
        <f t="shared" si="22"/>
        <v>5.3365488739774432E-2</v>
      </c>
      <c r="AA7">
        <f t="shared" ref="AA7:AA34" si="23">IF(ISNUMBER(Q5),AVERAGE(Q5:Q7),NA())</f>
        <v>0.50081296292609789</v>
      </c>
      <c r="AB7" t="e">
        <f t="shared" ref="AB7:AB34" si="24">IF(ISNUMBER(R5),AVERAGE(R5:R7),NA())</f>
        <v>#N/A</v>
      </c>
      <c r="AC7">
        <f t="shared" ref="AC7:AC34" si="25">IF(ISNUMBER(S5),AVERAGE(S5:S7),NA())</f>
        <v>0.28411712297311414</v>
      </c>
      <c r="AD7">
        <f t="shared" ref="AD7:AD34" si="26">IF(ISNUMBER(T5),AVERAGE(T5:T7),NA())</f>
        <v>0.20828919514112387</v>
      </c>
      <c r="AE7">
        <f t="shared" ref="AE7:AE34" si="27">IF(ISNUMBER(U5),AVERAGE(U5:U7),NA())</f>
        <v>1.4876815690047259E-2</v>
      </c>
      <c r="AF7">
        <f t="shared" ref="AF7:AF34" si="28">IF(ISNUMBER(V5),AVERAGE(V5:V7),NA())</f>
        <v>2.7964344434390442E-2</v>
      </c>
      <c r="AG7">
        <f t="shared" ref="AG7:AG34" si="29">IF(ISNUMBER(W5),AVERAGE(W5:W7),NA())</f>
        <v>2.4423319081027559E-2</v>
      </c>
      <c r="AH7">
        <f t="shared" ref="AH7:AH34" si="30">IF(ISNUMBER(X5),AVERAGE(X5:X7),NA())</f>
        <v>5.0330193280997693E-2</v>
      </c>
      <c r="AI7">
        <f t="shared" ref="AI7:AI70" si="31">AVERAGE(J5:J7)</f>
        <v>119068.66666666667</v>
      </c>
      <c r="AJ7">
        <f t="shared" ref="AJ7:AJ70" si="32">AVERAGE(I5:I7)</f>
        <v>62992.666666666664</v>
      </c>
      <c r="AK7">
        <f t="shared" ref="AK7:AK70" si="33">AVERAGE(K5:K7)</f>
        <v>6712.333333333333</v>
      </c>
    </row>
    <row r="8" spans="1:37" ht="15" customHeight="1" x14ac:dyDescent="0.3">
      <c r="A8" s="1">
        <v>33025</v>
      </c>
      <c r="B8" s="1">
        <v>33025</v>
      </c>
      <c r="C8">
        <v>1945</v>
      </c>
      <c r="D8">
        <v>1393</v>
      </c>
      <c r="E8">
        <v>1771</v>
      </c>
      <c r="F8">
        <v>3389</v>
      </c>
      <c r="G8">
        <v>1381</v>
      </c>
      <c r="H8">
        <v>2986</v>
      </c>
      <c r="I8">
        <v>63485</v>
      </c>
      <c r="J8">
        <v>118983</v>
      </c>
      <c r="K8">
        <v>6590</v>
      </c>
      <c r="M8">
        <f t="shared" si="2"/>
        <v>125573</v>
      </c>
      <c r="P8">
        <f t="shared" si="3"/>
        <v>5.2479434273291235E-2</v>
      </c>
      <c r="Q8">
        <f t="shared" si="4"/>
        <v>0.5055625014931554</v>
      </c>
      <c r="R8" t="e">
        <f t="shared" si="5"/>
        <v>#N/A</v>
      </c>
      <c r="S8">
        <f t="shared" si="16"/>
        <v>0.28849006229605456</v>
      </c>
      <c r="T8">
        <f t="shared" si="17"/>
        <v>0.20661524770097894</v>
      </c>
      <c r="U8">
        <f t="shared" si="18"/>
        <v>1.4863492543075594E-2</v>
      </c>
      <c r="V8">
        <f t="shared" si="19"/>
        <v>2.8442900185478931E-2</v>
      </c>
      <c r="W8">
        <f t="shared" si="20"/>
        <v>2.1913678197397653E-2</v>
      </c>
      <c r="X8">
        <f t="shared" si="21"/>
        <v>4.7034732614003309E-2</v>
      </c>
      <c r="Y8" s="1">
        <f t="shared" si="7"/>
        <v>33025</v>
      </c>
      <c r="Z8">
        <f t="shared" si="22"/>
        <v>5.337599557468118E-2</v>
      </c>
      <c r="AA8">
        <f t="shared" si="23"/>
        <v>0.50285658274454237</v>
      </c>
      <c r="AB8" t="e">
        <f t="shared" si="24"/>
        <v>#N/A</v>
      </c>
      <c r="AC8">
        <f t="shared" si="25"/>
        <v>0.28184916348486971</v>
      </c>
      <c r="AD8">
        <f t="shared" si="26"/>
        <v>0.20368828362201449</v>
      </c>
      <c r="AE8">
        <f t="shared" si="27"/>
        <v>1.4892585346788981E-2</v>
      </c>
      <c r="AF8">
        <f t="shared" si="28"/>
        <v>2.8018612355289425E-2</v>
      </c>
      <c r="AG8">
        <f t="shared" si="29"/>
        <v>2.3214891398246489E-2</v>
      </c>
      <c r="AH8">
        <f t="shared" si="30"/>
        <v>4.8797701466735767E-2</v>
      </c>
      <c r="AI8">
        <f t="shared" si="31"/>
        <v>118995.33333333333</v>
      </c>
      <c r="AJ8">
        <f t="shared" si="32"/>
        <v>63211.333333333336</v>
      </c>
      <c r="AK8">
        <f t="shared" si="33"/>
        <v>6709.666666666667</v>
      </c>
    </row>
    <row r="9" spans="1:37" ht="15" customHeight="1" x14ac:dyDescent="0.3">
      <c r="A9" s="1">
        <v>33055</v>
      </c>
      <c r="B9" s="1">
        <v>33055</v>
      </c>
      <c r="C9">
        <v>1818</v>
      </c>
      <c r="D9">
        <v>1391</v>
      </c>
      <c r="E9">
        <v>1941</v>
      </c>
      <c r="F9">
        <v>3297</v>
      </c>
      <c r="G9">
        <v>1566</v>
      </c>
      <c r="H9">
        <v>3193</v>
      </c>
      <c r="I9">
        <v>63456</v>
      </c>
      <c r="J9">
        <v>118810</v>
      </c>
      <c r="K9">
        <v>6922</v>
      </c>
      <c r="M9">
        <f t="shared" si="2"/>
        <v>125732</v>
      </c>
      <c r="P9">
        <f t="shared" si="3"/>
        <v>5.5053606082779247E-2</v>
      </c>
      <c r="Q9">
        <f t="shared" si="4"/>
        <v>0.50469252059937009</v>
      </c>
      <c r="R9" t="e">
        <f t="shared" si="5"/>
        <v>#N/A</v>
      </c>
      <c r="S9">
        <f t="shared" si="16"/>
        <v>0.27587253414264035</v>
      </c>
      <c r="T9">
        <f t="shared" si="17"/>
        <v>0.2110773899848255</v>
      </c>
      <c r="U9">
        <f t="shared" si="18"/>
        <v>1.6313254834724289E-2</v>
      </c>
      <c r="V9">
        <f t="shared" si="19"/>
        <v>2.770984090164141E-2</v>
      </c>
      <c r="W9">
        <f t="shared" si="20"/>
        <v>2.466724423092069E-2</v>
      </c>
      <c r="X9">
        <f t="shared" si="21"/>
        <v>5.0318330811901159E-2</v>
      </c>
      <c r="Y9" s="1">
        <f t="shared" si="7"/>
        <v>33055</v>
      </c>
      <c r="Z9">
        <f t="shared" si="22"/>
        <v>5.3695484921181168E-2</v>
      </c>
      <c r="AA9">
        <f t="shared" si="23"/>
        <v>0.50361295040575282</v>
      </c>
      <c r="AB9" t="e">
        <f t="shared" si="24"/>
        <v>#N/A</v>
      </c>
      <c r="AC9">
        <f t="shared" si="25"/>
        <v>0.28281950703711484</v>
      </c>
      <c r="AD9">
        <f t="shared" si="26"/>
        <v>0.20362203218824057</v>
      </c>
      <c r="AE9">
        <f t="shared" si="27"/>
        <v>1.5092773026807211E-2</v>
      </c>
      <c r="AF9">
        <f t="shared" si="28"/>
        <v>2.7481982027189072E-2</v>
      </c>
      <c r="AG9">
        <f t="shared" si="29"/>
        <v>2.3426143568340534E-2</v>
      </c>
      <c r="AH9">
        <f t="shared" si="30"/>
        <v>4.8948429372159624E-2</v>
      </c>
      <c r="AI9">
        <f t="shared" si="31"/>
        <v>118981.33333333333</v>
      </c>
      <c r="AJ9">
        <f t="shared" si="32"/>
        <v>63320.333333333336</v>
      </c>
      <c r="AK9">
        <f t="shared" si="33"/>
        <v>6751.333333333333</v>
      </c>
    </row>
    <row r="10" spans="1:37" ht="15" customHeight="1" x14ac:dyDescent="0.3">
      <c r="A10" s="1">
        <v>33086</v>
      </c>
      <c r="B10" s="1">
        <v>33086</v>
      </c>
      <c r="C10">
        <v>1940</v>
      </c>
      <c r="D10">
        <v>1355</v>
      </c>
      <c r="E10">
        <v>1877</v>
      </c>
      <c r="F10">
        <v>3106</v>
      </c>
      <c r="G10">
        <v>1658</v>
      </c>
      <c r="H10">
        <v>2961</v>
      </c>
      <c r="I10">
        <v>63352</v>
      </c>
      <c r="J10">
        <v>118802</v>
      </c>
      <c r="K10">
        <v>7188</v>
      </c>
      <c r="M10">
        <f t="shared" si="2"/>
        <v>125990</v>
      </c>
      <c r="P10">
        <f t="shared" si="3"/>
        <v>5.7052146995793314E-2</v>
      </c>
      <c r="Q10">
        <f t="shared" si="4"/>
        <v>0.5028335582189063</v>
      </c>
      <c r="R10" t="e">
        <f t="shared" si="5"/>
        <v>#N/A</v>
      </c>
      <c r="S10">
        <f t="shared" si="16"/>
        <v>0.28026581912741982</v>
      </c>
      <c r="T10">
        <f t="shared" si="17"/>
        <v>0.19575267263796592</v>
      </c>
      <c r="U10">
        <f t="shared" si="18"/>
        <v>1.5798333473613334E-2</v>
      </c>
      <c r="V10">
        <f t="shared" si="19"/>
        <v>2.6142580590859357E-2</v>
      </c>
      <c r="W10">
        <f t="shared" si="20"/>
        <v>2.6128340897629852E-2</v>
      </c>
      <c r="X10">
        <f t="shared" si="21"/>
        <v>4.6738855916151026E-2</v>
      </c>
      <c r="Y10" s="1">
        <f t="shared" si="7"/>
        <v>33086</v>
      </c>
      <c r="Z10">
        <f t="shared" si="22"/>
        <v>5.4861729117287927E-2</v>
      </c>
      <c r="AA10">
        <f t="shared" si="23"/>
        <v>0.5043628601038106</v>
      </c>
      <c r="AB10" t="e">
        <f t="shared" si="24"/>
        <v>#N/A</v>
      </c>
      <c r="AC10">
        <f t="shared" si="25"/>
        <v>0.28154280518870495</v>
      </c>
      <c r="AD10">
        <f t="shared" si="26"/>
        <v>0.20448177010792346</v>
      </c>
      <c r="AE10">
        <f t="shared" si="27"/>
        <v>1.5658360283804407E-2</v>
      </c>
      <c r="AF10">
        <f t="shared" si="28"/>
        <v>2.74317738926599E-2</v>
      </c>
      <c r="AG10">
        <f t="shared" si="29"/>
        <v>2.42364211086494E-2</v>
      </c>
      <c r="AH10">
        <f t="shared" si="30"/>
        <v>4.8030639780685169E-2</v>
      </c>
      <c r="AI10">
        <f t="shared" si="31"/>
        <v>118865</v>
      </c>
      <c r="AJ10">
        <f t="shared" si="32"/>
        <v>63431</v>
      </c>
      <c r="AK10">
        <f t="shared" si="33"/>
        <v>6900</v>
      </c>
    </row>
    <row r="11" spans="1:37" ht="15" customHeight="1" x14ac:dyDescent="0.3">
      <c r="A11" s="1">
        <v>33117</v>
      </c>
      <c r="B11" s="1">
        <v>33117</v>
      </c>
      <c r="C11">
        <v>1764</v>
      </c>
      <c r="D11">
        <v>1378</v>
      </c>
      <c r="E11">
        <v>1752</v>
      </c>
      <c r="F11">
        <v>3356</v>
      </c>
      <c r="G11">
        <v>1559</v>
      </c>
      <c r="H11">
        <v>2975</v>
      </c>
      <c r="I11">
        <v>63636</v>
      </c>
      <c r="J11">
        <v>118524</v>
      </c>
      <c r="K11">
        <v>7368</v>
      </c>
      <c r="M11">
        <f t="shared" si="2"/>
        <v>125892</v>
      </c>
      <c r="P11">
        <f t="shared" si="3"/>
        <v>5.8526355924125438E-2</v>
      </c>
      <c r="Q11">
        <f t="shared" si="4"/>
        <v>0.50548088838051664</v>
      </c>
      <c r="R11" t="e">
        <f t="shared" si="5"/>
        <v>#N/A</v>
      </c>
      <c r="S11">
        <f t="shared" si="16"/>
        <v>0.24540901502504173</v>
      </c>
      <c r="T11">
        <f t="shared" si="17"/>
        <v>0.19170840289371174</v>
      </c>
      <c r="U11">
        <f t="shared" si="18"/>
        <v>1.4747226477668726E-2</v>
      </c>
      <c r="V11">
        <f t="shared" si="19"/>
        <v>2.824868268210973E-2</v>
      </c>
      <c r="W11">
        <f t="shared" si="20"/>
        <v>2.4608536431367598E-2</v>
      </c>
      <c r="X11">
        <f t="shared" si="21"/>
        <v>4.6750267144383684E-2</v>
      </c>
      <c r="Y11" s="1">
        <f t="shared" si="7"/>
        <v>33117</v>
      </c>
      <c r="Z11">
        <f t="shared" si="22"/>
        <v>5.6877369667566006E-2</v>
      </c>
      <c r="AA11">
        <f t="shared" si="23"/>
        <v>0.50433565573293093</v>
      </c>
      <c r="AB11" t="e">
        <f t="shared" si="24"/>
        <v>#N/A</v>
      </c>
      <c r="AC11">
        <f t="shared" si="25"/>
        <v>0.26718245609836727</v>
      </c>
      <c r="AD11">
        <f t="shared" si="26"/>
        <v>0.19951282183883437</v>
      </c>
      <c r="AE11">
        <f t="shared" si="27"/>
        <v>1.5619604928668783E-2</v>
      </c>
      <c r="AF11">
        <f t="shared" si="28"/>
        <v>2.7367034724870166E-2</v>
      </c>
      <c r="AG11">
        <f t="shared" si="29"/>
        <v>2.513470718663938E-2</v>
      </c>
      <c r="AH11">
        <f t="shared" si="30"/>
        <v>4.7935817957478623E-2</v>
      </c>
      <c r="AI11">
        <f t="shared" si="31"/>
        <v>118712</v>
      </c>
      <c r="AJ11">
        <f t="shared" si="32"/>
        <v>63481.333333333336</v>
      </c>
      <c r="AK11">
        <f t="shared" si="33"/>
        <v>7159.333333333333</v>
      </c>
    </row>
    <row r="12" spans="1:37" ht="15" customHeight="1" x14ac:dyDescent="0.3">
      <c r="A12" s="1">
        <v>33147</v>
      </c>
      <c r="B12" s="1">
        <v>33147</v>
      </c>
      <c r="C12">
        <v>2029</v>
      </c>
      <c r="D12">
        <v>1413</v>
      </c>
      <c r="E12">
        <v>1902</v>
      </c>
      <c r="F12">
        <v>3236</v>
      </c>
      <c r="G12">
        <v>1613</v>
      </c>
      <c r="H12">
        <v>3032</v>
      </c>
      <c r="I12">
        <v>63715</v>
      </c>
      <c r="J12">
        <v>118536</v>
      </c>
      <c r="K12">
        <v>7459</v>
      </c>
      <c r="M12">
        <f t="shared" si="2"/>
        <v>125995</v>
      </c>
      <c r="P12">
        <f t="shared" si="3"/>
        <v>5.9200761934997417E-2</v>
      </c>
      <c r="Q12">
        <f t="shared" si="4"/>
        <v>0.50569467042342953</v>
      </c>
      <c r="R12" t="e">
        <f t="shared" si="5"/>
        <v>#N/A</v>
      </c>
      <c r="S12">
        <f t="shared" si="16"/>
        <v>0.27538002171552661</v>
      </c>
      <c r="T12">
        <f t="shared" si="17"/>
        <v>0.19177524429967427</v>
      </c>
      <c r="U12">
        <f t="shared" si="18"/>
        <v>1.6047382808545105E-2</v>
      </c>
      <c r="V12">
        <f t="shared" si="19"/>
        <v>2.7302487259964228E-2</v>
      </c>
      <c r="W12">
        <f t="shared" si="20"/>
        <v>2.5347287698786851E-2</v>
      </c>
      <c r="X12">
        <f t="shared" si="21"/>
        <v>4.758691046064506E-2</v>
      </c>
      <c r="Y12" s="1">
        <f t="shared" si="7"/>
        <v>33147</v>
      </c>
      <c r="Z12">
        <f t="shared" si="22"/>
        <v>5.825975495163873E-2</v>
      </c>
      <c r="AA12">
        <f t="shared" si="23"/>
        <v>0.50466970567428415</v>
      </c>
      <c r="AB12" t="e">
        <f t="shared" si="24"/>
        <v>#N/A</v>
      </c>
      <c r="AC12">
        <f t="shared" si="25"/>
        <v>0.26701828528932942</v>
      </c>
      <c r="AD12">
        <f t="shared" si="26"/>
        <v>0.19307877327711731</v>
      </c>
      <c r="AE12">
        <f t="shared" si="27"/>
        <v>1.5530980919942388E-2</v>
      </c>
      <c r="AF12">
        <f t="shared" si="28"/>
        <v>2.7231250177644439E-2</v>
      </c>
      <c r="AG12">
        <f t="shared" si="29"/>
        <v>2.5361388342594771E-2</v>
      </c>
      <c r="AH12">
        <f t="shared" si="30"/>
        <v>4.7025344507059919E-2</v>
      </c>
      <c r="AI12">
        <f t="shared" si="31"/>
        <v>118620.66666666667</v>
      </c>
      <c r="AJ12">
        <f t="shared" si="32"/>
        <v>63567.666666666664</v>
      </c>
      <c r="AK12">
        <f t="shared" si="33"/>
        <v>7338.333333333333</v>
      </c>
    </row>
    <row r="13" spans="1:37" ht="15" customHeight="1" x14ac:dyDescent="0.3">
      <c r="A13" s="1">
        <v>33178</v>
      </c>
      <c r="B13" s="1">
        <v>33178</v>
      </c>
      <c r="C13">
        <v>1975</v>
      </c>
      <c r="D13">
        <v>1455</v>
      </c>
      <c r="E13">
        <v>2034</v>
      </c>
      <c r="F13">
        <v>3308</v>
      </c>
      <c r="G13">
        <v>1668</v>
      </c>
      <c r="H13">
        <v>3092</v>
      </c>
      <c r="I13">
        <v>63802</v>
      </c>
      <c r="J13">
        <v>118306</v>
      </c>
      <c r="K13">
        <v>7764</v>
      </c>
      <c r="M13">
        <f t="shared" si="2"/>
        <v>126070</v>
      </c>
      <c r="P13">
        <f t="shared" si="3"/>
        <v>6.1584833822479576E-2</v>
      </c>
      <c r="Q13">
        <f t="shared" si="4"/>
        <v>0.50608392163084004</v>
      </c>
      <c r="R13" t="e">
        <f t="shared" si="5"/>
        <v>#N/A</v>
      </c>
      <c r="S13">
        <f t="shared" si="16"/>
        <v>0.26478080171604773</v>
      </c>
      <c r="T13">
        <f t="shared" si="17"/>
        <v>0.1950663627832149</v>
      </c>
      <c r="U13">
        <f t="shared" si="18"/>
        <v>1.7159343996760477E-2</v>
      </c>
      <c r="V13">
        <f t="shared" si="19"/>
        <v>2.7907133697779578E-2</v>
      </c>
      <c r="W13">
        <f t="shared" si="20"/>
        <v>2.6179078709879934E-2</v>
      </c>
      <c r="X13">
        <f t="shared" si="21"/>
        <v>4.8462430644807375E-2</v>
      </c>
      <c r="Y13" s="1">
        <f t="shared" si="7"/>
        <v>33178</v>
      </c>
      <c r="Z13">
        <f t="shared" si="22"/>
        <v>5.9770650560534135E-2</v>
      </c>
      <c r="AA13">
        <f t="shared" si="23"/>
        <v>0.50575316014492877</v>
      </c>
      <c r="AB13" t="e">
        <f t="shared" si="24"/>
        <v>#N/A</v>
      </c>
      <c r="AC13">
        <f t="shared" si="25"/>
        <v>0.26185661281887201</v>
      </c>
      <c r="AD13">
        <f t="shared" si="26"/>
        <v>0.19285000332553362</v>
      </c>
      <c r="AE13">
        <f t="shared" si="27"/>
        <v>1.5984651094324769E-2</v>
      </c>
      <c r="AF13">
        <f t="shared" si="28"/>
        <v>2.7819434546617849E-2</v>
      </c>
      <c r="AG13">
        <f t="shared" si="29"/>
        <v>2.5378300946678128E-2</v>
      </c>
      <c r="AH13">
        <f t="shared" si="30"/>
        <v>4.759986941661204E-2</v>
      </c>
      <c r="AI13">
        <f t="shared" si="31"/>
        <v>118455.33333333333</v>
      </c>
      <c r="AJ13">
        <f t="shared" si="32"/>
        <v>63717.666666666664</v>
      </c>
      <c r="AK13">
        <f t="shared" si="33"/>
        <v>7530.333333333333</v>
      </c>
    </row>
    <row r="14" spans="1:37" ht="15" customHeight="1" x14ac:dyDescent="0.3">
      <c r="A14" s="1">
        <v>33208</v>
      </c>
      <c r="B14" s="1">
        <v>33208</v>
      </c>
      <c r="C14">
        <v>1963</v>
      </c>
      <c r="D14">
        <v>1490</v>
      </c>
      <c r="E14">
        <v>1874</v>
      </c>
      <c r="F14">
        <v>3185</v>
      </c>
      <c r="G14">
        <v>1692</v>
      </c>
      <c r="H14">
        <v>2962</v>
      </c>
      <c r="I14">
        <v>63875</v>
      </c>
      <c r="J14">
        <v>118241</v>
      </c>
      <c r="K14">
        <v>7901</v>
      </c>
      <c r="M14">
        <f t="shared" si="2"/>
        <v>126142</v>
      </c>
      <c r="P14">
        <f t="shared" si="3"/>
        <v>6.2635759699386409E-2</v>
      </c>
      <c r="Q14">
        <f t="shared" si="4"/>
        <v>0.50637376924418509</v>
      </c>
      <c r="R14" t="e">
        <f t="shared" si="5"/>
        <v>#N/A</v>
      </c>
      <c r="S14">
        <f t="shared" si="16"/>
        <v>0.25283359093250901</v>
      </c>
      <c r="T14">
        <f t="shared" si="17"/>
        <v>0.19191138588356518</v>
      </c>
      <c r="U14">
        <f t="shared" si="18"/>
        <v>1.5840278599563842E-2</v>
      </c>
      <c r="V14">
        <f t="shared" si="19"/>
        <v>2.6921711493922539E-2</v>
      </c>
      <c r="W14">
        <f t="shared" si="20"/>
        <v>2.6519544841854488E-2</v>
      </c>
      <c r="X14">
        <f t="shared" si="21"/>
        <v>4.6371819960861059E-2</v>
      </c>
      <c r="Y14" s="1">
        <f t="shared" si="7"/>
        <v>33208</v>
      </c>
      <c r="Z14">
        <f t="shared" si="22"/>
        <v>6.1140451818954465E-2</v>
      </c>
      <c r="AA14">
        <f t="shared" si="23"/>
        <v>0.50605078709948492</v>
      </c>
      <c r="AB14" t="e">
        <f t="shared" si="24"/>
        <v>#N/A</v>
      </c>
      <c r="AC14">
        <f t="shared" si="25"/>
        <v>0.26433147145469443</v>
      </c>
      <c r="AD14">
        <f t="shared" si="26"/>
        <v>0.19291766432215143</v>
      </c>
      <c r="AE14">
        <f t="shared" si="27"/>
        <v>1.6349001801623141E-2</v>
      </c>
      <c r="AF14">
        <f t="shared" si="28"/>
        <v>2.7377110817222116E-2</v>
      </c>
      <c r="AG14">
        <f t="shared" si="29"/>
        <v>2.6015303750173756E-2</v>
      </c>
      <c r="AH14">
        <f t="shared" si="30"/>
        <v>4.7473720355437836E-2</v>
      </c>
      <c r="AI14">
        <f t="shared" si="31"/>
        <v>118361</v>
      </c>
      <c r="AJ14">
        <f t="shared" si="32"/>
        <v>63797.333333333336</v>
      </c>
      <c r="AK14">
        <f t="shared" si="33"/>
        <v>7708</v>
      </c>
    </row>
    <row r="15" spans="1:37" ht="15" customHeight="1" x14ac:dyDescent="0.3">
      <c r="A15" s="1">
        <v>33239</v>
      </c>
      <c r="B15" s="1">
        <v>33239</v>
      </c>
      <c r="C15">
        <v>2016</v>
      </c>
      <c r="D15">
        <v>1582</v>
      </c>
      <c r="E15">
        <v>1978</v>
      </c>
      <c r="F15">
        <v>3237</v>
      </c>
      <c r="G15">
        <v>1698</v>
      </c>
      <c r="H15">
        <v>2836</v>
      </c>
      <c r="I15">
        <v>64208</v>
      </c>
      <c r="J15">
        <v>117940</v>
      </c>
      <c r="K15">
        <v>8015</v>
      </c>
      <c r="M15">
        <f t="shared" si="2"/>
        <v>125955</v>
      </c>
      <c r="P15">
        <f t="shared" si="3"/>
        <v>6.3633837481640268E-2</v>
      </c>
      <c r="Q15">
        <f t="shared" si="4"/>
        <v>0.50976936207375645</v>
      </c>
      <c r="R15" t="e">
        <f t="shared" si="5"/>
        <v>#N/A</v>
      </c>
      <c r="S15">
        <f t="shared" si="16"/>
        <v>0.25515757499050751</v>
      </c>
      <c r="T15">
        <f t="shared" si="17"/>
        <v>0.20022781926338437</v>
      </c>
      <c r="U15">
        <f t="shared" si="18"/>
        <v>1.6728545935842897E-2</v>
      </c>
      <c r="V15">
        <f t="shared" si="19"/>
        <v>2.7376290795916813E-2</v>
      </c>
      <c r="W15">
        <f t="shared" si="20"/>
        <v>2.658317025440313E-2</v>
      </c>
      <c r="X15">
        <f t="shared" si="21"/>
        <v>4.416895090954398E-2</v>
      </c>
      <c r="Y15" s="1">
        <f t="shared" si="7"/>
        <v>33239</v>
      </c>
      <c r="Z15">
        <f t="shared" si="22"/>
        <v>6.2618143667835413E-2</v>
      </c>
      <c r="AA15">
        <f t="shared" si="23"/>
        <v>0.5074090176495939</v>
      </c>
      <c r="AB15" t="e">
        <f t="shared" si="24"/>
        <v>#N/A</v>
      </c>
      <c r="AC15">
        <f t="shared" si="25"/>
        <v>0.2575906558796881</v>
      </c>
      <c r="AD15">
        <f t="shared" si="26"/>
        <v>0.19573518931005482</v>
      </c>
      <c r="AE15">
        <f t="shared" si="27"/>
        <v>1.6576056177389071E-2</v>
      </c>
      <c r="AF15">
        <f t="shared" si="28"/>
        <v>2.7401711995872977E-2</v>
      </c>
      <c r="AG15">
        <f t="shared" si="29"/>
        <v>2.642726460204585E-2</v>
      </c>
      <c r="AH15">
        <f t="shared" si="30"/>
        <v>4.6334400505070809E-2</v>
      </c>
      <c r="AI15">
        <f t="shared" si="31"/>
        <v>118162.33333333333</v>
      </c>
      <c r="AJ15">
        <f t="shared" si="32"/>
        <v>63961.666666666664</v>
      </c>
      <c r="AK15">
        <f t="shared" si="33"/>
        <v>7893.333333333333</v>
      </c>
    </row>
    <row r="16" spans="1:37" ht="15" customHeight="1" x14ac:dyDescent="0.3">
      <c r="A16" s="1">
        <v>33270</v>
      </c>
      <c r="B16" s="1">
        <v>33270</v>
      </c>
      <c r="C16">
        <v>2043</v>
      </c>
      <c r="D16">
        <v>1522</v>
      </c>
      <c r="E16">
        <v>2084</v>
      </c>
      <c r="F16">
        <v>3022</v>
      </c>
      <c r="G16">
        <v>1718</v>
      </c>
      <c r="H16">
        <v>2857</v>
      </c>
      <c r="I16">
        <v>64251</v>
      </c>
      <c r="J16">
        <v>117755</v>
      </c>
      <c r="K16">
        <v>8265</v>
      </c>
      <c r="M16">
        <f t="shared" si="2"/>
        <v>126020</v>
      </c>
      <c r="P16">
        <f t="shared" si="3"/>
        <v>6.5584827805110296E-2</v>
      </c>
      <c r="Q16">
        <f t="shared" si="4"/>
        <v>0.50984764323123311</v>
      </c>
      <c r="R16" t="e">
        <f t="shared" si="5"/>
        <v>#N/A</v>
      </c>
      <c r="S16">
        <f t="shared" si="16"/>
        <v>0.25489706799750467</v>
      </c>
      <c r="T16">
        <f t="shared" si="17"/>
        <v>0.1898939488459139</v>
      </c>
      <c r="U16">
        <f t="shared" si="18"/>
        <v>1.7670001695777513E-2</v>
      </c>
      <c r="V16">
        <f t="shared" si="19"/>
        <v>2.5623198236391385E-2</v>
      </c>
      <c r="W16">
        <f t="shared" si="20"/>
        <v>2.675679043109893E-2</v>
      </c>
      <c r="X16">
        <f t="shared" si="21"/>
        <v>4.4466233988576055E-2</v>
      </c>
      <c r="Y16" s="1">
        <f t="shared" si="7"/>
        <v>33270</v>
      </c>
      <c r="Z16">
        <f t="shared" si="22"/>
        <v>6.3951474995378996E-2</v>
      </c>
      <c r="AA16">
        <f t="shared" si="23"/>
        <v>0.50866359151639151</v>
      </c>
      <c r="AB16" t="e">
        <f t="shared" si="24"/>
        <v>#N/A</v>
      </c>
      <c r="AC16">
        <f t="shared" si="25"/>
        <v>0.25429607797350706</v>
      </c>
      <c r="AD16">
        <f t="shared" si="26"/>
        <v>0.1940110513309545</v>
      </c>
      <c r="AE16">
        <f t="shared" si="27"/>
        <v>1.6746275410394751E-2</v>
      </c>
      <c r="AF16">
        <f t="shared" si="28"/>
        <v>2.6640400175410247E-2</v>
      </c>
      <c r="AG16">
        <f t="shared" si="29"/>
        <v>2.6619835175785516E-2</v>
      </c>
      <c r="AH16">
        <f t="shared" si="30"/>
        <v>4.5002334952993696E-2</v>
      </c>
      <c r="AI16">
        <f t="shared" si="31"/>
        <v>117978.66666666667</v>
      </c>
      <c r="AJ16">
        <f t="shared" si="32"/>
        <v>64111.333333333336</v>
      </c>
      <c r="AK16">
        <f t="shared" si="33"/>
        <v>8060.333333333333</v>
      </c>
    </row>
    <row r="17" spans="1:37" ht="15" customHeight="1" x14ac:dyDescent="0.3">
      <c r="A17" s="1">
        <v>33298</v>
      </c>
      <c r="B17" s="1">
        <v>33298</v>
      </c>
      <c r="C17">
        <v>2091</v>
      </c>
      <c r="D17">
        <v>1510</v>
      </c>
      <c r="E17">
        <v>2130</v>
      </c>
      <c r="F17">
        <v>3082</v>
      </c>
      <c r="G17">
        <v>1774</v>
      </c>
      <c r="H17">
        <v>2982</v>
      </c>
      <c r="I17">
        <v>64143</v>
      </c>
      <c r="J17">
        <v>117652</v>
      </c>
      <c r="K17">
        <v>8586</v>
      </c>
      <c r="M17">
        <f t="shared" si="2"/>
        <v>126238</v>
      </c>
      <c r="P17">
        <f t="shared" si="3"/>
        <v>6.8014385525752938E-2</v>
      </c>
      <c r="Q17">
        <f t="shared" si="4"/>
        <v>0.50811166209857572</v>
      </c>
      <c r="R17" t="e">
        <f t="shared" si="5"/>
        <v>#N/A</v>
      </c>
      <c r="S17">
        <f t="shared" si="16"/>
        <v>0.25299455535390197</v>
      </c>
      <c r="T17">
        <f t="shared" si="17"/>
        <v>0.18269812462189958</v>
      </c>
      <c r="U17">
        <f t="shared" si="18"/>
        <v>1.8088403889431448E-2</v>
      </c>
      <c r="V17">
        <f t="shared" si="19"/>
        <v>2.6172986285083435E-2</v>
      </c>
      <c r="W17">
        <f t="shared" si="20"/>
        <v>2.7610465206767208E-2</v>
      </c>
      <c r="X17">
        <f t="shared" si="21"/>
        <v>4.6489874187362612E-2</v>
      </c>
      <c r="Y17" s="1">
        <f t="shared" si="7"/>
        <v>33298</v>
      </c>
      <c r="Z17">
        <f t="shared" si="22"/>
        <v>6.5744350270834515E-2</v>
      </c>
      <c r="AA17">
        <f t="shared" si="23"/>
        <v>0.50924288913452176</v>
      </c>
      <c r="AB17" t="e">
        <f t="shared" si="24"/>
        <v>#N/A</v>
      </c>
      <c r="AC17">
        <f t="shared" si="25"/>
        <v>0.25434973278063805</v>
      </c>
      <c r="AD17">
        <f t="shared" si="26"/>
        <v>0.19093996424373261</v>
      </c>
      <c r="AE17">
        <f t="shared" si="27"/>
        <v>1.7495650507017287E-2</v>
      </c>
      <c r="AF17">
        <f t="shared" si="28"/>
        <v>2.6390825105797211E-2</v>
      </c>
      <c r="AG17">
        <f t="shared" si="29"/>
        <v>2.6983475297423093E-2</v>
      </c>
      <c r="AH17">
        <f t="shared" si="30"/>
        <v>4.5041686361827545E-2</v>
      </c>
      <c r="AI17">
        <f t="shared" si="31"/>
        <v>117782.33333333333</v>
      </c>
      <c r="AJ17">
        <f t="shared" si="32"/>
        <v>64200.666666666664</v>
      </c>
      <c r="AK17">
        <f t="shared" si="33"/>
        <v>8288.6666666666661</v>
      </c>
    </row>
    <row r="18" spans="1:37" ht="15" customHeight="1" x14ac:dyDescent="0.3">
      <c r="A18" s="1">
        <v>33329</v>
      </c>
      <c r="B18" s="1">
        <v>33329</v>
      </c>
      <c r="C18">
        <v>2341</v>
      </c>
      <c r="D18">
        <v>1493</v>
      </c>
      <c r="E18">
        <v>1956</v>
      </c>
      <c r="F18">
        <v>2958</v>
      </c>
      <c r="G18">
        <v>1705</v>
      </c>
      <c r="H18">
        <v>2972</v>
      </c>
      <c r="I18">
        <v>63969</v>
      </c>
      <c r="J18">
        <v>118109</v>
      </c>
      <c r="K18">
        <v>8439</v>
      </c>
      <c r="M18">
        <f t="shared" si="2"/>
        <v>126548</v>
      </c>
      <c r="P18">
        <f t="shared" si="3"/>
        <v>6.6686158611752061E-2</v>
      </c>
      <c r="Q18">
        <f t="shared" si="4"/>
        <v>0.50549198723014188</v>
      </c>
      <c r="R18" t="e">
        <f t="shared" si="5"/>
        <v>#N/A</v>
      </c>
      <c r="S18">
        <f t="shared" si="16"/>
        <v>0.27265315630095505</v>
      </c>
      <c r="T18">
        <f t="shared" si="17"/>
        <v>0.17388772420218962</v>
      </c>
      <c r="U18">
        <f t="shared" si="18"/>
        <v>1.6625301737327031E-2</v>
      </c>
      <c r="V18">
        <f t="shared" si="19"/>
        <v>2.5141944038350388E-2</v>
      </c>
      <c r="W18">
        <f t="shared" si="20"/>
        <v>2.6581232558502099E-2</v>
      </c>
      <c r="X18">
        <f t="shared" si="21"/>
        <v>4.6460004064468728E-2</v>
      </c>
      <c r="Y18" s="1">
        <f t="shared" si="7"/>
        <v>33329</v>
      </c>
      <c r="Z18">
        <f t="shared" si="22"/>
        <v>6.6761790647538427E-2</v>
      </c>
      <c r="AA18">
        <f t="shared" si="23"/>
        <v>0.5078170975199835</v>
      </c>
      <c r="AB18" t="e">
        <f t="shared" si="24"/>
        <v>#N/A</v>
      </c>
      <c r="AC18">
        <f t="shared" si="25"/>
        <v>0.26018159321745388</v>
      </c>
      <c r="AD18">
        <f t="shared" si="26"/>
        <v>0.18215993255666771</v>
      </c>
      <c r="AE18">
        <f t="shared" si="27"/>
        <v>1.7461235774178661E-2</v>
      </c>
      <c r="AF18">
        <f t="shared" si="28"/>
        <v>2.5646042853275069E-2</v>
      </c>
      <c r="AG18">
        <f t="shared" si="29"/>
        <v>2.6982829398789415E-2</v>
      </c>
      <c r="AH18">
        <f t="shared" si="30"/>
        <v>4.5805370746802465E-2</v>
      </c>
      <c r="AI18">
        <f t="shared" si="31"/>
        <v>117838.66666666667</v>
      </c>
      <c r="AJ18">
        <f t="shared" si="32"/>
        <v>64121</v>
      </c>
      <c r="AK18">
        <f t="shared" si="33"/>
        <v>8430</v>
      </c>
    </row>
    <row r="19" spans="1:37" ht="15" customHeight="1" x14ac:dyDescent="0.3">
      <c r="A19" s="1">
        <v>33359</v>
      </c>
      <c r="B19" s="1">
        <v>33359</v>
      </c>
      <c r="C19">
        <v>1979</v>
      </c>
      <c r="D19">
        <v>1613</v>
      </c>
      <c r="E19">
        <v>2077</v>
      </c>
      <c r="F19">
        <v>3356</v>
      </c>
      <c r="G19">
        <v>1789</v>
      </c>
      <c r="H19">
        <v>2736</v>
      </c>
      <c r="I19">
        <v>64474</v>
      </c>
      <c r="J19">
        <v>117440</v>
      </c>
      <c r="K19">
        <v>8736</v>
      </c>
      <c r="M19">
        <f t="shared" si="2"/>
        <v>126176</v>
      </c>
      <c r="P19">
        <f t="shared" si="3"/>
        <v>6.9236621861526751E-2</v>
      </c>
      <c r="Q19">
        <f t="shared" si="4"/>
        <v>0.5109846563530307</v>
      </c>
      <c r="R19" t="e">
        <f t="shared" si="5"/>
        <v>#N/A</v>
      </c>
      <c r="S19">
        <f t="shared" si="16"/>
        <v>0.23450645811115062</v>
      </c>
      <c r="T19">
        <f t="shared" si="17"/>
        <v>0.19113639056760279</v>
      </c>
      <c r="U19">
        <f t="shared" si="18"/>
        <v>1.7585450727717618E-2</v>
      </c>
      <c r="V19">
        <f t="shared" si="19"/>
        <v>2.8414430737708388E-2</v>
      </c>
      <c r="W19">
        <f t="shared" si="20"/>
        <v>2.7966671356438273E-2</v>
      </c>
      <c r="X19">
        <f t="shared" si="21"/>
        <v>4.2435710518968883E-2</v>
      </c>
      <c r="Y19" s="1">
        <f t="shared" si="7"/>
        <v>33359</v>
      </c>
      <c r="Z19">
        <f t="shared" si="22"/>
        <v>6.7979055333010574E-2</v>
      </c>
      <c r="AA19">
        <f t="shared" si="23"/>
        <v>0.50819610189391617</v>
      </c>
      <c r="AB19" t="e">
        <f t="shared" si="24"/>
        <v>#N/A</v>
      </c>
      <c r="AC19">
        <f t="shared" si="25"/>
        <v>0.2533847232553359</v>
      </c>
      <c r="AD19">
        <f t="shared" si="26"/>
        <v>0.18257407979723064</v>
      </c>
      <c r="AE19">
        <f t="shared" si="27"/>
        <v>1.7433052118158699E-2</v>
      </c>
      <c r="AF19">
        <f t="shared" si="28"/>
        <v>2.6576453687047405E-2</v>
      </c>
      <c r="AG19">
        <f t="shared" si="29"/>
        <v>2.7386123040569189E-2</v>
      </c>
      <c r="AH19">
        <f t="shared" si="30"/>
        <v>4.5128529590266746E-2</v>
      </c>
      <c r="AI19">
        <f t="shared" si="31"/>
        <v>117733.66666666667</v>
      </c>
      <c r="AJ19">
        <f t="shared" si="32"/>
        <v>64195.333333333336</v>
      </c>
      <c r="AK19">
        <f t="shared" si="33"/>
        <v>8587</v>
      </c>
    </row>
    <row r="20" spans="1:37" ht="15" customHeight="1" x14ac:dyDescent="0.3">
      <c r="A20" s="1">
        <v>33390</v>
      </c>
      <c r="B20" s="1">
        <v>33390</v>
      </c>
      <c r="C20">
        <v>2199</v>
      </c>
      <c r="D20">
        <v>1612</v>
      </c>
      <c r="E20">
        <v>1909</v>
      </c>
      <c r="F20">
        <v>3170</v>
      </c>
      <c r="G20">
        <v>1834</v>
      </c>
      <c r="H20">
        <v>2993</v>
      </c>
      <c r="I20">
        <v>64469</v>
      </c>
      <c r="J20">
        <v>117639</v>
      </c>
      <c r="K20">
        <v>8692</v>
      </c>
      <c r="M20">
        <f t="shared" si="2"/>
        <v>126331</v>
      </c>
      <c r="P20">
        <f t="shared" si="3"/>
        <v>6.8803381592799862E-2</v>
      </c>
      <c r="Q20">
        <f t="shared" si="4"/>
        <v>0.51031813252487512</v>
      </c>
      <c r="R20" t="e">
        <f t="shared" si="5"/>
        <v>#N/A</v>
      </c>
      <c r="S20">
        <f t="shared" si="16"/>
        <v>0.25171703296703296</v>
      </c>
      <c r="T20">
        <f t="shared" si="17"/>
        <v>0.18452380952380953</v>
      </c>
      <c r="U20">
        <f t="shared" si="18"/>
        <v>1.6255108991825612E-2</v>
      </c>
      <c r="V20">
        <f t="shared" si="19"/>
        <v>2.69925068119891E-2</v>
      </c>
      <c r="W20">
        <f t="shared" si="20"/>
        <v>2.8445574960449173E-2</v>
      </c>
      <c r="X20">
        <f t="shared" si="21"/>
        <v>4.6425413764755154E-2</v>
      </c>
      <c r="Y20" s="1">
        <f t="shared" si="7"/>
        <v>33390</v>
      </c>
      <c r="Z20">
        <f t="shared" si="22"/>
        <v>6.8242054022026225E-2</v>
      </c>
      <c r="AA20">
        <f t="shared" si="23"/>
        <v>0.5089315920360159</v>
      </c>
      <c r="AB20" t="e">
        <f t="shared" si="24"/>
        <v>#N/A</v>
      </c>
      <c r="AC20">
        <f t="shared" si="25"/>
        <v>0.25295888245971287</v>
      </c>
      <c r="AD20">
        <f t="shared" si="26"/>
        <v>0.18318264143120064</v>
      </c>
      <c r="AE20">
        <f t="shared" si="27"/>
        <v>1.6821953818956754E-2</v>
      </c>
      <c r="AF20">
        <f t="shared" si="28"/>
        <v>2.6849627196015958E-2</v>
      </c>
      <c r="AG20">
        <f t="shared" si="29"/>
        <v>2.7664492958463183E-2</v>
      </c>
      <c r="AH20">
        <f t="shared" si="30"/>
        <v>4.5107042782730922E-2</v>
      </c>
      <c r="AI20">
        <f t="shared" si="31"/>
        <v>117729.33333333333</v>
      </c>
      <c r="AJ20">
        <f t="shared" si="32"/>
        <v>64304</v>
      </c>
      <c r="AK20">
        <f t="shared" si="33"/>
        <v>8622.3333333333339</v>
      </c>
    </row>
    <row r="21" spans="1:37" ht="15" customHeight="1" x14ac:dyDescent="0.3">
      <c r="A21" s="1">
        <v>33420</v>
      </c>
      <c r="B21" s="1">
        <v>33420</v>
      </c>
      <c r="C21">
        <v>2057</v>
      </c>
      <c r="D21">
        <v>1665</v>
      </c>
      <c r="E21">
        <v>1947</v>
      </c>
      <c r="F21">
        <v>3156</v>
      </c>
      <c r="G21">
        <v>1648</v>
      </c>
      <c r="H21">
        <v>2891</v>
      </c>
      <c r="I21">
        <v>64792</v>
      </c>
      <c r="J21">
        <v>117568</v>
      </c>
      <c r="K21">
        <v>8586</v>
      </c>
      <c r="M21">
        <f t="shared" si="2"/>
        <v>126154</v>
      </c>
      <c r="P21">
        <f t="shared" si="3"/>
        <v>6.8059673097959641E-2</v>
      </c>
      <c r="Q21">
        <f t="shared" si="4"/>
        <v>0.51359449561646875</v>
      </c>
      <c r="R21" t="e">
        <f t="shared" si="5"/>
        <v>#N/A</v>
      </c>
      <c r="S21">
        <f t="shared" si="16"/>
        <v>0.23665439484583525</v>
      </c>
      <c r="T21">
        <f t="shared" si="17"/>
        <v>0.19155545329038196</v>
      </c>
      <c r="U21">
        <f t="shared" si="18"/>
        <v>1.6550633718409712E-2</v>
      </c>
      <c r="V21">
        <f t="shared" si="19"/>
        <v>2.682783770688292E-2</v>
      </c>
      <c r="W21">
        <f t="shared" si="20"/>
        <v>2.5562673533015869E-2</v>
      </c>
      <c r="X21">
        <f t="shared" si="21"/>
        <v>4.4619706136560071E-2</v>
      </c>
      <c r="Y21" s="1">
        <f t="shared" si="7"/>
        <v>33420</v>
      </c>
      <c r="Z21">
        <f t="shared" si="22"/>
        <v>6.8699892184095404E-2</v>
      </c>
      <c r="AA21">
        <f t="shared" si="23"/>
        <v>0.5116324281647916</v>
      </c>
      <c r="AB21" t="e">
        <f t="shared" si="24"/>
        <v>#N/A</v>
      </c>
      <c r="AC21">
        <f t="shared" si="25"/>
        <v>0.24095929530800628</v>
      </c>
      <c r="AD21">
        <f t="shared" si="26"/>
        <v>0.18907188446059808</v>
      </c>
      <c r="AE21">
        <f t="shared" si="27"/>
        <v>1.6797064479317645E-2</v>
      </c>
      <c r="AF21">
        <f t="shared" si="28"/>
        <v>2.741159175219347E-2</v>
      </c>
      <c r="AG21">
        <f t="shared" si="29"/>
        <v>2.7324973283301107E-2</v>
      </c>
      <c r="AH21">
        <f t="shared" si="30"/>
        <v>4.4493610140094703E-2</v>
      </c>
      <c r="AI21">
        <f t="shared" si="31"/>
        <v>117549</v>
      </c>
      <c r="AJ21">
        <f t="shared" si="32"/>
        <v>64578.333333333336</v>
      </c>
      <c r="AK21">
        <f t="shared" si="33"/>
        <v>8671.3333333333339</v>
      </c>
    </row>
    <row r="22" spans="1:37" ht="15" customHeight="1" x14ac:dyDescent="0.3">
      <c r="A22" s="1">
        <v>33451</v>
      </c>
      <c r="B22" s="1">
        <v>33451</v>
      </c>
      <c r="C22">
        <v>2148</v>
      </c>
      <c r="D22">
        <v>1610</v>
      </c>
      <c r="E22">
        <v>2043</v>
      </c>
      <c r="F22">
        <v>3082</v>
      </c>
      <c r="G22">
        <v>1773</v>
      </c>
      <c r="H22">
        <v>2868</v>
      </c>
      <c r="I22">
        <v>64966</v>
      </c>
      <c r="J22">
        <v>117484</v>
      </c>
      <c r="K22">
        <v>8666</v>
      </c>
      <c r="M22">
        <f t="shared" si="2"/>
        <v>126150</v>
      </c>
      <c r="P22">
        <f t="shared" si="3"/>
        <v>6.8695996829171616E-2</v>
      </c>
      <c r="Q22">
        <f t="shared" si="4"/>
        <v>0.51499009116131589</v>
      </c>
      <c r="R22" t="e">
        <f t="shared" si="5"/>
        <v>#N/A</v>
      </c>
      <c r="S22">
        <f t="shared" si="16"/>
        <v>0.2501747030048917</v>
      </c>
      <c r="T22">
        <f t="shared" si="17"/>
        <v>0.18751455858374097</v>
      </c>
      <c r="U22">
        <f t="shared" si="18"/>
        <v>1.7377177463255306E-2</v>
      </c>
      <c r="V22">
        <f t="shared" si="19"/>
        <v>2.6214616222101254E-2</v>
      </c>
      <c r="W22">
        <f t="shared" si="20"/>
        <v>2.736448944314113E-2</v>
      </c>
      <c r="X22">
        <f t="shared" si="21"/>
        <v>4.4146168765200257E-2</v>
      </c>
      <c r="Y22" s="1">
        <f t="shared" si="7"/>
        <v>33451</v>
      </c>
      <c r="Z22">
        <f t="shared" si="22"/>
        <v>6.851968383997703E-2</v>
      </c>
      <c r="AA22">
        <f t="shared" si="23"/>
        <v>0.51296757310088659</v>
      </c>
      <c r="AB22" t="e">
        <f t="shared" si="24"/>
        <v>#N/A</v>
      </c>
      <c r="AC22">
        <f t="shared" si="25"/>
        <v>0.24618204360591997</v>
      </c>
      <c r="AD22">
        <f t="shared" si="26"/>
        <v>0.18786460713264416</v>
      </c>
      <c r="AE22">
        <f t="shared" si="27"/>
        <v>1.6727640057830211E-2</v>
      </c>
      <c r="AF22">
        <f t="shared" si="28"/>
        <v>2.6678320246991089E-2</v>
      </c>
      <c r="AG22">
        <f t="shared" si="29"/>
        <v>2.7124245978868724E-2</v>
      </c>
      <c r="AH22">
        <f t="shared" si="30"/>
        <v>4.5063762888838489E-2</v>
      </c>
      <c r="AI22">
        <f t="shared" si="31"/>
        <v>117563.66666666667</v>
      </c>
      <c r="AJ22">
        <f t="shared" si="32"/>
        <v>64742.333333333336</v>
      </c>
      <c r="AK22">
        <f t="shared" si="33"/>
        <v>8648</v>
      </c>
    </row>
    <row r="23" spans="1:37" ht="15" customHeight="1" x14ac:dyDescent="0.3">
      <c r="A23" s="1">
        <v>33482</v>
      </c>
      <c r="B23" s="1">
        <v>33482</v>
      </c>
      <c r="C23">
        <v>2247</v>
      </c>
      <c r="D23">
        <v>1588</v>
      </c>
      <c r="E23">
        <v>1959</v>
      </c>
      <c r="F23">
        <v>2958</v>
      </c>
      <c r="G23">
        <v>1906</v>
      </c>
      <c r="H23">
        <v>3047</v>
      </c>
      <c r="I23">
        <v>64652</v>
      </c>
      <c r="J23">
        <v>117928</v>
      </c>
      <c r="K23">
        <v>8722</v>
      </c>
      <c r="M23">
        <f t="shared" si="2"/>
        <v>126650</v>
      </c>
      <c r="P23">
        <f t="shared" si="3"/>
        <v>6.886695617844453E-2</v>
      </c>
      <c r="Q23">
        <f t="shared" si="4"/>
        <v>0.51047769443347812</v>
      </c>
      <c r="R23" t="e">
        <f t="shared" si="5"/>
        <v>#N/A</v>
      </c>
      <c r="S23">
        <f t="shared" si="16"/>
        <v>0.25928917609046848</v>
      </c>
      <c r="T23">
        <f t="shared" si="17"/>
        <v>0.18324486498961459</v>
      </c>
      <c r="U23">
        <f t="shared" si="18"/>
        <v>1.6674611010861054E-2</v>
      </c>
      <c r="V23">
        <f t="shared" si="19"/>
        <v>2.5177896564638588E-2</v>
      </c>
      <c r="W23">
        <f t="shared" si="20"/>
        <v>2.9338423175199337E-2</v>
      </c>
      <c r="X23">
        <f t="shared" si="21"/>
        <v>4.7129245808327662E-2</v>
      </c>
      <c r="Y23" s="1">
        <f t="shared" si="7"/>
        <v>33482</v>
      </c>
      <c r="Z23">
        <f t="shared" si="22"/>
        <v>6.8540875368525267E-2</v>
      </c>
      <c r="AA23">
        <f t="shared" si="23"/>
        <v>0.51302076040375422</v>
      </c>
      <c r="AB23" t="e">
        <f t="shared" si="24"/>
        <v>#N/A</v>
      </c>
      <c r="AC23">
        <f t="shared" si="25"/>
        <v>0.24870609131373178</v>
      </c>
      <c r="AD23">
        <f t="shared" si="26"/>
        <v>0.18743829228791251</v>
      </c>
      <c r="AE23">
        <f t="shared" si="27"/>
        <v>1.6867474064175356E-2</v>
      </c>
      <c r="AF23">
        <f t="shared" si="28"/>
        <v>2.6073450164540921E-2</v>
      </c>
      <c r="AG23">
        <f t="shared" si="29"/>
        <v>2.7421862050452116E-2</v>
      </c>
      <c r="AH23">
        <f t="shared" si="30"/>
        <v>4.5298373570029332E-2</v>
      </c>
      <c r="AI23">
        <f t="shared" si="31"/>
        <v>117660</v>
      </c>
      <c r="AJ23">
        <f t="shared" si="32"/>
        <v>64803.333333333336</v>
      </c>
      <c r="AK23">
        <f t="shared" si="33"/>
        <v>8658</v>
      </c>
    </row>
    <row r="24" spans="1:37" ht="15" customHeight="1" x14ac:dyDescent="0.3">
      <c r="A24" s="1">
        <v>33512</v>
      </c>
      <c r="B24" s="1">
        <v>33512</v>
      </c>
      <c r="C24">
        <v>2110</v>
      </c>
      <c r="D24">
        <v>1675</v>
      </c>
      <c r="E24">
        <v>2019</v>
      </c>
      <c r="F24">
        <v>3086</v>
      </c>
      <c r="G24">
        <v>1855</v>
      </c>
      <c r="H24">
        <v>2806</v>
      </c>
      <c r="I24">
        <v>64855</v>
      </c>
      <c r="J24">
        <v>117800</v>
      </c>
      <c r="K24">
        <v>8842</v>
      </c>
      <c r="M24">
        <f t="shared" si="2"/>
        <v>126642</v>
      </c>
      <c r="P24">
        <f t="shared" si="3"/>
        <v>6.9818859462105781E-2</v>
      </c>
      <c r="Q24">
        <f t="shared" si="4"/>
        <v>0.51211288514079056</v>
      </c>
      <c r="R24" t="e">
        <f t="shared" si="5"/>
        <v>#N/A</v>
      </c>
      <c r="S24">
        <f t="shared" si="16"/>
        <v>0.24191699151570742</v>
      </c>
      <c r="T24">
        <f t="shared" si="17"/>
        <v>0.1920431093785829</v>
      </c>
      <c r="U24">
        <f t="shared" si="18"/>
        <v>1.7120615969065871E-2</v>
      </c>
      <c r="V24">
        <f t="shared" si="19"/>
        <v>2.6168509599077402E-2</v>
      </c>
      <c r="W24">
        <f t="shared" si="20"/>
        <v>2.8692074491121697E-2</v>
      </c>
      <c r="X24">
        <f t="shared" si="21"/>
        <v>4.3265746665638732E-2</v>
      </c>
      <c r="Y24" s="1">
        <f t="shared" si="7"/>
        <v>33512</v>
      </c>
      <c r="Z24">
        <f t="shared" si="22"/>
        <v>6.9127270823240647E-2</v>
      </c>
      <c r="AA24">
        <f t="shared" si="23"/>
        <v>0.51252689024519482</v>
      </c>
      <c r="AB24" t="e">
        <f t="shared" si="24"/>
        <v>#N/A</v>
      </c>
      <c r="AC24">
        <f t="shared" si="25"/>
        <v>0.25046029020368921</v>
      </c>
      <c r="AD24">
        <f t="shared" si="26"/>
        <v>0.18760084431731283</v>
      </c>
      <c r="AE24">
        <f t="shared" si="27"/>
        <v>1.7057468147727409E-2</v>
      </c>
      <c r="AF24">
        <f t="shared" si="28"/>
        <v>2.5853674128605748E-2</v>
      </c>
      <c r="AG24">
        <f t="shared" si="29"/>
        <v>2.8464995703154056E-2</v>
      </c>
      <c r="AH24">
        <f t="shared" si="30"/>
        <v>4.4847053746388886E-2</v>
      </c>
      <c r="AI24">
        <f t="shared" si="31"/>
        <v>117737.33333333333</v>
      </c>
      <c r="AJ24">
        <f t="shared" si="32"/>
        <v>64824.333333333336</v>
      </c>
      <c r="AK24">
        <f t="shared" si="33"/>
        <v>8743.3333333333339</v>
      </c>
    </row>
    <row r="25" spans="1:37" ht="15" customHeight="1" x14ac:dyDescent="0.3">
      <c r="A25" s="1">
        <v>33543</v>
      </c>
      <c r="B25" s="1">
        <v>33543</v>
      </c>
      <c r="C25">
        <v>2123</v>
      </c>
      <c r="D25">
        <v>1595</v>
      </c>
      <c r="E25">
        <v>1935</v>
      </c>
      <c r="F25">
        <v>3000</v>
      </c>
      <c r="G25">
        <v>1849</v>
      </c>
      <c r="H25">
        <v>2722</v>
      </c>
      <c r="I25">
        <v>64956</v>
      </c>
      <c r="J25">
        <v>117770</v>
      </c>
      <c r="K25">
        <v>8931</v>
      </c>
      <c r="M25">
        <f t="shared" si="2"/>
        <v>126701</v>
      </c>
      <c r="P25">
        <f t="shared" si="3"/>
        <v>7.0488788565204699E-2</v>
      </c>
      <c r="Q25">
        <f t="shared" si="4"/>
        <v>0.51267156533886871</v>
      </c>
      <c r="R25" t="e">
        <f t="shared" si="5"/>
        <v>#N/A</v>
      </c>
      <c r="S25">
        <f t="shared" si="16"/>
        <v>0.24010404885772449</v>
      </c>
      <c r="T25">
        <f t="shared" si="17"/>
        <v>0.18038905225062205</v>
      </c>
      <c r="U25">
        <f t="shared" si="18"/>
        <v>1.6426146010186757E-2</v>
      </c>
      <c r="V25">
        <f t="shared" si="19"/>
        <v>2.5466893039049237E-2</v>
      </c>
      <c r="W25">
        <f t="shared" si="20"/>
        <v>2.8509752524863156E-2</v>
      </c>
      <c r="X25">
        <f t="shared" si="21"/>
        <v>4.1905289734589568E-2</v>
      </c>
      <c r="Y25" s="1">
        <f t="shared" si="7"/>
        <v>33543</v>
      </c>
      <c r="Z25">
        <f t="shared" si="22"/>
        <v>6.9724868068585008E-2</v>
      </c>
      <c r="AA25">
        <f t="shared" si="23"/>
        <v>0.51175404830437909</v>
      </c>
      <c r="AB25" t="e">
        <f t="shared" si="24"/>
        <v>#N/A</v>
      </c>
      <c r="AC25">
        <f t="shared" si="25"/>
        <v>0.2471034054879668</v>
      </c>
      <c r="AD25">
        <f t="shared" si="26"/>
        <v>0.18522567553960653</v>
      </c>
      <c r="AE25">
        <f t="shared" si="27"/>
        <v>1.674045766337123E-2</v>
      </c>
      <c r="AF25">
        <f t="shared" si="28"/>
        <v>2.5604433067588406E-2</v>
      </c>
      <c r="AG25">
        <f t="shared" si="29"/>
        <v>2.8846750063728065E-2</v>
      </c>
      <c r="AH25">
        <f t="shared" si="30"/>
        <v>4.4100094069518654E-2</v>
      </c>
      <c r="AI25">
        <f t="shared" si="31"/>
        <v>117832.66666666667</v>
      </c>
      <c r="AJ25">
        <f t="shared" si="32"/>
        <v>64821</v>
      </c>
      <c r="AK25">
        <f t="shared" si="33"/>
        <v>8831.6666666666661</v>
      </c>
    </row>
    <row r="26" spans="1:37" ht="15" customHeight="1" x14ac:dyDescent="0.3">
      <c r="A26" s="1">
        <v>33573</v>
      </c>
      <c r="B26" s="1">
        <v>33573</v>
      </c>
      <c r="C26">
        <v>1936</v>
      </c>
      <c r="D26">
        <v>1673</v>
      </c>
      <c r="E26">
        <v>1975</v>
      </c>
      <c r="F26">
        <v>3011</v>
      </c>
      <c r="G26">
        <v>1884</v>
      </c>
      <c r="H26">
        <v>2661</v>
      </c>
      <c r="I26">
        <v>65134</v>
      </c>
      <c r="J26">
        <v>117466</v>
      </c>
      <c r="K26">
        <v>9198</v>
      </c>
      <c r="M26">
        <f t="shared" si="2"/>
        <v>126664</v>
      </c>
      <c r="P26">
        <f t="shared" si="3"/>
        <v>7.2617318259331778E-2</v>
      </c>
      <c r="Q26">
        <f t="shared" si="4"/>
        <v>0.51422661529716418</v>
      </c>
      <c r="R26" t="e">
        <f t="shared" si="5"/>
        <v>#N/A</v>
      </c>
      <c r="S26">
        <f t="shared" si="16"/>
        <v>0.21677303773373643</v>
      </c>
      <c r="T26">
        <f t="shared" si="17"/>
        <v>0.18732504758705631</v>
      </c>
      <c r="U26">
        <f t="shared" si="18"/>
        <v>1.6769975375732361E-2</v>
      </c>
      <c r="V26">
        <f t="shared" si="19"/>
        <v>2.5566782712065892E-2</v>
      </c>
      <c r="W26">
        <f t="shared" si="20"/>
        <v>2.9004249030112693E-2</v>
      </c>
      <c r="X26">
        <f t="shared" si="21"/>
        <v>4.0854238953541927E-2</v>
      </c>
      <c r="Y26" s="1">
        <f t="shared" si="7"/>
        <v>33573</v>
      </c>
      <c r="Z26">
        <f t="shared" si="22"/>
        <v>7.0974988762214086E-2</v>
      </c>
      <c r="AA26">
        <f t="shared" si="23"/>
        <v>0.51300368859227452</v>
      </c>
      <c r="AB26" t="e">
        <f t="shared" si="24"/>
        <v>#N/A</v>
      </c>
      <c r="AC26">
        <f t="shared" si="25"/>
        <v>0.2329313593690561</v>
      </c>
      <c r="AD26">
        <f t="shared" si="26"/>
        <v>0.18658573640542042</v>
      </c>
      <c r="AE26">
        <f t="shared" si="27"/>
        <v>1.6772245784994998E-2</v>
      </c>
      <c r="AF26">
        <f t="shared" si="28"/>
        <v>2.5734061783397513E-2</v>
      </c>
      <c r="AG26">
        <f t="shared" si="29"/>
        <v>2.8735358682032513E-2</v>
      </c>
      <c r="AH26">
        <f t="shared" si="30"/>
        <v>4.2008425117923409E-2</v>
      </c>
      <c r="AI26">
        <f t="shared" si="31"/>
        <v>117678.66666666667</v>
      </c>
      <c r="AJ26">
        <f t="shared" si="32"/>
        <v>64981.666666666664</v>
      </c>
      <c r="AK26">
        <f t="shared" si="33"/>
        <v>8990.3333333333339</v>
      </c>
    </row>
    <row r="27" spans="1:37" ht="15" customHeight="1" x14ac:dyDescent="0.3">
      <c r="A27" s="1">
        <v>33604</v>
      </c>
      <c r="B27" s="1">
        <v>33604</v>
      </c>
      <c r="C27">
        <v>2425</v>
      </c>
      <c r="D27">
        <v>1616</v>
      </c>
      <c r="E27">
        <v>2150</v>
      </c>
      <c r="F27">
        <v>2934</v>
      </c>
      <c r="G27">
        <v>1951</v>
      </c>
      <c r="H27">
        <v>3133</v>
      </c>
      <c r="I27">
        <v>64692</v>
      </c>
      <c r="J27">
        <v>117978</v>
      </c>
      <c r="K27">
        <v>9283</v>
      </c>
      <c r="M27">
        <f t="shared" si="2"/>
        <v>127261</v>
      </c>
      <c r="P27">
        <f t="shared" si="3"/>
        <v>7.2944578464729959E-2</v>
      </c>
      <c r="Q27">
        <f t="shared" si="4"/>
        <v>0.5083411257180126</v>
      </c>
      <c r="R27" t="e">
        <f t="shared" si="5"/>
        <v>#N/A</v>
      </c>
      <c r="S27">
        <f t="shared" si="16"/>
        <v>0.26364427049358558</v>
      </c>
      <c r="T27">
        <f t="shared" si="17"/>
        <v>0.17569036747118938</v>
      </c>
      <c r="U27">
        <f t="shared" si="18"/>
        <v>1.8303168576439141E-2</v>
      </c>
      <c r="V27">
        <f t="shared" si="19"/>
        <v>2.4977440280591831E-2</v>
      </c>
      <c r="W27">
        <f t="shared" si="20"/>
        <v>2.9953634046734425E-2</v>
      </c>
      <c r="X27">
        <f t="shared" si="21"/>
        <v>4.8429481234155691E-2</v>
      </c>
      <c r="Y27" s="1">
        <f t="shared" si="7"/>
        <v>33604</v>
      </c>
      <c r="Z27">
        <f t="shared" si="22"/>
        <v>7.2016895096422145E-2</v>
      </c>
      <c r="AA27">
        <f t="shared" si="23"/>
        <v>0.51174643545134846</v>
      </c>
      <c r="AB27" t="e">
        <f t="shared" si="24"/>
        <v>#N/A</v>
      </c>
      <c r="AC27">
        <f t="shared" si="25"/>
        <v>0.24017378569501549</v>
      </c>
      <c r="AD27">
        <f t="shared" si="26"/>
        <v>0.18113482243628923</v>
      </c>
      <c r="AE27">
        <f t="shared" si="27"/>
        <v>1.7166429987452752E-2</v>
      </c>
      <c r="AF27">
        <f t="shared" si="28"/>
        <v>2.5337038677235652E-2</v>
      </c>
      <c r="AG27">
        <f t="shared" si="29"/>
        <v>2.9155878533903428E-2</v>
      </c>
      <c r="AH27">
        <f t="shared" si="30"/>
        <v>4.3729669974095726E-2</v>
      </c>
      <c r="AI27">
        <f t="shared" si="31"/>
        <v>117738</v>
      </c>
      <c r="AJ27">
        <f t="shared" si="32"/>
        <v>64927.333333333336</v>
      </c>
      <c r="AK27">
        <f t="shared" si="33"/>
        <v>9137.3333333333339</v>
      </c>
    </row>
    <row r="28" spans="1:37" ht="15" customHeight="1" x14ac:dyDescent="0.3">
      <c r="A28" s="1">
        <v>33635</v>
      </c>
      <c r="B28" s="1">
        <v>33635</v>
      </c>
      <c r="C28">
        <v>2044</v>
      </c>
      <c r="D28">
        <v>1542</v>
      </c>
      <c r="E28">
        <v>2035</v>
      </c>
      <c r="F28">
        <v>2978</v>
      </c>
      <c r="G28">
        <v>1698</v>
      </c>
      <c r="H28">
        <v>2708</v>
      </c>
      <c r="I28">
        <v>64860</v>
      </c>
      <c r="J28">
        <v>117753</v>
      </c>
      <c r="K28">
        <v>9454</v>
      </c>
      <c r="M28">
        <f t="shared" si="2"/>
        <v>127207</v>
      </c>
      <c r="P28">
        <f t="shared" si="3"/>
        <v>7.4319809444448812E-2</v>
      </c>
      <c r="Q28">
        <f t="shared" si="4"/>
        <v>0.50987760107541247</v>
      </c>
      <c r="R28" t="e">
        <f t="shared" si="5"/>
        <v>#N/A</v>
      </c>
      <c r="S28">
        <f t="shared" si="16"/>
        <v>0.22018743940536464</v>
      </c>
      <c r="T28">
        <f t="shared" si="17"/>
        <v>0.16611009371970267</v>
      </c>
      <c r="U28">
        <f t="shared" si="18"/>
        <v>1.7248978623133127E-2</v>
      </c>
      <c r="V28">
        <f t="shared" si="19"/>
        <v>2.5241994270118157E-2</v>
      </c>
      <c r="W28">
        <f t="shared" si="20"/>
        <v>2.6247449452791689E-2</v>
      </c>
      <c r="X28">
        <f t="shared" si="21"/>
        <v>4.1751464693185324E-2</v>
      </c>
      <c r="Y28" s="1">
        <f t="shared" si="7"/>
        <v>33635</v>
      </c>
      <c r="Z28">
        <f t="shared" si="22"/>
        <v>7.3293902056170188E-2</v>
      </c>
      <c r="AA28">
        <f t="shared" si="23"/>
        <v>0.51081511403019642</v>
      </c>
      <c r="AB28" t="e">
        <f t="shared" si="24"/>
        <v>#N/A</v>
      </c>
      <c r="AC28">
        <f t="shared" si="25"/>
        <v>0.23353491587756223</v>
      </c>
      <c r="AD28">
        <f t="shared" si="26"/>
        <v>0.17637516959264946</v>
      </c>
      <c r="AE28">
        <f t="shared" si="27"/>
        <v>1.7440707525101542E-2</v>
      </c>
      <c r="AF28">
        <f t="shared" si="28"/>
        <v>2.5262072420925291E-2</v>
      </c>
      <c r="AG28">
        <f t="shared" si="29"/>
        <v>2.84017775098796E-2</v>
      </c>
      <c r="AH28">
        <f t="shared" si="30"/>
        <v>4.3678394960294319E-2</v>
      </c>
      <c r="AI28">
        <f t="shared" si="31"/>
        <v>117732.33333333333</v>
      </c>
      <c r="AJ28">
        <f t="shared" si="32"/>
        <v>64895.333333333336</v>
      </c>
      <c r="AK28">
        <f t="shared" si="33"/>
        <v>9311.6666666666661</v>
      </c>
    </row>
    <row r="29" spans="1:37" ht="15" customHeight="1" x14ac:dyDescent="0.3">
      <c r="A29" s="1">
        <v>33664</v>
      </c>
      <c r="B29" s="1">
        <v>33664</v>
      </c>
      <c r="C29">
        <v>2117</v>
      </c>
      <c r="D29">
        <v>1623</v>
      </c>
      <c r="E29">
        <v>1773</v>
      </c>
      <c r="F29">
        <v>2949</v>
      </c>
      <c r="G29">
        <v>1959</v>
      </c>
      <c r="H29">
        <v>2921</v>
      </c>
      <c r="I29">
        <v>64600</v>
      </c>
      <c r="J29">
        <v>118144</v>
      </c>
      <c r="K29">
        <v>9460</v>
      </c>
      <c r="M29">
        <f t="shared" si="2"/>
        <v>127604</v>
      </c>
      <c r="P29">
        <f t="shared" si="3"/>
        <v>7.4135607034262252E-2</v>
      </c>
      <c r="Q29">
        <f t="shared" si="4"/>
        <v>0.50625372245384159</v>
      </c>
      <c r="R29" t="e">
        <f t="shared" si="5"/>
        <v>#N/A</v>
      </c>
      <c r="S29">
        <f t="shared" si="16"/>
        <v>0.22392638036809817</v>
      </c>
      <c r="T29">
        <f t="shared" si="17"/>
        <v>0.17167336577110218</v>
      </c>
      <c r="U29">
        <f t="shared" si="18"/>
        <v>1.5056941224427403E-2</v>
      </c>
      <c r="V29">
        <f t="shared" si="19"/>
        <v>2.5043947924893634E-2</v>
      </c>
      <c r="W29">
        <f t="shared" si="20"/>
        <v>3.0203515263644773E-2</v>
      </c>
      <c r="X29">
        <f t="shared" si="21"/>
        <v>4.5216718266253869E-2</v>
      </c>
      <c r="Y29" s="1">
        <f t="shared" si="7"/>
        <v>33664</v>
      </c>
      <c r="Z29">
        <f t="shared" si="22"/>
        <v>7.379999831448035E-2</v>
      </c>
      <c r="AA29">
        <f t="shared" si="23"/>
        <v>0.50815748308242226</v>
      </c>
      <c r="AB29" t="e">
        <f t="shared" si="24"/>
        <v>#N/A</v>
      </c>
      <c r="AC29">
        <f t="shared" si="25"/>
        <v>0.23591936342234945</v>
      </c>
      <c r="AD29">
        <f t="shared" si="26"/>
        <v>0.17115794232066472</v>
      </c>
      <c r="AE29">
        <f t="shared" si="27"/>
        <v>1.6869696141333223E-2</v>
      </c>
      <c r="AF29">
        <f t="shared" si="28"/>
        <v>2.508779415853454E-2</v>
      </c>
      <c r="AG29">
        <f t="shared" si="29"/>
        <v>2.8801532921056961E-2</v>
      </c>
      <c r="AH29">
        <f t="shared" si="30"/>
        <v>4.5132554731198295E-2</v>
      </c>
      <c r="AI29">
        <f t="shared" si="31"/>
        <v>117958.33333333333</v>
      </c>
      <c r="AJ29">
        <f t="shared" si="32"/>
        <v>64717.333333333336</v>
      </c>
      <c r="AK29">
        <f t="shared" si="33"/>
        <v>9399</v>
      </c>
    </row>
    <row r="30" spans="1:37" ht="15" customHeight="1" x14ac:dyDescent="0.3">
      <c r="A30" s="1">
        <v>33695</v>
      </c>
      <c r="B30" s="1">
        <v>33695</v>
      </c>
      <c r="C30">
        <v>2181</v>
      </c>
      <c r="D30">
        <v>1740</v>
      </c>
      <c r="E30">
        <v>1915</v>
      </c>
      <c r="F30">
        <v>2869</v>
      </c>
      <c r="G30">
        <v>1921</v>
      </c>
      <c r="H30">
        <v>2836</v>
      </c>
      <c r="I30">
        <v>64513</v>
      </c>
      <c r="J30">
        <v>118426</v>
      </c>
      <c r="K30">
        <v>9415</v>
      </c>
      <c r="M30">
        <f t="shared" si="2"/>
        <v>127841</v>
      </c>
      <c r="P30">
        <f t="shared" si="3"/>
        <v>7.3646169851612556E-2</v>
      </c>
      <c r="Q30">
        <f t="shared" si="4"/>
        <v>0.50463466337090601</v>
      </c>
      <c r="R30" t="e">
        <f t="shared" si="5"/>
        <v>#N/A</v>
      </c>
      <c r="S30">
        <f t="shared" si="16"/>
        <v>0.23054968287526428</v>
      </c>
      <c r="T30">
        <f t="shared" si="17"/>
        <v>0.1839323467230444</v>
      </c>
      <c r="U30">
        <f t="shared" si="18"/>
        <v>1.6209033044420368E-2</v>
      </c>
      <c r="V30">
        <f t="shared" si="19"/>
        <v>2.4283924702058503E-2</v>
      </c>
      <c r="W30">
        <f t="shared" si="20"/>
        <v>2.9736842105263159E-2</v>
      </c>
      <c r="X30">
        <f t="shared" si="21"/>
        <v>4.3960132066405221E-2</v>
      </c>
      <c r="Y30" s="1">
        <f t="shared" si="7"/>
        <v>33695</v>
      </c>
      <c r="Z30">
        <f t="shared" si="22"/>
        <v>7.4033862110107873E-2</v>
      </c>
      <c r="AA30">
        <f t="shared" si="23"/>
        <v>0.50692199563338669</v>
      </c>
      <c r="AB30" t="e">
        <f t="shared" si="24"/>
        <v>#N/A</v>
      </c>
      <c r="AC30">
        <f t="shared" si="25"/>
        <v>0.22488783421624237</v>
      </c>
      <c r="AD30">
        <f t="shared" si="26"/>
        <v>0.17390526873794976</v>
      </c>
      <c r="AE30">
        <f t="shared" si="27"/>
        <v>1.6171650963993634E-2</v>
      </c>
      <c r="AF30">
        <f t="shared" si="28"/>
        <v>2.4856622299023429E-2</v>
      </c>
      <c r="AG30">
        <f t="shared" si="29"/>
        <v>2.872926894056654E-2</v>
      </c>
      <c r="AH30">
        <f t="shared" si="30"/>
        <v>4.3642771675281473E-2</v>
      </c>
      <c r="AI30">
        <f t="shared" si="31"/>
        <v>118107.66666666667</v>
      </c>
      <c r="AJ30">
        <f t="shared" si="32"/>
        <v>64657.666666666664</v>
      </c>
      <c r="AK30">
        <f t="shared" si="33"/>
        <v>9443</v>
      </c>
    </row>
    <row r="31" spans="1:37" ht="15" customHeight="1" x14ac:dyDescent="0.3">
      <c r="A31" s="1">
        <v>33725</v>
      </c>
      <c r="B31" s="1">
        <v>33725</v>
      </c>
      <c r="C31">
        <v>2161</v>
      </c>
      <c r="D31">
        <v>1633</v>
      </c>
      <c r="E31">
        <v>2028</v>
      </c>
      <c r="F31">
        <v>3154</v>
      </c>
      <c r="G31">
        <v>2067</v>
      </c>
      <c r="H31">
        <v>2912</v>
      </c>
      <c r="I31">
        <v>64384</v>
      </c>
      <c r="J31">
        <v>118375</v>
      </c>
      <c r="K31">
        <v>9744</v>
      </c>
      <c r="M31">
        <f t="shared" si="2"/>
        <v>128119</v>
      </c>
      <c r="P31">
        <f t="shared" si="3"/>
        <v>7.6054293274221627E-2</v>
      </c>
      <c r="Q31">
        <f t="shared" si="4"/>
        <v>0.50253280153607194</v>
      </c>
      <c r="R31" t="e">
        <f t="shared" si="5"/>
        <v>#N/A</v>
      </c>
      <c r="S31">
        <f t="shared" si="16"/>
        <v>0.22952734997344662</v>
      </c>
      <c r="T31">
        <f t="shared" si="17"/>
        <v>0.17344662772172065</v>
      </c>
      <c r="U31">
        <f t="shared" si="18"/>
        <v>1.7124617904851976E-2</v>
      </c>
      <c r="V31">
        <f t="shared" si="19"/>
        <v>2.6632665124212588E-2</v>
      </c>
      <c r="W31">
        <f t="shared" si="20"/>
        <v>3.204005394261622E-2</v>
      </c>
      <c r="X31">
        <f t="shared" si="21"/>
        <v>4.5228628230616304E-2</v>
      </c>
      <c r="Y31" s="1">
        <f t="shared" si="7"/>
        <v>33725</v>
      </c>
      <c r="Z31">
        <f t="shared" si="22"/>
        <v>7.4612023386698811E-2</v>
      </c>
      <c r="AA31">
        <f t="shared" si="23"/>
        <v>0.50447372912027322</v>
      </c>
      <c r="AB31" t="e">
        <f t="shared" si="24"/>
        <v>#N/A</v>
      </c>
      <c r="AC31">
        <f t="shared" si="25"/>
        <v>0.22800113773893635</v>
      </c>
      <c r="AD31">
        <f t="shared" si="26"/>
        <v>0.17635078007195573</v>
      </c>
      <c r="AE31">
        <f t="shared" si="27"/>
        <v>1.613019739123325E-2</v>
      </c>
      <c r="AF31">
        <f t="shared" si="28"/>
        <v>2.532017925038824E-2</v>
      </c>
      <c r="AG31">
        <f t="shared" si="29"/>
        <v>3.0660137103841384E-2</v>
      </c>
      <c r="AH31">
        <f t="shared" si="30"/>
        <v>4.4801826187758464E-2</v>
      </c>
      <c r="AI31">
        <f t="shared" si="31"/>
        <v>118315</v>
      </c>
      <c r="AJ31">
        <f t="shared" si="32"/>
        <v>64499</v>
      </c>
      <c r="AK31">
        <f t="shared" si="33"/>
        <v>9539.6666666666661</v>
      </c>
    </row>
    <row r="32" spans="1:37" ht="15" customHeight="1" x14ac:dyDescent="0.3">
      <c r="A32" s="1">
        <v>33756</v>
      </c>
      <c r="B32" s="1">
        <v>33756</v>
      </c>
      <c r="C32">
        <v>2217</v>
      </c>
      <c r="D32">
        <v>1627</v>
      </c>
      <c r="E32">
        <v>2057</v>
      </c>
      <c r="F32">
        <v>2990</v>
      </c>
      <c r="G32">
        <v>2050</v>
      </c>
      <c r="H32">
        <v>2800</v>
      </c>
      <c r="I32">
        <v>64204</v>
      </c>
      <c r="J32">
        <v>118419</v>
      </c>
      <c r="K32">
        <v>10040</v>
      </c>
      <c r="M32">
        <f t="shared" si="2"/>
        <v>128459</v>
      </c>
      <c r="P32">
        <f t="shared" si="3"/>
        <v>7.8157233047120092E-2</v>
      </c>
      <c r="Q32">
        <f t="shared" si="4"/>
        <v>0.49980149308339628</v>
      </c>
      <c r="R32" t="e">
        <f t="shared" si="5"/>
        <v>#N/A</v>
      </c>
      <c r="S32">
        <f t="shared" si="16"/>
        <v>0.22752463054187191</v>
      </c>
      <c r="T32">
        <f t="shared" si="17"/>
        <v>0.16697454844006568</v>
      </c>
      <c r="U32">
        <f t="shared" si="18"/>
        <v>1.7376979936642029E-2</v>
      </c>
      <c r="V32">
        <f t="shared" si="19"/>
        <v>2.525871172122492E-2</v>
      </c>
      <c r="W32">
        <f t="shared" si="20"/>
        <v>3.1840208747514913E-2</v>
      </c>
      <c r="X32">
        <f t="shared" si="21"/>
        <v>4.3610989969472304E-2</v>
      </c>
      <c r="Y32" s="1">
        <f t="shared" si="7"/>
        <v>33756</v>
      </c>
      <c r="Z32">
        <f t="shared" si="22"/>
        <v>7.5952565390984758E-2</v>
      </c>
      <c r="AA32">
        <f t="shared" si="23"/>
        <v>0.50232298599679137</v>
      </c>
      <c r="AB32" t="e">
        <f t="shared" si="24"/>
        <v>#N/A</v>
      </c>
      <c r="AC32">
        <f t="shared" si="25"/>
        <v>0.22920055446352761</v>
      </c>
      <c r="AD32">
        <f t="shared" si="26"/>
        <v>0.17478450762827691</v>
      </c>
      <c r="AE32">
        <f t="shared" si="27"/>
        <v>1.6903543628638124E-2</v>
      </c>
      <c r="AF32">
        <f t="shared" si="28"/>
        <v>2.5391767182498668E-2</v>
      </c>
      <c r="AG32">
        <f t="shared" si="29"/>
        <v>3.1205701598464763E-2</v>
      </c>
      <c r="AH32">
        <f t="shared" si="30"/>
        <v>4.4266583422164607E-2</v>
      </c>
      <c r="AI32">
        <f t="shared" si="31"/>
        <v>118406.66666666667</v>
      </c>
      <c r="AJ32">
        <f t="shared" si="32"/>
        <v>64367</v>
      </c>
      <c r="AK32">
        <f t="shared" si="33"/>
        <v>9733</v>
      </c>
    </row>
    <row r="33" spans="1:37" ht="15" customHeight="1" x14ac:dyDescent="0.3">
      <c r="A33" s="1">
        <v>33786</v>
      </c>
      <c r="B33" s="1">
        <v>33786</v>
      </c>
      <c r="C33">
        <v>2301</v>
      </c>
      <c r="D33">
        <v>1839</v>
      </c>
      <c r="E33">
        <v>1940</v>
      </c>
      <c r="F33">
        <v>2970</v>
      </c>
      <c r="G33">
        <v>1972</v>
      </c>
      <c r="H33">
        <v>2933</v>
      </c>
      <c r="I33">
        <v>64263</v>
      </c>
      <c r="J33">
        <v>118713</v>
      </c>
      <c r="K33">
        <v>9850</v>
      </c>
      <c r="M33">
        <f t="shared" si="2"/>
        <v>128563</v>
      </c>
      <c r="P33">
        <f t="shared" si="3"/>
        <v>7.6616133724321925E-2</v>
      </c>
      <c r="Q33">
        <f t="shared" si="4"/>
        <v>0.49985610167777667</v>
      </c>
      <c r="R33" t="e">
        <f t="shared" si="5"/>
        <v>#N/A</v>
      </c>
      <c r="S33">
        <f t="shared" si="16"/>
        <v>0.22918326693227092</v>
      </c>
      <c r="T33">
        <f t="shared" si="17"/>
        <v>0.18316733067729082</v>
      </c>
      <c r="U33">
        <f t="shared" si="18"/>
        <v>1.6382506185662775E-2</v>
      </c>
      <c r="V33">
        <f t="shared" si="19"/>
        <v>2.5080434727535277E-2</v>
      </c>
      <c r="W33">
        <f t="shared" si="20"/>
        <v>3.0714597221356926E-2</v>
      </c>
      <c r="X33">
        <f t="shared" si="21"/>
        <v>4.5640570779453188E-2</v>
      </c>
      <c r="Y33" s="1">
        <f t="shared" si="7"/>
        <v>33786</v>
      </c>
      <c r="Z33">
        <f t="shared" si="22"/>
        <v>7.6942553348554543E-2</v>
      </c>
      <c r="AA33">
        <f t="shared" si="23"/>
        <v>0.50073013209908168</v>
      </c>
      <c r="AB33" t="e">
        <f t="shared" si="24"/>
        <v>#N/A</v>
      </c>
      <c r="AC33">
        <f t="shared" si="25"/>
        <v>0.22874508248252981</v>
      </c>
      <c r="AD33">
        <f t="shared" si="26"/>
        <v>0.17452950227969241</v>
      </c>
      <c r="AE33">
        <f t="shared" si="27"/>
        <v>1.696136800905226E-2</v>
      </c>
      <c r="AF33">
        <f t="shared" si="28"/>
        <v>2.565727052432426E-2</v>
      </c>
      <c r="AG33">
        <f t="shared" si="29"/>
        <v>3.1531619970496021E-2</v>
      </c>
      <c r="AH33">
        <f t="shared" si="30"/>
        <v>4.4826729659847263E-2</v>
      </c>
      <c r="AI33">
        <f t="shared" si="31"/>
        <v>118502.33333333333</v>
      </c>
      <c r="AJ33">
        <f t="shared" si="32"/>
        <v>64283.666666666664</v>
      </c>
      <c r="AK33">
        <f t="shared" si="33"/>
        <v>9878</v>
      </c>
    </row>
    <row r="34" spans="1:37" ht="15" customHeight="1" x14ac:dyDescent="0.3">
      <c r="A34" s="1">
        <v>33817</v>
      </c>
      <c r="B34" s="1">
        <v>33817</v>
      </c>
      <c r="C34">
        <v>2188</v>
      </c>
      <c r="D34">
        <v>1721</v>
      </c>
      <c r="E34">
        <v>1950</v>
      </c>
      <c r="F34">
        <v>3083</v>
      </c>
      <c r="G34">
        <v>1867</v>
      </c>
      <c r="H34">
        <v>2848</v>
      </c>
      <c r="I34">
        <v>64405</v>
      </c>
      <c r="J34">
        <v>118826</v>
      </c>
      <c r="K34">
        <v>9787</v>
      </c>
      <c r="M34">
        <f t="shared" si="2"/>
        <v>128613</v>
      </c>
      <c r="P34">
        <f t="shared" si="3"/>
        <v>7.609650657398552E-2</v>
      </c>
      <c r="Q34">
        <f t="shared" si="4"/>
        <v>0.50076586348191865</v>
      </c>
      <c r="R34" t="e">
        <f t="shared" si="5"/>
        <v>#N/A</v>
      </c>
      <c r="S34">
        <f t="shared" si="16"/>
        <v>0.22213197969543147</v>
      </c>
      <c r="T34">
        <f t="shared" si="17"/>
        <v>0.1747208121827411</v>
      </c>
      <c r="U34">
        <f t="shared" si="18"/>
        <v>1.6426170680548888E-2</v>
      </c>
      <c r="V34">
        <f t="shared" si="19"/>
        <v>2.5970197029811393E-2</v>
      </c>
      <c r="W34">
        <f t="shared" si="20"/>
        <v>2.9052487434449062E-2</v>
      </c>
      <c r="X34">
        <f t="shared" si="21"/>
        <v>4.4220169241518517E-2</v>
      </c>
      <c r="Y34" s="1">
        <f t="shared" si="7"/>
        <v>33817</v>
      </c>
      <c r="Z34">
        <f t="shared" ref="Z34:Z97" si="34">IF(ISNUMBER(P32),AVERAGE(P32:P34),NA())</f>
        <v>7.6956624448475841E-2</v>
      </c>
      <c r="AA34">
        <f t="shared" si="23"/>
        <v>0.50014115274769722</v>
      </c>
      <c r="AB34" t="e">
        <f t="shared" si="24"/>
        <v>#N/A</v>
      </c>
      <c r="AC34">
        <f t="shared" si="25"/>
        <v>0.22627995905652476</v>
      </c>
      <c r="AD34">
        <f t="shared" si="26"/>
        <v>0.17495423043336586</v>
      </c>
      <c r="AE34">
        <f t="shared" si="27"/>
        <v>1.6728552267617897E-2</v>
      </c>
      <c r="AF34">
        <f t="shared" si="28"/>
        <v>2.543644782619053E-2</v>
      </c>
      <c r="AG34">
        <f t="shared" si="29"/>
        <v>3.0535764467773632E-2</v>
      </c>
      <c r="AH34">
        <f t="shared" si="30"/>
        <v>4.4490576663481329E-2</v>
      </c>
      <c r="AI34">
        <f t="shared" si="31"/>
        <v>118652.66666666667</v>
      </c>
      <c r="AJ34">
        <f t="shared" si="32"/>
        <v>64290.666666666664</v>
      </c>
      <c r="AK34">
        <f t="shared" si="33"/>
        <v>9892.3333333333339</v>
      </c>
    </row>
    <row r="35" spans="1:37" ht="15" customHeight="1" x14ac:dyDescent="0.3">
      <c r="A35" s="1">
        <v>33848</v>
      </c>
      <c r="B35" s="1">
        <v>33848</v>
      </c>
      <c r="C35">
        <v>2241</v>
      </c>
      <c r="D35">
        <v>1803</v>
      </c>
      <c r="E35">
        <v>2087</v>
      </c>
      <c r="F35">
        <v>3152</v>
      </c>
      <c r="G35">
        <v>1931</v>
      </c>
      <c r="H35">
        <v>2767</v>
      </c>
      <c r="I35">
        <v>64728</v>
      </c>
      <c r="J35">
        <v>118720</v>
      </c>
      <c r="K35">
        <v>9781</v>
      </c>
      <c r="M35">
        <f t="shared" si="2"/>
        <v>128501</v>
      </c>
      <c r="P35">
        <f t="shared" si="3"/>
        <v>7.6116139174014205E-2</v>
      </c>
      <c r="Q35">
        <f t="shared" si="4"/>
        <v>0.50371592438969348</v>
      </c>
      <c r="R35" t="e">
        <f t="shared" si="5"/>
        <v>#N/A</v>
      </c>
      <c r="S35">
        <f t="shared" si="16"/>
        <v>0.22897721467252477</v>
      </c>
      <c r="T35">
        <f t="shared" si="17"/>
        <v>0.18422397057320936</v>
      </c>
      <c r="U35">
        <f t="shared" si="18"/>
        <v>1.756349620453436E-2</v>
      </c>
      <c r="V35">
        <f t="shared" si="19"/>
        <v>2.6526181138808006E-2</v>
      </c>
      <c r="W35">
        <f t="shared" si="20"/>
        <v>2.9982144243459359E-2</v>
      </c>
      <c r="X35">
        <f t="shared" si="21"/>
        <v>4.2748115189716968E-2</v>
      </c>
      <c r="Y35" s="1">
        <f t="shared" si="7"/>
        <v>33848</v>
      </c>
      <c r="Z35">
        <f t="shared" si="34"/>
        <v>7.6276259824107226E-2</v>
      </c>
      <c r="AA35">
        <f t="shared" ref="AA35:AA98" si="35">IF(ISNUMBER(Q33),AVERAGE(Q33:Q35),NA())</f>
        <v>0.50144596318312962</v>
      </c>
      <c r="AB35" t="e">
        <f t="shared" ref="AB35:AB98" si="36">IF(ISNUMBER(R33),AVERAGE(R33:R35),NA())</f>
        <v>#N/A</v>
      </c>
      <c r="AC35">
        <f t="shared" ref="AC35:AC98" si="37">IF(ISNUMBER(S33),AVERAGE(S33:S35),NA())</f>
        <v>0.22676415376674239</v>
      </c>
      <c r="AD35">
        <f t="shared" ref="AD35:AD98" si="38">IF(ISNUMBER(T33),AVERAGE(T33:T35),NA())</f>
        <v>0.18070403781108044</v>
      </c>
      <c r="AE35">
        <f t="shared" ref="AE35:AE98" si="39">IF(ISNUMBER(U33),AVERAGE(U33:U35),NA())</f>
        <v>1.6790724356915341E-2</v>
      </c>
      <c r="AF35">
        <f t="shared" ref="AF35:AF98" si="40">IF(ISNUMBER(V33),AVERAGE(V33:V35),NA())</f>
        <v>2.5858937632051559E-2</v>
      </c>
      <c r="AG35">
        <f t="shared" ref="AG35:AG98" si="41">IF(ISNUMBER(W33),AVERAGE(W33:W35),NA())</f>
        <v>2.9916409633088448E-2</v>
      </c>
      <c r="AH35">
        <f t="shared" ref="AH35:AH98" si="42">IF(ISNUMBER(X33),AVERAGE(X33:X35),NA())</f>
        <v>4.4202951736896222E-2</v>
      </c>
      <c r="AI35">
        <f t="shared" si="31"/>
        <v>118753</v>
      </c>
      <c r="AJ35">
        <f t="shared" si="32"/>
        <v>64465.333333333336</v>
      </c>
      <c r="AK35">
        <f t="shared" si="33"/>
        <v>9806</v>
      </c>
    </row>
    <row r="36" spans="1:37" ht="15" customHeight="1" x14ac:dyDescent="0.3">
      <c r="A36" s="1">
        <v>33878</v>
      </c>
      <c r="B36" s="1">
        <v>33878</v>
      </c>
      <c r="C36">
        <v>2264</v>
      </c>
      <c r="D36">
        <v>1909</v>
      </c>
      <c r="E36">
        <v>1923</v>
      </c>
      <c r="F36">
        <v>3311</v>
      </c>
      <c r="G36">
        <v>1848</v>
      </c>
      <c r="H36">
        <v>2814</v>
      </c>
      <c r="I36">
        <v>65416</v>
      </c>
      <c r="J36">
        <v>118628</v>
      </c>
      <c r="K36">
        <v>9398</v>
      </c>
      <c r="M36">
        <f t="shared" si="2"/>
        <v>128026</v>
      </c>
      <c r="P36">
        <f t="shared" si="3"/>
        <v>7.3406964210394762E-2</v>
      </c>
      <c r="Q36">
        <f t="shared" si="4"/>
        <v>0.51095871151172423</v>
      </c>
      <c r="R36" t="e">
        <f t="shared" si="5"/>
        <v>#N/A</v>
      </c>
      <c r="S36">
        <f t="shared" si="16"/>
        <v>0.23146917493098865</v>
      </c>
      <c r="T36">
        <f t="shared" si="17"/>
        <v>0.19517431755444228</v>
      </c>
      <c r="U36">
        <f t="shared" si="18"/>
        <v>1.6197776280323449E-2</v>
      </c>
      <c r="V36">
        <f t="shared" si="19"/>
        <v>2.7889150943396227E-2</v>
      </c>
      <c r="W36">
        <f t="shared" si="20"/>
        <v>2.8550241008527995E-2</v>
      </c>
      <c r="X36">
        <f t="shared" si="21"/>
        <v>4.3016998899351844E-2</v>
      </c>
      <c r="Y36" s="1">
        <f t="shared" si="7"/>
        <v>33878</v>
      </c>
      <c r="Z36">
        <f t="shared" si="34"/>
        <v>7.5206536652798153E-2</v>
      </c>
      <c r="AA36">
        <f t="shared" si="35"/>
        <v>0.50514683312777875</v>
      </c>
      <c r="AB36" t="e">
        <f t="shared" si="36"/>
        <v>#N/A</v>
      </c>
      <c r="AC36">
        <f t="shared" si="37"/>
        <v>0.22752612309964829</v>
      </c>
      <c r="AD36">
        <f t="shared" si="38"/>
        <v>0.18470636677013089</v>
      </c>
      <c r="AE36">
        <f t="shared" si="39"/>
        <v>1.6729147721802232E-2</v>
      </c>
      <c r="AF36">
        <f t="shared" si="40"/>
        <v>2.6795176370671876E-2</v>
      </c>
      <c r="AG36">
        <f t="shared" si="41"/>
        <v>2.9194957562145473E-2</v>
      </c>
      <c r="AH36">
        <f t="shared" si="42"/>
        <v>4.3328427776862445E-2</v>
      </c>
      <c r="AI36">
        <f t="shared" si="31"/>
        <v>118724.66666666667</v>
      </c>
      <c r="AJ36">
        <f t="shared" si="32"/>
        <v>64849.666666666664</v>
      </c>
      <c r="AK36">
        <f t="shared" si="33"/>
        <v>9655.3333333333339</v>
      </c>
    </row>
    <row r="37" spans="1:37" ht="15" customHeight="1" x14ac:dyDescent="0.3">
      <c r="A37" s="1">
        <v>33909</v>
      </c>
      <c r="B37" s="1">
        <v>33909</v>
      </c>
      <c r="C37">
        <v>2252</v>
      </c>
      <c r="D37">
        <v>1609</v>
      </c>
      <c r="E37">
        <v>1994</v>
      </c>
      <c r="F37">
        <v>3043</v>
      </c>
      <c r="G37">
        <v>2010</v>
      </c>
      <c r="H37">
        <v>2964</v>
      </c>
      <c r="I37">
        <v>65180</v>
      </c>
      <c r="J37">
        <v>118876</v>
      </c>
      <c r="K37">
        <v>9565</v>
      </c>
      <c r="M37">
        <f t="shared" si="2"/>
        <v>128441</v>
      </c>
      <c r="P37">
        <f t="shared" si="3"/>
        <v>7.4469990112191589E-2</v>
      </c>
      <c r="Q37">
        <f t="shared" si="4"/>
        <v>0.50747035603895951</v>
      </c>
      <c r="R37" t="e">
        <f t="shared" si="5"/>
        <v>#N/A</v>
      </c>
      <c r="S37">
        <f t="shared" si="16"/>
        <v>0.23962545222387743</v>
      </c>
      <c r="T37">
        <f t="shared" si="17"/>
        <v>0.17120663971057673</v>
      </c>
      <c r="U37">
        <f t="shared" si="18"/>
        <v>1.6808847826819975E-2</v>
      </c>
      <c r="V37">
        <f t="shared" si="19"/>
        <v>2.5651616818963482E-2</v>
      </c>
      <c r="W37">
        <f t="shared" si="20"/>
        <v>3.0726427785251316E-2</v>
      </c>
      <c r="X37">
        <f t="shared" si="21"/>
        <v>4.5474071801165999E-2</v>
      </c>
      <c r="Y37" s="1">
        <f t="shared" si="7"/>
        <v>33909</v>
      </c>
      <c r="Z37">
        <f t="shared" si="34"/>
        <v>7.4664364498866861E-2</v>
      </c>
      <c r="AA37">
        <f t="shared" si="35"/>
        <v>0.50738166398012574</v>
      </c>
      <c r="AB37" t="e">
        <f t="shared" si="36"/>
        <v>#N/A</v>
      </c>
      <c r="AC37">
        <f t="shared" si="37"/>
        <v>0.23335728060913027</v>
      </c>
      <c r="AD37">
        <f t="shared" si="38"/>
        <v>0.18353497594607612</v>
      </c>
      <c r="AE37">
        <f t="shared" si="39"/>
        <v>1.6856706770559261E-2</v>
      </c>
      <c r="AF37">
        <f t="shared" si="40"/>
        <v>2.6688982967055908E-2</v>
      </c>
      <c r="AG37">
        <f t="shared" si="41"/>
        <v>2.975293767907956E-2</v>
      </c>
      <c r="AH37">
        <f t="shared" si="42"/>
        <v>4.3746395296744935E-2</v>
      </c>
      <c r="AI37">
        <f t="shared" si="31"/>
        <v>118741.33333333333</v>
      </c>
      <c r="AJ37">
        <f t="shared" si="32"/>
        <v>65108</v>
      </c>
      <c r="AK37">
        <f t="shared" si="33"/>
        <v>9581.3333333333339</v>
      </c>
    </row>
    <row r="38" spans="1:37" ht="15" customHeight="1" x14ac:dyDescent="0.3">
      <c r="A38" s="1">
        <v>33939</v>
      </c>
      <c r="B38" s="1">
        <v>33939</v>
      </c>
      <c r="C38">
        <v>2247</v>
      </c>
      <c r="D38">
        <v>1813</v>
      </c>
      <c r="E38">
        <v>2019</v>
      </c>
      <c r="F38">
        <v>3111</v>
      </c>
      <c r="G38">
        <v>2022</v>
      </c>
      <c r="H38">
        <v>2880</v>
      </c>
      <c r="I38">
        <v>65230</v>
      </c>
      <c r="J38">
        <v>118997</v>
      </c>
      <c r="K38">
        <v>9557</v>
      </c>
      <c r="M38">
        <f t="shared" si="2"/>
        <v>128554</v>
      </c>
      <c r="P38">
        <f t="shared" si="3"/>
        <v>7.4342299733963932E-2</v>
      </c>
      <c r="Q38">
        <f t="shared" si="4"/>
        <v>0.50741322712634385</v>
      </c>
      <c r="R38" t="e">
        <f t="shared" si="5"/>
        <v>#N/A</v>
      </c>
      <c r="S38">
        <f t="shared" si="16"/>
        <v>0.23491897543125981</v>
      </c>
      <c r="T38">
        <f t="shared" si="17"/>
        <v>0.18954521693674856</v>
      </c>
      <c r="U38">
        <f t="shared" si="18"/>
        <v>1.6984084255863254E-2</v>
      </c>
      <c r="V38">
        <f t="shared" si="19"/>
        <v>2.6170126854873986E-2</v>
      </c>
      <c r="W38">
        <f t="shared" si="20"/>
        <v>3.1021785823872352E-2</v>
      </c>
      <c r="X38">
        <f t="shared" si="21"/>
        <v>4.4151464050283612E-2</v>
      </c>
      <c r="Y38" s="1">
        <f t="shared" si="7"/>
        <v>33939</v>
      </c>
      <c r="Z38">
        <f t="shared" si="34"/>
        <v>7.4073084685516766E-2</v>
      </c>
      <c r="AA38">
        <f t="shared" si="35"/>
        <v>0.50861409822567583</v>
      </c>
      <c r="AB38" t="e">
        <f t="shared" si="36"/>
        <v>#N/A</v>
      </c>
      <c r="AC38">
        <f t="shared" si="37"/>
        <v>0.23533786752870864</v>
      </c>
      <c r="AD38">
        <f t="shared" si="38"/>
        <v>0.18530872473392254</v>
      </c>
      <c r="AE38">
        <f t="shared" si="39"/>
        <v>1.6663569454335558E-2</v>
      </c>
      <c r="AF38">
        <f t="shared" si="40"/>
        <v>2.6570298205744563E-2</v>
      </c>
      <c r="AG38">
        <f t="shared" si="41"/>
        <v>3.0099484872550555E-2</v>
      </c>
      <c r="AH38">
        <f t="shared" si="42"/>
        <v>4.4214178250267154E-2</v>
      </c>
      <c r="AI38">
        <f t="shared" si="31"/>
        <v>118833.66666666667</v>
      </c>
      <c r="AJ38">
        <f t="shared" si="32"/>
        <v>65275.333333333336</v>
      </c>
      <c r="AK38">
        <f t="shared" si="33"/>
        <v>9506.6666666666661</v>
      </c>
    </row>
    <row r="39" spans="1:37" ht="15" customHeight="1" x14ac:dyDescent="0.25">
      <c r="A39" s="1">
        <v>33970</v>
      </c>
      <c r="B39" s="1">
        <v>33970</v>
      </c>
      <c r="C39">
        <v>2180</v>
      </c>
      <c r="D39">
        <v>1747</v>
      </c>
      <c r="E39">
        <v>1818</v>
      </c>
      <c r="F39">
        <v>3187</v>
      </c>
      <c r="G39">
        <v>1849</v>
      </c>
      <c r="H39">
        <v>2870</v>
      </c>
      <c r="I39">
        <v>65562</v>
      </c>
      <c r="J39">
        <v>119075</v>
      </c>
      <c r="K39">
        <v>9325</v>
      </c>
      <c r="M39">
        <f t="shared" si="2"/>
        <v>128400</v>
      </c>
      <c r="P39">
        <f t="shared" si="3"/>
        <v>7.2624610591900313E-2</v>
      </c>
      <c r="Q39">
        <f t="shared" si="4"/>
        <v>0.51060747663551398</v>
      </c>
      <c r="R39" t="e">
        <f t="shared" si="5"/>
        <v>#N/A</v>
      </c>
      <c r="S39">
        <f t="shared" si="16"/>
        <v>0.22810505388720309</v>
      </c>
      <c r="T39">
        <f t="shared" si="17"/>
        <v>0.18279794914722194</v>
      </c>
      <c r="U39">
        <f t="shared" si="18"/>
        <v>1.5277696076371673E-2</v>
      </c>
      <c r="V39">
        <f t="shared" si="19"/>
        <v>2.6782187786246713E-2</v>
      </c>
      <c r="W39">
        <f t="shared" si="20"/>
        <v>2.8345853135060554E-2</v>
      </c>
      <c r="X39">
        <f t="shared" si="21"/>
        <v>4.3775357676702965E-2</v>
      </c>
      <c r="Y39" s="1">
        <f t="shared" si="7"/>
        <v>33970</v>
      </c>
      <c r="Z39">
        <f t="shared" si="34"/>
        <v>7.3812300146018611E-2</v>
      </c>
      <c r="AA39">
        <f t="shared" si="35"/>
        <v>0.50849701993360574</v>
      </c>
      <c r="AB39" t="e">
        <f t="shared" si="36"/>
        <v>#N/A</v>
      </c>
      <c r="AC39">
        <f t="shared" si="37"/>
        <v>0.23421649384744678</v>
      </c>
      <c r="AD39">
        <f t="shared" si="38"/>
        <v>0.18118326859818243</v>
      </c>
      <c r="AE39">
        <f t="shared" si="39"/>
        <v>1.6356876053018301E-2</v>
      </c>
      <c r="AF39">
        <f t="shared" si="40"/>
        <v>2.6201310486694728E-2</v>
      </c>
      <c r="AG39">
        <f t="shared" si="41"/>
        <v>3.0031355581394737E-2</v>
      </c>
      <c r="AH39">
        <f t="shared" si="42"/>
        <v>4.4466964509384192E-2</v>
      </c>
      <c r="AI39">
        <f t="shared" si="31"/>
        <v>118982.66666666667</v>
      </c>
      <c r="AJ39">
        <f t="shared" si="32"/>
        <v>65324</v>
      </c>
      <c r="AK39">
        <f t="shared" si="33"/>
        <v>9482.3333333333339</v>
      </c>
    </row>
    <row r="40" spans="1:37" ht="15" customHeight="1" x14ac:dyDescent="0.25">
      <c r="A40" s="1">
        <v>34001</v>
      </c>
      <c r="B40" s="1">
        <v>34001</v>
      </c>
      <c r="C40">
        <v>2102</v>
      </c>
      <c r="D40">
        <v>1846</v>
      </c>
      <c r="E40">
        <v>1903</v>
      </c>
      <c r="F40">
        <v>3235</v>
      </c>
      <c r="G40">
        <v>1896</v>
      </c>
      <c r="H40">
        <v>3167</v>
      </c>
      <c r="I40">
        <v>65650</v>
      </c>
      <c r="J40">
        <v>119275</v>
      </c>
      <c r="K40">
        <v>9183</v>
      </c>
      <c r="M40">
        <f t="shared" si="2"/>
        <v>128458</v>
      </c>
      <c r="P40">
        <f t="shared" si="3"/>
        <v>7.1486400224197791E-2</v>
      </c>
      <c r="Q40">
        <f t="shared" si="4"/>
        <v>0.51106198134798919</v>
      </c>
      <c r="R40" t="e">
        <f t="shared" si="5"/>
        <v>#N/A</v>
      </c>
      <c r="S40">
        <f t="shared" si="16"/>
        <v>0.22541554959785523</v>
      </c>
      <c r="T40">
        <f t="shared" si="17"/>
        <v>0.19796246648793567</v>
      </c>
      <c r="U40">
        <f t="shared" si="18"/>
        <v>1.5981524249422632E-2</v>
      </c>
      <c r="V40">
        <f t="shared" si="19"/>
        <v>2.7167751417174049E-2</v>
      </c>
      <c r="W40">
        <f t="shared" si="20"/>
        <v>2.8919190994783562E-2</v>
      </c>
      <c r="X40">
        <f t="shared" si="21"/>
        <v>4.824067022086824E-2</v>
      </c>
      <c r="Y40" s="1">
        <f t="shared" si="7"/>
        <v>34001</v>
      </c>
      <c r="Z40">
        <f t="shared" si="34"/>
        <v>7.2817770183354003E-2</v>
      </c>
      <c r="AA40">
        <f t="shared" si="35"/>
        <v>0.50969422836994893</v>
      </c>
      <c r="AB40" t="e">
        <f t="shared" si="36"/>
        <v>#N/A</v>
      </c>
      <c r="AC40">
        <f t="shared" si="37"/>
        <v>0.22947985963877271</v>
      </c>
      <c r="AD40">
        <f t="shared" si="38"/>
        <v>0.1901018775239687</v>
      </c>
      <c r="AE40">
        <f t="shared" si="39"/>
        <v>1.6081101527219185E-2</v>
      </c>
      <c r="AF40">
        <f t="shared" si="40"/>
        <v>2.670668868609825E-2</v>
      </c>
      <c r="AG40">
        <f t="shared" si="41"/>
        <v>2.9428943317905489E-2</v>
      </c>
      <c r="AH40">
        <f t="shared" si="42"/>
        <v>4.5389163982618275E-2</v>
      </c>
      <c r="AI40">
        <f t="shared" si="31"/>
        <v>119115.66666666667</v>
      </c>
      <c r="AJ40">
        <f t="shared" si="32"/>
        <v>65480.666666666664</v>
      </c>
      <c r="AK40">
        <f t="shared" si="33"/>
        <v>9355</v>
      </c>
    </row>
    <row r="41" spans="1:37" x14ac:dyDescent="0.25">
      <c r="A41" s="1">
        <v>34029</v>
      </c>
      <c r="B41" s="1">
        <v>34029</v>
      </c>
      <c r="C41">
        <v>2181</v>
      </c>
      <c r="D41">
        <v>1732</v>
      </c>
      <c r="E41">
        <v>1930</v>
      </c>
      <c r="F41">
        <v>3057</v>
      </c>
      <c r="G41">
        <v>1822</v>
      </c>
      <c r="H41">
        <v>2989</v>
      </c>
      <c r="I41">
        <v>65650</v>
      </c>
      <c r="J41">
        <v>119542</v>
      </c>
      <c r="K41">
        <v>9056</v>
      </c>
      <c r="M41">
        <f t="shared" si="2"/>
        <v>128598</v>
      </c>
      <c r="P41">
        <f t="shared" si="3"/>
        <v>7.0421001881833312E-2</v>
      </c>
      <c r="Q41">
        <f t="shared" si="4"/>
        <v>0.51050560661907651</v>
      </c>
      <c r="R41" t="e">
        <f t="shared" si="5"/>
        <v>#N/A</v>
      </c>
      <c r="S41">
        <f t="shared" si="16"/>
        <v>0.23750408363279973</v>
      </c>
      <c r="T41">
        <f t="shared" si="17"/>
        <v>0.18860938691059567</v>
      </c>
      <c r="U41">
        <f t="shared" si="18"/>
        <v>1.6181094110249424E-2</v>
      </c>
      <c r="V41">
        <f t="shared" si="19"/>
        <v>2.5629846992244812E-2</v>
      </c>
      <c r="W41">
        <f t="shared" si="20"/>
        <v>2.7753236862147753E-2</v>
      </c>
      <c r="X41">
        <f t="shared" si="21"/>
        <v>4.5529322162985532E-2</v>
      </c>
      <c r="Y41" s="1">
        <f t="shared" si="7"/>
        <v>34029</v>
      </c>
      <c r="Z41">
        <f t="shared" si="34"/>
        <v>7.1510670899310472E-2</v>
      </c>
      <c r="AA41">
        <f t="shared" si="35"/>
        <v>0.5107250215341933</v>
      </c>
      <c r="AB41" t="e">
        <f t="shared" si="36"/>
        <v>#N/A</v>
      </c>
      <c r="AC41">
        <f t="shared" si="37"/>
        <v>0.23034156237261935</v>
      </c>
      <c r="AD41">
        <f t="shared" si="38"/>
        <v>0.18978993418191778</v>
      </c>
      <c r="AE41">
        <f t="shared" si="39"/>
        <v>1.581343814534791E-2</v>
      </c>
      <c r="AF41">
        <f t="shared" si="40"/>
        <v>2.6526595398555192E-2</v>
      </c>
      <c r="AG41">
        <f t="shared" si="41"/>
        <v>2.8339426997330622E-2</v>
      </c>
      <c r="AH41">
        <f t="shared" si="42"/>
        <v>4.5848450020185581E-2</v>
      </c>
      <c r="AI41">
        <f t="shared" si="31"/>
        <v>119297.33333333333</v>
      </c>
      <c r="AJ41">
        <f t="shared" si="32"/>
        <v>65620.666666666672</v>
      </c>
      <c r="AK41">
        <f t="shared" si="33"/>
        <v>9188</v>
      </c>
    </row>
    <row r="42" spans="1:37" x14ac:dyDescent="0.25">
      <c r="A42" s="1">
        <v>34060</v>
      </c>
      <c r="B42" s="1">
        <v>34060</v>
      </c>
      <c r="C42">
        <v>2139</v>
      </c>
      <c r="D42">
        <v>1651</v>
      </c>
      <c r="E42">
        <v>1894</v>
      </c>
      <c r="F42">
        <v>3228</v>
      </c>
      <c r="G42">
        <v>1920</v>
      </c>
      <c r="H42">
        <v>2871</v>
      </c>
      <c r="I42">
        <v>65814</v>
      </c>
      <c r="J42">
        <v>119474</v>
      </c>
      <c r="K42">
        <v>9110</v>
      </c>
      <c r="M42">
        <f t="shared" si="2"/>
        <v>128584</v>
      </c>
      <c r="P42">
        <f t="shared" si="3"/>
        <v>7.0848628134137989E-2</v>
      </c>
      <c r="Q42">
        <f t="shared" si="4"/>
        <v>0.51183662041933675</v>
      </c>
      <c r="R42" t="e">
        <f t="shared" si="5"/>
        <v>#N/A</v>
      </c>
      <c r="S42">
        <f t="shared" si="16"/>
        <v>0.23619699646643111</v>
      </c>
      <c r="T42">
        <f t="shared" si="17"/>
        <v>0.18231007067137808</v>
      </c>
      <c r="U42">
        <f t="shared" si="18"/>
        <v>1.5843803851366047E-2</v>
      </c>
      <c r="V42">
        <f t="shared" si="19"/>
        <v>2.7003061685432733E-2</v>
      </c>
      <c r="W42">
        <f t="shared" si="20"/>
        <v>2.9246001523229245E-2</v>
      </c>
      <c r="X42">
        <f t="shared" si="21"/>
        <v>4.3622937368948858E-2</v>
      </c>
      <c r="Y42" s="1">
        <f t="shared" si="7"/>
        <v>34060</v>
      </c>
      <c r="Z42">
        <f t="shared" si="34"/>
        <v>7.0918676746723031E-2</v>
      </c>
      <c r="AA42">
        <f t="shared" si="35"/>
        <v>0.51113473612880089</v>
      </c>
      <c r="AB42" t="e">
        <f t="shared" si="36"/>
        <v>#N/A</v>
      </c>
      <c r="AC42">
        <f t="shared" si="37"/>
        <v>0.23303887656569536</v>
      </c>
      <c r="AD42">
        <f t="shared" si="38"/>
        <v>0.18962730802330316</v>
      </c>
      <c r="AE42">
        <f t="shared" si="39"/>
        <v>1.6002140737012702E-2</v>
      </c>
      <c r="AF42">
        <f t="shared" si="40"/>
        <v>2.6600220031617199E-2</v>
      </c>
      <c r="AG42">
        <f t="shared" si="41"/>
        <v>2.863947646005352E-2</v>
      </c>
      <c r="AH42">
        <f t="shared" si="42"/>
        <v>4.5797643250934217E-2</v>
      </c>
      <c r="AI42">
        <f t="shared" si="31"/>
        <v>119430.33333333333</v>
      </c>
      <c r="AJ42">
        <f t="shared" si="32"/>
        <v>65704.666666666672</v>
      </c>
      <c r="AK42">
        <f t="shared" si="33"/>
        <v>9116.3333333333339</v>
      </c>
    </row>
    <row r="43" spans="1:37" x14ac:dyDescent="0.25">
      <c r="A43" s="1">
        <v>34090</v>
      </c>
      <c r="B43" s="1">
        <v>34090</v>
      </c>
      <c r="C43">
        <v>2217</v>
      </c>
      <c r="D43">
        <v>1532</v>
      </c>
      <c r="E43">
        <v>1895</v>
      </c>
      <c r="F43">
        <v>3028</v>
      </c>
      <c r="G43">
        <v>1869</v>
      </c>
      <c r="H43">
        <v>3271</v>
      </c>
      <c r="I43">
        <v>65285</v>
      </c>
      <c r="J43">
        <v>120115</v>
      </c>
      <c r="K43">
        <v>9149</v>
      </c>
      <c r="M43">
        <f t="shared" si="2"/>
        <v>129264</v>
      </c>
      <c r="P43">
        <f t="shared" si="3"/>
        <v>7.0777633370466636E-2</v>
      </c>
      <c r="Q43">
        <f t="shared" si="4"/>
        <v>0.50505167718777078</v>
      </c>
      <c r="R43" t="e">
        <f t="shared" si="5"/>
        <v>#N/A</v>
      </c>
      <c r="S43">
        <f t="shared" si="16"/>
        <v>0.24335894621295279</v>
      </c>
      <c r="T43">
        <f t="shared" si="17"/>
        <v>0.1681668496158068</v>
      </c>
      <c r="U43">
        <f t="shared" si="18"/>
        <v>1.5861191556321878E-2</v>
      </c>
      <c r="V43">
        <f t="shared" si="19"/>
        <v>2.5344426402397174E-2</v>
      </c>
      <c r="W43">
        <f t="shared" si="20"/>
        <v>2.839821314613912E-2</v>
      </c>
      <c r="X43">
        <f t="shared" si="21"/>
        <v>5.0103392816113965E-2</v>
      </c>
      <c r="Y43" s="1">
        <f t="shared" si="7"/>
        <v>34090</v>
      </c>
      <c r="Z43">
        <f t="shared" si="34"/>
        <v>7.068242112881265E-2</v>
      </c>
      <c r="AA43">
        <f t="shared" si="35"/>
        <v>0.50913130140872809</v>
      </c>
      <c r="AB43" t="e">
        <f t="shared" si="36"/>
        <v>#N/A</v>
      </c>
      <c r="AC43">
        <f t="shared" si="37"/>
        <v>0.23902000877072785</v>
      </c>
      <c r="AD43">
        <f t="shared" si="38"/>
        <v>0.1796954357325935</v>
      </c>
      <c r="AE43">
        <f t="shared" si="39"/>
        <v>1.5962029839312452E-2</v>
      </c>
      <c r="AF43">
        <f t="shared" si="40"/>
        <v>2.5992445026691572E-2</v>
      </c>
      <c r="AG43">
        <f t="shared" si="41"/>
        <v>2.8465817177172042E-2</v>
      </c>
      <c r="AH43">
        <f t="shared" si="42"/>
        <v>4.641855078268279E-2</v>
      </c>
      <c r="AI43">
        <f t="shared" si="31"/>
        <v>119710.33333333333</v>
      </c>
      <c r="AJ43">
        <f t="shared" si="32"/>
        <v>65583</v>
      </c>
      <c r="AK43">
        <f t="shared" si="33"/>
        <v>9105</v>
      </c>
    </row>
    <row r="44" spans="1:37" x14ac:dyDescent="0.25">
      <c r="A44" s="1">
        <v>34121</v>
      </c>
      <c r="B44" s="1">
        <v>34121</v>
      </c>
      <c r="C44">
        <v>2119</v>
      </c>
      <c r="D44">
        <v>1578</v>
      </c>
      <c r="E44">
        <v>1872</v>
      </c>
      <c r="F44">
        <v>2988</v>
      </c>
      <c r="G44">
        <v>1768</v>
      </c>
      <c r="H44">
        <v>2842</v>
      </c>
      <c r="I44">
        <v>65308</v>
      </c>
      <c r="J44">
        <v>120290</v>
      </c>
      <c r="K44">
        <v>9121</v>
      </c>
      <c r="M44">
        <f t="shared" si="2"/>
        <v>129411</v>
      </c>
      <c r="P44">
        <f t="shared" si="3"/>
        <v>7.048087102332877E-2</v>
      </c>
      <c r="Q44">
        <f t="shared" si="4"/>
        <v>0.50465570932919146</v>
      </c>
      <c r="R44" t="e">
        <f t="shared" si="5"/>
        <v>#N/A</v>
      </c>
      <c r="S44">
        <f t="shared" si="16"/>
        <v>0.23161001202317194</v>
      </c>
      <c r="T44">
        <f t="shared" si="17"/>
        <v>0.17247786643349</v>
      </c>
      <c r="U44">
        <f t="shared" si="18"/>
        <v>1.5585064313366358E-2</v>
      </c>
      <c r="V44">
        <f t="shared" si="19"/>
        <v>2.4876160346334761E-2</v>
      </c>
      <c r="W44">
        <f t="shared" si="20"/>
        <v>2.7081259094738453E-2</v>
      </c>
      <c r="X44">
        <f t="shared" si="21"/>
        <v>4.3516873889875664E-2</v>
      </c>
      <c r="Y44" s="1">
        <f t="shared" si="7"/>
        <v>34121</v>
      </c>
      <c r="Z44">
        <f t="shared" si="34"/>
        <v>7.0702377509311132E-2</v>
      </c>
      <c r="AA44">
        <f t="shared" si="35"/>
        <v>0.507181335645433</v>
      </c>
      <c r="AB44" t="e">
        <f t="shared" si="36"/>
        <v>#N/A</v>
      </c>
      <c r="AC44">
        <f t="shared" si="37"/>
        <v>0.23705531823418527</v>
      </c>
      <c r="AD44">
        <f t="shared" si="38"/>
        <v>0.17431826224022498</v>
      </c>
      <c r="AE44">
        <f t="shared" si="39"/>
        <v>1.5763353240351427E-2</v>
      </c>
      <c r="AF44">
        <f t="shared" si="40"/>
        <v>2.5741216144721555E-2</v>
      </c>
      <c r="AG44">
        <f t="shared" si="41"/>
        <v>2.8241824588035605E-2</v>
      </c>
      <c r="AH44">
        <f t="shared" si="42"/>
        <v>4.5747734691646162E-2</v>
      </c>
      <c r="AI44">
        <f t="shared" si="31"/>
        <v>119959.66666666667</v>
      </c>
      <c r="AJ44">
        <f t="shared" si="32"/>
        <v>65469</v>
      </c>
      <c r="AK44">
        <f t="shared" si="33"/>
        <v>9126.6666666666661</v>
      </c>
    </row>
    <row r="45" spans="1:37" x14ac:dyDescent="0.25">
      <c r="A45" s="1">
        <v>34151</v>
      </c>
      <c r="B45" s="1">
        <v>34151</v>
      </c>
      <c r="C45">
        <v>2243</v>
      </c>
      <c r="D45">
        <v>1725</v>
      </c>
      <c r="E45">
        <v>1925</v>
      </c>
      <c r="F45">
        <v>3027</v>
      </c>
      <c r="G45">
        <v>1816</v>
      </c>
      <c r="H45">
        <v>2825</v>
      </c>
      <c r="I45">
        <v>65485</v>
      </c>
      <c r="J45">
        <v>120467</v>
      </c>
      <c r="K45">
        <v>8930</v>
      </c>
      <c r="M45">
        <f t="shared" si="2"/>
        <v>129397</v>
      </c>
      <c r="P45">
        <f t="shared" si="3"/>
        <v>6.9012419144184184E-2</v>
      </c>
      <c r="Q45">
        <f t="shared" si="4"/>
        <v>0.5060781934666182</v>
      </c>
      <c r="R45" t="e">
        <f t="shared" si="5"/>
        <v>#N/A</v>
      </c>
      <c r="S45">
        <f t="shared" si="16"/>
        <v>0.2459160179804846</v>
      </c>
      <c r="T45">
        <f t="shared" si="17"/>
        <v>0.18912399956145159</v>
      </c>
      <c r="U45">
        <f t="shared" si="18"/>
        <v>1.6002992767478592E-2</v>
      </c>
      <c r="V45">
        <f t="shared" si="19"/>
        <v>2.5164186549172834E-2</v>
      </c>
      <c r="W45">
        <f t="shared" si="20"/>
        <v>2.7806700557358975E-2</v>
      </c>
      <c r="X45">
        <f t="shared" si="21"/>
        <v>4.3139650301595785E-2</v>
      </c>
      <c r="Y45" s="1">
        <f t="shared" si="7"/>
        <v>34151</v>
      </c>
      <c r="Z45">
        <f t="shared" si="34"/>
        <v>7.0090307845993197E-2</v>
      </c>
      <c r="AA45">
        <f t="shared" si="35"/>
        <v>0.50526185999452677</v>
      </c>
      <c r="AB45" t="e">
        <f t="shared" si="36"/>
        <v>#N/A</v>
      </c>
      <c r="AC45">
        <f t="shared" si="37"/>
        <v>0.24029499207220309</v>
      </c>
      <c r="AD45">
        <f t="shared" si="38"/>
        <v>0.17658957187024948</v>
      </c>
      <c r="AE45">
        <f t="shared" si="39"/>
        <v>1.5816416212388943E-2</v>
      </c>
      <c r="AF45">
        <f t="shared" si="40"/>
        <v>2.5128257765968259E-2</v>
      </c>
      <c r="AG45">
        <f t="shared" si="41"/>
        <v>2.7762057599412183E-2</v>
      </c>
      <c r="AH45">
        <f t="shared" si="42"/>
        <v>4.5586639002528469E-2</v>
      </c>
      <c r="AI45">
        <f t="shared" si="31"/>
        <v>120290.66666666667</v>
      </c>
      <c r="AJ45">
        <f t="shared" si="32"/>
        <v>65359.333333333336</v>
      </c>
      <c r="AK45">
        <f t="shared" si="33"/>
        <v>9066.6666666666661</v>
      </c>
    </row>
    <row r="46" spans="1:37" x14ac:dyDescent="0.25">
      <c r="A46" s="1">
        <v>34182</v>
      </c>
      <c r="B46" s="1">
        <v>34182</v>
      </c>
      <c r="C46">
        <v>2109</v>
      </c>
      <c r="D46">
        <v>1689</v>
      </c>
      <c r="E46">
        <v>1807</v>
      </c>
      <c r="F46">
        <v>3105</v>
      </c>
      <c r="G46">
        <v>1801</v>
      </c>
      <c r="H46">
        <v>3099</v>
      </c>
      <c r="I46">
        <v>65444</v>
      </c>
      <c r="J46">
        <v>120856</v>
      </c>
      <c r="K46">
        <v>8763</v>
      </c>
      <c r="M46">
        <f t="shared" si="2"/>
        <v>129619</v>
      </c>
      <c r="P46">
        <f t="shared" si="3"/>
        <v>6.7605829392295883E-2</v>
      </c>
      <c r="Q46">
        <f t="shared" si="4"/>
        <v>0.50489511568520051</v>
      </c>
      <c r="R46" t="e">
        <f t="shared" si="5"/>
        <v>#N/A</v>
      </c>
      <c r="S46">
        <f t="shared" si="16"/>
        <v>0.23617021276595745</v>
      </c>
      <c r="T46">
        <f t="shared" si="17"/>
        <v>0.18913773796192609</v>
      </c>
      <c r="U46">
        <f t="shared" si="18"/>
        <v>1.4999958494857513E-2</v>
      </c>
      <c r="V46">
        <f t="shared" si="19"/>
        <v>2.5774693484522732E-2</v>
      </c>
      <c r="W46">
        <f t="shared" si="20"/>
        <v>2.7502481484309383E-2</v>
      </c>
      <c r="X46">
        <f t="shared" si="21"/>
        <v>4.7353462502292033E-2</v>
      </c>
      <c r="Y46" s="1">
        <f t="shared" si="7"/>
        <v>34182</v>
      </c>
      <c r="Z46">
        <f t="shared" si="34"/>
        <v>6.9033039853269598E-2</v>
      </c>
      <c r="AA46">
        <f t="shared" si="35"/>
        <v>0.50520967282700335</v>
      </c>
      <c r="AB46" t="e">
        <f t="shared" si="36"/>
        <v>#N/A</v>
      </c>
      <c r="AC46">
        <f t="shared" si="37"/>
        <v>0.23789874758987137</v>
      </c>
      <c r="AD46">
        <f t="shared" si="38"/>
        <v>0.18357986798562256</v>
      </c>
      <c r="AE46">
        <f t="shared" si="39"/>
        <v>1.5529338525234157E-2</v>
      </c>
      <c r="AF46">
        <f t="shared" si="40"/>
        <v>2.5271680126676774E-2</v>
      </c>
      <c r="AG46">
        <f t="shared" si="41"/>
        <v>2.7463480378802269E-2</v>
      </c>
      <c r="AH46">
        <f t="shared" si="42"/>
        <v>4.4669995564587832E-2</v>
      </c>
      <c r="AI46">
        <f t="shared" si="31"/>
        <v>120537.66666666667</v>
      </c>
      <c r="AJ46">
        <f t="shared" si="32"/>
        <v>65412.333333333336</v>
      </c>
      <c r="AK46">
        <f t="shared" si="33"/>
        <v>8938</v>
      </c>
    </row>
    <row r="47" spans="1:37" x14ac:dyDescent="0.25">
      <c r="A47" s="1">
        <v>34213</v>
      </c>
      <c r="B47" s="1">
        <v>34213</v>
      </c>
      <c r="C47">
        <v>2023</v>
      </c>
      <c r="D47">
        <v>1718</v>
      </c>
      <c r="E47">
        <v>1852</v>
      </c>
      <c r="F47">
        <v>3435</v>
      </c>
      <c r="G47">
        <v>1803</v>
      </c>
      <c r="H47">
        <v>2891</v>
      </c>
      <c r="I47">
        <v>65991</v>
      </c>
      <c r="J47">
        <v>120554</v>
      </c>
      <c r="K47">
        <v>8714</v>
      </c>
      <c r="M47">
        <f t="shared" si="2"/>
        <v>129268</v>
      </c>
      <c r="P47">
        <f t="shared" si="3"/>
        <v>6.7410341306433141E-2</v>
      </c>
      <c r="Q47">
        <f t="shared" si="4"/>
        <v>0.51049757093789649</v>
      </c>
      <c r="R47" t="e">
        <f t="shared" si="5"/>
        <v>#N/A</v>
      </c>
      <c r="S47">
        <f t="shared" si="16"/>
        <v>0.23085701243866255</v>
      </c>
      <c r="T47">
        <f t="shared" si="17"/>
        <v>0.19605158050895813</v>
      </c>
      <c r="U47">
        <f t="shared" si="18"/>
        <v>1.5324021976567154E-2</v>
      </c>
      <c r="V47">
        <f t="shared" si="19"/>
        <v>2.8422254583967698E-2</v>
      </c>
      <c r="W47">
        <f t="shared" si="20"/>
        <v>2.7550271988264777E-2</v>
      </c>
      <c r="X47">
        <f t="shared" si="21"/>
        <v>4.3809004258156418E-2</v>
      </c>
      <c r="Y47" s="1">
        <f t="shared" si="7"/>
        <v>34213</v>
      </c>
      <c r="Z47">
        <f t="shared" si="34"/>
        <v>6.8009529947637745E-2</v>
      </c>
      <c r="AA47">
        <f t="shared" si="35"/>
        <v>0.50715696002990507</v>
      </c>
      <c r="AB47" t="e">
        <f t="shared" si="36"/>
        <v>#N/A</v>
      </c>
      <c r="AC47">
        <f t="shared" si="37"/>
        <v>0.23764774772836819</v>
      </c>
      <c r="AD47">
        <f t="shared" si="38"/>
        <v>0.19143777267744524</v>
      </c>
      <c r="AE47">
        <f t="shared" si="39"/>
        <v>1.5442324412967752E-2</v>
      </c>
      <c r="AF47">
        <f t="shared" si="40"/>
        <v>2.6453711539221089E-2</v>
      </c>
      <c r="AG47">
        <f t="shared" si="41"/>
        <v>2.7619818009977714E-2</v>
      </c>
      <c r="AH47">
        <f t="shared" si="42"/>
        <v>4.4767372354014741E-2</v>
      </c>
      <c r="AI47">
        <f t="shared" si="31"/>
        <v>120625.66666666667</v>
      </c>
      <c r="AJ47">
        <f t="shared" si="32"/>
        <v>65640</v>
      </c>
      <c r="AK47">
        <f t="shared" si="33"/>
        <v>8802.3333333333339</v>
      </c>
    </row>
    <row r="48" spans="1:37" x14ac:dyDescent="0.25">
      <c r="A48" s="1">
        <v>34243</v>
      </c>
      <c r="B48" s="1">
        <v>34243</v>
      </c>
      <c r="C48">
        <v>2115</v>
      </c>
      <c r="D48">
        <v>1629</v>
      </c>
      <c r="E48">
        <v>1852</v>
      </c>
      <c r="F48">
        <v>3011</v>
      </c>
      <c r="G48">
        <v>1905</v>
      </c>
      <c r="H48">
        <v>2971</v>
      </c>
      <c r="I48">
        <v>65871</v>
      </c>
      <c r="J48">
        <v>120823</v>
      </c>
      <c r="K48">
        <v>8750</v>
      </c>
      <c r="M48">
        <f t="shared" si="2"/>
        <v>129573</v>
      </c>
      <c r="P48">
        <f t="shared" si="3"/>
        <v>6.7529500744753918E-2</v>
      </c>
      <c r="Q48">
        <f t="shared" si="4"/>
        <v>0.50836979926373549</v>
      </c>
      <c r="R48" t="e">
        <f t="shared" si="5"/>
        <v>#N/A</v>
      </c>
      <c r="S48">
        <f t="shared" si="16"/>
        <v>0.2427128758319945</v>
      </c>
      <c r="T48">
        <f t="shared" si="17"/>
        <v>0.18694055542804683</v>
      </c>
      <c r="U48">
        <f t="shared" si="18"/>
        <v>1.5362410206214643E-2</v>
      </c>
      <c r="V48">
        <f t="shared" si="19"/>
        <v>2.497635914196128E-2</v>
      </c>
      <c r="W48">
        <f t="shared" si="20"/>
        <v>2.8867572850843296E-2</v>
      </c>
      <c r="X48">
        <f t="shared" si="21"/>
        <v>4.5103307980750254E-2</v>
      </c>
      <c r="Y48" s="1">
        <f t="shared" si="7"/>
        <v>34243</v>
      </c>
      <c r="Z48">
        <f t="shared" si="34"/>
        <v>6.7515223814494305E-2</v>
      </c>
      <c r="AA48">
        <f t="shared" si="35"/>
        <v>0.50792082862894417</v>
      </c>
      <c r="AB48" t="e">
        <f t="shared" si="36"/>
        <v>#N/A</v>
      </c>
      <c r="AC48">
        <f t="shared" si="37"/>
        <v>0.23658003367887151</v>
      </c>
      <c r="AD48">
        <f t="shared" si="38"/>
        <v>0.19070995796631038</v>
      </c>
      <c r="AE48">
        <f t="shared" si="39"/>
        <v>1.5228796892546437E-2</v>
      </c>
      <c r="AF48">
        <f t="shared" si="40"/>
        <v>2.6391102403483902E-2</v>
      </c>
      <c r="AG48">
        <f t="shared" si="41"/>
        <v>2.7973442107805817E-2</v>
      </c>
      <c r="AH48">
        <f t="shared" si="42"/>
        <v>4.5421924913732904E-2</v>
      </c>
      <c r="AI48">
        <f t="shared" si="31"/>
        <v>120744.33333333333</v>
      </c>
      <c r="AJ48">
        <f t="shared" si="32"/>
        <v>65768.666666666672</v>
      </c>
      <c r="AK48">
        <f t="shared" si="33"/>
        <v>8742.3333333333339</v>
      </c>
    </row>
    <row r="49" spans="1:37" x14ac:dyDescent="0.25">
      <c r="A49" s="1">
        <v>34274</v>
      </c>
      <c r="B49" s="1">
        <v>34274</v>
      </c>
      <c r="C49">
        <v>2163</v>
      </c>
      <c r="D49">
        <v>1690</v>
      </c>
      <c r="E49">
        <v>1807</v>
      </c>
      <c r="F49">
        <v>3088</v>
      </c>
      <c r="G49">
        <v>1815</v>
      </c>
      <c r="H49">
        <v>3011</v>
      </c>
      <c r="I49">
        <v>65914</v>
      </c>
      <c r="J49">
        <v>121169</v>
      </c>
      <c r="K49">
        <v>8542</v>
      </c>
      <c r="M49">
        <f t="shared" si="2"/>
        <v>129711</v>
      </c>
      <c r="P49">
        <f t="shared" si="3"/>
        <v>6.585409101772402E-2</v>
      </c>
      <c r="Q49">
        <f t="shared" si="4"/>
        <v>0.50816044899815749</v>
      </c>
      <c r="R49" t="e">
        <f t="shared" si="5"/>
        <v>#N/A</v>
      </c>
      <c r="S49">
        <f t="shared" si="16"/>
        <v>0.2472</v>
      </c>
      <c r="T49">
        <f t="shared" si="17"/>
        <v>0.19314285714285714</v>
      </c>
      <c r="U49">
        <f t="shared" si="18"/>
        <v>1.4955761734106917E-2</v>
      </c>
      <c r="V49">
        <f t="shared" si="19"/>
        <v>2.5558047722701805E-2</v>
      </c>
      <c r="W49">
        <f t="shared" si="20"/>
        <v>2.7553855262558637E-2</v>
      </c>
      <c r="X49">
        <f t="shared" si="21"/>
        <v>4.5680735503838332E-2</v>
      </c>
      <c r="Y49" s="1">
        <f t="shared" si="7"/>
        <v>34274</v>
      </c>
      <c r="Z49">
        <f t="shared" si="34"/>
        <v>6.6931311022970355E-2</v>
      </c>
      <c r="AA49">
        <f t="shared" si="35"/>
        <v>0.50900927306659649</v>
      </c>
      <c r="AB49" t="e">
        <f t="shared" si="36"/>
        <v>#N/A</v>
      </c>
      <c r="AC49">
        <f t="shared" si="37"/>
        <v>0.24025662942355233</v>
      </c>
      <c r="AD49">
        <f t="shared" si="38"/>
        <v>0.19204499769328739</v>
      </c>
      <c r="AE49">
        <f t="shared" si="39"/>
        <v>1.5214064638962905E-2</v>
      </c>
      <c r="AF49">
        <f t="shared" si="40"/>
        <v>2.6318887149543595E-2</v>
      </c>
      <c r="AG49">
        <f t="shared" si="41"/>
        <v>2.799056670055557E-2</v>
      </c>
      <c r="AH49">
        <f t="shared" si="42"/>
        <v>4.4864349247581668E-2</v>
      </c>
      <c r="AI49">
        <f t="shared" si="31"/>
        <v>120848.66666666667</v>
      </c>
      <c r="AJ49">
        <f t="shared" si="32"/>
        <v>65925.333333333328</v>
      </c>
      <c r="AK49">
        <f t="shared" si="33"/>
        <v>8668.6666666666661</v>
      </c>
    </row>
    <row r="50" spans="1:37" x14ac:dyDescent="0.25">
      <c r="A50" s="1">
        <v>34304</v>
      </c>
      <c r="B50" s="1">
        <v>34304</v>
      </c>
      <c r="C50">
        <v>2212</v>
      </c>
      <c r="D50">
        <v>1684</v>
      </c>
      <c r="E50">
        <v>1932</v>
      </c>
      <c r="F50">
        <v>3178</v>
      </c>
      <c r="G50">
        <v>1884</v>
      </c>
      <c r="H50">
        <v>3093</v>
      </c>
      <c r="I50">
        <v>65853</v>
      </c>
      <c r="J50">
        <v>121464</v>
      </c>
      <c r="K50">
        <v>8477</v>
      </c>
      <c r="M50">
        <f t="shared" si="2"/>
        <v>129941</v>
      </c>
      <c r="P50">
        <f t="shared" si="3"/>
        <v>6.5237300005387064E-2</v>
      </c>
      <c r="Q50">
        <f t="shared" si="4"/>
        <v>0.50679154385451863</v>
      </c>
      <c r="R50" t="e">
        <f t="shared" si="5"/>
        <v>#N/A</v>
      </c>
      <c r="S50">
        <f t="shared" si="16"/>
        <v>0.25895574806836807</v>
      </c>
      <c r="T50">
        <f t="shared" si="17"/>
        <v>0.19714352610629829</v>
      </c>
      <c r="U50">
        <f t="shared" si="18"/>
        <v>1.5944672317176837E-2</v>
      </c>
      <c r="V50">
        <f t="shared" si="19"/>
        <v>2.6227830550718419E-2</v>
      </c>
      <c r="W50">
        <f t="shared" si="20"/>
        <v>2.8582698667961284E-2</v>
      </c>
      <c r="X50">
        <f t="shared" si="21"/>
        <v>4.6968247460252383E-2</v>
      </c>
      <c r="Y50" s="1">
        <f t="shared" si="7"/>
        <v>34304</v>
      </c>
      <c r="Z50">
        <f t="shared" si="34"/>
        <v>6.6206963922621667E-2</v>
      </c>
      <c r="AA50">
        <f t="shared" si="35"/>
        <v>0.50777393070547061</v>
      </c>
      <c r="AB50" t="e">
        <f t="shared" si="36"/>
        <v>#N/A</v>
      </c>
      <c r="AC50">
        <f t="shared" si="37"/>
        <v>0.2496228746334542</v>
      </c>
      <c r="AD50">
        <f t="shared" si="38"/>
        <v>0.19240897955906741</v>
      </c>
      <c r="AE50">
        <f t="shared" si="39"/>
        <v>1.5420948085832798E-2</v>
      </c>
      <c r="AF50">
        <f t="shared" si="40"/>
        <v>2.5587412471793834E-2</v>
      </c>
      <c r="AG50">
        <f t="shared" si="41"/>
        <v>2.8334708927121074E-2</v>
      </c>
      <c r="AH50">
        <f t="shared" si="42"/>
        <v>4.5917430314946994E-2</v>
      </c>
      <c r="AI50">
        <f t="shared" si="31"/>
        <v>121152</v>
      </c>
      <c r="AJ50">
        <f t="shared" si="32"/>
        <v>65879.333333333328</v>
      </c>
      <c r="AK50">
        <f t="shared" si="33"/>
        <v>8589.6666666666661</v>
      </c>
    </row>
    <row r="51" spans="1:37" x14ac:dyDescent="0.25">
      <c r="A51" s="1">
        <v>34335</v>
      </c>
      <c r="B51" s="1">
        <v>34335</v>
      </c>
      <c r="C51">
        <v>2171</v>
      </c>
      <c r="D51">
        <v>1663</v>
      </c>
      <c r="E51">
        <v>1884</v>
      </c>
      <c r="F51">
        <v>3077</v>
      </c>
      <c r="G51">
        <v>2076</v>
      </c>
      <c r="H51">
        <v>3228</v>
      </c>
      <c r="I51">
        <v>65357</v>
      </c>
      <c r="J51">
        <v>121966</v>
      </c>
      <c r="K51">
        <v>8630</v>
      </c>
      <c r="M51">
        <f t="shared" si="2"/>
        <v>130596</v>
      </c>
      <c r="P51">
        <f t="shared" si="3"/>
        <v>6.6081656406015502E-2</v>
      </c>
      <c r="Q51">
        <f t="shared" si="4"/>
        <v>0.5004517749395081</v>
      </c>
      <c r="R51" t="e">
        <f t="shared" si="5"/>
        <v>#N/A</v>
      </c>
      <c r="S51">
        <f t="shared" si="16"/>
        <v>0.25610475404034444</v>
      </c>
      <c r="T51">
        <f t="shared" si="17"/>
        <v>0.19617789312256695</v>
      </c>
      <c r="U51">
        <f t="shared" si="18"/>
        <v>1.5510768622801818E-2</v>
      </c>
      <c r="V51">
        <f t="shared" si="19"/>
        <v>2.5332608838832905E-2</v>
      </c>
      <c r="W51">
        <f t="shared" si="20"/>
        <v>3.1524759692041368E-2</v>
      </c>
      <c r="X51">
        <f t="shared" si="21"/>
        <v>4.9390271891304682E-2</v>
      </c>
      <c r="Y51" s="1">
        <f t="shared" si="7"/>
        <v>34335</v>
      </c>
      <c r="Z51">
        <f t="shared" si="34"/>
        <v>6.5724349143042191E-2</v>
      </c>
      <c r="AA51">
        <f t="shared" si="35"/>
        <v>0.50513458926406141</v>
      </c>
      <c r="AB51" t="e">
        <f t="shared" si="36"/>
        <v>#N/A</v>
      </c>
      <c r="AC51">
        <f t="shared" si="37"/>
        <v>0.2540868340362375</v>
      </c>
      <c r="AD51">
        <f t="shared" si="38"/>
        <v>0.19548809212390747</v>
      </c>
      <c r="AE51">
        <f t="shared" si="39"/>
        <v>1.5470400891361856E-2</v>
      </c>
      <c r="AF51">
        <f t="shared" si="40"/>
        <v>2.5706162370751046E-2</v>
      </c>
      <c r="AG51">
        <f t="shared" si="41"/>
        <v>2.9220437874187096E-2</v>
      </c>
      <c r="AH51">
        <f t="shared" si="42"/>
        <v>4.7346418285131801E-2</v>
      </c>
      <c r="AI51">
        <f t="shared" si="31"/>
        <v>121533</v>
      </c>
      <c r="AJ51">
        <f t="shared" si="32"/>
        <v>65708</v>
      </c>
      <c r="AK51">
        <f t="shared" si="33"/>
        <v>8549.6666666666661</v>
      </c>
    </row>
    <row r="52" spans="1:37" x14ac:dyDescent="0.25">
      <c r="A52" s="1">
        <v>34366</v>
      </c>
      <c r="B52" s="1">
        <v>34366</v>
      </c>
      <c r="C52">
        <v>2208</v>
      </c>
      <c r="D52">
        <v>1782</v>
      </c>
      <c r="E52">
        <v>1898</v>
      </c>
      <c r="F52">
        <v>3531</v>
      </c>
      <c r="G52">
        <v>2029</v>
      </c>
      <c r="H52">
        <v>3260</v>
      </c>
      <c r="I52">
        <v>65421</v>
      </c>
      <c r="J52">
        <v>122086</v>
      </c>
      <c r="K52">
        <v>8583</v>
      </c>
      <c r="M52">
        <f t="shared" si="2"/>
        <v>130669</v>
      </c>
      <c r="P52">
        <f t="shared" si="3"/>
        <v>6.5685051542446943E-2</v>
      </c>
      <c r="Q52">
        <f t="shared" si="4"/>
        <v>0.5006619779748831</v>
      </c>
      <c r="R52" t="e">
        <f t="shared" si="5"/>
        <v>#N/A</v>
      </c>
      <c r="S52">
        <f t="shared" si="16"/>
        <v>0.25585168018539978</v>
      </c>
      <c r="T52">
        <f t="shared" si="17"/>
        <v>0.20648899188876013</v>
      </c>
      <c r="U52">
        <f t="shared" si="18"/>
        <v>1.5561713920272863E-2</v>
      </c>
      <c r="V52">
        <f t="shared" si="19"/>
        <v>2.8950691176229441E-2</v>
      </c>
      <c r="W52">
        <f t="shared" si="20"/>
        <v>3.1044876600823171E-2</v>
      </c>
      <c r="X52">
        <f t="shared" si="21"/>
        <v>4.9831093991226059E-2</v>
      </c>
      <c r="Y52" s="1">
        <f t="shared" si="7"/>
        <v>34366</v>
      </c>
      <c r="Z52">
        <f t="shared" si="34"/>
        <v>6.5668002651283169E-2</v>
      </c>
      <c r="AA52">
        <f t="shared" si="35"/>
        <v>0.50263509892296987</v>
      </c>
      <c r="AB52" t="e">
        <f t="shared" si="36"/>
        <v>#N/A</v>
      </c>
      <c r="AC52">
        <f t="shared" si="37"/>
        <v>0.25697072743137078</v>
      </c>
      <c r="AD52">
        <f t="shared" si="38"/>
        <v>0.1999368037058751</v>
      </c>
      <c r="AE52">
        <f t="shared" si="39"/>
        <v>1.5672384953417173E-2</v>
      </c>
      <c r="AF52">
        <f t="shared" si="40"/>
        <v>2.6837043521926923E-2</v>
      </c>
      <c r="AG52">
        <f t="shared" si="41"/>
        <v>3.0384111653608607E-2</v>
      </c>
      <c r="AH52">
        <f t="shared" si="42"/>
        <v>4.8729871114261046E-2</v>
      </c>
      <c r="AI52">
        <f t="shared" si="31"/>
        <v>121838.66666666667</v>
      </c>
      <c r="AJ52">
        <f t="shared" si="32"/>
        <v>65543.666666666672</v>
      </c>
      <c r="AK52">
        <f t="shared" si="33"/>
        <v>8563.3333333333339</v>
      </c>
    </row>
    <row r="53" spans="1:37" x14ac:dyDescent="0.25">
      <c r="A53" s="1">
        <v>34394</v>
      </c>
      <c r="B53" s="1">
        <v>34394</v>
      </c>
      <c r="C53">
        <v>2194</v>
      </c>
      <c r="D53">
        <v>1911</v>
      </c>
      <c r="E53">
        <v>1852</v>
      </c>
      <c r="F53">
        <v>3592</v>
      </c>
      <c r="G53">
        <v>2117</v>
      </c>
      <c r="H53">
        <v>3012</v>
      </c>
      <c r="I53">
        <v>65813</v>
      </c>
      <c r="J53">
        <v>121930</v>
      </c>
      <c r="K53">
        <v>8470</v>
      </c>
      <c r="M53">
        <f t="shared" si="2"/>
        <v>130400</v>
      </c>
      <c r="P53">
        <f t="shared" si="3"/>
        <v>6.4953987730061349E-2</v>
      </c>
      <c r="Q53">
        <f t="shared" si="4"/>
        <v>0.50470092024539881</v>
      </c>
      <c r="R53" t="e">
        <f t="shared" si="5"/>
        <v>#N/A</v>
      </c>
      <c r="S53">
        <f t="shared" si="16"/>
        <v>0.25562157753699172</v>
      </c>
      <c r="T53">
        <f t="shared" si="17"/>
        <v>0.22264942327857393</v>
      </c>
      <c r="U53">
        <f t="shared" si="18"/>
        <v>1.5169634519928575E-2</v>
      </c>
      <c r="V53">
        <f t="shared" si="19"/>
        <v>2.942188293498026E-2</v>
      </c>
      <c r="W53">
        <f t="shared" si="20"/>
        <v>3.2359639870989436E-2</v>
      </c>
      <c r="X53">
        <f t="shared" si="21"/>
        <v>4.5766034066217917E-2</v>
      </c>
      <c r="Y53" s="1">
        <f t="shared" si="7"/>
        <v>34394</v>
      </c>
      <c r="Z53">
        <f t="shared" si="34"/>
        <v>6.5573565226174593E-2</v>
      </c>
      <c r="AA53">
        <f t="shared" si="35"/>
        <v>0.50193822438659674</v>
      </c>
      <c r="AB53" t="e">
        <f t="shared" si="36"/>
        <v>#N/A</v>
      </c>
      <c r="AC53">
        <f t="shared" si="37"/>
        <v>0.25585933725424531</v>
      </c>
      <c r="AD53">
        <f t="shared" si="38"/>
        <v>0.208438769429967</v>
      </c>
      <c r="AE53">
        <f t="shared" si="39"/>
        <v>1.5414039021001085E-2</v>
      </c>
      <c r="AF53">
        <f t="shared" si="40"/>
        <v>2.79017276500142E-2</v>
      </c>
      <c r="AG53">
        <f t="shared" si="41"/>
        <v>3.1643092054617988E-2</v>
      </c>
      <c r="AH53">
        <f t="shared" si="42"/>
        <v>4.8329133316249551E-2</v>
      </c>
      <c r="AI53">
        <f t="shared" si="31"/>
        <v>121994</v>
      </c>
      <c r="AJ53">
        <f t="shared" si="32"/>
        <v>65530.333333333336</v>
      </c>
      <c r="AK53">
        <f t="shared" si="33"/>
        <v>8561</v>
      </c>
    </row>
    <row r="54" spans="1:37" x14ac:dyDescent="0.25">
      <c r="A54" s="1">
        <v>34425</v>
      </c>
      <c r="B54" s="1">
        <v>34425</v>
      </c>
      <c r="C54">
        <v>2199</v>
      </c>
      <c r="D54">
        <v>1909</v>
      </c>
      <c r="E54">
        <v>1898</v>
      </c>
      <c r="F54">
        <v>3131</v>
      </c>
      <c r="G54">
        <v>2051</v>
      </c>
      <c r="H54">
        <v>3102</v>
      </c>
      <c r="I54">
        <v>65742</v>
      </c>
      <c r="J54">
        <v>122290</v>
      </c>
      <c r="K54">
        <v>8331</v>
      </c>
      <c r="M54">
        <f t="shared" si="2"/>
        <v>130621</v>
      </c>
      <c r="P54">
        <f t="shared" si="3"/>
        <v>6.3779943500662226E-2</v>
      </c>
      <c r="Q54">
        <f t="shared" si="4"/>
        <v>0.50330345044058766</v>
      </c>
      <c r="R54" t="e">
        <f t="shared" si="5"/>
        <v>#N/A</v>
      </c>
      <c r="S54">
        <f t="shared" si="16"/>
        <v>0.25962219598583236</v>
      </c>
      <c r="T54">
        <f t="shared" si="17"/>
        <v>0.22538370720188902</v>
      </c>
      <c r="U54">
        <f t="shared" si="18"/>
        <v>1.5566308537685557E-2</v>
      </c>
      <c r="V54">
        <f t="shared" si="19"/>
        <v>2.5678668088247356E-2</v>
      </c>
      <c r="W54">
        <f t="shared" si="20"/>
        <v>3.1164055733669638E-2</v>
      </c>
      <c r="X54">
        <f t="shared" si="21"/>
        <v>4.7184448297891757E-2</v>
      </c>
      <c r="Y54" s="1">
        <f t="shared" si="7"/>
        <v>34425</v>
      </c>
      <c r="Z54">
        <f t="shared" si="34"/>
        <v>6.4806327591056853E-2</v>
      </c>
      <c r="AA54">
        <f t="shared" si="35"/>
        <v>0.5028887828869566</v>
      </c>
      <c r="AB54" t="e">
        <f t="shared" si="36"/>
        <v>#N/A</v>
      </c>
      <c r="AC54">
        <f t="shared" si="37"/>
        <v>0.25703181790274127</v>
      </c>
      <c r="AD54">
        <f t="shared" si="38"/>
        <v>0.21817404078974104</v>
      </c>
      <c r="AE54">
        <f t="shared" si="39"/>
        <v>1.543255232596233E-2</v>
      </c>
      <c r="AF54">
        <f t="shared" si="40"/>
        <v>2.8017080733152355E-2</v>
      </c>
      <c r="AG54">
        <f t="shared" si="41"/>
        <v>3.1522857401827413E-2</v>
      </c>
      <c r="AH54">
        <f t="shared" si="42"/>
        <v>4.7593858785111909E-2</v>
      </c>
      <c r="AI54">
        <f t="shared" si="31"/>
        <v>122102</v>
      </c>
      <c r="AJ54">
        <f t="shared" si="32"/>
        <v>65658.666666666672</v>
      </c>
      <c r="AK54">
        <f t="shared" si="33"/>
        <v>8461.3333333333339</v>
      </c>
    </row>
    <row r="55" spans="1:37" x14ac:dyDescent="0.25">
      <c r="A55" s="1">
        <v>34455</v>
      </c>
      <c r="B55" s="1">
        <v>34455</v>
      </c>
      <c r="C55">
        <v>2249</v>
      </c>
      <c r="D55">
        <v>1899</v>
      </c>
      <c r="E55">
        <v>1776</v>
      </c>
      <c r="F55">
        <v>3192</v>
      </c>
      <c r="G55">
        <v>1937</v>
      </c>
      <c r="H55">
        <v>3179</v>
      </c>
      <c r="I55">
        <v>65731</v>
      </c>
      <c r="J55">
        <v>122864</v>
      </c>
      <c r="K55">
        <v>7915</v>
      </c>
      <c r="M55">
        <f t="shared" si="2"/>
        <v>130779</v>
      </c>
      <c r="P55">
        <f t="shared" si="3"/>
        <v>6.0521949242615405E-2</v>
      </c>
      <c r="Q55">
        <f t="shared" si="4"/>
        <v>0.50261127551059426</v>
      </c>
      <c r="R55" t="e">
        <f t="shared" si="5"/>
        <v>#N/A</v>
      </c>
      <c r="S55">
        <f t="shared" si="16"/>
        <v>0.26995558756451804</v>
      </c>
      <c r="T55">
        <f t="shared" si="17"/>
        <v>0.22794382427079582</v>
      </c>
      <c r="U55">
        <f t="shared" si="18"/>
        <v>1.4522855507400442E-2</v>
      </c>
      <c r="V55">
        <f t="shared" si="19"/>
        <v>2.6101888952489983E-2</v>
      </c>
      <c r="W55">
        <f t="shared" si="20"/>
        <v>2.9463660977761551E-2</v>
      </c>
      <c r="X55">
        <f t="shared" si="21"/>
        <v>4.8363785732759276E-2</v>
      </c>
      <c r="Y55" s="1">
        <f t="shared" si="7"/>
        <v>34455</v>
      </c>
      <c r="Z55">
        <f t="shared" si="34"/>
        <v>6.3085293491112984E-2</v>
      </c>
      <c r="AA55">
        <f t="shared" si="35"/>
        <v>0.50353854873219361</v>
      </c>
      <c r="AB55" t="e">
        <f t="shared" si="36"/>
        <v>#N/A</v>
      </c>
      <c r="AC55">
        <f t="shared" si="37"/>
        <v>0.26173312036244739</v>
      </c>
      <c r="AD55">
        <f t="shared" si="38"/>
        <v>0.22532565158375292</v>
      </c>
      <c r="AE55">
        <f t="shared" si="39"/>
        <v>1.5086266188338191E-2</v>
      </c>
      <c r="AF55">
        <f t="shared" si="40"/>
        <v>2.7067479991905865E-2</v>
      </c>
      <c r="AG55">
        <f t="shared" si="41"/>
        <v>3.0995785527473545E-2</v>
      </c>
      <c r="AH55">
        <f t="shared" si="42"/>
        <v>4.7104756032289648E-2</v>
      </c>
      <c r="AI55">
        <f t="shared" si="31"/>
        <v>122361.33333333333</v>
      </c>
      <c r="AJ55">
        <f t="shared" si="32"/>
        <v>65762</v>
      </c>
      <c r="AK55">
        <f t="shared" si="33"/>
        <v>8238.6666666666661</v>
      </c>
    </row>
    <row r="56" spans="1:37" x14ac:dyDescent="0.25">
      <c r="A56" s="1">
        <v>34486</v>
      </c>
      <c r="B56" s="1">
        <v>34486</v>
      </c>
      <c r="C56">
        <v>2039</v>
      </c>
      <c r="D56">
        <v>1961</v>
      </c>
      <c r="E56">
        <v>1875</v>
      </c>
      <c r="F56">
        <v>3341</v>
      </c>
      <c r="G56">
        <v>2111</v>
      </c>
      <c r="H56">
        <v>2855</v>
      </c>
      <c r="I56">
        <v>66132</v>
      </c>
      <c r="J56">
        <v>122634</v>
      </c>
      <c r="K56">
        <v>7927</v>
      </c>
      <c r="M56">
        <f t="shared" si="2"/>
        <v>130561</v>
      </c>
      <c r="P56">
        <f t="shared" si="3"/>
        <v>6.0714914867379996E-2</v>
      </c>
      <c r="Q56">
        <f t="shared" si="4"/>
        <v>0.50652185568431618</v>
      </c>
      <c r="R56" t="e">
        <f t="shared" si="5"/>
        <v>#N/A</v>
      </c>
      <c r="S56">
        <f t="shared" si="16"/>
        <v>0.25761212886923562</v>
      </c>
      <c r="T56">
        <f t="shared" si="17"/>
        <v>0.24775742261528744</v>
      </c>
      <c r="U56">
        <f t="shared" si="18"/>
        <v>1.5260776142726917E-2</v>
      </c>
      <c r="V56">
        <f t="shared" si="19"/>
        <v>2.7192668316187003E-2</v>
      </c>
      <c r="W56">
        <f t="shared" si="20"/>
        <v>3.2115744473688215E-2</v>
      </c>
      <c r="X56">
        <f t="shared" si="21"/>
        <v>4.3171233290993767E-2</v>
      </c>
      <c r="Y56" s="1">
        <f t="shared" si="7"/>
        <v>34486</v>
      </c>
      <c r="Z56">
        <f t="shared" si="34"/>
        <v>6.1672269203552545E-2</v>
      </c>
      <c r="AA56">
        <f t="shared" si="35"/>
        <v>0.5041455272118327</v>
      </c>
      <c r="AB56" t="e">
        <f t="shared" si="36"/>
        <v>#N/A</v>
      </c>
      <c r="AC56">
        <f t="shared" si="37"/>
        <v>0.26239663747319536</v>
      </c>
      <c r="AD56">
        <f t="shared" si="38"/>
        <v>0.23369498469599073</v>
      </c>
      <c r="AE56">
        <f t="shared" si="39"/>
        <v>1.5116646729270973E-2</v>
      </c>
      <c r="AF56">
        <f t="shared" si="40"/>
        <v>2.6324408452308112E-2</v>
      </c>
      <c r="AG56">
        <f t="shared" si="41"/>
        <v>3.0914487061706467E-2</v>
      </c>
      <c r="AH56">
        <f t="shared" si="42"/>
        <v>4.6239822440548271E-2</v>
      </c>
      <c r="AI56">
        <f t="shared" si="31"/>
        <v>122596</v>
      </c>
      <c r="AJ56">
        <f t="shared" si="32"/>
        <v>65868.333333333328</v>
      </c>
      <c r="AK56">
        <f t="shared" si="33"/>
        <v>8057.666666666667</v>
      </c>
    </row>
    <row r="57" spans="1:37" x14ac:dyDescent="0.25">
      <c r="A57" s="1">
        <v>34516</v>
      </c>
      <c r="B57" s="1">
        <v>34516</v>
      </c>
      <c r="C57">
        <v>2141</v>
      </c>
      <c r="D57">
        <v>1832</v>
      </c>
      <c r="E57">
        <v>1910</v>
      </c>
      <c r="F57">
        <v>3315</v>
      </c>
      <c r="G57">
        <v>2056</v>
      </c>
      <c r="H57">
        <v>3061</v>
      </c>
      <c r="I57">
        <v>66207</v>
      </c>
      <c r="J57">
        <v>122706</v>
      </c>
      <c r="K57">
        <v>7946</v>
      </c>
      <c r="M57">
        <f t="shared" si="2"/>
        <v>130652</v>
      </c>
      <c r="P57">
        <f t="shared" si="3"/>
        <v>6.0818051005725134E-2</v>
      </c>
      <c r="Q57">
        <f t="shared" si="4"/>
        <v>0.50674310381777543</v>
      </c>
      <c r="R57" t="e">
        <f t="shared" si="5"/>
        <v>#N/A</v>
      </c>
      <c r="S57">
        <f t="shared" si="16"/>
        <v>0.27008956730162736</v>
      </c>
      <c r="T57">
        <f t="shared" si="17"/>
        <v>0.23110886842437239</v>
      </c>
      <c r="U57">
        <f t="shared" si="18"/>
        <v>1.5574799810819186E-2</v>
      </c>
      <c r="V57">
        <f t="shared" si="19"/>
        <v>2.7031655169039583E-2</v>
      </c>
      <c r="W57">
        <f t="shared" si="20"/>
        <v>3.1089336478558036E-2</v>
      </c>
      <c r="X57">
        <f t="shared" si="21"/>
        <v>4.623378192638241E-2</v>
      </c>
      <c r="Y57" s="1">
        <f t="shared" si="7"/>
        <v>34516</v>
      </c>
      <c r="Z57">
        <f t="shared" si="34"/>
        <v>6.0684971705240176E-2</v>
      </c>
      <c r="AA57">
        <f t="shared" si="35"/>
        <v>0.50529207833756196</v>
      </c>
      <c r="AB57" t="e">
        <f t="shared" si="36"/>
        <v>#N/A</v>
      </c>
      <c r="AC57">
        <f t="shared" si="37"/>
        <v>0.26588576124512703</v>
      </c>
      <c r="AD57">
        <f t="shared" si="38"/>
        <v>0.23560337177015189</v>
      </c>
      <c r="AE57">
        <f t="shared" si="39"/>
        <v>1.511947715364885E-2</v>
      </c>
      <c r="AF57">
        <f t="shared" si="40"/>
        <v>2.6775404145905523E-2</v>
      </c>
      <c r="AG57">
        <f t="shared" si="41"/>
        <v>3.0889580643335936E-2</v>
      </c>
      <c r="AH57">
        <f t="shared" si="42"/>
        <v>4.5922933650045156E-2</v>
      </c>
      <c r="AI57">
        <f t="shared" si="31"/>
        <v>122734.66666666667</v>
      </c>
      <c r="AJ57">
        <f t="shared" si="32"/>
        <v>66023.333333333328</v>
      </c>
      <c r="AK57">
        <f t="shared" si="33"/>
        <v>7929.333333333333</v>
      </c>
    </row>
    <row r="58" spans="1:37" x14ac:dyDescent="0.25">
      <c r="A58" s="1">
        <v>34547</v>
      </c>
      <c r="B58" s="1">
        <v>34547</v>
      </c>
      <c r="C58">
        <v>2212</v>
      </c>
      <c r="D58">
        <v>1778</v>
      </c>
      <c r="E58">
        <v>1848</v>
      </c>
      <c r="F58">
        <v>3139</v>
      </c>
      <c r="G58">
        <v>2099</v>
      </c>
      <c r="H58">
        <v>3308</v>
      </c>
      <c r="I58">
        <v>65768</v>
      </c>
      <c r="J58">
        <v>123342</v>
      </c>
      <c r="K58">
        <v>7933</v>
      </c>
      <c r="M58">
        <f t="shared" si="2"/>
        <v>131275</v>
      </c>
      <c r="P58">
        <f t="shared" si="3"/>
        <v>6.0430394210626549E-2</v>
      </c>
      <c r="Q58">
        <f t="shared" si="4"/>
        <v>0.50099409636259762</v>
      </c>
      <c r="R58" t="e">
        <f t="shared" si="5"/>
        <v>#N/A</v>
      </c>
      <c r="S58">
        <f t="shared" si="16"/>
        <v>0.27837905864585955</v>
      </c>
      <c r="T58">
        <f t="shared" si="17"/>
        <v>0.22376038258243142</v>
      </c>
      <c r="U58">
        <f t="shared" si="18"/>
        <v>1.5060388245073591E-2</v>
      </c>
      <c r="V58">
        <f t="shared" si="19"/>
        <v>2.5581471158704547E-2</v>
      </c>
      <c r="W58">
        <f t="shared" si="20"/>
        <v>3.1703596296464118E-2</v>
      </c>
      <c r="X58">
        <f t="shared" si="21"/>
        <v>5.0298017272837857E-2</v>
      </c>
      <c r="Y58" s="1">
        <f t="shared" si="7"/>
        <v>34547</v>
      </c>
      <c r="Z58">
        <f t="shared" si="34"/>
        <v>6.0654453361243893E-2</v>
      </c>
      <c r="AA58">
        <f t="shared" si="35"/>
        <v>0.50475301862156308</v>
      </c>
      <c r="AB58" t="e">
        <f t="shared" si="36"/>
        <v>#N/A</v>
      </c>
      <c r="AC58">
        <f t="shared" si="37"/>
        <v>0.26869358493890749</v>
      </c>
      <c r="AD58">
        <f t="shared" si="38"/>
        <v>0.23420889120736374</v>
      </c>
      <c r="AE58">
        <f t="shared" si="39"/>
        <v>1.5298654732873231E-2</v>
      </c>
      <c r="AF58">
        <f t="shared" si="40"/>
        <v>2.6601931547977044E-2</v>
      </c>
      <c r="AG58">
        <f t="shared" si="41"/>
        <v>3.1636225749570125E-2</v>
      </c>
      <c r="AH58">
        <f t="shared" si="42"/>
        <v>4.6567677496738014E-2</v>
      </c>
      <c r="AI58">
        <f t="shared" si="31"/>
        <v>122894</v>
      </c>
      <c r="AJ58">
        <f t="shared" si="32"/>
        <v>66035.666666666672</v>
      </c>
      <c r="AK58">
        <f t="shared" si="33"/>
        <v>7935.333333333333</v>
      </c>
    </row>
    <row r="59" spans="1:37" x14ac:dyDescent="0.25">
      <c r="A59" s="1">
        <v>34578</v>
      </c>
      <c r="B59" s="1">
        <v>34578</v>
      </c>
      <c r="C59">
        <v>2166</v>
      </c>
      <c r="D59">
        <v>1772</v>
      </c>
      <c r="E59">
        <v>1783</v>
      </c>
      <c r="F59">
        <v>3196</v>
      </c>
      <c r="G59">
        <v>1930</v>
      </c>
      <c r="H59">
        <v>3071</v>
      </c>
      <c r="I59">
        <v>65827</v>
      </c>
      <c r="J59">
        <v>123687</v>
      </c>
      <c r="K59">
        <v>7734</v>
      </c>
      <c r="M59">
        <f t="shared" si="2"/>
        <v>131421</v>
      </c>
      <c r="P59">
        <f t="shared" si="3"/>
        <v>5.8849042390485537E-2</v>
      </c>
      <c r="Q59">
        <f t="shared" si="4"/>
        <v>0.50088646411151949</v>
      </c>
      <c r="R59" t="e">
        <f t="shared" si="5"/>
        <v>#N/A</v>
      </c>
      <c r="S59">
        <f t="shared" si="16"/>
        <v>0.27303668221353838</v>
      </c>
      <c r="T59">
        <f t="shared" si="17"/>
        <v>0.22337072986259926</v>
      </c>
      <c r="U59">
        <f t="shared" si="18"/>
        <v>1.4455740947933388E-2</v>
      </c>
      <c r="V59">
        <f t="shared" si="19"/>
        <v>2.5911692691864895E-2</v>
      </c>
      <c r="W59">
        <f t="shared" si="20"/>
        <v>2.934557839678871E-2</v>
      </c>
      <c r="X59">
        <f t="shared" si="21"/>
        <v>4.6652589363027332E-2</v>
      </c>
      <c r="Y59" s="1">
        <f t="shared" si="7"/>
        <v>34578</v>
      </c>
      <c r="Z59">
        <f t="shared" si="34"/>
        <v>6.003249586894574E-2</v>
      </c>
      <c r="AA59">
        <f t="shared" si="35"/>
        <v>0.50287455476396425</v>
      </c>
      <c r="AB59" t="e">
        <f t="shared" si="36"/>
        <v>#N/A</v>
      </c>
      <c r="AC59">
        <f t="shared" si="37"/>
        <v>0.27383510272034178</v>
      </c>
      <c r="AD59">
        <f t="shared" si="38"/>
        <v>0.22607999362313436</v>
      </c>
      <c r="AE59">
        <f t="shared" si="39"/>
        <v>1.5030309667942054E-2</v>
      </c>
      <c r="AF59">
        <f t="shared" si="40"/>
        <v>2.6174939673203012E-2</v>
      </c>
      <c r="AG59">
        <f t="shared" si="41"/>
        <v>3.0712837057270289E-2</v>
      </c>
      <c r="AH59">
        <f t="shared" si="42"/>
        <v>4.7728129520749202E-2</v>
      </c>
      <c r="AI59">
        <f t="shared" si="31"/>
        <v>123245</v>
      </c>
      <c r="AJ59">
        <f t="shared" si="32"/>
        <v>65934</v>
      </c>
      <c r="AK59">
        <f t="shared" si="33"/>
        <v>7871</v>
      </c>
    </row>
    <row r="60" spans="1:37" x14ac:dyDescent="0.25">
      <c r="A60" s="1">
        <v>34608</v>
      </c>
      <c r="B60" s="1">
        <v>34608</v>
      </c>
      <c r="C60">
        <v>2013</v>
      </c>
      <c r="D60">
        <v>1723</v>
      </c>
      <c r="E60">
        <v>1606</v>
      </c>
      <c r="F60">
        <v>3229</v>
      </c>
      <c r="G60">
        <v>2007</v>
      </c>
      <c r="H60">
        <v>3125</v>
      </c>
      <c r="I60">
        <v>65686</v>
      </c>
      <c r="J60">
        <v>124112</v>
      </c>
      <c r="K60">
        <v>7632</v>
      </c>
      <c r="M60">
        <f t="shared" si="2"/>
        <v>131744</v>
      </c>
      <c r="P60">
        <f t="shared" si="3"/>
        <v>5.7930531940733547E-2</v>
      </c>
      <c r="Q60">
        <f t="shared" si="4"/>
        <v>0.49858817099829972</v>
      </c>
      <c r="R60" t="e">
        <f t="shared" si="5"/>
        <v>#N/A</v>
      </c>
      <c r="S60">
        <f t="shared" si="16"/>
        <v>0.26027928626842511</v>
      </c>
      <c r="T60">
        <f t="shared" si="17"/>
        <v>0.22278251874838376</v>
      </c>
      <c r="U60">
        <f t="shared" si="18"/>
        <v>1.2984388011674629E-2</v>
      </c>
      <c r="V60">
        <f t="shared" si="19"/>
        <v>2.6106219732065616E-2</v>
      </c>
      <c r="W60">
        <f t="shared" si="20"/>
        <v>3.0489009069226913E-2</v>
      </c>
      <c r="X60">
        <f t="shared" si="21"/>
        <v>4.7574825685838686E-2</v>
      </c>
      <c r="Y60" s="1">
        <f t="shared" si="7"/>
        <v>34608</v>
      </c>
      <c r="Z60">
        <f t="shared" si="34"/>
        <v>5.9069989513948547E-2</v>
      </c>
      <c r="AA60">
        <f t="shared" si="35"/>
        <v>0.50015624382413904</v>
      </c>
      <c r="AB60" t="e">
        <f t="shared" si="36"/>
        <v>#N/A</v>
      </c>
      <c r="AC60">
        <f t="shared" si="37"/>
        <v>0.27056500904260766</v>
      </c>
      <c r="AD60">
        <f t="shared" si="38"/>
        <v>0.22330454373113814</v>
      </c>
      <c r="AE60">
        <f t="shared" si="39"/>
        <v>1.4166839068227202E-2</v>
      </c>
      <c r="AF60">
        <f t="shared" si="40"/>
        <v>2.5866461194211685E-2</v>
      </c>
      <c r="AG60">
        <f t="shared" si="41"/>
        <v>3.0512727920826582E-2</v>
      </c>
      <c r="AH60">
        <f t="shared" si="42"/>
        <v>4.817514410723462E-2</v>
      </c>
      <c r="AI60">
        <f t="shared" si="31"/>
        <v>123713.66666666667</v>
      </c>
      <c r="AJ60">
        <f t="shared" si="32"/>
        <v>65760.333333333328</v>
      </c>
      <c r="AK60">
        <f t="shared" si="33"/>
        <v>7766.333333333333</v>
      </c>
    </row>
    <row r="61" spans="1:37" x14ac:dyDescent="0.25">
      <c r="A61" s="1">
        <v>34639</v>
      </c>
      <c r="B61" s="1">
        <v>34639</v>
      </c>
      <c r="C61">
        <v>2111</v>
      </c>
      <c r="D61">
        <v>1820</v>
      </c>
      <c r="E61">
        <v>1791</v>
      </c>
      <c r="F61">
        <v>3300</v>
      </c>
      <c r="G61">
        <v>1858</v>
      </c>
      <c r="H61">
        <v>3274</v>
      </c>
      <c r="I61">
        <v>65716</v>
      </c>
      <c r="J61">
        <v>124516</v>
      </c>
      <c r="K61">
        <v>7375</v>
      </c>
      <c r="M61">
        <f t="shared" si="2"/>
        <v>131891</v>
      </c>
      <c r="P61">
        <f t="shared" si="3"/>
        <v>5.5917386326587867E-2</v>
      </c>
      <c r="Q61">
        <f t="shared" si="4"/>
        <v>0.49825992675770142</v>
      </c>
      <c r="R61" t="e">
        <f t="shared" si="5"/>
        <v>#N/A</v>
      </c>
      <c r="S61">
        <f t="shared" si="16"/>
        <v>0.27659853249475891</v>
      </c>
      <c r="T61">
        <f t="shared" si="17"/>
        <v>0.23846960167714884</v>
      </c>
      <c r="U61">
        <f t="shared" si="18"/>
        <v>1.4430514374113704E-2</v>
      </c>
      <c r="V61">
        <f t="shared" si="19"/>
        <v>2.6588887456490913E-2</v>
      </c>
      <c r="W61">
        <f t="shared" si="20"/>
        <v>2.8286088359772251E-2</v>
      </c>
      <c r="X61">
        <f t="shared" si="21"/>
        <v>4.9820439466796519E-2</v>
      </c>
      <c r="Y61" s="1">
        <f t="shared" si="7"/>
        <v>34639</v>
      </c>
      <c r="Z61">
        <f t="shared" si="34"/>
        <v>5.7565653552602312E-2</v>
      </c>
      <c r="AA61">
        <f t="shared" si="35"/>
        <v>0.49924485395584023</v>
      </c>
      <c r="AB61" t="e">
        <f t="shared" si="36"/>
        <v>#N/A</v>
      </c>
      <c r="AC61">
        <f t="shared" si="37"/>
        <v>0.2699715003255741</v>
      </c>
      <c r="AD61">
        <f t="shared" si="38"/>
        <v>0.22820761676271062</v>
      </c>
      <c r="AE61">
        <f t="shared" si="39"/>
        <v>1.3956881111240575E-2</v>
      </c>
      <c r="AF61">
        <f t="shared" si="40"/>
        <v>2.6202266626807146E-2</v>
      </c>
      <c r="AG61">
        <f t="shared" si="41"/>
        <v>2.9373558608595959E-2</v>
      </c>
      <c r="AH61">
        <f t="shared" si="42"/>
        <v>4.8015951505220845E-2</v>
      </c>
      <c r="AI61">
        <f t="shared" si="31"/>
        <v>124105</v>
      </c>
      <c r="AJ61">
        <f t="shared" si="32"/>
        <v>65743</v>
      </c>
      <c r="AK61">
        <f t="shared" si="33"/>
        <v>7580.333333333333</v>
      </c>
    </row>
    <row r="62" spans="1:37" x14ac:dyDescent="0.25">
      <c r="A62" s="1">
        <v>34669</v>
      </c>
      <c r="B62" s="1">
        <v>34669</v>
      </c>
      <c r="C62">
        <v>2235</v>
      </c>
      <c r="D62">
        <v>1708</v>
      </c>
      <c r="E62">
        <v>1867</v>
      </c>
      <c r="F62">
        <v>3532</v>
      </c>
      <c r="G62">
        <v>1907</v>
      </c>
      <c r="H62">
        <v>3262</v>
      </c>
      <c r="I62">
        <v>65814</v>
      </c>
      <c r="J62">
        <v>124721</v>
      </c>
      <c r="K62">
        <v>7230</v>
      </c>
      <c r="M62">
        <f t="shared" si="2"/>
        <v>131951</v>
      </c>
      <c r="P62">
        <f t="shared" si="3"/>
        <v>5.4793067123401866E-2</v>
      </c>
      <c r="Q62">
        <f t="shared" si="4"/>
        <v>0.49877606081045234</v>
      </c>
      <c r="R62" t="e">
        <f t="shared" si="5"/>
        <v>#N/A</v>
      </c>
      <c r="S62">
        <f t="shared" si="16"/>
        <v>0.30305084745762711</v>
      </c>
      <c r="T62">
        <f t="shared" si="17"/>
        <v>0.23159322033898305</v>
      </c>
      <c r="U62">
        <f t="shared" si="18"/>
        <v>1.4994056988660092E-2</v>
      </c>
      <c r="V62">
        <f t="shared" si="19"/>
        <v>2.836583250345337E-2</v>
      </c>
      <c r="W62">
        <f t="shared" si="20"/>
        <v>2.9018808205003348E-2</v>
      </c>
      <c r="X62">
        <f t="shared" si="21"/>
        <v>4.9563922569666026E-2</v>
      </c>
      <c r="Y62" s="1">
        <f t="shared" si="7"/>
        <v>34669</v>
      </c>
      <c r="Z62">
        <f t="shared" si="34"/>
        <v>5.621366179690776E-2</v>
      </c>
      <c r="AA62">
        <f t="shared" si="35"/>
        <v>0.49854138618881788</v>
      </c>
      <c r="AB62" t="e">
        <f t="shared" si="36"/>
        <v>#N/A</v>
      </c>
      <c r="AC62">
        <f t="shared" si="37"/>
        <v>0.27997622207360368</v>
      </c>
      <c r="AD62">
        <f t="shared" si="38"/>
        <v>0.23094844692150521</v>
      </c>
      <c r="AE62">
        <f t="shared" si="39"/>
        <v>1.4136319791482809E-2</v>
      </c>
      <c r="AF62">
        <f t="shared" si="40"/>
        <v>2.7020313230669963E-2</v>
      </c>
      <c r="AG62">
        <f t="shared" si="41"/>
        <v>2.9264635211334173E-2</v>
      </c>
      <c r="AH62">
        <f t="shared" si="42"/>
        <v>4.8986395907433748E-2</v>
      </c>
      <c r="AI62">
        <f t="shared" si="31"/>
        <v>124449.66666666667</v>
      </c>
      <c r="AJ62">
        <f t="shared" si="32"/>
        <v>65738.666666666672</v>
      </c>
      <c r="AK62">
        <f t="shared" si="33"/>
        <v>7412.333333333333</v>
      </c>
    </row>
    <row r="63" spans="1:37" x14ac:dyDescent="0.25">
      <c r="A63" s="1">
        <v>34700</v>
      </c>
      <c r="B63" s="1">
        <v>34700</v>
      </c>
      <c r="C63">
        <v>2062</v>
      </c>
      <c r="D63">
        <v>1678</v>
      </c>
      <c r="E63">
        <v>1969</v>
      </c>
      <c r="F63">
        <v>3317</v>
      </c>
      <c r="G63">
        <v>1892</v>
      </c>
      <c r="H63">
        <v>3214</v>
      </c>
      <c r="I63">
        <v>65715</v>
      </c>
      <c r="J63">
        <v>124663</v>
      </c>
      <c r="K63">
        <v>7375</v>
      </c>
      <c r="M63">
        <f t="shared" si="2"/>
        <v>132038</v>
      </c>
      <c r="P63">
        <f t="shared" si="3"/>
        <v>5.5855132613338583E-2</v>
      </c>
      <c r="Q63">
        <f t="shared" si="4"/>
        <v>0.49769763249973492</v>
      </c>
      <c r="R63" t="e">
        <f t="shared" si="5"/>
        <v>#N/A</v>
      </c>
      <c r="S63">
        <f t="shared" si="16"/>
        <v>0.28520055325034577</v>
      </c>
      <c r="T63">
        <f t="shared" si="17"/>
        <v>0.23208852005532504</v>
      </c>
      <c r="U63">
        <f t="shared" si="18"/>
        <v>1.5787237113236745E-2</v>
      </c>
      <c r="V63">
        <f t="shared" si="19"/>
        <v>2.6595360845406948E-2</v>
      </c>
      <c r="W63">
        <f t="shared" si="20"/>
        <v>2.8747682863828363E-2</v>
      </c>
      <c r="X63">
        <f t="shared" si="21"/>
        <v>4.89081640416952E-2</v>
      </c>
      <c r="Y63" s="1">
        <f t="shared" si="7"/>
        <v>34700</v>
      </c>
      <c r="Z63">
        <f t="shared" si="34"/>
        <v>5.5521862021109432E-2</v>
      </c>
      <c r="AA63">
        <f t="shared" si="35"/>
        <v>0.49824454002262958</v>
      </c>
      <c r="AB63" t="e">
        <f t="shared" si="36"/>
        <v>#N/A</v>
      </c>
      <c r="AC63">
        <f t="shared" si="37"/>
        <v>0.28828331106757726</v>
      </c>
      <c r="AD63">
        <f t="shared" si="38"/>
        <v>0.2340504473571523</v>
      </c>
      <c r="AE63">
        <f t="shared" si="39"/>
        <v>1.5070602825336848E-2</v>
      </c>
      <c r="AF63">
        <f t="shared" si="40"/>
        <v>2.7183360268450408E-2</v>
      </c>
      <c r="AG63">
        <f t="shared" si="41"/>
        <v>2.8684193142867988E-2</v>
      </c>
      <c r="AH63">
        <f t="shared" si="42"/>
        <v>4.9430842026052579E-2</v>
      </c>
      <c r="AI63">
        <f t="shared" si="31"/>
        <v>124633.33333333333</v>
      </c>
      <c r="AJ63">
        <f t="shared" si="32"/>
        <v>65748.333333333328</v>
      </c>
      <c r="AK63">
        <f t="shared" si="33"/>
        <v>7326.666666666667</v>
      </c>
    </row>
    <row r="64" spans="1:37" x14ac:dyDescent="0.25">
      <c r="A64" s="1">
        <v>34731</v>
      </c>
      <c r="B64" s="1">
        <v>34731</v>
      </c>
      <c r="C64">
        <v>2085</v>
      </c>
      <c r="D64">
        <v>1686</v>
      </c>
      <c r="E64">
        <v>1700</v>
      </c>
      <c r="F64">
        <v>3093</v>
      </c>
      <c r="G64">
        <v>1851</v>
      </c>
      <c r="H64">
        <v>2919</v>
      </c>
      <c r="I64">
        <v>65771</v>
      </c>
      <c r="J64">
        <v>124928</v>
      </c>
      <c r="K64">
        <v>7187</v>
      </c>
      <c r="M64">
        <f t="shared" si="2"/>
        <v>132115</v>
      </c>
      <c r="P64">
        <f t="shared" si="3"/>
        <v>5.4399576126859174E-2</v>
      </c>
      <c r="Q64">
        <f t="shared" si="4"/>
        <v>0.49783143473489005</v>
      </c>
      <c r="R64" t="e">
        <f t="shared" si="5"/>
        <v>#N/A</v>
      </c>
      <c r="S64">
        <f t="shared" si="16"/>
        <v>0.28271186440677964</v>
      </c>
      <c r="T64">
        <f t="shared" si="17"/>
        <v>0.22861016949152543</v>
      </c>
      <c r="U64">
        <f t="shared" si="18"/>
        <v>1.3636764717678862E-2</v>
      </c>
      <c r="V64">
        <f t="shared" si="19"/>
        <v>2.4810890159871011E-2</v>
      </c>
      <c r="W64">
        <f t="shared" si="20"/>
        <v>2.8167085140378908E-2</v>
      </c>
      <c r="X64">
        <f t="shared" si="21"/>
        <v>4.4381262258442168E-2</v>
      </c>
      <c r="Y64" s="1">
        <f t="shared" si="7"/>
        <v>34731</v>
      </c>
      <c r="Z64">
        <f t="shared" si="34"/>
        <v>5.5015925287866536E-2</v>
      </c>
      <c r="AA64">
        <f t="shared" si="35"/>
        <v>0.49810170934835907</v>
      </c>
      <c r="AB64" t="e">
        <f t="shared" si="36"/>
        <v>#N/A</v>
      </c>
      <c r="AC64">
        <f t="shared" si="37"/>
        <v>0.29032108837158416</v>
      </c>
      <c r="AD64">
        <f t="shared" si="38"/>
        <v>0.23076396996194451</v>
      </c>
      <c r="AE64">
        <f t="shared" si="39"/>
        <v>1.4806019606525235E-2</v>
      </c>
      <c r="AF64">
        <f t="shared" si="40"/>
        <v>2.6590694502910444E-2</v>
      </c>
      <c r="AG64">
        <f t="shared" si="41"/>
        <v>2.8644525403070206E-2</v>
      </c>
      <c r="AH64">
        <f t="shared" si="42"/>
        <v>4.7617782956601129E-2</v>
      </c>
      <c r="AI64">
        <f t="shared" si="31"/>
        <v>124770.66666666667</v>
      </c>
      <c r="AJ64">
        <f t="shared" si="32"/>
        <v>65766.666666666672</v>
      </c>
      <c r="AK64">
        <f t="shared" si="33"/>
        <v>7264</v>
      </c>
    </row>
    <row r="65" spans="1:37" x14ac:dyDescent="0.25">
      <c r="A65" s="1">
        <v>34759</v>
      </c>
      <c r="B65" s="1">
        <v>34759</v>
      </c>
      <c r="C65">
        <v>2044</v>
      </c>
      <c r="D65">
        <v>1576</v>
      </c>
      <c r="E65">
        <v>1829</v>
      </c>
      <c r="F65">
        <v>3303</v>
      </c>
      <c r="G65">
        <v>1731</v>
      </c>
      <c r="H65">
        <v>3043</v>
      </c>
      <c r="I65">
        <v>65899</v>
      </c>
      <c r="J65">
        <v>124955</v>
      </c>
      <c r="K65">
        <v>7153</v>
      </c>
      <c r="M65">
        <f t="shared" si="2"/>
        <v>132108</v>
      </c>
      <c r="P65">
        <f t="shared" si="3"/>
        <v>5.4145093408423411E-2</v>
      </c>
      <c r="Q65">
        <f t="shared" si="4"/>
        <v>0.49882671753413871</v>
      </c>
      <c r="R65" t="e">
        <f t="shared" si="5"/>
        <v>#N/A</v>
      </c>
      <c r="S65">
        <f t="shared" si="16"/>
        <v>0.28440239320996241</v>
      </c>
      <c r="T65">
        <f t="shared" si="17"/>
        <v>0.21928481981355225</v>
      </c>
      <c r="U65">
        <f t="shared" si="18"/>
        <v>1.4640432889344262E-2</v>
      </c>
      <c r="V65">
        <f t="shared" si="19"/>
        <v>2.6439228995901641E-2</v>
      </c>
      <c r="W65">
        <f t="shared" si="20"/>
        <v>2.6318590260145047E-2</v>
      </c>
      <c r="X65">
        <f t="shared" si="21"/>
        <v>4.6176724988239576E-2</v>
      </c>
      <c r="Y65" s="1">
        <f t="shared" si="7"/>
        <v>34759</v>
      </c>
      <c r="Z65">
        <f t="shared" si="34"/>
        <v>5.4799934049540387E-2</v>
      </c>
      <c r="AA65">
        <f t="shared" si="35"/>
        <v>0.49811859492292121</v>
      </c>
      <c r="AB65" t="e">
        <f t="shared" si="36"/>
        <v>#N/A</v>
      </c>
      <c r="AC65">
        <f t="shared" si="37"/>
        <v>0.28410493695569594</v>
      </c>
      <c r="AD65">
        <f t="shared" si="38"/>
        <v>0.22666116978680093</v>
      </c>
      <c r="AE65">
        <f t="shared" si="39"/>
        <v>1.4688144906753289E-2</v>
      </c>
      <c r="AF65">
        <f t="shared" si="40"/>
        <v>2.5948493333726536E-2</v>
      </c>
      <c r="AG65">
        <f t="shared" si="41"/>
        <v>2.774445275478411E-2</v>
      </c>
      <c r="AH65">
        <f t="shared" si="42"/>
        <v>4.6488717096125648E-2</v>
      </c>
      <c r="AI65">
        <f t="shared" si="31"/>
        <v>124848.66666666667</v>
      </c>
      <c r="AJ65">
        <f t="shared" si="32"/>
        <v>65795</v>
      </c>
      <c r="AK65">
        <f t="shared" si="33"/>
        <v>7238.333333333333</v>
      </c>
    </row>
    <row r="66" spans="1:37" x14ac:dyDescent="0.25">
      <c r="A66" s="1">
        <v>34790</v>
      </c>
      <c r="B66" s="1">
        <v>34790</v>
      </c>
      <c r="C66">
        <v>2009</v>
      </c>
      <c r="D66">
        <v>1534</v>
      </c>
      <c r="E66">
        <v>1873</v>
      </c>
      <c r="F66">
        <v>3392</v>
      </c>
      <c r="G66">
        <v>2144</v>
      </c>
      <c r="H66">
        <v>3150</v>
      </c>
      <c r="I66">
        <v>65558</v>
      </c>
      <c r="J66">
        <v>124945</v>
      </c>
      <c r="K66">
        <v>7645</v>
      </c>
      <c r="M66">
        <f t="shared" si="2"/>
        <v>132590</v>
      </c>
      <c r="P66">
        <f t="shared" si="3"/>
        <v>5.7658948638660536E-2</v>
      </c>
      <c r="Q66">
        <f t="shared" si="4"/>
        <v>0.49444151142620107</v>
      </c>
      <c r="R66" t="e">
        <f t="shared" si="5"/>
        <v>#N/A</v>
      </c>
      <c r="S66">
        <f t="shared" si="16"/>
        <v>0.28086117712847758</v>
      </c>
      <c r="T66">
        <f t="shared" si="17"/>
        <v>0.21445547322801622</v>
      </c>
      <c r="U66">
        <f t="shared" si="18"/>
        <v>1.4989396182625745E-2</v>
      </c>
      <c r="V66">
        <f t="shared" si="19"/>
        <v>2.7145772478092113E-2</v>
      </c>
      <c r="W66">
        <f t="shared" si="20"/>
        <v>3.2534636337425454E-2</v>
      </c>
      <c r="X66">
        <f t="shared" si="21"/>
        <v>4.8049055797919397E-2</v>
      </c>
      <c r="Y66" s="1">
        <f t="shared" si="7"/>
        <v>34790</v>
      </c>
      <c r="Z66">
        <f t="shared" si="34"/>
        <v>5.5401206057981038E-2</v>
      </c>
      <c r="AA66">
        <f t="shared" si="35"/>
        <v>0.49703322123174326</v>
      </c>
      <c r="AB66" t="e">
        <f t="shared" si="36"/>
        <v>#N/A</v>
      </c>
      <c r="AC66">
        <f t="shared" si="37"/>
        <v>0.28265847824840656</v>
      </c>
      <c r="AD66">
        <f t="shared" si="38"/>
        <v>0.22078348751103127</v>
      </c>
      <c r="AE66">
        <f t="shared" si="39"/>
        <v>1.4422197929882955E-2</v>
      </c>
      <c r="AF66">
        <f t="shared" si="40"/>
        <v>2.6131963877954922E-2</v>
      </c>
      <c r="AG66">
        <f t="shared" si="41"/>
        <v>2.9006770579316471E-2</v>
      </c>
      <c r="AH66">
        <f t="shared" si="42"/>
        <v>4.6202347681533716E-2</v>
      </c>
      <c r="AI66">
        <f t="shared" si="31"/>
        <v>124942.66666666667</v>
      </c>
      <c r="AJ66">
        <f t="shared" si="32"/>
        <v>65742.666666666672</v>
      </c>
      <c r="AK66">
        <f t="shared" si="33"/>
        <v>7328.333333333333</v>
      </c>
    </row>
    <row r="67" spans="1:37" x14ac:dyDescent="0.25">
      <c r="A67" s="1">
        <v>34820</v>
      </c>
      <c r="B67" s="1">
        <v>34820</v>
      </c>
      <c r="C67">
        <v>2035</v>
      </c>
      <c r="D67">
        <v>1834</v>
      </c>
      <c r="E67">
        <v>1784</v>
      </c>
      <c r="F67">
        <v>3545</v>
      </c>
      <c r="G67">
        <v>1849</v>
      </c>
      <c r="H67">
        <v>2675</v>
      </c>
      <c r="I67">
        <v>66435</v>
      </c>
      <c r="J67">
        <v>124421</v>
      </c>
      <c r="K67">
        <v>7430</v>
      </c>
      <c r="M67">
        <f t="shared" si="2"/>
        <v>131851</v>
      </c>
      <c r="P67">
        <f t="shared" si="3"/>
        <v>5.6351487664105693E-2</v>
      </c>
      <c r="Q67">
        <f t="shared" si="4"/>
        <v>0.50386421035866247</v>
      </c>
      <c r="R67" t="e">
        <f t="shared" si="5"/>
        <v>#N/A</v>
      </c>
      <c r="S67">
        <f t="shared" si="16"/>
        <v>0.26618705035971224</v>
      </c>
      <c r="T67">
        <f t="shared" si="17"/>
        <v>0.23989535644211904</v>
      </c>
      <c r="U67">
        <f t="shared" si="18"/>
        <v>1.4278282444275481E-2</v>
      </c>
      <c r="V67">
        <f t="shared" si="19"/>
        <v>2.8372483892912883E-2</v>
      </c>
      <c r="W67">
        <f t="shared" si="20"/>
        <v>2.8204033069953324E-2</v>
      </c>
      <c r="X67">
        <f t="shared" si="21"/>
        <v>4.0264920599081808E-2</v>
      </c>
      <c r="Y67" s="1">
        <f t="shared" si="7"/>
        <v>34820</v>
      </c>
      <c r="Z67">
        <f t="shared" si="34"/>
        <v>5.6051843237063213E-2</v>
      </c>
      <c r="AA67">
        <f t="shared" si="35"/>
        <v>0.49904414643966738</v>
      </c>
      <c r="AB67" t="e">
        <f t="shared" si="36"/>
        <v>#N/A</v>
      </c>
      <c r="AC67">
        <f t="shared" si="37"/>
        <v>0.27715020689938408</v>
      </c>
      <c r="AD67">
        <f t="shared" si="38"/>
        <v>0.22454521649456249</v>
      </c>
      <c r="AE67">
        <f t="shared" si="39"/>
        <v>1.4636037172081831E-2</v>
      </c>
      <c r="AF67">
        <f t="shared" si="40"/>
        <v>2.7319161788968881E-2</v>
      </c>
      <c r="AG67">
        <f t="shared" si="41"/>
        <v>2.9019086555841275E-2</v>
      </c>
      <c r="AH67">
        <f t="shared" si="42"/>
        <v>4.4830233795080256E-2</v>
      </c>
      <c r="AI67">
        <f t="shared" si="31"/>
        <v>124773.66666666667</v>
      </c>
      <c r="AJ67">
        <f t="shared" si="32"/>
        <v>65964</v>
      </c>
      <c r="AK67">
        <f t="shared" si="33"/>
        <v>7409.333333333333</v>
      </c>
    </row>
    <row r="68" spans="1:37" x14ac:dyDescent="0.25">
      <c r="A68" s="1">
        <v>34851</v>
      </c>
      <c r="B68" s="1">
        <v>34851</v>
      </c>
      <c r="C68">
        <v>2075</v>
      </c>
      <c r="D68">
        <v>1695</v>
      </c>
      <c r="E68">
        <v>1871</v>
      </c>
      <c r="F68">
        <v>3424</v>
      </c>
      <c r="G68">
        <v>1864</v>
      </c>
      <c r="H68">
        <v>3215</v>
      </c>
      <c r="I68">
        <v>66504</v>
      </c>
      <c r="J68">
        <v>124522</v>
      </c>
      <c r="K68">
        <v>7427</v>
      </c>
      <c r="M68">
        <f t="shared" ref="M68:M131" si="43">J68+K68</f>
        <v>131949</v>
      </c>
      <c r="P68">
        <f t="shared" ref="P68:P131" si="44">K68/M68</f>
        <v>5.6286898726022931E-2</v>
      </c>
      <c r="Q68">
        <f t="shared" ref="Q68:Q131" si="45">I68/M68</f>
        <v>0.50401291408044013</v>
      </c>
      <c r="R68" t="e">
        <f t="shared" ref="R68:R131" si="46">IF(ISNUMBER(L68),L68/M68,NA())</f>
        <v>#N/A</v>
      </c>
      <c r="S68">
        <f t="shared" si="16"/>
        <v>0.27927321668909827</v>
      </c>
      <c r="T68">
        <f t="shared" si="17"/>
        <v>0.22812920592193808</v>
      </c>
      <c r="U68">
        <f t="shared" si="18"/>
        <v>1.5037654415251445E-2</v>
      </c>
      <c r="V68">
        <f t="shared" si="19"/>
        <v>2.7519470185901094E-2</v>
      </c>
      <c r="W68">
        <f t="shared" si="20"/>
        <v>2.8057499811846166E-2</v>
      </c>
      <c r="X68">
        <f t="shared" si="21"/>
        <v>4.8342956814627691E-2</v>
      </c>
      <c r="Y68" s="1">
        <f t="shared" ref="Y68:Y131" si="47">B68</f>
        <v>34851</v>
      </c>
      <c r="Z68">
        <f t="shared" si="34"/>
        <v>5.6765778342929722E-2</v>
      </c>
      <c r="AA68">
        <f t="shared" si="35"/>
        <v>0.50077287862176789</v>
      </c>
      <c r="AB68" t="e">
        <f t="shared" si="36"/>
        <v>#N/A</v>
      </c>
      <c r="AC68">
        <f t="shared" si="37"/>
        <v>0.27544048139242938</v>
      </c>
      <c r="AD68">
        <f t="shared" si="38"/>
        <v>0.22749334519735778</v>
      </c>
      <c r="AE68">
        <f t="shared" si="39"/>
        <v>1.4768444347384224E-2</v>
      </c>
      <c r="AF68">
        <f t="shared" si="40"/>
        <v>2.7679242185635361E-2</v>
      </c>
      <c r="AG68">
        <f t="shared" si="41"/>
        <v>2.9598723073074984E-2</v>
      </c>
      <c r="AH68">
        <f t="shared" si="42"/>
        <v>4.5552311070542965E-2</v>
      </c>
      <c r="AI68">
        <f t="shared" si="31"/>
        <v>124629.33333333333</v>
      </c>
      <c r="AJ68">
        <f t="shared" si="32"/>
        <v>66165.666666666672</v>
      </c>
      <c r="AK68">
        <f t="shared" si="33"/>
        <v>7500.666666666667</v>
      </c>
    </row>
    <row r="69" spans="1:37" x14ac:dyDescent="0.25">
      <c r="A69" s="1">
        <v>34881</v>
      </c>
      <c r="B69" s="1">
        <v>34881</v>
      </c>
      <c r="C69">
        <v>2060</v>
      </c>
      <c r="D69">
        <v>1661</v>
      </c>
      <c r="E69">
        <v>1820</v>
      </c>
      <c r="F69">
        <v>3252</v>
      </c>
      <c r="G69">
        <v>1976</v>
      </c>
      <c r="H69">
        <v>3211</v>
      </c>
      <c r="I69">
        <v>66272</v>
      </c>
      <c r="J69">
        <v>124816</v>
      </c>
      <c r="K69">
        <v>7527</v>
      </c>
      <c r="M69">
        <f t="shared" si="43"/>
        <v>132343</v>
      </c>
      <c r="P69">
        <f t="shared" si="44"/>
        <v>5.6874938606499774E-2</v>
      </c>
      <c r="Q69">
        <f t="shared" si="45"/>
        <v>0.50075939037198791</v>
      </c>
      <c r="R69" t="e">
        <f t="shared" si="46"/>
        <v>#N/A</v>
      </c>
      <c r="S69">
        <f t="shared" ref="S69:S132" si="48">IF(ISNUMBER(C69),C69/$K68,NA())</f>
        <v>0.2773663659620304</v>
      </c>
      <c r="T69">
        <f t="shared" ref="T69:T132" si="49">IF(ISNUMBER(D69),D69/$K68,NA())</f>
        <v>0.22364346304025851</v>
      </c>
      <c r="U69">
        <f t="shared" ref="U69:U132" si="50">IF(ISNUMBER(E69),E69/$J68,NA())</f>
        <v>1.4615891167825766E-2</v>
      </c>
      <c r="V69">
        <f t="shared" ref="V69:V132" si="51">IF(ISNUMBER(F69),F69/$J68,NA())</f>
        <v>2.6115867075697467E-2</v>
      </c>
      <c r="W69">
        <f t="shared" ref="W69:W132" si="52">IF(ISNUMBER(G69),G69/$I68,NA())</f>
        <v>2.9712498496331046E-2</v>
      </c>
      <c r="X69">
        <f t="shared" ref="X69:X132" si="53">IF(ISNUMBER(H69),H69/$I69,NA())</f>
        <v>4.8451834862385322E-2</v>
      </c>
      <c r="Y69" s="1">
        <f t="shared" si="47"/>
        <v>34881</v>
      </c>
      <c r="Z69">
        <f t="shared" si="34"/>
        <v>5.6504441665542804E-2</v>
      </c>
      <c r="AA69">
        <f t="shared" si="35"/>
        <v>0.50287883827036362</v>
      </c>
      <c r="AB69" t="e">
        <f t="shared" si="36"/>
        <v>#N/A</v>
      </c>
      <c r="AC69">
        <f t="shared" si="37"/>
        <v>0.27427554433694695</v>
      </c>
      <c r="AD69">
        <f t="shared" si="38"/>
        <v>0.2305560084681052</v>
      </c>
      <c r="AE69">
        <f t="shared" si="39"/>
        <v>1.4643942675784232E-2</v>
      </c>
      <c r="AF69">
        <f t="shared" si="40"/>
        <v>2.7335940384837148E-2</v>
      </c>
      <c r="AG69">
        <f t="shared" si="41"/>
        <v>2.8658010459376843E-2</v>
      </c>
      <c r="AH69">
        <f t="shared" si="42"/>
        <v>4.5686570758698274E-2</v>
      </c>
      <c r="AI69">
        <f t="shared" si="31"/>
        <v>124586.33333333333</v>
      </c>
      <c r="AJ69">
        <f t="shared" si="32"/>
        <v>66403.666666666672</v>
      </c>
      <c r="AK69">
        <f t="shared" si="33"/>
        <v>7461.333333333333</v>
      </c>
    </row>
    <row r="70" spans="1:37" x14ac:dyDescent="0.25">
      <c r="A70" s="1">
        <v>34912</v>
      </c>
      <c r="B70" s="1">
        <v>34912</v>
      </c>
      <c r="C70">
        <v>2182</v>
      </c>
      <c r="D70">
        <v>1693</v>
      </c>
      <c r="E70">
        <v>1910</v>
      </c>
      <c r="F70">
        <v>3396</v>
      </c>
      <c r="G70">
        <v>1898</v>
      </c>
      <c r="H70">
        <v>3039</v>
      </c>
      <c r="I70">
        <v>66465</v>
      </c>
      <c r="J70">
        <v>124852</v>
      </c>
      <c r="K70">
        <v>7484</v>
      </c>
      <c r="M70">
        <f t="shared" si="43"/>
        <v>132336</v>
      </c>
      <c r="P70">
        <f t="shared" si="44"/>
        <v>5.6553016563897954E-2</v>
      </c>
      <c r="Q70">
        <f t="shared" si="45"/>
        <v>0.50224428726877035</v>
      </c>
      <c r="R70" t="e">
        <f t="shared" si="46"/>
        <v>#N/A</v>
      </c>
      <c r="S70">
        <f t="shared" si="48"/>
        <v>0.28988973030423809</v>
      </c>
      <c r="T70">
        <f t="shared" si="49"/>
        <v>0.22492360834329747</v>
      </c>
      <c r="U70">
        <f t="shared" si="50"/>
        <v>1.5302525317267017E-2</v>
      </c>
      <c r="V70">
        <f t="shared" si="51"/>
        <v>2.7208050249967954E-2</v>
      </c>
      <c r="W70">
        <f t="shared" si="52"/>
        <v>2.8639546112988894E-2</v>
      </c>
      <c r="X70">
        <f t="shared" si="53"/>
        <v>4.572331302189122E-2</v>
      </c>
      <c r="Y70" s="1">
        <f t="shared" si="47"/>
        <v>34912</v>
      </c>
      <c r="Z70">
        <f t="shared" si="34"/>
        <v>5.6571617965473553E-2</v>
      </c>
      <c r="AA70">
        <f t="shared" si="35"/>
        <v>0.50233886390706617</v>
      </c>
      <c r="AB70" t="e">
        <f t="shared" si="36"/>
        <v>#N/A</v>
      </c>
      <c r="AC70">
        <f t="shared" si="37"/>
        <v>0.28217643765178896</v>
      </c>
      <c r="AD70">
        <f t="shared" si="38"/>
        <v>0.22556542576849803</v>
      </c>
      <c r="AE70">
        <f t="shared" si="39"/>
        <v>1.498535696678141E-2</v>
      </c>
      <c r="AF70">
        <f t="shared" si="40"/>
        <v>2.6947795837188839E-2</v>
      </c>
      <c r="AG70">
        <f t="shared" si="41"/>
        <v>2.8803181473722034E-2</v>
      </c>
      <c r="AH70">
        <f t="shared" si="42"/>
        <v>4.7506034899634751E-2</v>
      </c>
      <c r="AI70">
        <f t="shared" si="31"/>
        <v>124730</v>
      </c>
      <c r="AJ70">
        <f t="shared" si="32"/>
        <v>66413.666666666672</v>
      </c>
      <c r="AK70">
        <f t="shared" si="33"/>
        <v>7479.333333333333</v>
      </c>
    </row>
    <row r="71" spans="1:37" x14ac:dyDescent="0.25">
      <c r="A71" s="1">
        <v>34943</v>
      </c>
      <c r="B71" s="1">
        <v>34943</v>
      </c>
      <c r="C71">
        <v>2062</v>
      </c>
      <c r="D71">
        <v>1785</v>
      </c>
      <c r="E71">
        <v>1895</v>
      </c>
      <c r="F71">
        <v>3292</v>
      </c>
      <c r="G71">
        <v>1923</v>
      </c>
      <c r="H71">
        <v>3297</v>
      </c>
      <c r="I71">
        <v>66394</v>
      </c>
      <c r="J71">
        <v>125133</v>
      </c>
      <c r="K71">
        <v>7478</v>
      </c>
      <c r="M71">
        <f t="shared" si="43"/>
        <v>132611</v>
      </c>
      <c r="P71">
        <f t="shared" si="44"/>
        <v>5.6390495509422295E-2</v>
      </c>
      <c r="Q71">
        <f t="shared" si="45"/>
        <v>0.50066736545233803</v>
      </c>
      <c r="R71" t="e">
        <f t="shared" si="46"/>
        <v>#N/A</v>
      </c>
      <c r="S71">
        <f t="shared" si="48"/>
        <v>0.27552111170497062</v>
      </c>
      <c r="T71">
        <f t="shared" si="49"/>
        <v>0.23850881881346872</v>
      </c>
      <c r="U71">
        <f t="shared" si="50"/>
        <v>1.5177970717329318E-2</v>
      </c>
      <c r="V71">
        <f t="shared" si="51"/>
        <v>2.6367218787043858E-2</v>
      </c>
      <c r="W71">
        <f t="shared" si="52"/>
        <v>2.8932520875648838E-2</v>
      </c>
      <c r="X71">
        <f t="shared" si="53"/>
        <v>4.9658101635689969E-2</v>
      </c>
      <c r="Y71" s="1">
        <f t="shared" si="47"/>
        <v>34943</v>
      </c>
      <c r="Z71">
        <f t="shared" si="34"/>
        <v>5.6606150226606672E-2</v>
      </c>
      <c r="AA71">
        <f t="shared" si="35"/>
        <v>0.5012236810310321</v>
      </c>
      <c r="AB71" t="e">
        <f t="shared" si="36"/>
        <v>#N/A</v>
      </c>
      <c r="AC71">
        <f t="shared" si="37"/>
        <v>0.28092573599041304</v>
      </c>
      <c r="AD71">
        <f t="shared" si="38"/>
        <v>0.22902529673234159</v>
      </c>
      <c r="AE71">
        <f t="shared" si="39"/>
        <v>1.5032129067474033E-2</v>
      </c>
      <c r="AF71">
        <f t="shared" si="40"/>
        <v>2.656371203756976E-2</v>
      </c>
      <c r="AG71">
        <f t="shared" si="41"/>
        <v>2.9094855161656261E-2</v>
      </c>
      <c r="AH71">
        <f t="shared" si="42"/>
        <v>4.7944416506655506E-2</v>
      </c>
      <c r="AI71">
        <f t="shared" ref="AI71:AI134" si="54">AVERAGE(J69:J71)</f>
        <v>124933.66666666667</v>
      </c>
      <c r="AJ71">
        <f t="shared" ref="AJ71:AJ134" si="55">AVERAGE(I69:I71)</f>
        <v>66377</v>
      </c>
      <c r="AK71">
        <f t="shared" ref="AK71:AK134" si="56">AVERAGE(K69:K71)</f>
        <v>7496.333333333333</v>
      </c>
    </row>
    <row r="72" spans="1:37" x14ac:dyDescent="0.25">
      <c r="A72" s="1">
        <v>34973</v>
      </c>
      <c r="B72" s="1">
        <v>34973</v>
      </c>
      <c r="C72">
        <v>2158</v>
      </c>
      <c r="D72">
        <v>1811</v>
      </c>
      <c r="E72">
        <v>1857</v>
      </c>
      <c r="F72">
        <v>3376</v>
      </c>
      <c r="G72">
        <v>1907</v>
      </c>
      <c r="H72">
        <v>3215</v>
      </c>
      <c r="I72">
        <v>66476</v>
      </c>
      <c r="J72">
        <v>125388</v>
      </c>
      <c r="K72">
        <v>7328</v>
      </c>
      <c r="M72">
        <f t="shared" si="43"/>
        <v>132716</v>
      </c>
      <c r="P72">
        <f t="shared" si="44"/>
        <v>5.5215648452334308E-2</v>
      </c>
      <c r="Q72">
        <f t="shared" si="45"/>
        <v>0.50088911660990387</v>
      </c>
      <c r="R72" t="e">
        <f t="shared" si="46"/>
        <v>#N/A</v>
      </c>
      <c r="S72">
        <f t="shared" si="48"/>
        <v>0.28857983418026212</v>
      </c>
      <c r="T72">
        <f t="shared" si="49"/>
        <v>0.24217705268788445</v>
      </c>
      <c r="U72">
        <f t="shared" si="50"/>
        <v>1.4840210016542399E-2</v>
      </c>
      <c r="V72">
        <f t="shared" si="51"/>
        <v>2.6979294031150857E-2</v>
      </c>
      <c r="W72">
        <f t="shared" si="52"/>
        <v>2.872247492243275E-2</v>
      </c>
      <c r="X72">
        <f t="shared" si="53"/>
        <v>4.8363319092604849E-2</v>
      </c>
      <c r="Y72" s="1">
        <f t="shared" si="47"/>
        <v>34973</v>
      </c>
      <c r="Z72">
        <f t="shared" si="34"/>
        <v>5.6053053508551519E-2</v>
      </c>
      <c r="AA72">
        <f t="shared" si="35"/>
        <v>0.50126692311033738</v>
      </c>
      <c r="AB72" t="e">
        <f t="shared" si="36"/>
        <v>#N/A</v>
      </c>
      <c r="AC72">
        <f t="shared" si="37"/>
        <v>0.28466355872982363</v>
      </c>
      <c r="AD72">
        <f t="shared" si="38"/>
        <v>0.23520315994821686</v>
      </c>
      <c r="AE72">
        <f t="shared" si="39"/>
        <v>1.5106902017046245E-2</v>
      </c>
      <c r="AF72">
        <f t="shared" si="40"/>
        <v>2.6851521022720887E-2</v>
      </c>
      <c r="AG72">
        <f t="shared" si="41"/>
        <v>2.8764847303690163E-2</v>
      </c>
      <c r="AH72">
        <f t="shared" si="42"/>
        <v>4.791491125006201E-2</v>
      </c>
      <c r="AI72">
        <f t="shared" si="54"/>
        <v>125124.33333333333</v>
      </c>
      <c r="AJ72">
        <f t="shared" si="55"/>
        <v>66445</v>
      </c>
      <c r="AK72">
        <f t="shared" si="56"/>
        <v>7430</v>
      </c>
    </row>
    <row r="73" spans="1:37" x14ac:dyDescent="0.25">
      <c r="A73" s="1">
        <v>35004</v>
      </c>
      <c r="B73" s="1">
        <v>35004</v>
      </c>
      <c r="C73">
        <v>1969</v>
      </c>
      <c r="D73">
        <v>1694</v>
      </c>
      <c r="E73">
        <v>1798</v>
      </c>
      <c r="F73">
        <v>3452</v>
      </c>
      <c r="G73">
        <v>1940</v>
      </c>
      <c r="H73">
        <v>3012</v>
      </c>
      <c r="I73">
        <v>66741</v>
      </c>
      <c r="J73">
        <v>125188</v>
      </c>
      <c r="K73">
        <v>7426</v>
      </c>
      <c r="M73">
        <f t="shared" si="43"/>
        <v>132614</v>
      </c>
      <c r="P73">
        <f t="shared" si="44"/>
        <v>5.5997104378119958E-2</v>
      </c>
      <c r="Q73">
        <f t="shared" si="45"/>
        <v>0.50327265597900672</v>
      </c>
      <c r="R73" t="e">
        <f t="shared" si="46"/>
        <v>#N/A</v>
      </c>
      <c r="S73">
        <f t="shared" si="48"/>
        <v>0.26869541484716158</v>
      </c>
      <c r="T73">
        <f t="shared" si="49"/>
        <v>0.23116812227074235</v>
      </c>
      <c r="U73">
        <f t="shared" si="50"/>
        <v>1.4339490222349826E-2</v>
      </c>
      <c r="V73">
        <f t="shared" si="51"/>
        <v>2.7530545187737263E-2</v>
      </c>
      <c r="W73">
        <f t="shared" si="52"/>
        <v>2.9183464709067936E-2</v>
      </c>
      <c r="X73">
        <f t="shared" si="53"/>
        <v>4.512968040634692E-2</v>
      </c>
      <c r="Y73" s="1">
        <f t="shared" si="47"/>
        <v>35004</v>
      </c>
      <c r="Z73">
        <f t="shared" si="34"/>
        <v>5.5867749446625516E-2</v>
      </c>
      <c r="AA73">
        <f t="shared" si="35"/>
        <v>0.50160971268041621</v>
      </c>
      <c r="AB73" t="e">
        <f t="shared" si="36"/>
        <v>#N/A</v>
      </c>
      <c r="AC73">
        <f t="shared" si="37"/>
        <v>0.27759878691079809</v>
      </c>
      <c r="AD73">
        <f t="shared" si="38"/>
        <v>0.23728466459069852</v>
      </c>
      <c r="AE73">
        <f t="shared" si="39"/>
        <v>1.4785890318740516E-2</v>
      </c>
      <c r="AF73">
        <f t="shared" si="40"/>
        <v>2.6959019335310658E-2</v>
      </c>
      <c r="AG73">
        <f t="shared" si="41"/>
        <v>2.8946153502383175E-2</v>
      </c>
      <c r="AH73">
        <f t="shared" si="42"/>
        <v>4.7717033711547251E-2</v>
      </c>
      <c r="AI73">
        <f t="shared" si="54"/>
        <v>125236.33333333333</v>
      </c>
      <c r="AJ73">
        <f t="shared" si="55"/>
        <v>66537</v>
      </c>
      <c r="AK73">
        <f t="shared" si="56"/>
        <v>7410.666666666667</v>
      </c>
    </row>
    <row r="74" spans="1:37" x14ac:dyDescent="0.25">
      <c r="A74" s="1">
        <v>35034</v>
      </c>
      <c r="B74" s="1">
        <v>35034</v>
      </c>
      <c r="C74">
        <v>1899</v>
      </c>
      <c r="D74">
        <v>1718</v>
      </c>
      <c r="E74">
        <v>1657</v>
      </c>
      <c r="F74">
        <v>3243</v>
      </c>
      <c r="G74">
        <v>1947</v>
      </c>
      <c r="H74">
        <v>2777</v>
      </c>
      <c r="I74">
        <v>66997</v>
      </c>
      <c r="J74">
        <v>125088</v>
      </c>
      <c r="K74">
        <v>7423</v>
      </c>
      <c r="M74">
        <f t="shared" si="43"/>
        <v>132511</v>
      </c>
      <c r="P74">
        <f t="shared" si="44"/>
        <v>5.6017990959241121E-2</v>
      </c>
      <c r="Q74">
        <f t="shared" si="45"/>
        <v>0.50559576186127941</v>
      </c>
      <c r="R74" t="e">
        <f t="shared" si="46"/>
        <v>#N/A</v>
      </c>
      <c r="S74">
        <f t="shared" si="48"/>
        <v>0.25572313493132237</v>
      </c>
      <c r="T74">
        <f t="shared" si="49"/>
        <v>0.23134931322380825</v>
      </c>
      <c r="U74">
        <f t="shared" si="50"/>
        <v>1.3236092916253954E-2</v>
      </c>
      <c r="V74">
        <f t="shared" si="51"/>
        <v>2.5905038821612294E-2</v>
      </c>
      <c r="W74">
        <f t="shared" si="52"/>
        <v>2.9172472692947364E-2</v>
      </c>
      <c r="X74">
        <f t="shared" si="53"/>
        <v>4.1449617147036433E-2</v>
      </c>
      <c r="Y74" s="1">
        <f t="shared" si="47"/>
        <v>35034</v>
      </c>
      <c r="Z74">
        <f t="shared" si="34"/>
        <v>5.5743581263231791E-2</v>
      </c>
      <c r="AA74">
        <f t="shared" si="35"/>
        <v>0.50325251148339667</v>
      </c>
      <c r="AB74" t="e">
        <f t="shared" si="36"/>
        <v>#N/A</v>
      </c>
      <c r="AC74">
        <f t="shared" si="37"/>
        <v>0.27099946131958202</v>
      </c>
      <c r="AD74">
        <f t="shared" si="38"/>
        <v>0.23489816272747835</v>
      </c>
      <c r="AE74">
        <f t="shared" si="39"/>
        <v>1.413859771838206E-2</v>
      </c>
      <c r="AF74">
        <f t="shared" si="40"/>
        <v>2.6804959346833471E-2</v>
      </c>
      <c r="AG74">
        <f t="shared" si="41"/>
        <v>2.9026137441482681E-2</v>
      </c>
      <c r="AH74">
        <f t="shared" si="42"/>
        <v>4.4980872215329398E-2</v>
      </c>
      <c r="AI74">
        <f t="shared" si="54"/>
        <v>125221.33333333333</v>
      </c>
      <c r="AJ74">
        <f t="shared" si="55"/>
        <v>66738</v>
      </c>
      <c r="AK74">
        <f t="shared" si="56"/>
        <v>7392.333333333333</v>
      </c>
    </row>
    <row r="75" spans="1:37" x14ac:dyDescent="0.25">
      <c r="A75" s="1">
        <v>35065</v>
      </c>
      <c r="B75" s="1">
        <v>35065</v>
      </c>
      <c r="C75">
        <v>2035</v>
      </c>
      <c r="D75">
        <v>1682</v>
      </c>
      <c r="E75">
        <v>1867</v>
      </c>
      <c r="F75">
        <v>3174</v>
      </c>
      <c r="G75">
        <v>1890</v>
      </c>
      <c r="H75">
        <v>2989</v>
      </c>
      <c r="I75">
        <v>67018</v>
      </c>
      <c r="J75">
        <v>125125</v>
      </c>
      <c r="K75">
        <v>7491</v>
      </c>
      <c r="M75">
        <f t="shared" si="43"/>
        <v>132616</v>
      </c>
      <c r="P75">
        <f t="shared" si="44"/>
        <v>5.6486396814863969E-2</v>
      </c>
      <c r="Q75">
        <f t="shared" si="45"/>
        <v>0.50535380346262893</v>
      </c>
      <c r="R75" t="e">
        <f t="shared" si="46"/>
        <v>#N/A</v>
      </c>
      <c r="S75">
        <f t="shared" si="48"/>
        <v>0.27414791863128113</v>
      </c>
      <c r="T75">
        <f t="shared" si="49"/>
        <v>0.22659302168934392</v>
      </c>
      <c r="U75">
        <f t="shared" si="50"/>
        <v>1.4925492453312868E-2</v>
      </c>
      <c r="V75">
        <f t="shared" si="51"/>
        <v>2.5374136607828088E-2</v>
      </c>
      <c r="W75">
        <f t="shared" si="52"/>
        <v>2.8210218367986626E-2</v>
      </c>
      <c r="X75">
        <f t="shared" si="53"/>
        <v>4.4599958220179654E-2</v>
      </c>
      <c r="Y75" s="1">
        <f t="shared" si="47"/>
        <v>35065</v>
      </c>
      <c r="Z75">
        <f t="shared" si="34"/>
        <v>5.616716405074168E-2</v>
      </c>
      <c r="AA75">
        <f t="shared" si="35"/>
        <v>0.50474074043430495</v>
      </c>
      <c r="AB75" t="e">
        <f t="shared" si="36"/>
        <v>#N/A</v>
      </c>
      <c r="AC75">
        <f t="shared" si="37"/>
        <v>0.26618882280325501</v>
      </c>
      <c r="AD75">
        <f t="shared" si="38"/>
        <v>0.22970348572796484</v>
      </c>
      <c r="AE75">
        <f t="shared" si="39"/>
        <v>1.4167025197305552E-2</v>
      </c>
      <c r="AF75">
        <f t="shared" si="40"/>
        <v>2.6269906872392546E-2</v>
      </c>
      <c r="AG75">
        <f t="shared" si="41"/>
        <v>2.885538525666731E-2</v>
      </c>
      <c r="AH75">
        <f t="shared" si="42"/>
        <v>4.3726418591187671E-2</v>
      </c>
      <c r="AI75">
        <f t="shared" si="54"/>
        <v>125133.66666666667</v>
      </c>
      <c r="AJ75">
        <f t="shared" si="55"/>
        <v>66918.666666666672</v>
      </c>
      <c r="AK75">
        <f t="shared" si="56"/>
        <v>7446.666666666667</v>
      </c>
    </row>
    <row r="76" spans="1:37" x14ac:dyDescent="0.25">
      <c r="A76" s="1">
        <v>35096</v>
      </c>
      <c r="B76" s="1">
        <v>35096</v>
      </c>
      <c r="C76">
        <v>2044</v>
      </c>
      <c r="D76">
        <v>1759</v>
      </c>
      <c r="E76">
        <v>1677</v>
      </c>
      <c r="F76">
        <v>3234</v>
      </c>
      <c r="G76">
        <v>1939</v>
      </c>
      <c r="H76">
        <v>3329</v>
      </c>
      <c r="I76">
        <v>66821</v>
      </c>
      <c r="J76">
        <v>125639</v>
      </c>
      <c r="K76">
        <v>7313</v>
      </c>
      <c r="M76">
        <f t="shared" si="43"/>
        <v>132952</v>
      </c>
      <c r="P76">
        <f t="shared" si="44"/>
        <v>5.5004813767374691E-2</v>
      </c>
      <c r="Q76">
        <f t="shared" si="45"/>
        <v>0.50259492147541973</v>
      </c>
      <c r="R76" t="e">
        <f t="shared" si="46"/>
        <v>#N/A</v>
      </c>
      <c r="S76">
        <f t="shared" si="48"/>
        <v>0.27286076625283673</v>
      </c>
      <c r="T76">
        <f t="shared" si="49"/>
        <v>0.23481511146709386</v>
      </c>
      <c r="U76">
        <f t="shared" si="50"/>
        <v>1.3402597402597402E-2</v>
      </c>
      <c r="V76">
        <f t="shared" si="51"/>
        <v>2.5846153846153845E-2</v>
      </c>
      <c r="W76">
        <f t="shared" si="52"/>
        <v>2.8932525590139962E-2</v>
      </c>
      <c r="X76">
        <f t="shared" si="53"/>
        <v>4.9819667469807392E-2</v>
      </c>
      <c r="Y76" s="1">
        <f t="shared" si="47"/>
        <v>35096</v>
      </c>
      <c r="Z76">
        <f t="shared" si="34"/>
        <v>5.5836400513826601E-2</v>
      </c>
      <c r="AA76">
        <f t="shared" si="35"/>
        <v>0.50451482893310928</v>
      </c>
      <c r="AB76" t="e">
        <f t="shared" si="36"/>
        <v>#N/A</v>
      </c>
      <c r="AC76">
        <f t="shared" si="37"/>
        <v>0.26757727327181341</v>
      </c>
      <c r="AD76">
        <f t="shared" si="38"/>
        <v>0.23091914879341535</v>
      </c>
      <c r="AE76">
        <f t="shared" si="39"/>
        <v>1.3854727590721408E-2</v>
      </c>
      <c r="AF76">
        <f t="shared" si="40"/>
        <v>2.5708443091864746E-2</v>
      </c>
      <c r="AG76">
        <f t="shared" si="41"/>
        <v>2.877173888369132E-2</v>
      </c>
      <c r="AH76">
        <f t="shared" si="42"/>
        <v>4.5289747612341162E-2</v>
      </c>
      <c r="AI76">
        <f t="shared" si="54"/>
        <v>125284</v>
      </c>
      <c r="AJ76">
        <f t="shared" si="55"/>
        <v>66945.333333333328</v>
      </c>
      <c r="AK76">
        <f t="shared" si="56"/>
        <v>7409</v>
      </c>
    </row>
    <row r="77" spans="1:37" x14ac:dyDescent="0.25">
      <c r="A77" s="1">
        <v>35125</v>
      </c>
      <c r="B77" s="1">
        <v>35125</v>
      </c>
      <c r="C77">
        <v>2022</v>
      </c>
      <c r="D77">
        <v>1689</v>
      </c>
      <c r="E77">
        <v>1752</v>
      </c>
      <c r="F77">
        <v>3251</v>
      </c>
      <c r="G77">
        <v>1944</v>
      </c>
      <c r="H77">
        <v>3111</v>
      </c>
      <c r="I77">
        <v>66741</v>
      </c>
      <c r="J77">
        <v>125862</v>
      </c>
      <c r="K77">
        <v>7318</v>
      </c>
      <c r="M77">
        <f t="shared" si="43"/>
        <v>133180</v>
      </c>
      <c r="P77">
        <f t="shared" si="44"/>
        <v>5.4948190418981829E-2</v>
      </c>
      <c r="Q77">
        <f t="shared" si="45"/>
        <v>0.50113380387445561</v>
      </c>
      <c r="R77" t="e">
        <f t="shared" si="46"/>
        <v>#N/A</v>
      </c>
      <c r="S77">
        <f t="shared" si="48"/>
        <v>0.27649391494598657</v>
      </c>
      <c r="T77">
        <f t="shared" si="49"/>
        <v>0.23095856693559413</v>
      </c>
      <c r="U77">
        <f t="shared" si="50"/>
        <v>1.3944714618868346E-2</v>
      </c>
      <c r="V77">
        <f t="shared" si="51"/>
        <v>2.5875723302477734E-2</v>
      </c>
      <c r="W77">
        <f t="shared" si="52"/>
        <v>2.9092650514059952E-2</v>
      </c>
      <c r="X77">
        <f t="shared" si="53"/>
        <v>4.6613026475479838E-2</v>
      </c>
      <c r="Y77" s="1">
        <f t="shared" si="47"/>
        <v>35125</v>
      </c>
      <c r="Z77">
        <f t="shared" si="34"/>
        <v>5.5479800333740163E-2</v>
      </c>
      <c r="AA77">
        <f t="shared" si="35"/>
        <v>0.50302750960416809</v>
      </c>
      <c r="AB77" t="e">
        <f t="shared" si="36"/>
        <v>#N/A</v>
      </c>
      <c r="AC77">
        <f t="shared" si="37"/>
        <v>0.27450086661003481</v>
      </c>
      <c r="AD77">
        <f t="shared" si="38"/>
        <v>0.23078890003067731</v>
      </c>
      <c r="AE77">
        <f t="shared" si="39"/>
        <v>1.4090934824926205E-2</v>
      </c>
      <c r="AF77">
        <f t="shared" si="40"/>
        <v>2.5698671252153221E-2</v>
      </c>
      <c r="AG77">
        <f t="shared" si="41"/>
        <v>2.8745131490728843E-2</v>
      </c>
      <c r="AH77">
        <f t="shared" si="42"/>
        <v>4.7010884055155633E-2</v>
      </c>
      <c r="AI77">
        <f t="shared" si="54"/>
        <v>125542</v>
      </c>
      <c r="AJ77">
        <f t="shared" si="55"/>
        <v>66860</v>
      </c>
      <c r="AK77">
        <f t="shared" si="56"/>
        <v>7374</v>
      </c>
    </row>
    <row r="78" spans="1:37" x14ac:dyDescent="0.25">
      <c r="A78" s="1">
        <v>35156</v>
      </c>
      <c r="B78" s="1">
        <v>35156</v>
      </c>
      <c r="C78">
        <v>1963</v>
      </c>
      <c r="D78">
        <v>1641</v>
      </c>
      <c r="E78">
        <v>1750</v>
      </c>
      <c r="F78">
        <v>3162</v>
      </c>
      <c r="G78">
        <v>1935</v>
      </c>
      <c r="H78">
        <v>2996</v>
      </c>
      <c r="I78">
        <v>66692</v>
      </c>
      <c r="J78">
        <v>125994</v>
      </c>
      <c r="K78">
        <v>7415</v>
      </c>
      <c r="M78">
        <f t="shared" si="43"/>
        <v>133409</v>
      </c>
      <c r="P78">
        <f t="shared" si="44"/>
        <v>5.5580957806444842E-2</v>
      </c>
      <c r="Q78">
        <f t="shared" si="45"/>
        <v>0.49990630317294937</v>
      </c>
      <c r="R78" t="e">
        <f t="shared" si="46"/>
        <v>#N/A</v>
      </c>
      <c r="S78">
        <f t="shared" si="48"/>
        <v>0.26824268925936046</v>
      </c>
      <c r="T78">
        <f t="shared" si="49"/>
        <v>0.22424159606449851</v>
      </c>
      <c r="U78">
        <f t="shared" si="50"/>
        <v>1.3904117207735456E-2</v>
      </c>
      <c r="V78">
        <f t="shared" si="51"/>
        <v>2.5122753491919721E-2</v>
      </c>
      <c r="W78">
        <f t="shared" si="52"/>
        <v>2.8992673169416103E-2</v>
      </c>
      <c r="X78">
        <f t="shared" si="53"/>
        <v>4.4922929286870986E-2</v>
      </c>
      <c r="Y78" s="1">
        <f t="shared" si="47"/>
        <v>35156</v>
      </c>
      <c r="Z78">
        <f t="shared" si="34"/>
        <v>5.5177987330933785E-2</v>
      </c>
      <c r="AA78">
        <f t="shared" si="35"/>
        <v>0.50121167617427498</v>
      </c>
      <c r="AB78" t="e">
        <f t="shared" si="36"/>
        <v>#N/A</v>
      </c>
      <c r="AC78">
        <f t="shared" si="37"/>
        <v>0.27253245681939459</v>
      </c>
      <c r="AD78">
        <f t="shared" si="38"/>
        <v>0.2300050914890622</v>
      </c>
      <c r="AE78">
        <f t="shared" si="39"/>
        <v>1.3750476409733736E-2</v>
      </c>
      <c r="AF78">
        <f t="shared" si="40"/>
        <v>2.5614876880183768E-2</v>
      </c>
      <c r="AG78">
        <f t="shared" si="41"/>
        <v>2.9005949757872004E-2</v>
      </c>
      <c r="AH78">
        <f t="shared" si="42"/>
        <v>4.7118541077386077E-2</v>
      </c>
      <c r="AI78">
        <f t="shared" si="54"/>
        <v>125831.66666666667</v>
      </c>
      <c r="AJ78">
        <f t="shared" si="55"/>
        <v>66751.333333333328</v>
      </c>
      <c r="AK78">
        <f t="shared" si="56"/>
        <v>7348.666666666667</v>
      </c>
    </row>
    <row r="79" spans="1:37" x14ac:dyDescent="0.25">
      <c r="A79" s="1">
        <v>35186</v>
      </c>
      <c r="B79" s="1">
        <v>35186</v>
      </c>
      <c r="C79">
        <v>1994</v>
      </c>
      <c r="D79">
        <v>1754</v>
      </c>
      <c r="E79">
        <v>1787</v>
      </c>
      <c r="F79">
        <v>3198</v>
      </c>
      <c r="G79">
        <v>1950</v>
      </c>
      <c r="H79">
        <v>3131</v>
      </c>
      <c r="I79">
        <v>66611</v>
      </c>
      <c r="J79">
        <v>126244</v>
      </c>
      <c r="K79">
        <v>7423</v>
      </c>
      <c r="M79">
        <f t="shared" si="43"/>
        <v>133667</v>
      </c>
      <c r="P79">
        <f t="shared" si="44"/>
        <v>5.5533527347812098E-2</v>
      </c>
      <c r="Q79">
        <f t="shared" si="45"/>
        <v>0.49833541562240491</v>
      </c>
      <c r="R79" t="e">
        <f t="shared" si="46"/>
        <v>#N/A</v>
      </c>
      <c r="S79">
        <f t="shared" si="48"/>
        <v>0.26891436277815239</v>
      </c>
      <c r="T79">
        <f t="shared" si="49"/>
        <v>0.23654753877275791</v>
      </c>
      <c r="U79">
        <f t="shared" si="50"/>
        <v>1.4183215073733669E-2</v>
      </c>
      <c r="V79">
        <f t="shared" si="51"/>
        <v>2.5382161055288347E-2</v>
      </c>
      <c r="W79">
        <f t="shared" si="52"/>
        <v>2.9238889222095603E-2</v>
      </c>
      <c r="X79">
        <f t="shared" si="53"/>
        <v>4.7004248547537195E-2</v>
      </c>
      <c r="Y79" s="1">
        <f t="shared" si="47"/>
        <v>35186</v>
      </c>
      <c r="Z79">
        <f t="shared" si="34"/>
        <v>5.5354225191079597E-2</v>
      </c>
      <c r="AA79">
        <f t="shared" si="35"/>
        <v>0.49979184088993661</v>
      </c>
      <c r="AB79" t="e">
        <f t="shared" si="36"/>
        <v>#N/A</v>
      </c>
      <c r="AC79">
        <f t="shared" si="37"/>
        <v>0.27121698899449981</v>
      </c>
      <c r="AD79">
        <f t="shared" si="38"/>
        <v>0.23058256725761686</v>
      </c>
      <c r="AE79">
        <f t="shared" si="39"/>
        <v>1.4010682300112492E-2</v>
      </c>
      <c r="AF79">
        <f t="shared" si="40"/>
        <v>2.5460212616561933E-2</v>
      </c>
      <c r="AG79">
        <f t="shared" si="41"/>
        <v>2.9108070968523886E-2</v>
      </c>
      <c r="AH79">
        <f t="shared" si="42"/>
        <v>4.6180068103296001E-2</v>
      </c>
      <c r="AI79">
        <f t="shared" si="54"/>
        <v>126033.33333333333</v>
      </c>
      <c r="AJ79">
        <f t="shared" si="55"/>
        <v>66681.333333333328</v>
      </c>
      <c r="AK79">
        <f t="shared" si="56"/>
        <v>7385.333333333333</v>
      </c>
    </row>
    <row r="80" spans="1:37" x14ac:dyDescent="0.25">
      <c r="A80" s="1">
        <v>35217</v>
      </c>
      <c r="B80" s="1">
        <v>35217</v>
      </c>
      <c r="C80">
        <v>2039</v>
      </c>
      <c r="D80">
        <v>1839</v>
      </c>
      <c r="E80">
        <v>1754</v>
      </c>
      <c r="F80">
        <v>3225</v>
      </c>
      <c r="G80">
        <v>1766</v>
      </c>
      <c r="H80">
        <v>3194</v>
      </c>
      <c r="I80">
        <v>66762</v>
      </c>
      <c r="J80">
        <v>126602</v>
      </c>
      <c r="K80">
        <v>7095</v>
      </c>
      <c r="M80">
        <f t="shared" si="43"/>
        <v>133697</v>
      </c>
      <c r="P80">
        <f t="shared" si="44"/>
        <v>5.3067757690898075E-2</v>
      </c>
      <c r="Q80">
        <f t="shared" si="45"/>
        <v>0.49935301465253523</v>
      </c>
      <c r="R80" t="e">
        <f t="shared" si="46"/>
        <v>#N/A</v>
      </c>
      <c r="S80">
        <f t="shared" si="48"/>
        <v>0.2746867843190085</v>
      </c>
      <c r="T80">
        <f t="shared" si="49"/>
        <v>0.24774349993264178</v>
      </c>
      <c r="U80">
        <f t="shared" si="50"/>
        <v>1.3893729602991033E-2</v>
      </c>
      <c r="V80">
        <f t="shared" si="51"/>
        <v>2.5545768511770855E-2</v>
      </c>
      <c r="W80">
        <f t="shared" si="52"/>
        <v>2.6512137634925163E-2</v>
      </c>
      <c r="X80">
        <f t="shared" si="53"/>
        <v>4.7841586531260298E-2</v>
      </c>
      <c r="Y80" s="1">
        <f t="shared" si="47"/>
        <v>35217</v>
      </c>
      <c r="Z80">
        <f t="shared" si="34"/>
        <v>5.4727414281718338E-2</v>
      </c>
      <c r="AA80">
        <f t="shared" si="35"/>
        <v>0.49919824448262978</v>
      </c>
      <c r="AB80" t="e">
        <f t="shared" si="36"/>
        <v>#N/A</v>
      </c>
      <c r="AC80">
        <f t="shared" si="37"/>
        <v>0.27061461211884047</v>
      </c>
      <c r="AD80">
        <f t="shared" si="38"/>
        <v>0.23617754492329937</v>
      </c>
      <c r="AE80">
        <f t="shared" si="39"/>
        <v>1.3993687294820053E-2</v>
      </c>
      <c r="AF80">
        <f t="shared" si="40"/>
        <v>2.5350227686326308E-2</v>
      </c>
      <c r="AG80">
        <f t="shared" si="41"/>
        <v>2.8247900008812291E-2</v>
      </c>
      <c r="AH80">
        <f t="shared" si="42"/>
        <v>4.6589588121889493E-2</v>
      </c>
      <c r="AI80">
        <f t="shared" si="54"/>
        <v>126280</v>
      </c>
      <c r="AJ80">
        <f t="shared" si="55"/>
        <v>66688.333333333328</v>
      </c>
      <c r="AK80">
        <f t="shared" si="56"/>
        <v>7311</v>
      </c>
    </row>
    <row r="81" spans="1:37" x14ac:dyDescent="0.25">
      <c r="A81" s="1">
        <v>35247</v>
      </c>
      <c r="B81" s="1">
        <v>35247</v>
      </c>
      <c r="C81">
        <v>2007</v>
      </c>
      <c r="D81">
        <v>1601</v>
      </c>
      <c r="E81">
        <v>1765</v>
      </c>
      <c r="F81">
        <v>3314</v>
      </c>
      <c r="G81">
        <v>2061</v>
      </c>
      <c r="H81">
        <v>3310</v>
      </c>
      <c r="I81">
        <v>66357</v>
      </c>
      <c r="J81">
        <v>126947</v>
      </c>
      <c r="K81">
        <v>7337</v>
      </c>
      <c r="M81">
        <f t="shared" si="43"/>
        <v>134284</v>
      </c>
      <c r="P81">
        <f t="shared" si="44"/>
        <v>5.4637931548062318E-2</v>
      </c>
      <c r="Q81">
        <f t="shared" si="45"/>
        <v>0.49415418069166839</v>
      </c>
      <c r="R81" t="e">
        <f t="shared" si="46"/>
        <v>#N/A</v>
      </c>
      <c r="S81">
        <f t="shared" si="48"/>
        <v>0.2828752642706131</v>
      </c>
      <c r="T81">
        <f t="shared" si="49"/>
        <v>0.22565186751233263</v>
      </c>
      <c r="U81">
        <f t="shared" si="50"/>
        <v>1.3941327941106776E-2</v>
      </c>
      <c r="V81">
        <f t="shared" si="51"/>
        <v>2.6176521697919463E-2</v>
      </c>
      <c r="W81">
        <f t="shared" si="52"/>
        <v>3.0870854677810731E-2</v>
      </c>
      <c r="X81">
        <f t="shared" si="53"/>
        <v>4.9881700498817003E-2</v>
      </c>
      <c r="Y81" s="1">
        <f t="shared" si="47"/>
        <v>35247</v>
      </c>
      <c r="Z81">
        <f t="shared" si="34"/>
        <v>5.4413072195590828E-2</v>
      </c>
      <c r="AA81">
        <f t="shared" si="35"/>
        <v>0.49728087032220286</v>
      </c>
      <c r="AB81" t="e">
        <f t="shared" si="36"/>
        <v>#N/A</v>
      </c>
      <c r="AC81">
        <f t="shared" si="37"/>
        <v>0.27549213712259135</v>
      </c>
      <c r="AD81">
        <f t="shared" si="38"/>
        <v>0.23664763540591074</v>
      </c>
      <c r="AE81">
        <f t="shared" si="39"/>
        <v>1.4006090872610491E-2</v>
      </c>
      <c r="AF81">
        <f t="shared" si="40"/>
        <v>2.5701483754992888E-2</v>
      </c>
      <c r="AG81">
        <f t="shared" si="41"/>
        <v>2.8873960511610498E-2</v>
      </c>
      <c r="AH81">
        <f t="shared" si="42"/>
        <v>4.8242511859204827E-2</v>
      </c>
      <c r="AI81">
        <f t="shared" si="54"/>
        <v>126597.66666666667</v>
      </c>
      <c r="AJ81">
        <f t="shared" si="55"/>
        <v>66576.666666666672</v>
      </c>
      <c r="AK81">
        <f t="shared" si="56"/>
        <v>7285</v>
      </c>
    </row>
    <row r="82" spans="1:37" x14ac:dyDescent="0.25">
      <c r="A82" s="1">
        <v>35278</v>
      </c>
      <c r="B82" s="1">
        <v>35278</v>
      </c>
      <c r="C82">
        <v>2123</v>
      </c>
      <c r="D82">
        <v>1671</v>
      </c>
      <c r="E82">
        <v>1634</v>
      </c>
      <c r="F82">
        <v>3408</v>
      </c>
      <c r="G82">
        <v>1689</v>
      </c>
      <c r="H82">
        <v>3063</v>
      </c>
      <c r="I82">
        <v>66793</v>
      </c>
      <c r="J82">
        <v>127172</v>
      </c>
      <c r="K82">
        <v>6882</v>
      </c>
      <c r="M82">
        <f t="shared" si="43"/>
        <v>134054</v>
      </c>
      <c r="P82">
        <f t="shared" si="44"/>
        <v>5.1337520700613183E-2</v>
      </c>
      <c r="Q82">
        <f t="shared" si="45"/>
        <v>0.49825443478001402</v>
      </c>
      <c r="R82" t="e">
        <f t="shared" si="46"/>
        <v>#N/A</v>
      </c>
      <c r="S82">
        <f t="shared" si="48"/>
        <v>0.2893553223388306</v>
      </c>
      <c r="T82">
        <f t="shared" si="49"/>
        <v>0.22774976148289491</v>
      </c>
      <c r="U82">
        <f t="shared" si="50"/>
        <v>1.2871513308703631E-2</v>
      </c>
      <c r="V82">
        <f t="shared" si="51"/>
        <v>2.6845849055117488E-2</v>
      </c>
      <c r="W82">
        <f t="shared" si="52"/>
        <v>2.5453230254532302E-2</v>
      </c>
      <c r="X82">
        <f t="shared" si="53"/>
        <v>4.5858098902579608E-2</v>
      </c>
      <c r="Y82" s="1">
        <f t="shared" si="47"/>
        <v>35278</v>
      </c>
      <c r="Z82">
        <f t="shared" si="34"/>
        <v>5.301440331319119E-2</v>
      </c>
      <c r="AA82">
        <f t="shared" si="35"/>
        <v>0.49725387670807253</v>
      </c>
      <c r="AB82" t="e">
        <f t="shared" si="36"/>
        <v>#N/A</v>
      </c>
      <c r="AC82">
        <f t="shared" si="37"/>
        <v>0.28230579030948405</v>
      </c>
      <c r="AD82">
        <f t="shared" si="38"/>
        <v>0.23371504297595644</v>
      </c>
      <c r="AE82">
        <f t="shared" si="39"/>
        <v>1.3568856950933813E-2</v>
      </c>
      <c r="AF82">
        <f t="shared" si="40"/>
        <v>2.6189379754935935E-2</v>
      </c>
      <c r="AG82">
        <f t="shared" si="41"/>
        <v>2.7612074189089397E-2</v>
      </c>
      <c r="AH82">
        <f t="shared" si="42"/>
        <v>4.7860461977552303E-2</v>
      </c>
      <c r="AI82">
        <f t="shared" si="54"/>
        <v>126907</v>
      </c>
      <c r="AJ82">
        <f t="shared" si="55"/>
        <v>66637.333333333328</v>
      </c>
      <c r="AK82">
        <f t="shared" si="56"/>
        <v>7104.666666666667</v>
      </c>
    </row>
    <row r="83" spans="1:37" x14ac:dyDescent="0.25">
      <c r="A83" s="1">
        <v>35309</v>
      </c>
      <c r="B83" s="1">
        <v>35309</v>
      </c>
      <c r="C83">
        <v>1976</v>
      </c>
      <c r="D83">
        <v>1640</v>
      </c>
      <c r="E83">
        <v>1792</v>
      </c>
      <c r="F83">
        <v>3115</v>
      </c>
      <c r="G83">
        <v>1896</v>
      </c>
      <c r="H83">
        <v>3149</v>
      </c>
      <c r="I83">
        <v>66546</v>
      </c>
      <c r="J83">
        <v>127536</v>
      </c>
      <c r="K83">
        <v>6979</v>
      </c>
      <c r="M83">
        <f t="shared" si="43"/>
        <v>134515</v>
      </c>
      <c r="P83">
        <f t="shared" si="44"/>
        <v>5.1882689662862878E-2</v>
      </c>
      <c r="Q83">
        <f t="shared" si="45"/>
        <v>0.49471062706761326</v>
      </c>
      <c r="R83" t="e">
        <f t="shared" si="46"/>
        <v>#N/A</v>
      </c>
      <c r="S83">
        <f t="shared" si="48"/>
        <v>0.2871258355129323</v>
      </c>
      <c r="T83">
        <f t="shared" si="49"/>
        <v>0.23830281894798025</v>
      </c>
      <c r="U83">
        <f t="shared" si="50"/>
        <v>1.4091152140408266E-2</v>
      </c>
      <c r="V83">
        <f t="shared" si="51"/>
        <v>2.4494385556569055E-2</v>
      </c>
      <c r="W83">
        <f t="shared" si="52"/>
        <v>2.8386208135583069E-2</v>
      </c>
      <c r="X83">
        <f t="shared" si="53"/>
        <v>4.7320650377182701E-2</v>
      </c>
      <c r="Y83" s="1">
        <f t="shared" si="47"/>
        <v>35309</v>
      </c>
      <c r="Z83">
        <f t="shared" si="34"/>
        <v>5.2619380637179462E-2</v>
      </c>
      <c r="AA83">
        <f t="shared" si="35"/>
        <v>0.49570641417976519</v>
      </c>
      <c r="AB83" t="e">
        <f t="shared" si="36"/>
        <v>#N/A</v>
      </c>
      <c r="AC83">
        <f t="shared" si="37"/>
        <v>0.28645214070745867</v>
      </c>
      <c r="AD83">
        <f t="shared" si="38"/>
        <v>0.23056814931440259</v>
      </c>
      <c r="AE83">
        <f t="shared" si="39"/>
        <v>1.3634664463406223E-2</v>
      </c>
      <c r="AF83">
        <f t="shared" si="40"/>
        <v>2.5838918769868668E-2</v>
      </c>
      <c r="AG83">
        <f t="shared" si="41"/>
        <v>2.8236764355975368E-2</v>
      </c>
      <c r="AH83">
        <f t="shared" si="42"/>
        <v>4.7686816592859775E-2</v>
      </c>
      <c r="AI83">
        <f t="shared" si="54"/>
        <v>127218.33333333333</v>
      </c>
      <c r="AJ83">
        <f t="shared" si="55"/>
        <v>66565.333333333328</v>
      </c>
      <c r="AK83">
        <f t="shared" si="56"/>
        <v>7066</v>
      </c>
    </row>
    <row r="84" spans="1:37" x14ac:dyDescent="0.25">
      <c r="A84" s="1">
        <v>35339</v>
      </c>
      <c r="B84" s="1">
        <v>35339</v>
      </c>
      <c r="C84">
        <v>2034</v>
      </c>
      <c r="D84">
        <v>1464</v>
      </c>
      <c r="E84">
        <v>1666</v>
      </c>
      <c r="F84">
        <v>3229</v>
      </c>
      <c r="G84">
        <v>1867</v>
      </c>
      <c r="H84">
        <v>3080</v>
      </c>
      <c r="I84">
        <v>66352</v>
      </c>
      <c r="J84">
        <v>127890</v>
      </c>
      <c r="K84">
        <v>7031</v>
      </c>
      <c r="M84">
        <f t="shared" si="43"/>
        <v>134921</v>
      </c>
      <c r="P84">
        <f t="shared" si="44"/>
        <v>5.211197663818086E-2</v>
      </c>
      <c r="Q84">
        <f t="shared" si="45"/>
        <v>0.49178408105483951</v>
      </c>
      <c r="R84" t="e">
        <f t="shared" si="46"/>
        <v>#N/A</v>
      </c>
      <c r="S84">
        <f t="shared" si="48"/>
        <v>0.2914457658690357</v>
      </c>
      <c r="T84">
        <f t="shared" si="49"/>
        <v>0.20977217366384868</v>
      </c>
      <c r="U84">
        <f t="shared" si="50"/>
        <v>1.3062978296324175E-2</v>
      </c>
      <c r="V84">
        <f t="shared" si="51"/>
        <v>2.5318341487893616E-2</v>
      </c>
      <c r="W84">
        <f t="shared" si="52"/>
        <v>2.8055780963544014E-2</v>
      </c>
      <c r="X84">
        <f t="shared" si="53"/>
        <v>4.6419098143236075E-2</v>
      </c>
      <c r="Y84" s="1">
        <f t="shared" si="47"/>
        <v>35339</v>
      </c>
      <c r="Z84">
        <f t="shared" si="34"/>
        <v>5.1777395667218971E-2</v>
      </c>
      <c r="AA84">
        <f t="shared" si="35"/>
        <v>0.49491638096748897</v>
      </c>
      <c r="AB84" t="e">
        <f t="shared" si="36"/>
        <v>#N/A</v>
      </c>
      <c r="AC84">
        <f t="shared" si="37"/>
        <v>0.28930897457359955</v>
      </c>
      <c r="AD84">
        <f t="shared" si="38"/>
        <v>0.22527491803157462</v>
      </c>
      <c r="AE84">
        <f t="shared" si="39"/>
        <v>1.3341881248478691E-2</v>
      </c>
      <c r="AF84">
        <f t="shared" si="40"/>
        <v>2.5552858699860053E-2</v>
      </c>
      <c r="AG84">
        <f t="shared" si="41"/>
        <v>2.7298406451219795E-2</v>
      </c>
      <c r="AH84">
        <f t="shared" si="42"/>
        <v>4.6532615807666128E-2</v>
      </c>
      <c r="AI84">
        <f t="shared" si="54"/>
        <v>127532.66666666667</v>
      </c>
      <c r="AJ84">
        <f t="shared" si="55"/>
        <v>66563.666666666672</v>
      </c>
      <c r="AK84">
        <f t="shared" si="56"/>
        <v>6964</v>
      </c>
    </row>
    <row r="85" spans="1:37" x14ac:dyDescent="0.25">
      <c r="A85" s="1">
        <v>35370</v>
      </c>
      <c r="B85" s="1">
        <v>35370</v>
      </c>
      <c r="C85">
        <v>1947</v>
      </c>
      <c r="D85">
        <v>1617</v>
      </c>
      <c r="E85">
        <v>1849</v>
      </c>
      <c r="F85">
        <v>3227</v>
      </c>
      <c r="G85">
        <v>1890</v>
      </c>
      <c r="H85">
        <v>2923</v>
      </c>
      <c r="I85">
        <v>66456</v>
      </c>
      <c r="J85">
        <v>127771</v>
      </c>
      <c r="K85">
        <v>7236</v>
      </c>
      <c r="M85">
        <f t="shared" si="43"/>
        <v>135007</v>
      </c>
      <c r="P85">
        <f t="shared" si="44"/>
        <v>5.3597220884843005E-2</v>
      </c>
      <c r="Q85">
        <f t="shared" si="45"/>
        <v>0.49224114305184175</v>
      </c>
      <c r="R85" t="e">
        <f t="shared" si="46"/>
        <v>#N/A</v>
      </c>
      <c r="S85">
        <f t="shared" si="48"/>
        <v>0.27691651258711419</v>
      </c>
      <c r="T85">
        <f t="shared" si="49"/>
        <v>0.22998151045370502</v>
      </c>
      <c r="U85">
        <f t="shared" si="50"/>
        <v>1.4457737117835641E-2</v>
      </c>
      <c r="V85">
        <f t="shared" si="51"/>
        <v>2.5232621784345922E-2</v>
      </c>
      <c r="W85">
        <f t="shared" si="52"/>
        <v>2.8484446587894865E-2</v>
      </c>
      <c r="X85">
        <f t="shared" si="53"/>
        <v>4.3983989406524621E-2</v>
      </c>
      <c r="Y85" s="1">
        <f t="shared" si="47"/>
        <v>35370</v>
      </c>
      <c r="Z85">
        <f t="shared" si="34"/>
        <v>5.2530629061962243E-2</v>
      </c>
      <c r="AA85">
        <f t="shared" si="35"/>
        <v>0.49291195039143149</v>
      </c>
      <c r="AB85" t="e">
        <f t="shared" si="36"/>
        <v>#N/A</v>
      </c>
      <c r="AC85">
        <f t="shared" si="37"/>
        <v>0.28516270465636073</v>
      </c>
      <c r="AD85">
        <f t="shared" si="38"/>
        <v>0.22601883435517797</v>
      </c>
      <c r="AE85">
        <f t="shared" si="39"/>
        <v>1.387062251818936E-2</v>
      </c>
      <c r="AF85">
        <f t="shared" si="40"/>
        <v>2.5015116276269529E-2</v>
      </c>
      <c r="AG85">
        <f t="shared" si="41"/>
        <v>2.8308811895673983E-2</v>
      </c>
      <c r="AH85">
        <f t="shared" si="42"/>
        <v>4.5907912642314468E-2</v>
      </c>
      <c r="AI85">
        <f t="shared" si="54"/>
        <v>127732.33333333333</v>
      </c>
      <c r="AJ85">
        <f t="shared" si="55"/>
        <v>66451.333333333328</v>
      </c>
      <c r="AK85">
        <f t="shared" si="56"/>
        <v>7082</v>
      </c>
    </row>
    <row r="86" spans="1:37" x14ac:dyDescent="0.25">
      <c r="A86" s="1">
        <v>35400</v>
      </c>
      <c r="B86" s="1">
        <v>35400</v>
      </c>
      <c r="C86">
        <v>1935</v>
      </c>
      <c r="D86">
        <v>1593</v>
      </c>
      <c r="E86">
        <v>1604</v>
      </c>
      <c r="F86">
        <v>3106</v>
      </c>
      <c r="G86">
        <v>1922</v>
      </c>
      <c r="H86">
        <v>2741</v>
      </c>
      <c r="I86">
        <v>66523</v>
      </c>
      <c r="J86">
        <v>127860</v>
      </c>
      <c r="K86">
        <v>7253</v>
      </c>
      <c r="M86">
        <f t="shared" si="43"/>
        <v>135113</v>
      </c>
      <c r="P86">
        <f t="shared" si="44"/>
        <v>5.3680992946644662E-2</v>
      </c>
      <c r="Q86">
        <f t="shared" si="45"/>
        <v>0.49235084706874988</v>
      </c>
      <c r="R86" t="e">
        <f t="shared" si="46"/>
        <v>#N/A</v>
      </c>
      <c r="S86">
        <f t="shared" si="48"/>
        <v>0.26741293532338306</v>
      </c>
      <c r="T86">
        <f t="shared" si="49"/>
        <v>0.22014925373134328</v>
      </c>
      <c r="U86">
        <f t="shared" si="50"/>
        <v>1.2553709370670966E-2</v>
      </c>
      <c r="V86">
        <f t="shared" si="51"/>
        <v>2.4309115526997518E-2</v>
      </c>
      <c r="W86">
        <f t="shared" si="52"/>
        <v>2.8921391597447936E-2</v>
      </c>
      <c r="X86">
        <f t="shared" si="53"/>
        <v>4.1203794176450252E-2</v>
      </c>
      <c r="Y86" s="1">
        <f t="shared" si="47"/>
        <v>35400</v>
      </c>
      <c r="Z86">
        <f t="shared" si="34"/>
        <v>5.3130063489889502E-2</v>
      </c>
      <c r="AA86">
        <f t="shared" si="35"/>
        <v>0.49212535705847699</v>
      </c>
      <c r="AB86" t="e">
        <f t="shared" si="36"/>
        <v>#N/A</v>
      </c>
      <c r="AC86">
        <f t="shared" si="37"/>
        <v>0.27859173792651099</v>
      </c>
      <c r="AD86">
        <f t="shared" si="38"/>
        <v>0.21996764594963233</v>
      </c>
      <c r="AE86">
        <f t="shared" si="39"/>
        <v>1.3358141594943593E-2</v>
      </c>
      <c r="AF86">
        <f t="shared" si="40"/>
        <v>2.4953359599745688E-2</v>
      </c>
      <c r="AG86">
        <f t="shared" si="41"/>
        <v>2.8487206382962271E-2</v>
      </c>
      <c r="AH86">
        <f t="shared" si="42"/>
        <v>4.3868960575403654E-2</v>
      </c>
      <c r="AI86">
        <f t="shared" si="54"/>
        <v>127840.33333333333</v>
      </c>
      <c r="AJ86">
        <f t="shared" si="55"/>
        <v>66443.666666666672</v>
      </c>
      <c r="AK86">
        <f t="shared" si="56"/>
        <v>7173.333333333333</v>
      </c>
    </row>
    <row r="87" spans="1:37" x14ac:dyDescent="0.25">
      <c r="A87" s="1">
        <v>35431</v>
      </c>
      <c r="B87" s="1">
        <v>35431</v>
      </c>
      <c r="C87">
        <v>2187</v>
      </c>
      <c r="D87">
        <v>1647</v>
      </c>
      <c r="E87">
        <v>1863</v>
      </c>
      <c r="F87">
        <v>3357</v>
      </c>
      <c r="G87">
        <v>1841</v>
      </c>
      <c r="H87">
        <v>3094</v>
      </c>
      <c r="I87">
        <v>66829</v>
      </c>
      <c r="J87">
        <v>128298</v>
      </c>
      <c r="K87">
        <v>7158</v>
      </c>
      <c r="M87">
        <f t="shared" si="43"/>
        <v>135456</v>
      </c>
      <c r="P87">
        <f t="shared" si="44"/>
        <v>5.2843727852586821E-2</v>
      </c>
      <c r="Q87">
        <f t="shared" si="45"/>
        <v>0.4933631585164186</v>
      </c>
      <c r="R87" t="e">
        <f t="shared" si="46"/>
        <v>#N/A</v>
      </c>
      <c r="S87">
        <f t="shared" si="48"/>
        <v>0.30153040121329105</v>
      </c>
      <c r="T87">
        <f t="shared" si="49"/>
        <v>0.22707845029642906</v>
      </c>
      <c r="U87">
        <f t="shared" si="50"/>
        <v>1.4570624120131393E-2</v>
      </c>
      <c r="V87">
        <f t="shared" si="51"/>
        <v>2.6255279211637728E-2</v>
      </c>
      <c r="W87">
        <f t="shared" si="52"/>
        <v>2.7674638846714669E-2</v>
      </c>
      <c r="X87">
        <f t="shared" si="53"/>
        <v>4.6297266156907928E-2</v>
      </c>
      <c r="Y87" s="1">
        <f t="shared" si="47"/>
        <v>35431</v>
      </c>
      <c r="Z87">
        <f t="shared" si="34"/>
        <v>5.3373980561358163E-2</v>
      </c>
      <c r="AA87">
        <f t="shared" si="35"/>
        <v>0.49265171621233672</v>
      </c>
      <c r="AB87" t="e">
        <f t="shared" si="36"/>
        <v>#N/A</v>
      </c>
      <c r="AC87">
        <f t="shared" si="37"/>
        <v>0.28195328304126277</v>
      </c>
      <c r="AD87">
        <f t="shared" si="38"/>
        <v>0.22573640482715909</v>
      </c>
      <c r="AE87">
        <f t="shared" si="39"/>
        <v>1.3860690202879333E-2</v>
      </c>
      <c r="AF87">
        <f t="shared" si="40"/>
        <v>2.5265672174327056E-2</v>
      </c>
      <c r="AG87">
        <f t="shared" si="41"/>
        <v>2.8360159010685823E-2</v>
      </c>
      <c r="AH87">
        <f t="shared" si="42"/>
        <v>4.3828349913294269E-2</v>
      </c>
      <c r="AI87">
        <f t="shared" si="54"/>
        <v>127976.33333333333</v>
      </c>
      <c r="AJ87">
        <f t="shared" si="55"/>
        <v>66602.666666666672</v>
      </c>
      <c r="AK87">
        <f t="shared" si="56"/>
        <v>7215.666666666667</v>
      </c>
    </row>
    <row r="88" spans="1:37" x14ac:dyDescent="0.25">
      <c r="A88" s="1">
        <v>35462</v>
      </c>
      <c r="B88" s="1">
        <v>35462</v>
      </c>
      <c r="C88">
        <v>2074</v>
      </c>
      <c r="D88">
        <v>1609</v>
      </c>
      <c r="E88">
        <v>1789</v>
      </c>
      <c r="F88">
        <v>3396</v>
      </c>
      <c r="G88">
        <v>1810</v>
      </c>
      <c r="H88">
        <v>3059</v>
      </c>
      <c r="I88">
        <v>66989</v>
      </c>
      <c r="J88">
        <v>128298</v>
      </c>
      <c r="K88">
        <v>7102</v>
      </c>
      <c r="M88">
        <f t="shared" si="43"/>
        <v>135400</v>
      </c>
      <c r="P88">
        <f t="shared" si="44"/>
        <v>5.2451994091580502E-2</v>
      </c>
      <c r="Q88">
        <f t="shared" si="45"/>
        <v>0.49474889217134416</v>
      </c>
      <c r="R88" t="e">
        <f t="shared" si="46"/>
        <v>#N/A</v>
      </c>
      <c r="S88">
        <f t="shared" si="48"/>
        <v>0.28974573903324952</v>
      </c>
      <c r="T88">
        <f t="shared" si="49"/>
        <v>0.22478345906677843</v>
      </c>
      <c r="U88">
        <f t="shared" si="50"/>
        <v>1.3944098894760636E-2</v>
      </c>
      <c r="V88">
        <f t="shared" si="51"/>
        <v>2.6469625403357809E-2</v>
      </c>
      <c r="W88">
        <f t="shared" si="52"/>
        <v>2.7084050337428361E-2</v>
      </c>
      <c r="X88">
        <f t="shared" si="53"/>
        <v>4.5664213527594082E-2</v>
      </c>
      <c r="Y88" s="1">
        <f t="shared" si="47"/>
        <v>35462</v>
      </c>
      <c r="Z88">
        <f t="shared" si="34"/>
        <v>5.2992238296937326E-2</v>
      </c>
      <c r="AA88">
        <f t="shared" si="35"/>
        <v>0.49348763258550421</v>
      </c>
      <c r="AB88" t="e">
        <f t="shared" si="36"/>
        <v>#N/A</v>
      </c>
      <c r="AC88">
        <f t="shared" si="37"/>
        <v>0.28622969185664121</v>
      </c>
      <c r="AD88">
        <f t="shared" si="38"/>
        <v>0.22400372103151692</v>
      </c>
      <c r="AE88">
        <f t="shared" si="39"/>
        <v>1.3689477461854331E-2</v>
      </c>
      <c r="AF88">
        <f t="shared" si="40"/>
        <v>2.5678006713997687E-2</v>
      </c>
      <c r="AG88">
        <f t="shared" si="41"/>
        <v>2.7893360260530322E-2</v>
      </c>
      <c r="AH88">
        <f t="shared" si="42"/>
        <v>4.4388424620317418E-2</v>
      </c>
      <c r="AI88">
        <f t="shared" si="54"/>
        <v>128152</v>
      </c>
      <c r="AJ88">
        <f t="shared" si="55"/>
        <v>66780.333333333328</v>
      </c>
      <c r="AK88">
        <f t="shared" si="56"/>
        <v>7171</v>
      </c>
    </row>
    <row r="89" spans="1:37" x14ac:dyDescent="0.25">
      <c r="A89" s="1">
        <v>35490</v>
      </c>
      <c r="B89" s="1">
        <v>35490</v>
      </c>
      <c r="C89">
        <v>2056</v>
      </c>
      <c r="D89">
        <v>1569</v>
      </c>
      <c r="E89">
        <v>1650</v>
      </c>
      <c r="F89">
        <v>3336</v>
      </c>
      <c r="G89">
        <v>1855</v>
      </c>
      <c r="H89">
        <v>3450</v>
      </c>
      <c r="I89">
        <v>66622</v>
      </c>
      <c r="J89">
        <v>128891</v>
      </c>
      <c r="K89">
        <v>7000</v>
      </c>
      <c r="M89">
        <f t="shared" si="43"/>
        <v>135891</v>
      </c>
      <c r="P89">
        <f t="shared" si="44"/>
        <v>5.1511873486838715E-2</v>
      </c>
      <c r="Q89">
        <f t="shared" si="45"/>
        <v>0.49026057649145272</v>
      </c>
      <c r="R89" t="e">
        <f t="shared" si="46"/>
        <v>#N/A</v>
      </c>
      <c r="S89">
        <f t="shared" si="48"/>
        <v>0.28949591664319912</v>
      </c>
      <c r="T89">
        <f t="shared" si="49"/>
        <v>0.22092368346944521</v>
      </c>
      <c r="U89">
        <f t="shared" si="50"/>
        <v>1.2860683720712716E-2</v>
      </c>
      <c r="V89">
        <f t="shared" si="51"/>
        <v>2.6001964177150071E-2</v>
      </c>
      <c r="W89">
        <f t="shared" si="52"/>
        <v>2.7691113466390003E-2</v>
      </c>
      <c r="X89">
        <f t="shared" si="53"/>
        <v>5.1784695746149918E-2</v>
      </c>
      <c r="Y89" s="1">
        <f t="shared" si="47"/>
        <v>35490</v>
      </c>
      <c r="Z89">
        <f t="shared" si="34"/>
        <v>5.226919847700201E-2</v>
      </c>
      <c r="AA89">
        <f t="shared" si="35"/>
        <v>0.49279087572640518</v>
      </c>
      <c r="AB89" t="e">
        <f t="shared" si="36"/>
        <v>#N/A</v>
      </c>
      <c r="AC89">
        <f t="shared" si="37"/>
        <v>0.29359068562991325</v>
      </c>
      <c r="AD89">
        <f t="shared" si="38"/>
        <v>0.2242618642775509</v>
      </c>
      <c r="AE89">
        <f t="shared" si="39"/>
        <v>1.3791802245201582E-2</v>
      </c>
      <c r="AF89">
        <f t="shared" si="40"/>
        <v>2.6242289597381868E-2</v>
      </c>
      <c r="AG89">
        <f t="shared" si="41"/>
        <v>2.7483267550177676E-2</v>
      </c>
      <c r="AH89">
        <f t="shared" si="42"/>
        <v>4.7915391810217312E-2</v>
      </c>
      <c r="AI89">
        <f t="shared" si="54"/>
        <v>128495.66666666667</v>
      </c>
      <c r="AJ89">
        <f t="shared" si="55"/>
        <v>66813.333333333328</v>
      </c>
      <c r="AK89">
        <f t="shared" si="56"/>
        <v>7086.666666666667</v>
      </c>
    </row>
    <row r="90" spans="1:37" x14ac:dyDescent="0.25">
      <c r="A90" s="1">
        <v>35521</v>
      </c>
      <c r="B90" s="1">
        <v>35521</v>
      </c>
      <c r="C90">
        <v>1976</v>
      </c>
      <c r="D90">
        <v>1644</v>
      </c>
      <c r="E90">
        <v>1724</v>
      </c>
      <c r="F90">
        <v>3332</v>
      </c>
      <c r="G90">
        <v>1753</v>
      </c>
      <c r="H90">
        <v>3215</v>
      </c>
      <c r="I90">
        <v>66658</v>
      </c>
      <c r="J90">
        <v>129143</v>
      </c>
      <c r="K90">
        <v>6873</v>
      </c>
      <c r="M90">
        <f t="shared" si="43"/>
        <v>136016</v>
      </c>
      <c r="P90">
        <f t="shared" si="44"/>
        <v>5.0530819903540761E-2</v>
      </c>
      <c r="Q90">
        <f t="shared" si="45"/>
        <v>0.4900746970944595</v>
      </c>
      <c r="R90" t="e">
        <f t="shared" si="46"/>
        <v>#N/A</v>
      </c>
      <c r="S90">
        <f t="shared" si="48"/>
        <v>0.28228571428571431</v>
      </c>
      <c r="T90">
        <f t="shared" si="49"/>
        <v>0.23485714285714285</v>
      </c>
      <c r="U90">
        <f t="shared" si="50"/>
        <v>1.3375642985158002E-2</v>
      </c>
      <c r="V90">
        <f t="shared" si="51"/>
        <v>2.5851300711453865E-2</v>
      </c>
      <c r="W90">
        <f t="shared" si="52"/>
        <v>2.6312629461739366E-2</v>
      </c>
      <c r="X90">
        <f t="shared" si="53"/>
        <v>4.8231270065108467E-2</v>
      </c>
      <c r="Y90" s="1">
        <f t="shared" si="47"/>
        <v>35521</v>
      </c>
      <c r="Z90">
        <f t="shared" si="34"/>
        <v>5.149822916065333E-2</v>
      </c>
      <c r="AA90">
        <f t="shared" si="35"/>
        <v>0.49169472191908542</v>
      </c>
      <c r="AB90" t="e">
        <f t="shared" si="36"/>
        <v>#N/A</v>
      </c>
      <c r="AC90">
        <f t="shared" si="37"/>
        <v>0.28717578998738763</v>
      </c>
      <c r="AD90">
        <f t="shared" si="38"/>
        <v>0.22685476179778885</v>
      </c>
      <c r="AE90">
        <f t="shared" si="39"/>
        <v>1.3393475200210453E-2</v>
      </c>
      <c r="AF90">
        <f t="shared" si="40"/>
        <v>2.6107630097320578E-2</v>
      </c>
      <c r="AG90">
        <f t="shared" si="41"/>
        <v>2.7029264421852578E-2</v>
      </c>
      <c r="AH90">
        <f t="shared" si="42"/>
        <v>4.8560059779617491E-2</v>
      </c>
      <c r="AI90">
        <f t="shared" si="54"/>
        <v>128777.33333333333</v>
      </c>
      <c r="AJ90">
        <f t="shared" si="55"/>
        <v>66756.333333333328</v>
      </c>
      <c r="AK90">
        <f t="shared" si="56"/>
        <v>6991.666666666667</v>
      </c>
    </row>
    <row r="91" spans="1:37" x14ac:dyDescent="0.25">
      <c r="A91" s="1">
        <v>35551</v>
      </c>
      <c r="B91" s="1">
        <v>35551</v>
      </c>
      <c r="C91">
        <v>2051</v>
      </c>
      <c r="D91">
        <v>1593</v>
      </c>
      <c r="E91">
        <v>1639</v>
      </c>
      <c r="F91">
        <v>3328</v>
      </c>
      <c r="G91">
        <v>1764</v>
      </c>
      <c r="H91">
        <v>3172</v>
      </c>
      <c r="I91">
        <v>66713</v>
      </c>
      <c r="J91">
        <v>129464</v>
      </c>
      <c r="K91">
        <v>6655</v>
      </c>
      <c r="M91">
        <f t="shared" si="43"/>
        <v>136119</v>
      </c>
      <c r="P91">
        <f t="shared" si="44"/>
        <v>4.8891043866028987E-2</v>
      </c>
      <c r="Q91">
        <f t="shared" si="45"/>
        <v>0.49010792027564115</v>
      </c>
      <c r="R91" t="e">
        <f t="shared" si="46"/>
        <v>#N/A</v>
      </c>
      <c r="S91">
        <f t="shared" si="48"/>
        <v>0.29841408409719189</v>
      </c>
      <c r="T91">
        <f t="shared" si="49"/>
        <v>0.2317765168048887</v>
      </c>
      <c r="U91">
        <f t="shared" si="50"/>
        <v>1.2691357642303494E-2</v>
      </c>
      <c r="V91">
        <f t="shared" si="51"/>
        <v>2.5769882997917038E-2</v>
      </c>
      <c r="W91">
        <f t="shared" si="52"/>
        <v>2.6463440247232139E-2</v>
      </c>
      <c r="X91">
        <f t="shared" si="53"/>
        <v>4.7546954866367876E-2</v>
      </c>
      <c r="Y91" s="1">
        <f t="shared" si="47"/>
        <v>35551</v>
      </c>
      <c r="Z91">
        <f t="shared" si="34"/>
        <v>5.0311245752136156E-2</v>
      </c>
      <c r="AA91">
        <f t="shared" si="35"/>
        <v>0.49014773128718447</v>
      </c>
      <c r="AB91" t="e">
        <f t="shared" si="36"/>
        <v>#N/A</v>
      </c>
      <c r="AC91">
        <f t="shared" si="37"/>
        <v>0.29006523834203507</v>
      </c>
      <c r="AD91">
        <f t="shared" si="38"/>
        <v>0.22918578104382559</v>
      </c>
      <c r="AE91">
        <f t="shared" si="39"/>
        <v>1.2975894782724739E-2</v>
      </c>
      <c r="AF91">
        <f t="shared" si="40"/>
        <v>2.5874382628840325E-2</v>
      </c>
      <c r="AG91">
        <f t="shared" si="41"/>
        <v>2.6822394391787172E-2</v>
      </c>
      <c r="AH91">
        <f t="shared" si="42"/>
        <v>4.9187640225875413E-2</v>
      </c>
      <c r="AI91">
        <f t="shared" si="54"/>
        <v>129166</v>
      </c>
      <c r="AJ91">
        <f t="shared" si="55"/>
        <v>66664.333333333328</v>
      </c>
      <c r="AK91">
        <f t="shared" si="56"/>
        <v>6842.666666666667</v>
      </c>
    </row>
    <row r="92" spans="1:37" x14ac:dyDescent="0.25">
      <c r="A92" s="1">
        <v>35582</v>
      </c>
      <c r="B92" s="1">
        <v>35582</v>
      </c>
      <c r="C92">
        <v>1990</v>
      </c>
      <c r="D92">
        <v>1538</v>
      </c>
      <c r="E92">
        <v>1865</v>
      </c>
      <c r="F92">
        <v>3353</v>
      </c>
      <c r="G92">
        <v>1781</v>
      </c>
      <c r="H92">
        <v>3075</v>
      </c>
      <c r="I92">
        <v>66789</v>
      </c>
      <c r="J92">
        <v>129412</v>
      </c>
      <c r="K92">
        <v>6799</v>
      </c>
      <c r="M92">
        <f t="shared" si="43"/>
        <v>136211</v>
      </c>
      <c r="P92">
        <f t="shared" si="44"/>
        <v>4.9915205086226516E-2</v>
      </c>
      <c r="Q92">
        <f t="shared" si="45"/>
        <v>0.49033484814001804</v>
      </c>
      <c r="R92" t="e">
        <f t="shared" si="46"/>
        <v>#N/A</v>
      </c>
      <c r="S92">
        <f t="shared" si="48"/>
        <v>0.29902329075882794</v>
      </c>
      <c r="T92">
        <f t="shared" si="49"/>
        <v>0.23110443275732531</v>
      </c>
      <c r="U92">
        <f t="shared" si="50"/>
        <v>1.4405549032935797E-2</v>
      </c>
      <c r="V92">
        <f t="shared" si="51"/>
        <v>2.5899091639374653E-2</v>
      </c>
      <c r="W92">
        <f t="shared" si="52"/>
        <v>2.6696445970050813E-2</v>
      </c>
      <c r="X92">
        <f t="shared" si="53"/>
        <v>4.6040515653775323E-2</v>
      </c>
      <c r="Y92" s="1">
        <f t="shared" si="47"/>
        <v>35582</v>
      </c>
      <c r="Z92">
        <f t="shared" si="34"/>
        <v>4.9779022951932088E-2</v>
      </c>
      <c r="AA92">
        <f t="shared" si="35"/>
        <v>0.49017248850337292</v>
      </c>
      <c r="AB92" t="e">
        <f t="shared" si="36"/>
        <v>#N/A</v>
      </c>
      <c r="AC92">
        <f t="shared" si="37"/>
        <v>0.29324102971391136</v>
      </c>
      <c r="AD92">
        <f t="shared" si="38"/>
        <v>0.23257936413978561</v>
      </c>
      <c r="AE92">
        <f t="shared" si="39"/>
        <v>1.3490849886799097E-2</v>
      </c>
      <c r="AF92">
        <f t="shared" si="40"/>
        <v>2.5840091782915187E-2</v>
      </c>
      <c r="AG92">
        <f t="shared" si="41"/>
        <v>2.6490838559674105E-2</v>
      </c>
      <c r="AH92">
        <f t="shared" si="42"/>
        <v>4.7272913528417219E-2</v>
      </c>
      <c r="AI92">
        <f t="shared" si="54"/>
        <v>129339.66666666667</v>
      </c>
      <c r="AJ92">
        <f t="shared" si="55"/>
        <v>66720</v>
      </c>
      <c r="AK92">
        <f t="shared" si="56"/>
        <v>6775.666666666667</v>
      </c>
    </row>
    <row r="93" spans="1:37" x14ac:dyDescent="0.25">
      <c r="A93" s="1">
        <v>35612</v>
      </c>
      <c r="B93" s="1">
        <v>35612</v>
      </c>
      <c r="C93">
        <v>2097</v>
      </c>
      <c r="D93">
        <v>1539</v>
      </c>
      <c r="E93">
        <v>1685</v>
      </c>
      <c r="F93">
        <v>3157</v>
      </c>
      <c r="G93">
        <v>1788</v>
      </c>
      <c r="H93">
        <v>3096</v>
      </c>
      <c r="I93">
        <v>66689</v>
      </c>
      <c r="J93">
        <v>129822</v>
      </c>
      <c r="K93">
        <v>6655</v>
      </c>
      <c r="M93">
        <f t="shared" si="43"/>
        <v>136477</v>
      </c>
      <c r="P93">
        <f t="shared" si="44"/>
        <v>4.8762795196260172E-2</v>
      </c>
      <c r="Q93">
        <f t="shared" si="45"/>
        <v>0.48864643859404883</v>
      </c>
      <c r="R93" t="e">
        <f t="shared" si="46"/>
        <v>#N/A</v>
      </c>
      <c r="S93">
        <f t="shared" si="48"/>
        <v>0.3084277099573467</v>
      </c>
      <c r="T93">
        <f t="shared" si="49"/>
        <v>0.22635681717899692</v>
      </c>
      <c r="U93">
        <f t="shared" si="50"/>
        <v>1.3020430871943869E-2</v>
      </c>
      <c r="V93">
        <f t="shared" si="51"/>
        <v>2.4394955645535191E-2</v>
      </c>
      <c r="W93">
        <f t="shared" si="52"/>
        <v>2.6770875443561066E-2</v>
      </c>
      <c r="X93">
        <f t="shared" si="53"/>
        <v>4.6424447809983657E-2</v>
      </c>
      <c r="Y93" s="1">
        <f t="shared" si="47"/>
        <v>35612</v>
      </c>
      <c r="Z93">
        <f t="shared" si="34"/>
        <v>4.9189681382838558E-2</v>
      </c>
      <c r="AA93">
        <f t="shared" si="35"/>
        <v>0.4896964023365693</v>
      </c>
      <c r="AB93" t="e">
        <f t="shared" si="36"/>
        <v>#N/A</v>
      </c>
      <c r="AC93">
        <f t="shared" si="37"/>
        <v>0.30195502827112214</v>
      </c>
      <c r="AD93">
        <f t="shared" si="38"/>
        <v>0.22974592224707033</v>
      </c>
      <c r="AE93">
        <f t="shared" si="39"/>
        <v>1.3372445849061054E-2</v>
      </c>
      <c r="AF93">
        <f t="shared" si="40"/>
        <v>2.5354643427608958E-2</v>
      </c>
      <c r="AG93">
        <f t="shared" si="41"/>
        <v>2.6643587220281342E-2</v>
      </c>
      <c r="AH93">
        <f t="shared" si="42"/>
        <v>4.6670639443375621E-2</v>
      </c>
      <c r="AI93">
        <f t="shared" si="54"/>
        <v>129566</v>
      </c>
      <c r="AJ93">
        <f t="shared" si="55"/>
        <v>66730.333333333328</v>
      </c>
      <c r="AK93">
        <f t="shared" si="56"/>
        <v>6703</v>
      </c>
    </row>
    <row r="94" spans="1:37" x14ac:dyDescent="0.25">
      <c r="A94" s="1">
        <v>35643</v>
      </c>
      <c r="B94" s="1">
        <v>35643</v>
      </c>
      <c r="C94">
        <v>1811</v>
      </c>
      <c r="D94">
        <v>1677</v>
      </c>
      <c r="E94">
        <v>1578</v>
      </c>
      <c r="F94">
        <v>3282</v>
      </c>
      <c r="G94">
        <v>1836</v>
      </c>
      <c r="H94">
        <v>3142</v>
      </c>
      <c r="I94">
        <v>66746</v>
      </c>
      <c r="J94">
        <v>130010</v>
      </c>
      <c r="K94">
        <v>6608</v>
      </c>
      <c r="M94">
        <f t="shared" si="43"/>
        <v>136618</v>
      </c>
      <c r="P94">
        <f t="shared" si="44"/>
        <v>4.8368443396916948E-2</v>
      </c>
      <c r="Q94">
        <f t="shared" si="45"/>
        <v>0.48855934064325346</v>
      </c>
      <c r="R94" t="e">
        <f t="shared" si="46"/>
        <v>#N/A</v>
      </c>
      <c r="S94">
        <f t="shared" si="48"/>
        <v>0.27212622088655147</v>
      </c>
      <c r="T94">
        <f t="shared" si="49"/>
        <v>0.25199098422238919</v>
      </c>
      <c r="U94">
        <f t="shared" si="50"/>
        <v>1.2155104681795073E-2</v>
      </c>
      <c r="V94">
        <f t="shared" si="51"/>
        <v>2.5280769053011045E-2</v>
      </c>
      <c r="W94">
        <f t="shared" si="52"/>
        <v>2.7530777189641469E-2</v>
      </c>
      <c r="X94">
        <f t="shared" si="53"/>
        <v>4.7073981961465852E-2</v>
      </c>
      <c r="Y94" s="1">
        <f t="shared" si="47"/>
        <v>35643</v>
      </c>
      <c r="Z94">
        <f t="shared" si="34"/>
        <v>4.9015481226467879E-2</v>
      </c>
      <c r="AA94">
        <f t="shared" si="35"/>
        <v>0.48918020912577348</v>
      </c>
      <c r="AB94" t="e">
        <f t="shared" si="36"/>
        <v>#N/A</v>
      </c>
      <c r="AC94">
        <f t="shared" si="37"/>
        <v>0.29319240720090872</v>
      </c>
      <c r="AD94">
        <f t="shared" si="38"/>
        <v>0.23648407805290381</v>
      </c>
      <c r="AE94">
        <f t="shared" si="39"/>
        <v>1.3193694862224914E-2</v>
      </c>
      <c r="AF94">
        <f t="shared" si="40"/>
        <v>2.5191605445973628E-2</v>
      </c>
      <c r="AG94">
        <f t="shared" si="41"/>
        <v>2.6999366201084452E-2</v>
      </c>
      <c r="AH94">
        <f t="shared" si="42"/>
        <v>4.6512981808408273E-2</v>
      </c>
      <c r="AI94">
        <f t="shared" si="54"/>
        <v>129748</v>
      </c>
      <c r="AJ94">
        <f t="shared" si="55"/>
        <v>66741.333333333328</v>
      </c>
      <c r="AK94">
        <f t="shared" si="56"/>
        <v>6687.333333333333</v>
      </c>
    </row>
    <row r="95" spans="1:37" x14ac:dyDescent="0.25">
      <c r="A95" s="1">
        <v>35674</v>
      </c>
      <c r="B95" s="1">
        <v>35674</v>
      </c>
      <c r="C95">
        <v>1836</v>
      </c>
      <c r="D95">
        <v>1534</v>
      </c>
      <c r="E95">
        <v>1667</v>
      </c>
      <c r="F95">
        <v>3369</v>
      </c>
      <c r="G95">
        <v>1741</v>
      </c>
      <c r="H95">
        <v>3074</v>
      </c>
      <c r="I95">
        <v>66895</v>
      </c>
      <c r="J95">
        <v>130019</v>
      </c>
      <c r="K95">
        <v>6656</v>
      </c>
      <c r="M95">
        <f t="shared" si="43"/>
        <v>136675</v>
      </c>
      <c r="P95">
        <f t="shared" si="44"/>
        <v>4.8699469544539964E-2</v>
      </c>
      <c r="Q95">
        <f t="shared" si="45"/>
        <v>0.4894457655021035</v>
      </c>
      <c r="R95" t="e">
        <f t="shared" si="46"/>
        <v>#N/A</v>
      </c>
      <c r="S95">
        <f t="shared" si="48"/>
        <v>0.2778450363196126</v>
      </c>
      <c r="T95">
        <f t="shared" si="49"/>
        <v>0.23214285714285715</v>
      </c>
      <c r="U95">
        <f t="shared" si="50"/>
        <v>1.2822090608414737E-2</v>
      </c>
      <c r="V95">
        <f t="shared" si="51"/>
        <v>2.5913391277594032E-2</v>
      </c>
      <c r="W95">
        <f t="shared" si="52"/>
        <v>2.6083960087495878E-2</v>
      </c>
      <c r="X95">
        <f t="shared" si="53"/>
        <v>4.5952612302862697E-2</v>
      </c>
      <c r="Y95" s="1">
        <f t="shared" si="47"/>
        <v>35674</v>
      </c>
      <c r="Z95">
        <f t="shared" si="34"/>
        <v>4.8610236045905697E-2</v>
      </c>
      <c r="AA95">
        <f t="shared" si="35"/>
        <v>0.48888384824646858</v>
      </c>
      <c r="AB95" t="e">
        <f t="shared" si="36"/>
        <v>#N/A</v>
      </c>
      <c r="AC95">
        <f t="shared" si="37"/>
        <v>0.28613298905450363</v>
      </c>
      <c r="AD95">
        <f t="shared" si="38"/>
        <v>0.23683021951474773</v>
      </c>
      <c r="AE95">
        <f t="shared" si="39"/>
        <v>1.266587538738456E-2</v>
      </c>
      <c r="AF95">
        <f t="shared" si="40"/>
        <v>2.5196371992046756E-2</v>
      </c>
      <c r="AG95">
        <f t="shared" si="41"/>
        <v>2.6795204240232805E-2</v>
      </c>
      <c r="AH95">
        <f t="shared" si="42"/>
        <v>4.64836806914374E-2</v>
      </c>
      <c r="AI95">
        <f t="shared" si="54"/>
        <v>129950.33333333333</v>
      </c>
      <c r="AJ95">
        <f t="shared" si="55"/>
        <v>66776.666666666672</v>
      </c>
      <c r="AK95">
        <f t="shared" si="56"/>
        <v>6639.666666666667</v>
      </c>
    </row>
    <row r="96" spans="1:37" x14ac:dyDescent="0.25">
      <c r="A96" s="1">
        <v>35704</v>
      </c>
      <c r="B96" s="1">
        <v>35704</v>
      </c>
      <c r="C96">
        <v>1953</v>
      </c>
      <c r="D96">
        <v>1587</v>
      </c>
      <c r="E96">
        <v>1691</v>
      </c>
      <c r="F96">
        <v>3303</v>
      </c>
      <c r="G96">
        <v>1622</v>
      </c>
      <c r="H96">
        <v>3113</v>
      </c>
      <c r="I96">
        <v>67134</v>
      </c>
      <c r="J96">
        <v>130179</v>
      </c>
      <c r="K96">
        <v>6454</v>
      </c>
      <c r="M96">
        <f t="shared" si="43"/>
        <v>136633</v>
      </c>
      <c r="P96">
        <f t="shared" si="44"/>
        <v>4.7236026435780523E-2</v>
      </c>
      <c r="Q96">
        <f t="shared" si="45"/>
        <v>0.49134542899592337</v>
      </c>
      <c r="R96" t="e">
        <f t="shared" si="46"/>
        <v>#N/A</v>
      </c>
      <c r="S96">
        <f t="shared" si="48"/>
        <v>0.29341947115384615</v>
      </c>
      <c r="T96">
        <f t="shared" si="49"/>
        <v>0.23843149038461539</v>
      </c>
      <c r="U96">
        <f t="shared" si="50"/>
        <v>1.3005791461247971E-2</v>
      </c>
      <c r="V96">
        <f t="shared" si="51"/>
        <v>2.5403979418392696E-2</v>
      </c>
      <c r="W96">
        <f t="shared" si="52"/>
        <v>2.4246954181926902E-2</v>
      </c>
      <c r="X96">
        <f t="shared" si="53"/>
        <v>4.6369946673816546E-2</v>
      </c>
      <c r="Y96" s="1">
        <f t="shared" si="47"/>
        <v>35704</v>
      </c>
      <c r="Z96">
        <f t="shared" si="34"/>
        <v>4.8101313125745816E-2</v>
      </c>
      <c r="AA96">
        <f t="shared" si="35"/>
        <v>0.48978351171376011</v>
      </c>
      <c r="AB96" t="e">
        <f t="shared" si="36"/>
        <v>#N/A</v>
      </c>
      <c r="AC96">
        <f t="shared" si="37"/>
        <v>0.28113024278667009</v>
      </c>
      <c r="AD96">
        <f t="shared" si="38"/>
        <v>0.24085511058328724</v>
      </c>
      <c r="AE96">
        <f t="shared" si="39"/>
        <v>1.266099558381926E-2</v>
      </c>
      <c r="AF96">
        <f t="shared" si="40"/>
        <v>2.5532713249665922E-2</v>
      </c>
      <c r="AG96">
        <f t="shared" si="41"/>
        <v>2.5953897153021419E-2</v>
      </c>
      <c r="AH96">
        <f t="shared" si="42"/>
        <v>4.6465513646048368E-2</v>
      </c>
      <c r="AI96">
        <f t="shared" si="54"/>
        <v>130069.33333333333</v>
      </c>
      <c r="AJ96">
        <f t="shared" si="55"/>
        <v>66925</v>
      </c>
      <c r="AK96">
        <f t="shared" si="56"/>
        <v>6572.666666666667</v>
      </c>
    </row>
    <row r="97" spans="1:37" x14ac:dyDescent="0.25">
      <c r="A97" s="1">
        <v>35735</v>
      </c>
      <c r="B97" s="1">
        <v>35735</v>
      </c>
      <c r="C97">
        <v>1900</v>
      </c>
      <c r="D97">
        <v>1511</v>
      </c>
      <c r="E97">
        <v>1596</v>
      </c>
      <c r="F97">
        <v>3309</v>
      </c>
      <c r="G97">
        <v>1649</v>
      </c>
      <c r="H97">
        <v>3381</v>
      </c>
      <c r="I97">
        <v>66980</v>
      </c>
      <c r="J97">
        <v>130653</v>
      </c>
      <c r="K97">
        <v>6308</v>
      </c>
      <c r="M97">
        <f t="shared" si="43"/>
        <v>136961</v>
      </c>
      <c r="P97">
        <f t="shared" si="44"/>
        <v>4.6056906710669462E-2</v>
      </c>
      <c r="Q97">
        <f t="shared" si="45"/>
        <v>0.48904432648710217</v>
      </c>
      <c r="R97" t="e">
        <f t="shared" si="46"/>
        <v>#N/A</v>
      </c>
      <c r="S97">
        <f t="shared" si="48"/>
        <v>0.29439107530213821</v>
      </c>
      <c r="T97">
        <f t="shared" si="49"/>
        <v>0.23411837620080569</v>
      </c>
      <c r="U97">
        <f t="shared" si="50"/>
        <v>1.2260041942248751E-2</v>
      </c>
      <c r="V97">
        <f t="shared" si="51"/>
        <v>2.5418846357707463E-2</v>
      </c>
      <c r="W97">
        <f t="shared" si="52"/>
        <v>2.4562814669169125E-2</v>
      </c>
      <c r="X97">
        <f t="shared" si="53"/>
        <v>5.0477754553598091E-2</v>
      </c>
      <c r="Y97" s="1">
        <f t="shared" si="47"/>
        <v>35735</v>
      </c>
      <c r="Z97">
        <f t="shared" si="34"/>
        <v>4.733080089699665E-2</v>
      </c>
      <c r="AA97">
        <f t="shared" si="35"/>
        <v>0.4899451736617097</v>
      </c>
      <c r="AB97" t="e">
        <f t="shared" si="36"/>
        <v>#N/A</v>
      </c>
      <c r="AC97">
        <f t="shared" si="37"/>
        <v>0.28855186092519897</v>
      </c>
      <c r="AD97">
        <f t="shared" si="38"/>
        <v>0.23489757457609273</v>
      </c>
      <c r="AE97">
        <f t="shared" si="39"/>
        <v>1.2695974670637154E-2</v>
      </c>
      <c r="AF97">
        <f t="shared" si="40"/>
        <v>2.5578739017898061E-2</v>
      </c>
      <c r="AG97">
        <f t="shared" si="41"/>
        <v>2.496457631286397E-2</v>
      </c>
      <c r="AH97">
        <f t="shared" si="42"/>
        <v>4.7600104510092445E-2</v>
      </c>
      <c r="AI97">
        <f t="shared" si="54"/>
        <v>130283.66666666667</v>
      </c>
      <c r="AJ97">
        <f t="shared" si="55"/>
        <v>67003</v>
      </c>
      <c r="AK97">
        <f t="shared" si="56"/>
        <v>6472.666666666667</v>
      </c>
    </row>
    <row r="98" spans="1:37" x14ac:dyDescent="0.25">
      <c r="A98" s="1">
        <v>35765</v>
      </c>
      <c r="B98" s="1">
        <v>35765</v>
      </c>
      <c r="C98">
        <v>1997</v>
      </c>
      <c r="D98">
        <v>1478</v>
      </c>
      <c r="E98">
        <v>1880</v>
      </c>
      <c r="F98">
        <v>3567</v>
      </c>
      <c r="G98">
        <v>1747</v>
      </c>
      <c r="H98">
        <v>3402</v>
      </c>
      <c r="I98">
        <v>66943</v>
      </c>
      <c r="J98">
        <v>130679</v>
      </c>
      <c r="K98">
        <v>6476</v>
      </c>
      <c r="M98">
        <f t="shared" si="43"/>
        <v>137155</v>
      </c>
      <c r="P98">
        <f t="shared" si="44"/>
        <v>4.7216652692209544E-2</v>
      </c>
      <c r="Q98">
        <f t="shared" si="45"/>
        <v>0.48808282599978126</v>
      </c>
      <c r="R98" t="e">
        <f t="shared" si="46"/>
        <v>#N/A</v>
      </c>
      <c r="S98">
        <f t="shared" si="48"/>
        <v>0.31658211794546609</v>
      </c>
      <c r="T98">
        <f t="shared" si="49"/>
        <v>0.23430564362714015</v>
      </c>
      <c r="U98">
        <f t="shared" si="50"/>
        <v>1.4389260101184052E-2</v>
      </c>
      <c r="V98">
        <f t="shared" si="51"/>
        <v>2.7301324883469955E-2</v>
      </c>
      <c r="W98">
        <f t="shared" si="52"/>
        <v>2.6082412660495671E-2</v>
      </c>
      <c r="X98">
        <f t="shared" si="53"/>
        <v>5.0819353778587754E-2</v>
      </c>
      <c r="Y98" s="1">
        <f t="shared" si="47"/>
        <v>35765</v>
      </c>
      <c r="Z98">
        <f t="shared" ref="Z98:Z161" si="57">IF(ISNUMBER(P96),AVERAGE(P96:P98),NA())</f>
        <v>4.6836528612886508E-2</v>
      </c>
      <c r="AA98">
        <f t="shared" si="35"/>
        <v>0.48949086049426893</v>
      </c>
      <c r="AB98" t="e">
        <f t="shared" si="36"/>
        <v>#N/A</v>
      </c>
      <c r="AC98">
        <f t="shared" si="37"/>
        <v>0.30146422146715018</v>
      </c>
      <c r="AD98">
        <f t="shared" si="38"/>
        <v>0.23561850340418708</v>
      </c>
      <c r="AE98">
        <f t="shared" si="39"/>
        <v>1.3218364501560257E-2</v>
      </c>
      <c r="AF98">
        <f t="shared" si="40"/>
        <v>2.6041383553190037E-2</v>
      </c>
      <c r="AG98">
        <f t="shared" si="41"/>
        <v>2.4964060503863902E-2</v>
      </c>
      <c r="AH98">
        <f t="shared" si="42"/>
        <v>4.9222351668667459E-2</v>
      </c>
      <c r="AI98">
        <f t="shared" si="54"/>
        <v>130503.66666666667</v>
      </c>
      <c r="AJ98">
        <f t="shared" si="55"/>
        <v>67019</v>
      </c>
      <c r="AK98">
        <f t="shared" si="56"/>
        <v>6412.666666666667</v>
      </c>
    </row>
    <row r="99" spans="1:37" x14ac:dyDescent="0.25">
      <c r="A99" s="1">
        <v>35796</v>
      </c>
      <c r="B99" s="1">
        <v>35796</v>
      </c>
      <c r="C99">
        <v>1896</v>
      </c>
      <c r="D99">
        <v>1552</v>
      </c>
      <c r="E99">
        <v>1685</v>
      </c>
      <c r="F99">
        <v>3453</v>
      </c>
      <c r="G99">
        <v>1641</v>
      </c>
      <c r="H99">
        <v>3226</v>
      </c>
      <c r="I99">
        <v>67143</v>
      </c>
      <c r="J99">
        <v>130726</v>
      </c>
      <c r="K99">
        <v>6368</v>
      </c>
      <c r="M99">
        <f t="shared" si="43"/>
        <v>137094</v>
      </c>
      <c r="P99">
        <f t="shared" si="44"/>
        <v>4.6449881103476448E-2</v>
      </c>
      <c r="Q99">
        <f t="shared" si="45"/>
        <v>0.48975885159087923</v>
      </c>
      <c r="R99" t="e">
        <f t="shared" si="46"/>
        <v>#N/A</v>
      </c>
      <c r="S99">
        <f t="shared" si="48"/>
        <v>0.29277331686226066</v>
      </c>
      <c r="T99">
        <f t="shared" si="49"/>
        <v>0.23965410747374924</v>
      </c>
      <c r="U99">
        <f t="shared" si="50"/>
        <v>1.2894191109512622E-2</v>
      </c>
      <c r="V99">
        <f t="shared" si="51"/>
        <v>2.6423526350829132E-2</v>
      </c>
      <c r="W99">
        <f t="shared" si="52"/>
        <v>2.4513391990200618E-2</v>
      </c>
      <c r="X99">
        <f t="shared" si="53"/>
        <v>4.8046706283603649E-2</v>
      </c>
      <c r="Y99" s="1">
        <f t="shared" si="47"/>
        <v>35796</v>
      </c>
      <c r="Z99">
        <f t="shared" si="57"/>
        <v>4.6574480168785154E-2</v>
      </c>
      <c r="AA99">
        <f t="shared" ref="AA99:AA162" si="58">IF(ISNUMBER(Q97),AVERAGE(Q97:Q99),NA())</f>
        <v>0.48896200135925422</v>
      </c>
      <c r="AB99" t="e">
        <f t="shared" ref="AB99:AB162" si="59">IF(ISNUMBER(R97),AVERAGE(R97:R99),NA())</f>
        <v>#N/A</v>
      </c>
      <c r="AC99">
        <f t="shared" ref="AC99:AC162" si="60">IF(ISNUMBER(S97),AVERAGE(S97:S99),NA())</f>
        <v>0.30124883670328834</v>
      </c>
      <c r="AD99">
        <f t="shared" ref="AD99:AD162" si="61">IF(ISNUMBER(T97),AVERAGE(T97:T99),NA())</f>
        <v>0.23602604243389835</v>
      </c>
      <c r="AE99">
        <f t="shared" ref="AE99:AE162" si="62">IF(ISNUMBER(U97),AVERAGE(U97:U99),NA())</f>
        <v>1.3181164384315143E-2</v>
      </c>
      <c r="AF99">
        <f t="shared" ref="AF99:AF162" si="63">IF(ISNUMBER(V97),AVERAGE(V97:V99),NA())</f>
        <v>2.638123253066885E-2</v>
      </c>
      <c r="AG99">
        <f t="shared" ref="AG99:AG162" si="64">IF(ISNUMBER(W97),AVERAGE(W97:W99),NA())</f>
        <v>2.5052873106621808E-2</v>
      </c>
      <c r="AH99">
        <f t="shared" ref="AH99:AH162" si="65">IF(ISNUMBER(X97),AVERAGE(X97:X99),NA())</f>
        <v>4.9781271538596496E-2</v>
      </c>
      <c r="AI99">
        <f t="shared" si="54"/>
        <v>130686</v>
      </c>
      <c r="AJ99">
        <f t="shared" si="55"/>
        <v>67022</v>
      </c>
      <c r="AK99">
        <f t="shared" si="56"/>
        <v>6384</v>
      </c>
    </row>
    <row r="100" spans="1:37" x14ac:dyDescent="0.25">
      <c r="A100" s="1">
        <v>35827</v>
      </c>
      <c r="B100" s="1">
        <v>35827</v>
      </c>
      <c r="C100">
        <v>1954</v>
      </c>
      <c r="D100">
        <v>1606</v>
      </c>
      <c r="E100">
        <v>1750</v>
      </c>
      <c r="F100">
        <v>3377</v>
      </c>
      <c r="G100">
        <v>1723</v>
      </c>
      <c r="H100">
        <v>3202</v>
      </c>
      <c r="I100">
        <v>67288</v>
      </c>
      <c r="J100">
        <v>130807</v>
      </c>
      <c r="K100">
        <v>6306</v>
      </c>
      <c r="M100">
        <f t="shared" si="43"/>
        <v>137113</v>
      </c>
      <c r="P100">
        <f t="shared" si="44"/>
        <v>4.5991262681146207E-2</v>
      </c>
      <c r="Q100">
        <f t="shared" si="45"/>
        <v>0.4907485067061475</v>
      </c>
      <c r="R100" t="e">
        <f t="shared" si="46"/>
        <v>#N/A</v>
      </c>
      <c r="S100">
        <f t="shared" si="48"/>
        <v>0.3068467336683417</v>
      </c>
      <c r="T100">
        <f t="shared" si="49"/>
        <v>0.25219849246231157</v>
      </c>
      <c r="U100">
        <f t="shared" si="50"/>
        <v>1.3386778452641402E-2</v>
      </c>
      <c r="V100">
        <f t="shared" si="51"/>
        <v>2.5832657619754295E-2</v>
      </c>
      <c r="W100">
        <f t="shared" si="52"/>
        <v>2.5661647528409513E-2</v>
      </c>
      <c r="X100">
        <f t="shared" si="53"/>
        <v>4.7586493877065747E-2</v>
      </c>
      <c r="Y100" s="1">
        <f t="shared" si="47"/>
        <v>35827</v>
      </c>
      <c r="Z100">
        <f t="shared" si="57"/>
        <v>4.6552598825610726E-2</v>
      </c>
      <c r="AA100">
        <f t="shared" si="58"/>
        <v>0.48953006143226929</v>
      </c>
      <c r="AB100" t="e">
        <f t="shared" si="59"/>
        <v>#N/A</v>
      </c>
      <c r="AC100">
        <f t="shared" si="60"/>
        <v>0.30540072282535619</v>
      </c>
      <c r="AD100">
        <f t="shared" si="61"/>
        <v>0.24205274785440034</v>
      </c>
      <c r="AE100">
        <f t="shared" si="62"/>
        <v>1.3556743221112694E-2</v>
      </c>
      <c r="AF100">
        <f t="shared" si="63"/>
        <v>2.6519169618017795E-2</v>
      </c>
      <c r="AG100">
        <f t="shared" si="64"/>
        <v>2.5419150726368602E-2</v>
      </c>
      <c r="AH100">
        <f t="shared" si="65"/>
        <v>4.8817517979752388E-2</v>
      </c>
      <c r="AI100">
        <f t="shared" si="54"/>
        <v>130737.33333333333</v>
      </c>
      <c r="AJ100">
        <f t="shared" si="55"/>
        <v>67124.666666666672</v>
      </c>
      <c r="AK100">
        <f t="shared" si="56"/>
        <v>6383.333333333333</v>
      </c>
    </row>
    <row r="101" spans="1:37" x14ac:dyDescent="0.25">
      <c r="A101" s="1">
        <v>35855</v>
      </c>
      <c r="B101" s="1">
        <v>35855</v>
      </c>
      <c r="C101">
        <v>1876</v>
      </c>
      <c r="D101">
        <v>1587</v>
      </c>
      <c r="E101">
        <v>1781</v>
      </c>
      <c r="F101">
        <v>3432</v>
      </c>
      <c r="G101">
        <v>1780</v>
      </c>
      <c r="H101">
        <v>3272</v>
      </c>
      <c r="I101">
        <v>67311</v>
      </c>
      <c r="J101">
        <v>130814</v>
      </c>
      <c r="K101">
        <v>6422</v>
      </c>
      <c r="M101">
        <f t="shared" si="43"/>
        <v>137236</v>
      </c>
      <c r="P101">
        <f t="shared" si="44"/>
        <v>4.6795301524381355E-2</v>
      </c>
      <c r="Q101">
        <f t="shared" si="45"/>
        <v>0.49047625987350257</v>
      </c>
      <c r="R101" t="e">
        <f t="shared" si="46"/>
        <v>#N/A</v>
      </c>
      <c r="S101">
        <f t="shared" si="48"/>
        <v>0.2974944497304155</v>
      </c>
      <c r="T101">
        <f t="shared" si="49"/>
        <v>0.25166508087535683</v>
      </c>
      <c r="U101">
        <f t="shared" si="50"/>
        <v>1.361547929392158E-2</v>
      </c>
      <c r="V101">
        <f t="shared" si="51"/>
        <v>2.6237127982447421E-2</v>
      </c>
      <c r="W101">
        <f t="shared" si="52"/>
        <v>2.6453453810486267E-2</v>
      </c>
      <c r="X101">
        <f t="shared" si="53"/>
        <v>4.8610182585312953E-2</v>
      </c>
      <c r="Y101" s="1">
        <f t="shared" si="47"/>
        <v>35855</v>
      </c>
      <c r="Z101">
        <f t="shared" si="57"/>
        <v>4.641214843633467E-2</v>
      </c>
      <c r="AA101">
        <f t="shared" si="58"/>
        <v>0.49032787272350981</v>
      </c>
      <c r="AB101" t="e">
        <f t="shared" si="59"/>
        <v>#N/A</v>
      </c>
      <c r="AC101">
        <f t="shared" si="60"/>
        <v>0.29903816675367262</v>
      </c>
      <c r="AD101">
        <f t="shared" si="61"/>
        <v>0.24783922693713922</v>
      </c>
      <c r="AE101">
        <f t="shared" si="62"/>
        <v>1.3298816285358535E-2</v>
      </c>
      <c r="AF101">
        <f t="shared" si="63"/>
        <v>2.6164437317676953E-2</v>
      </c>
      <c r="AG101">
        <f t="shared" si="64"/>
        <v>2.5542831109698797E-2</v>
      </c>
      <c r="AH101">
        <f t="shared" si="65"/>
        <v>4.8081127581994121E-2</v>
      </c>
      <c r="AI101">
        <f t="shared" si="54"/>
        <v>130782.33333333333</v>
      </c>
      <c r="AJ101">
        <f t="shared" si="55"/>
        <v>67247.333333333328</v>
      </c>
      <c r="AK101">
        <f t="shared" si="56"/>
        <v>6365.333333333333</v>
      </c>
    </row>
    <row r="102" spans="1:37" x14ac:dyDescent="0.25">
      <c r="A102" s="1">
        <v>35886</v>
      </c>
      <c r="B102" s="1">
        <v>35886</v>
      </c>
      <c r="C102">
        <v>2060</v>
      </c>
      <c r="D102">
        <v>1582</v>
      </c>
      <c r="E102">
        <v>1586</v>
      </c>
      <c r="F102">
        <v>3463</v>
      </c>
      <c r="G102">
        <v>1557</v>
      </c>
      <c r="H102">
        <v>3288</v>
      </c>
      <c r="I102">
        <v>67581</v>
      </c>
      <c r="J102">
        <v>131209</v>
      </c>
      <c r="K102">
        <v>5941</v>
      </c>
      <c r="M102">
        <f t="shared" si="43"/>
        <v>137150</v>
      </c>
      <c r="P102">
        <f t="shared" si="44"/>
        <v>4.3317535545023697E-2</v>
      </c>
      <c r="Q102">
        <f t="shared" si="45"/>
        <v>0.49275246080933283</v>
      </c>
      <c r="R102" t="e">
        <f t="shared" si="46"/>
        <v>#N/A</v>
      </c>
      <c r="S102">
        <f t="shared" si="48"/>
        <v>0.32077234506384306</v>
      </c>
      <c r="T102">
        <f t="shared" si="49"/>
        <v>0.24634070383058237</v>
      </c>
      <c r="U102">
        <f t="shared" si="50"/>
        <v>1.2124084578103262E-2</v>
      </c>
      <c r="V102">
        <f t="shared" si="51"/>
        <v>2.6472701698594951E-2</v>
      </c>
      <c r="W102">
        <f t="shared" si="52"/>
        <v>2.3131434683781253E-2</v>
      </c>
      <c r="X102">
        <f t="shared" si="53"/>
        <v>4.8652727837705863E-2</v>
      </c>
      <c r="Y102" s="1">
        <f t="shared" si="47"/>
        <v>35886</v>
      </c>
      <c r="Z102">
        <f t="shared" si="57"/>
        <v>4.5368033250183758E-2</v>
      </c>
      <c r="AA102">
        <f t="shared" si="58"/>
        <v>0.49132574246299426</v>
      </c>
      <c r="AB102" t="e">
        <f t="shared" si="59"/>
        <v>#N/A</v>
      </c>
      <c r="AC102">
        <f t="shared" si="60"/>
        <v>0.30837117615420007</v>
      </c>
      <c r="AD102">
        <f t="shared" si="61"/>
        <v>0.25006809238941691</v>
      </c>
      <c r="AE102">
        <f t="shared" si="62"/>
        <v>1.3042114108222079E-2</v>
      </c>
      <c r="AF102">
        <f t="shared" si="63"/>
        <v>2.6180829100265552E-2</v>
      </c>
      <c r="AG102">
        <f t="shared" si="64"/>
        <v>2.5082178674225675E-2</v>
      </c>
      <c r="AH102">
        <f t="shared" si="65"/>
        <v>4.8283134766694852E-2</v>
      </c>
      <c r="AI102">
        <f t="shared" si="54"/>
        <v>130943.33333333333</v>
      </c>
      <c r="AJ102">
        <f t="shared" si="55"/>
        <v>67393.333333333328</v>
      </c>
      <c r="AK102">
        <f t="shared" si="56"/>
        <v>6223</v>
      </c>
    </row>
    <row r="103" spans="1:37" x14ac:dyDescent="0.25">
      <c r="A103" s="1">
        <v>35916</v>
      </c>
      <c r="B103" s="1">
        <v>35916</v>
      </c>
      <c r="C103">
        <v>1759</v>
      </c>
      <c r="D103">
        <v>1432</v>
      </c>
      <c r="E103">
        <v>1656</v>
      </c>
      <c r="F103">
        <v>3417</v>
      </c>
      <c r="G103">
        <v>1627</v>
      </c>
      <c r="H103">
        <v>3331</v>
      </c>
      <c r="I103">
        <v>67527</v>
      </c>
      <c r="J103">
        <v>131325</v>
      </c>
      <c r="K103">
        <v>6047</v>
      </c>
      <c r="M103">
        <f t="shared" si="43"/>
        <v>137372</v>
      </c>
      <c r="P103">
        <f t="shared" si="44"/>
        <v>4.4019159654077981E-2</v>
      </c>
      <c r="Q103">
        <f t="shared" si="45"/>
        <v>0.49156305506216696</v>
      </c>
      <c r="R103" t="e">
        <f t="shared" si="46"/>
        <v>#N/A</v>
      </c>
      <c r="S103">
        <f t="shared" si="48"/>
        <v>0.29607810132974249</v>
      </c>
      <c r="T103">
        <f t="shared" si="49"/>
        <v>0.24103686248106379</v>
      </c>
      <c r="U103">
        <f t="shared" si="50"/>
        <v>1.2621085443833883E-2</v>
      </c>
      <c r="V103">
        <f t="shared" si="51"/>
        <v>2.6042420870519552E-2</v>
      </c>
      <c r="W103">
        <f t="shared" si="52"/>
        <v>2.4074813926991314E-2</v>
      </c>
      <c r="X103">
        <f t="shared" si="53"/>
        <v>4.9328416781435576E-2</v>
      </c>
      <c r="Y103" s="1">
        <f t="shared" si="47"/>
        <v>35916</v>
      </c>
      <c r="Z103">
        <f t="shared" si="57"/>
        <v>4.4710665574494345E-2</v>
      </c>
      <c r="AA103">
        <f t="shared" si="58"/>
        <v>0.49159725858166747</v>
      </c>
      <c r="AB103" t="e">
        <f t="shared" si="59"/>
        <v>#N/A</v>
      </c>
      <c r="AC103">
        <f t="shared" si="60"/>
        <v>0.30478163204133368</v>
      </c>
      <c r="AD103">
        <f t="shared" si="61"/>
        <v>0.24634754906233433</v>
      </c>
      <c r="AE103">
        <f t="shared" si="62"/>
        <v>1.2786883105286242E-2</v>
      </c>
      <c r="AF103">
        <f t="shared" si="63"/>
        <v>2.6250750183853977E-2</v>
      </c>
      <c r="AG103">
        <f t="shared" si="64"/>
        <v>2.4553234140419614E-2</v>
      </c>
      <c r="AH103">
        <f t="shared" si="65"/>
        <v>4.8863775734818128E-2</v>
      </c>
      <c r="AI103">
        <f t="shared" si="54"/>
        <v>131116</v>
      </c>
      <c r="AJ103">
        <f t="shared" si="55"/>
        <v>67473</v>
      </c>
      <c r="AK103">
        <f t="shared" si="56"/>
        <v>6136.666666666667</v>
      </c>
    </row>
    <row r="104" spans="1:37" x14ac:dyDescent="0.25">
      <c r="A104" s="1">
        <v>35947</v>
      </c>
      <c r="B104" s="1">
        <v>35947</v>
      </c>
      <c r="C104">
        <v>1892</v>
      </c>
      <c r="D104">
        <v>1331</v>
      </c>
      <c r="E104">
        <v>1661</v>
      </c>
      <c r="F104">
        <v>3620</v>
      </c>
      <c r="G104">
        <v>1704</v>
      </c>
      <c r="H104">
        <v>3196</v>
      </c>
      <c r="I104">
        <v>67630</v>
      </c>
      <c r="J104">
        <v>131244</v>
      </c>
      <c r="K104">
        <v>6212</v>
      </c>
      <c r="M104">
        <f t="shared" si="43"/>
        <v>137456</v>
      </c>
      <c r="P104">
        <f t="shared" si="44"/>
        <v>4.5192643464090326E-2</v>
      </c>
      <c r="Q104">
        <f t="shared" si="45"/>
        <v>0.49201198929111861</v>
      </c>
      <c r="R104" t="e">
        <f t="shared" si="46"/>
        <v>#N/A</v>
      </c>
      <c r="S104">
        <f t="shared" si="48"/>
        <v>0.31288242103522407</v>
      </c>
      <c r="T104">
        <f t="shared" si="49"/>
        <v>0.22010914503059367</v>
      </c>
      <c r="U104">
        <f t="shared" si="50"/>
        <v>1.264801066057491E-2</v>
      </c>
      <c r="V104">
        <f t="shared" si="51"/>
        <v>2.7565200837616599E-2</v>
      </c>
      <c r="W104">
        <f t="shared" si="52"/>
        <v>2.5234350704162779E-2</v>
      </c>
      <c r="X104">
        <f t="shared" si="53"/>
        <v>4.7257134407807183E-2</v>
      </c>
      <c r="Y104" s="1">
        <f t="shared" si="47"/>
        <v>35947</v>
      </c>
      <c r="Z104">
        <f t="shared" si="57"/>
        <v>4.4176446221064002E-2</v>
      </c>
      <c r="AA104">
        <f t="shared" si="58"/>
        <v>0.49210916838753943</v>
      </c>
      <c r="AB104" t="e">
        <f t="shared" si="59"/>
        <v>#N/A</v>
      </c>
      <c r="AC104">
        <f t="shared" si="60"/>
        <v>0.30991095580960321</v>
      </c>
      <c r="AD104">
        <f t="shared" si="61"/>
        <v>0.23582890378074661</v>
      </c>
      <c r="AE104">
        <f t="shared" si="62"/>
        <v>1.2464393560837351E-2</v>
      </c>
      <c r="AF104">
        <f t="shared" si="63"/>
        <v>2.6693441135577034E-2</v>
      </c>
      <c r="AG104">
        <f t="shared" si="64"/>
        <v>2.4146866438311782E-2</v>
      </c>
      <c r="AH104">
        <f t="shared" si="65"/>
        <v>4.8412759675649543E-2</v>
      </c>
      <c r="AI104">
        <f t="shared" si="54"/>
        <v>131259.33333333334</v>
      </c>
      <c r="AJ104">
        <f t="shared" si="55"/>
        <v>67579.333333333328</v>
      </c>
      <c r="AK104">
        <f t="shared" si="56"/>
        <v>6066.666666666667</v>
      </c>
    </row>
    <row r="105" spans="1:37" x14ac:dyDescent="0.25">
      <c r="A105" s="1">
        <v>35977</v>
      </c>
      <c r="B105" s="1">
        <v>35977</v>
      </c>
      <c r="C105">
        <v>1883</v>
      </c>
      <c r="D105">
        <v>1473</v>
      </c>
      <c r="E105">
        <v>1739</v>
      </c>
      <c r="F105">
        <v>3531</v>
      </c>
      <c r="G105">
        <v>1654</v>
      </c>
      <c r="H105">
        <v>3391</v>
      </c>
      <c r="I105">
        <v>67682</v>
      </c>
      <c r="J105">
        <v>131329</v>
      </c>
      <c r="K105">
        <v>6259</v>
      </c>
      <c r="M105">
        <f t="shared" si="43"/>
        <v>137588</v>
      </c>
      <c r="P105">
        <f t="shared" si="44"/>
        <v>4.5490885833066839E-2</v>
      </c>
      <c r="Q105">
        <f t="shared" si="45"/>
        <v>0.49191789981684447</v>
      </c>
      <c r="R105" t="e">
        <f t="shared" si="46"/>
        <v>#N/A</v>
      </c>
      <c r="S105">
        <f t="shared" si="48"/>
        <v>0.30312298776561492</v>
      </c>
      <c r="T105">
        <f t="shared" si="49"/>
        <v>0.2371216999356085</v>
      </c>
      <c r="U105">
        <f t="shared" si="50"/>
        <v>1.3250129529730884E-2</v>
      </c>
      <c r="V105">
        <f t="shared" si="51"/>
        <v>2.6904087043979154E-2</v>
      </c>
      <c r="W105">
        <f t="shared" si="52"/>
        <v>2.4456602099659913E-2</v>
      </c>
      <c r="X105">
        <f t="shared" si="53"/>
        <v>5.0101947341981617E-2</v>
      </c>
      <c r="Y105" s="1">
        <f t="shared" si="47"/>
        <v>35977</v>
      </c>
      <c r="Z105">
        <f t="shared" si="57"/>
        <v>4.4900896317078387E-2</v>
      </c>
      <c r="AA105">
        <f t="shared" si="58"/>
        <v>0.49183098139004339</v>
      </c>
      <c r="AB105" t="e">
        <f t="shared" si="59"/>
        <v>#N/A</v>
      </c>
      <c r="AC105">
        <f t="shared" si="60"/>
        <v>0.30402783671019384</v>
      </c>
      <c r="AD105">
        <f t="shared" si="61"/>
        <v>0.23275590248242198</v>
      </c>
      <c r="AE105">
        <f t="shared" si="62"/>
        <v>1.2839741878046559E-2</v>
      </c>
      <c r="AF105">
        <f t="shared" si="63"/>
        <v>2.6837236250705099E-2</v>
      </c>
      <c r="AG105">
        <f t="shared" si="64"/>
        <v>2.4588588910271336E-2</v>
      </c>
      <c r="AH105">
        <f t="shared" si="65"/>
        <v>4.8895832843741459E-2</v>
      </c>
      <c r="AI105">
        <f t="shared" si="54"/>
        <v>131299.33333333334</v>
      </c>
      <c r="AJ105">
        <f t="shared" si="55"/>
        <v>67613</v>
      </c>
      <c r="AK105">
        <f t="shared" si="56"/>
        <v>6172.666666666667</v>
      </c>
    </row>
    <row r="106" spans="1:37" x14ac:dyDescent="0.25">
      <c r="A106" s="1">
        <v>36008</v>
      </c>
      <c r="B106" s="1">
        <v>36008</v>
      </c>
      <c r="C106">
        <v>1941</v>
      </c>
      <c r="D106">
        <v>1461</v>
      </c>
      <c r="E106">
        <v>1684</v>
      </c>
      <c r="F106">
        <v>3887</v>
      </c>
      <c r="G106">
        <v>1621</v>
      </c>
      <c r="H106">
        <v>3576</v>
      </c>
      <c r="I106">
        <v>67909</v>
      </c>
      <c r="J106">
        <v>131390</v>
      </c>
      <c r="K106">
        <v>6179</v>
      </c>
      <c r="M106">
        <f t="shared" si="43"/>
        <v>137569</v>
      </c>
      <c r="P106">
        <f t="shared" si="44"/>
        <v>4.4915642332211472E-2</v>
      </c>
      <c r="Q106">
        <f t="shared" si="45"/>
        <v>0.49363592088333852</v>
      </c>
      <c r="R106" t="e">
        <f t="shared" si="46"/>
        <v>#N/A</v>
      </c>
      <c r="S106">
        <f t="shared" si="48"/>
        <v>0.31011343665122226</v>
      </c>
      <c r="T106">
        <f t="shared" si="49"/>
        <v>0.23342386962773606</v>
      </c>
      <c r="U106">
        <f t="shared" si="50"/>
        <v>1.282275811130824E-2</v>
      </c>
      <c r="V106">
        <f t="shared" si="51"/>
        <v>2.9597423265234641E-2</v>
      </c>
      <c r="W106">
        <f t="shared" si="52"/>
        <v>2.395023787713129E-2</v>
      </c>
      <c r="X106">
        <f t="shared" si="53"/>
        <v>5.2658705031733644E-2</v>
      </c>
      <c r="Y106" s="1">
        <f t="shared" si="47"/>
        <v>36008</v>
      </c>
      <c r="Z106">
        <f t="shared" si="57"/>
        <v>4.519972387645621E-2</v>
      </c>
      <c r="AA106">
        <f t="shared" si="58"/>
        <v>0.4925219366637672</v>
      </c>
      <c r="AB106" t="e">
        <f t="shared" si="59"/>
        <v>#N/A</v>
      </c>
      <c r="AC106">
        <f t="shared" si="60"/>
        <v>0.30870628181735377</v>
      </c>
      <c r="AD106">
        <f t="shared" si="61"/>
        <v>0.2302182381979794</v>
      </c>
      <c r="AE106">
        <f t="shared" si="62"/>
        <v>1.2906966100538009E-2</v>
      </c>
      <c r="AF106">
        <f t="shared" si="63"/>
        <v>2.8022237048943466E-2</v>
      </c>
      <c r="AG106">
        <f t="shared" si="64"/>
        <v>2.4547063560317994E-2</v>
      </c>
      <c r="AH106">
        <f t="shared" si="65"/>
        <v>5.0005928927174148E-2</v>
      </c>
      <c r="AI106">
        <f t="shared" si="54"/>
        <v>131321</v>
      </c>
      <c r="AJ106">
        <f t="shared" si="55"/>
        <v>67740.333333333328</v>
      </c>
      <c r="AK106">
        <f t="shared" si="56"/>
        <v>6216.666666666667</v>
      </c>
    </row>
    <row r="107" spans="1:37" x14ac:dyDescent="0.25">
      <c r="A107" s="1">
        <v>36039</v>
      </c>
      <c r="B107" s="1">
        <v>36039</v>
      </c>
      <c r="C107">
        <v>1942</v>
      </c>
      <c r="D107">
        <v>1447</v>
      </c>
      <c r="E107">
        <v>1758</v>
      </c>
      <c r="F107">
        <v>3590</v>
      </c>
      <c r="G107">
        <v>1737</v>
      </c>
      <c r="H107">
        <v>3871</v>
      </c>
      <c r="I107">
        <v>67413</v>
      </c>
      <c r="J107">
        <v>131986</v>
      </c>
      <c r="K107">
        <v>6300</v>
      </c>
      <c r="M107">
        <f t="shared" si="43"/>
        <v>138286</v>
      </c>
      <c r="P107">
        <f t="shared" si="44"/>
        <v>4.5557757112072085E-2</v>
      </c>
      <c r="Q107">
        <f t="shared" si="45"/>
        <v>0.48748969526922464</v>
      </c>
      <c r="R107" t="e">
        <f t="shared" si="46"/>
        <v>#N/A</v>
      </c>
      <c r="S107">
        <f t="shared" si="48"/>
        <v>0.31429033824243408</v>
      </c>
      <c r="T107">
        <f t="shared" si="49"/>
        <v>0.23418028807250363</v>
      </c>
      <c r="U107">
        <f t="shared" si="50"/>
        <v>1.3380013699672731E-2</v>
      </c>
      <c r="V107">
        <f t="shared" si="51"/>
        <v>2.7323236167136007E-2</v>
      </c>
      <c r="W107">
        <f t="shared" si="52"/>
        <v>2.557834749444109E-2</v>
      </c>
      <c r="X107">
        <f t="shared" si="53"/>
        <v>5.7422158930770031E-2</v>
      </c>
      <c r="Y107" s="1">
        <f t="shared" si="47"/>
        <v>36039</v>
      </c>
      <c r="Z107">
        <f t="shared" si="57"/>
        <v>4.5321428425783461E-2</v>
      </c>
      <c r="AA107">
        <f t="shared" si="58"/>
        <v>0.4910145053231359</v>
      </c>
      <c r="AB107" t="e">
        <f t="shared" si="59"/>
        <v>#N/A</v>
      </c>
      <c r="AC107">
        <f t="shared" si="60"/>
        <v>0.30917558755309038</v>
      </c>
      <c r="AD107">
        <f t="shared" si="61"/>
        <v>0.23490861921194939</v>
      </c>
      <c r="AE107">
        <f t="shared" si="62"/>
        <v>1.3150967113570618E-2</v>
      </c>
      <c r="AF107">
        <f t="shared" si="63"/>
        <v>2.7941582158783267E-2</v>
      </c>
      <c r="AG107">
        <f t="shared" si="64"/>
        <v>2.4661729157077431E-2</v>
      </c>
      <c r="AH107">
        <f t="shared" si="65"/>
        <v>5.3394270434828438E-2</v>
      </c>
      <c r="AI107">
        <f t="shared" si="54"/>
        <v>131568.33333333334</v>
      </c>
      <c r="AJ107">
        <f t="shared" si="55"/>
        <v>67668</v>
      </c>
      <c r="AK107">
        <f t="shared" si="56"/>
        <v>6246</v>
      </c>
    </row>
    <row r="108" spans="1:37" x14ac:dyDescent="0.25">
      <c r="A108" s="1">
        <v>36069</v>
      </c>
      <c r="B108" s="1">
        <v>36069</v>
      </c>
      <c r="C108">
        <v>1918</v>
      </c>
      <c r="D108">
        <v>1511</v>
      </c>
      <c r="E108">
        <v>1684</v>
      </c>
      <c r="F108">
        <v>3760</v>
      </c>
      <c r="G108">
        <v>1703</v>
      </c>
      <c r="H108">
        <v>3413</v>
      </c>
      <c r="I108">
        <v>67640</v>
      </c>
      <c r="J108">
        <v>131999</v>
      </c>
      <c r="K108">
        <v>6280</v>
      </c>
      <c r="M108">
        <f t="shared" si="43"/>
        <v>138279</v>
      </c>
      <c r="P108">
        <f t="shared" si="44"/>
        <v>4.5415428228436715E-2</v>
      </c>
      <c r="Q108">
        <f t="shared" si="45"/>
        <v>0.48915598174704761</v>
      </c>
      <c r="R108" t="e">
        <f t="shared" si="46"/>
        <v>#N/A</v>
      </c>
      <c r="S108">
        <f t="shared" si="48"/>
        <v>0.30444444444444446</v>
      </c>
      <c r="T108">
        <f t="shared" si="49"/>
        <v>0.23984126984126983</v>
      </c>
      <c r="U108">
        <f t="shared" si="50"/>
        <v>1.2758928977315776E-2</v>
      </c>
      <c r="V108">
        <f t="shared" si="51"/>
        <v>2.848786992559817E-2</v>
      </c>
      <c r="W108">
        <f t="shared" si="52"/>
        <v>2.5262189785352974E-2</v>
      </c>
      <c r="X108">
        <f t="shared" si="53"/>
        <v>5.0458308693081017E-2</v>
      </c>
      <c r="Y108" s="1">
        <f t="shared" si="47"/>
        <v>36069</v>
      </c>
      <c r="Z108">
        <f t="shared" si="57"/>
        <v>4.5296275890906762E-2</v>
      </c>
      <c r="AA108">
        <f t="shared" si="58"/>
        <v>0.49009386596653698</v>
      </c>
      <c r="AB108" t="e">
        <f t="shared" si="59"/>
        <v>#N/A</v>
      </c>
      <c r="AC108">
        <f t="shared" si="60"/>
        <v>0.30961607311270029</v>
      </c>
      <c r="AD108">
        <f t="shared" si="61"/>
        <v>0.23581514251383651</v>
      </c>
      <c r="AE108">
        <f t="shared" si="62"/>
        <v>1.2987233596098916E-2</v>
      </c>
      <c r="AF108">
        <f t="shared" si="63"/>
        <v>2.8469509785989607E-2</v>
      </c>
      <c r="AG108">
        <f t="shared" si="64"/>
        <v>2.493025838564179E-2</v>
      </c>
      <c r="AH108">
        <f t="shared" si="65"/>
        <v>5.3513057551861566E-2</v>
      </c>
      <c r="AI108">
        <f t="shared" si="54"/>
        <v>131791.66666666666</v>
      </c>
      <c r="AJ108">
        <f t="shared" si="55"/>
        <v>67654</v>
      </c>
      <c r="AK108">
        <f t="shared" si="56"/>
        <v>6253</v>
      </c>
    </row>
    <row r="109" spans="1:37" x14ac:dyDescent="0.25">
      <c r="A109" s="1">
        <v>36100</v>
      </c>
      <c r="B109" s="1">
        <v>36100</v>
      </c>
      <c r="C109">
        <v>1941</v>
      </c>
      <c r="D109">
        <v>1595</v>
      </c>
      <c r="E109">
        <v>1643</v>
      </c>
      <c r="F109">
        <v>3677</v>
      </c>
      <c r="G109">
        <v>1691</v>
      </c>
      <c r="H109">
        <v>3539</v>
      </c>
      <c r="I109">
        <v>67723</v>
      </c>
      <c r="J109">
        <v>132280</v>
      </c>
      <c r="K109">
        <v>6100</v>
      </c>
      <c r="M109">
        <f t="shared" si="43"/>
        <v>138380</v>
      </c>
      <c r="P109">
        <f t="shared" si="44"/>
        <v>4.4081514669749966E-2</v>
      </c>
      <c r="Q109">
        <f t="shared" si="45"/>
        <v>0.48939875704581587</v>
      </c>
      <c r="R109" t="e">
        <f t="shared" si="46"/>
        <v>#N/A</v>
      </c>
      <c r="S109">
        <f t="shared" si="48"/>
        <v>0.30907643312101912</v>
      </c>
      <c r="T109">
        <f t="shared" si="49"/>
        <v>0.25398089171974525</v>
      </c>
      <c r="U109">
        <f t="shared" si="50"/>
        <v>1.2447063992909038E-2</v>
      </c>
      <c r="V109">
        <f t="shared" si="51"/>
        <v>2.7856271638421502E-2</v>
      </c>
      <c r="W109">
        <f t="shared" si="52"/>
        <v>2.5000000000000001E-2</v>
      </c>
      <c r="X109">
        <f t="shared" si="53"/>
        <v>5.2256988024747868E-2</v>
      </c>
      <c r="Y109" s="1">
        <f t="shared" si="47"/>
        <v>36100</v>
      </c>
      <c r="Z109">
        <f t="shared" si="57"/>
        <v>4.5018233336752922E-2</v>
      </c>
      <c r="AA109">
        <f t="shared" si="58"/>
        <v>0.48868147802069606</v>
      </c>
      <c r="AB109" t="e">
        <f t="shared" si="59"/>
        <v>#N/A</v>
      </c>
      <c r="AC109">
        <f t="shared" si="60"/>
        <v>0.30927040526929922</v>
      </c>
      <c r="AD109">
        <f t="shared" si="61"/>
        <v>0.2426674832111729</v>
      </c>
      <c r="AE109">
        <f t="shared" si="62"/>
        <v>1.2862002223299182E-2</v>
      </c>
      <c r="AF109">
        <f t="shared" si="63"/>
        <v>2.7889125910385226E-2</v>
      </c>
      <c r="AG109">
        <f t="shared" si="64"/>
        <v>2.5280179093264687E-2</v>
      </c>
      <c r="AH109">
        <f t="shared" si="65"/>
        <v>5.3379151882866301E-2</v>
      </c>
      <c r="AI109">
        <f t="shared" si="54"/>
        <v>132088.33333333334</v>
      </c>
      <c r="AJ109">
        <f t="shared" si="55"/>
        <v>67592</v>
      </c>
      <c r="AK109">
        <f t="shared" si="56"/>
        <v>6226.666666666667</v>
      </c>
    </row>
    <row r="110" spans="1:37" x14ac:dyDescent="0.25">
      <c r="A110" s="1">
        <v>36130</v>
      </c>
      <c r="B110" s="1">
        <v>36130</v>
      </c>
      <c r="C110">
        <v>1882</v>
      </c>
      <c r="D110">
        <v>1576</v>
      </c>
      <c r="E110">
        <v>1751</v>
      </c>
      <c r="F110">
        <v>3629</v>
      </c>
      <c r="G110">
        <v>1624</v>
      </c>
      <c r="H110">
        <v>3683</v>
      </c>
      <c r="I110">
        <v>67636</v>
      </c>
      <c r="J110">
        <v>132602</v>
      </c>
      <c r="K110">
        <v>6032</v>
      </c>
      <c r="M110">
        <f t="shared" si="43"/>
        <v>138634</v>
      </c>
      <c r="P110">
        <f t="shared" si="44"/>
        <v>4.3510250010819859E-2</v>
      </c>
      <c r="Q110">
        <f t="shared" si="45"/>
        <v>0.48787454736933222</v>
      </c>
      <c r="R110" t="e">
        <f t="shared" si="46"/>
        <v>#N/A</v>
      </c>
      <c r="S110">
        <f t="shared" si="48"/>
        <v>0.30852459016393441</v>
      </c>
      <c r="T110">
        <f t="shared" si="49"/>
        <v>0.25836065573770489</v>
      </c>
      <c r="U110">
        <f t="shared" si="50"/>
        <v>1.3237072875718174E-2</v>
      </c>
      <c r="V110">
        <f t="shared" si="51"/>
        <v>2.7434230420320532E-2</v>
      </c>
      <c r="W110">
        <f t="shared" si="52"/>
        <v>2.398003632443926E-2</v>
      </c>
      <c r="X110">
        <f t="shared" si="53"/>
        <v>5.4453249748654564E-2</v>
      </c>
      <c r="Y110" s="1">
        <f t="shared" si="47"/>
        <v>36130</v>
      </c>
      <c r="Z110">
        <f t="shared" si="57"/>
        <v>4.4335730969668842E-2</v>
      </c>
      <c r="AA110">
        <f t="shared" si="58"/>
        <v>0.48880976205406523</v>
      </c>
      <c r="AB110" t="e">
        <f t="shared" si="59"/>
        <v>#N/A</v>
      </c>
      <c r="AC110">
        <f t="shared" si="60"/>
        <v>0.30734848924313268</v>
      </c>
      <c r="AD110">
        <f t="shared" si="61"/>
        <v>0.25072760576623998</v>
      </c>
      <c r="AE110">
        <f t="shared" si="62"/>
        <v>1.2814355281980995E-2</v>
      </c>
      <c r="AF110">
        <f t="shared" si="63"/>
        <v>2.7926123994780071E-2</v>
      </c>
      <c r="AG110">
        <f t="shared" si="64"/>
        <v>2.4747408703264081E-2</v>
      </c>
      <c r="AH110">
        <f t="shared" si="65"/>
        <v>5.2389515488827816E-2</v>
      </c>
      <c r="AI110">
        <f t="shared" si="54"/>
        <v>132293.66666666666</v>
      </c>
      <c r="AJ110">
        <f t="shared" si="55"/>
        <v>67666.333333333328</v>
      </c>
      <c r="AK110">
        <f t="shared" si="56"/>
        <v>6137.333333333333</v>
      </c>
    </row>
    <row r="111" spans="1:37" x14ac:dyDescent="0.25">
      <c r="A111" s="1">
        <v>36161</v>
      </c>
      <c r="B111" s="1">
        <v>36161</v>
      </c>
      <c r="C111">
        <v>1864</v>
      </c>
      <c r="D111">
        <v>1488</v>
      </c>
      <c r="E111">
        <v>1576</v>
      </c>
      <c r="F111">
        <v>3665</v>
      </c>
      <c r="G111">
        <v>1679</v>
      </c>
      <c r="H111">
        <v>3621</v>
      </c>
      <c r="I111">
        <v>67716</v>
      </c>
      <c r="J111">
        <v>133027</v>
      </c>
      <c r="K111">
        <v>5976</v>
      </c>
      <c r="M111">
        <f t="shared" si="43"/>
        <v>139003</v>
      </c>
      <c r="P111">
        <f t="shared" si="44"/>
        <v>4.2991877873139427E-2</v>
      </c>
      <c r="Q111">
        <f t="shared" si="45"/>
        <v>0.48715495349021243</v>
      </c>
      <c r="R111" t="e">
        <f t="shared" si="46"/>
        <v>#N/A</v>
      </c>
      <c r="S111">
        <f t="shared" si="48"/>
        <v>0.30901856763925728</v>
      </c>
      <c r="T111">
        <f t="shared" si="49"/>
        <v>0.24668435013262599</v>
      </c>
      <c r="U111">
        <f t="shared" si="50"/>
        <v>1.18851902686234E-2</v>
      </c>
      <c r="V111">
        <f t="shared" si="51"/>
        <v>2.7639100466056318E-2</v>
      </c>
      <c r="W111">
        <f t="shared" si="52"/>
        <v>2.4824058193861256E-2</v>
      </c>
      <c r="X111">
        <f t="shared" si="53"/>
        <v>5.3473329789119263E-2</v>
      </c>
      <c r="Y111" s="1">
        <f t="shared" si="47"/>
        <v>36161</v>
      </c>
      <c r="Z111">
        <f t="shared" si="57"/>
        <v>4.3527880851236413E-2</v>
      </c>
      <c r="AA111">
        <f t="shared" si="58"/>
        <v>0.48814275263512014</v>
      </c>
      <c r="AB111" t="e">
        <f t="shared" si="59"/>
        <v>#N/A</v>
      </c>
      <c r="AC111">
        <f t="shared" si="60"/>
        <v>0.30887319697473697</v>
      </c>
      <c r="AD111">
        <f t="shared" si="61"/>
        <v>0.25300863253002542</v>
      </c>
      <c r="AE111">
        <f t="shared" si="62"/>
        <v>1.2523109045750205E-2</v>
      </c>
      <c r="AF111">
        <f t="shared" si="63"/>
        <v>2.764320084159945E-2</v>
      </c>
      <c r="AG111">
        <f t="shared" si="64"/>
        <v>2.4601364839433506E-2</v>
      </c>
      <c r="AH111">
        <f t="shared" si="65"/>
        <v>5.3394522520840565E-2</v>
      </c>
      <c r="AI111">
        <f t="shared" si="54"/>
        <v>132636.33333333334</v>
      </c>
      <c r="AJ111">
        <f t="shared" si="55"/>
        <v>67691.666666666672</v>
      </c>
      <c r="AK111">
        <f t="shared" si="56"/>
        <v>6036</v>
      </c>
    </row>
    <row r="112" spans="1:37" x14ac:dyDescent="0.25">
      <c r="A112" s="1">
        <v>36192</v>
      </c>
      <c r="B112" s="1">
        <v>36192</v>
      </c>
      <c r="C112">
        <v>1873</v>
      </c>
      <c r="D112">
        <v>1442</v>
      </c>
      <c r="E112">
        <v>1736</v>
      </c>
      <c r="F112">
        <v>3740</v>
      </c>
      <c r="G112">
        <v>1691</v>
      </c>
      <c r="H112">
        <v>3393</v>
      </c>
      <c r="I112">
        <v>67906</v>
      </c>
      <c r="J112">
        <v>132856</v>
      </c>
      <c r="K112">
        <v>6111</v>
      </c>
      <c r="M112">
        <f t="shared" si="43"/>
        <v>138967</v>
      </c>
      <c r="P112">
        <f t="shared" si="44"/>
        <v>4.397446875877007E-2</v>
      </c>
      <c r="Q112">
        <f t="shared" si="45"/>
        <v>0.48864838414875472</v>
      </c>
      <c r="R112" t="e">
        <f t="shared" si="46"/>
        <v>#N/A</v>
      </c>
      <c r="S112">
        <f t="shared" si="48"/>
        <v>0.31342034805890229</v>
      </c>
      <c r="T112">
        <f t="shared" si="49"/>
        <v>0.24129852744310576</v>
      </c>
      <c r="U112">
        <f t="shared" si="50"/>
        <v>1.3049982334413315E-2</v>
      </c>
      <c r="V112">
        <f t="shared" si="51"/>
        <v>2.8114593278056335E-2</v>
      </c>
      <c r="W112">
        <f t="shared" si="52"/>
        <v>2.4971941638608306E-2</v>
      </c>
      <c r="X112">
        <f t="shared" si="53"/>
        <v>4.996612964981003E-2</v>
      </c>
      <c r="Y112" s="1">
        <f t="shared" si="47"/>
        <v>36192</v>
      </c>
      <c r="Z112">
        <f t="shared" si="57"/>
        <v>4.3492198880909778E-2</v>
      </c>
      <c r="AA112">
        <f t="shared" si="58"/>
        <v>0.48789262833609981</v>
      </c>
      <c r="AB112" t="e">
        <f t="shared" si="59"/>
        <v>#N/A</v>
      </c>
      <c r="AC112">
        <f t="shared" si="60"/>
        <v>0.31032116862069797</v>
      </c>
      <c r="AD112">
        <f t="shared" si="61"/>
        <v>0.24878117777114553</v>
      </c>
      <c r="AE112">
        <f t="shared" si="62"/>
        <v>1.272408182625163E-2</v>
      </c>
      <c r="AF112">
        <f t="shared" si="63"/>
        <v>2.7729308054811063E-2</v>
      </c>
      <c r="AG112">
        <f t="shared" si="64"/>
        <v>2.459201205230294E-2</v>
      </c>
      <c r="AH112">
        <f t="shared" si="65"/>
        <v>5.2630903062527955E-2</v>
      </c>
      <c r="AI112">
        <f t="shared" si="54"/>
        <v>132828.33333333334</v>
      </c>
      <c r="AJ112">
        <f t="shared" si="55"/>
        <v>67752.666666666672</v>
      </c>
      <c r="AK112">
        <f t="shared" si="56"/>
        <v>6039.666666666667</v>
      </c>
    </row>
    <row r="113" spans="1:37" x14ac:dyDescent="0.25">
      <c r="A113" s="1">
        <v>36220</v>
      </c>
      <c r="B113" s="1">
        <v>36220</v>
      </c>
      <c r="C113">
        <v>2039</v>
      </c>
      <c r="D113">
        <v>1471</v>
      </c>
      <c r="E113">
        <v>1591</v>
      </c>
      <c r="F113">
        <v>3722</v>
      </c>
      <c r="G113">
        <v>1581</v>
      </c>
      <c r="H113">
        <v>3349</v>
      </c>
      <c r="I113">
        <v>68306</v>
      </c>
      <c r="J113">
        <v>132947</v>
      </c>
      <c r="K113">
        <v>5783</v>
      </c>
      <c r="M113">
        <f t="shared" si="43"/>
        <v>138730</v>
      </c>
      <c r="P113">
        <f t="shared" si="44"/>
        <v>4.1685287969437039E-2</v>
      </c>
      <c r="Q113">
        <f t="shared" si="45"/>
        <v>0.49236646723852084</v>
      </c>
      <c r="R113" t="e">
        <f t="shared" si="46"/>
        <v>#N/A</v>
      </c>
      <c r="S113">
        <f t="shared" si="48"/>
        <v>0.33366061201112746</v>
      </c>
      <c r="T113">
        <f t="shared" si="49"/>
        <v>0.24071346751759123</v>
      </c>
      <c r="U113">
        <f t="shared" si="50"/>
        <v>1.1975371831155537E-2</v>
      </c>
      <c r="V113">
        <f t="shared" si="51"/>
        <v>2.8015294755223699E-2</v>
      </c>
      <c r="W113">
        <f t="shared" si="52"/>
        <v>2.3282184195800075E-2</v>
      </c>
      <c r="X113">
        <f t="shared" si="53"/>
        <v>4.9029367844698857E-2</v>
      </c>
      <c r="Y113" s="1">
        <f t="shared" si="47"/>
        <v>36220</v>
      </c>
      <c r="Z113">
        <f t="shared" si="57"/>
        <v>4.2883878200448845E-2</v>
      </c>
      <c r="AA113">
        <f t="shared" si="58"/>
        <v>0.48938993495916266</v>
      </c>
      <c r="AB113" t="e">
        <f t="shared" si="59"/>
        <v>#N/A</v>
      </c>
      <c r="AC113">
        <f t="shared" si="60"/>
        <v>0.3186998425697623</v>
      </c>
      <c r="AD113">
        <f t="shared" si="61"/>
        <v>0.24289878169777435</v>
      </c>
      <c r="AE113">
        <f t="shared" si="62"/>
        <v>1.2303514811397418E-2</v>
      </c>
      <c r="AF113">
        <f t="shared" si="63"/>
        <v>2.792299616644545E-2</v>
      </c>
      <c r="AG113">
        <f t="shared" si="64"/>
        <v>2.4359394676089875E-2</v>
      </c>
      <c r="AH113">
        <f t="shared" si="65"/>
        <v>5.082294242787605E-2</v>
      </c>
      <c r="AI113">
        <f t="shared" si="54"/>
        <v>132943.33333333334</v>
      </c>
      <c r="AJ113">
        <f t="shared" si="55"/>
        <v>67976</v>
      </c>
      <c r="AK113">
        <f t="shared" si="56"/>
        <v>5956.666666666667</v>
      </c>
    </row>
    <row r="114" spans="1:37" x14ac:dyDescent="0.25">
      <c r="A114" s="1">
        <v>36251</v>
      </c>
      <c r="B114" s="1">
        <v>36251</v>
      </c>
      <c r="C114">
        <v>1658</v>
      </c>
      <c r="D114">
        <v>1438</v>
      </c>
      <c r="E114">
        <v>1682</v>
      </c>
      <c r="F114">
        <v>3736</v>
      </c>
      <c r="G114">
        <v>1603</v>
      </c>
      <c r="H114">
        <v>3736</v>
      </c>
      <c r="I114">
        <v>68277</v>
      </c>
      <c r="J114">
        <v>132955</v>
      </c>
      <c r="K114">
        <v>6004</v>
      </c>
      <c r="M114">
        <f t="shared" si="43"/>
        <v>138959</v>
      </c>
      <c r="P114">
        <f t="shared" si="44"/>
        <v>4.3206989111896313E-2</v>
      </c>
      <c r="Q114">
        <f t="shared" si="45"/>
        <v>0.49134636835325529</v>
      </c>
      <c r="R114" t="e">
        <f t="shared" si="46"/>
        <v>#N/A</v>
      </c>
      <c r="S114">
        <f t="shared" si="48"/>
        <v>0.28670240359674909</v>
      </c>
      <c r="T114">
        <f t="shared" si="49"/>
        <v>0.24865986512190905</v>
      </c>
      <c r="U114">
        <f t="shared" si="50"/>
        <v>1.265165817957532E-2</v>
      </c>
      <c r="V114">
        <f t="shared" si="51"/>
        <v>2.8101423875679783E-2</v>
      </c>
      <c r="W114">
        <f t="shared" si="52"/>
        <v>2.3467923754867802E-2</v>
      </c>
      <c r="X114">
        <f t="shared" si="53"/>
        <v>5.4718279947859452E-2</v>
      </c>
      <c r="Y114" s="1">
        <f t="shared" si="47"/>
        <v>36251</v>
      </c>
      <c r="Z114">
        <f t="shared" si="57"/>
        <v>4.2955581946701148E-2</v>
      </c>
      <c r="AA114">
        <f t="shared" si="58"/>
        <v>0.49078707324684362</v>
      </c>
      <c r="AB114" t="e">
        <f t="shared" si="59"/>
        <v>#N/A</v>
      </c>
      <c r="AC114">
        <f t="shared" si="60"/>
        <v>0.31126112122225963</v>
      </c>
      <c r="AD114">
        <f t="shared" si="61"/>
        <v>0.24355728669420204</v>
      </c>
      <c r="AE114">
        <f t="shared" si="62"/>
        <v>1.2559004115048058E-2</v>
      </c>
      <c r="AF114">
        <f t="shared" si="63"/>
        <v>2.807710396965327E-2</v>
      </c>
      <c r="AG114">
        <f t="shared" si="64"/>
        <v>2.3907349863092064E-2</v>
      </c>
      <c r="AH114">
        <f t="shared" si="65"/>
        <v>5.1237925814122787E-2</v>
      </c>
      <c r="AI114">
        <f t="shared" si="54"/>
        <v>132919.33333333334</v>
      </c>
      <c r="AJ114">
        <f t="shared" si="55"/>
        <v>68163</v>
      </c>
      <c r="AK114">
        <f t="shared" si="56"/>
        <v>5966</v>
      </c>
    </row>
    <row r="115" spans="1:37" x14ac:dyDescent="0.25">
      <c r="A115" s="1">
        <v>36281</v>
      </c>
      <c r="B115" s="1">
        <v>36281</v>
      </c>
      <c r="C115">
        <v>1867</v>
      </c>
      <c r="D115">
        <v>1528</v>
      </c>
      <c r="E115">
        <v>1685</v>
      </c>
      <c r="F115">
        <v>3693</v>
      </c>
      <c r="G115">
        <v>1489</v>
      </c>
      <c r="H115">
        <v>3779</v>
      </c>
      <c r="I115">
        <v>68320</v>
      </c>
      <c r="J115">
        <v>133311</v>
      </c>
      <c r="K115">
        <v>5796</v>
      </c>
      <c r="M115">
        <f t="shared" si="43"/>
        <v>139107</v>
      </c>
      <c r="P115">
        <f t="shared" si="44"/>
        <v>4.1665768077810604E-2</v>
      </c>
      <c r="Q115">
        <f t="shared" si="45"/>
        <v>0.49113272516839557</v>
      </c>
      <c r="R115" t="e">
        <f t="shared" si="46"/>
        <v>#N/A</v>
      </c>
      <c r="S115">
        <f t="shared" si="48"/>
        <v>0.31095936042638239</v>
      </c>
      <c r="T115">
        <f t="shared" si="49"/>
        <v>0.25449700199866754</v>
      </c>
      <c r="U115">
        <f t="shared" si="50"/>
        <v>1.2673460945432665E-2</v>
      </c>
      <c r="V115">
        <f t="shared" si="51"/>
        <v>2.7776315294648565E-2</v>
      </c>
      <c r="W115">
        <f t="shared" si="52"/>
        <v>2.1808222388212721E-2</v>
      </c>
      <c r="X115">
        <f t="shared" si="53"/>
        <v>5.5313231850117099E-2</v>
      </c>
      <c r="Y115" s="1">
        <f t="shared" si="47"/>
        <v>36281</v>
      </c>
      <c r="Z115">
        <f t="shared" si="57"/>
        <v>4.2186015053047983E-2</v>
      </c>
      <c r="AA115">
        <f t="shared" si="58"/>
        <v>0.49161518692005729</v>
      </c>
      <c r="AB115" t="e">
        <f t="shared" si="59"/>
        <v>#N/A</v>
      </c>
      <c r="AC115">
        <f t="shared" si="60"/>
        <v>0.31044079201141966</v>
      </c>
      <c r="AD115">
        <f t="shared" si="61"/>
        <v>0.24795677821272263</v>
      </c>
      <c r="AE115">
        <f t="shared" si="62"/>
        <v>1.2433496985387841E-2</v>
      </c>
      <c r="AF115">
        <f t="shared" si="63"/>
        <v>2.7964344641850682E-2</v>
      </c>
      <c r="AG115">
        <f t="shared" si="64"/>
        <v>2.2852776779626865E-2</v>
      </c>
      <c r="AH115">
        <f t="shared" si="65"/>
        <v>5.3020293214225134E-2</v>
      </c>
      <c r="AI115">
        <f t="shared" si="54"/>
        <v>133071</v>
      </c>
      <c r="AJ115">
        <f t="shared" si="55"/>
        <v>68301</v>
      </c>
      <c r="AK115">
        <f t="shared" si="56"/>
        <v>5861</v>
      </c>
    </row>
    <row r="116" spans="1:37" x14ac:dyDescent="0.25">
      <c r="A116" s="1">
        <v>36312</v>
      </c>
      <c r="B116" s="1">
        <v>36312</v>
      </c>
      <c r="C116">
        <v>1827</v>
      </c>
      <c r="D116">
        <v>1316</v>
      </c>
      <c r="E116">
        <v>1662</v>
      </c>
      <c r="F116">
        <v>3730</v>
      </c>
      <c r="G116">
        <v>1606</v>
      </c>
      <c r="H116">
        <v>3556</v>
      </c>
      <c r="I116">
        <v>68303</v>
      </c>
      <c r="J116">
        <v>133378</v>
      </c>
      <c r="K116">
        <v>5951</v>
      </c>
      <c r="M116">
        <f t="shared" si="43"/>
        <v>139329</v>
      </c>
      <c r="P116">
        <f t="shared" si="44"/>
        <v>4.2711854674906159E-2</v>
      </c>
      <c r="Q116">
        <f t="shared" si="45"/>
        <v>0.4902281649907772</v>
      </c>
      <c r="R116" t="e">
        <f t="shared" si="46"/>
        <v>#N/A</v>
      </c>
      <c r="S116">
        <f t="shared" si="48"/>
        <v>0.31521739130434784</v>
      </c>
      <c r="T116">
        <f t="shared" si="49"/>
        <v>0.22705314009661837</v>
      </c>
      <c r="U116">
        <f t="shared" si="50"/>
        <v>1.2467088237279744E-2</v>
      </c>
      <c r="V116">
        <f t="shared" si="51"/>
        <v>2.7979686597505084E-2</v>
      </c>
      <c r="W116">
        <f t="shared" si="52"/>
        <v>2.3507025761124123E-2</v>
      </c>
      <c r="X116">
        <f t="shared" si="53"/>
        <v>5.2062134898906341E-2</v>
      </c>
      <c r="Y116" s="1">
        <f t="shared" si="47"/>
        <v>36312</v>
      </c>
      <c r="Z116">
        <f t="shared" si="57"/>
        <v>4.2528203954871023E-2</v>
      </c>
      <c r="AA116">
        <f t="shared" si="58"/>
        <v>0.49090241950414271</v>
      </c>
      <c r="AB116" t="e">
        <f t="shared" si="59"/>
        <v>#N/A</v>
      </c>
      <c r="AC116">
        <f t="shared" si="60"/>
        <v>0.30429305177582644</v>
      </c>
      <c r="AD116">
        <f t="shared" si="61"/>
        <v>0.243403335739065</v>
      </c>
      <c r="AE116">
        <f t="shared" si="62"/>
        <v>1.2597402454095909E-2</v>
      </c>
      <c r="AF116">
        <f t="shared" si="63"/>
        <v>2.7952475255944475E-2</v>
      </c>
      <c r="AG116">
        <f t="shared" si="64"/>
        <v>2.2927723968068216E-2</v>
      </c>
      <c r="AH116">
        <f t="shared" si="65"/>
        <v>5.4031215565627629E-2</v>
      </c>
      <c r="AI116">
        <f t="shared" si="54"/>
        <v>133214.66666666666</v>
      </c>
      <c r="AJ116">
        <f t="shared" si="55"/>
        <v>68300</v>
      </c>
      <c r="AK116">
        <f t="shared" si="56"/>
        <v>5917</v>
      </c>
    </row>
    <row r="117" spans="1:37" x14ac:dyDescent="0.25">
      <c r="A117" s="1">
        <v>36342</v>
      </c>
      <c r="B117" s="1">
        <v>36342</v>
      </c>
      <c r="C117">
        <v>1848</v>
      </c>
      <c r="D117">
        <v>1360</v>
      </c>
      <c r="E117">
        <v>1611</v>
      </c>
      <c r="F117">
        <v>3851</v>
      </c>
      <c r="G117">
        <v>1647</v>
      </c>
      <c r="H117">
        <v>3610</v>
      </c>
      <c r="I117">
        <v>68389</v>
      </c>
      <c r="J117">
        <v>133414</v>
      </c>
      <c r="K117">
        <v>6025</v>
      </c>
      <c r="M117">
        <f t="shared" si="43"/>
        <v>139439</v>
      </c>
      <c r="P117">
        <f t="shared" si="44"/>
        <v>4.320885835383214E-2</v>
      </c>
      <c r="Q117">
        <f t="shared" si="45"/>
        <v>0.49045819318841932</v>
      </c>
      <c r="R117" t="e">
        <f t="shared" si="46"/>
        <v>#N/A</v>
      </c>
      <c r="S117">
        <f t="shared" si="48"/>
        <v>0.31053604436229204</v>
      </c>
      <c r="T117">
        <f t="shared" si="49"/>
        <v>0.22853301966056125</v>
      </c>
      <c r="U117">
        <f t="shared" si="50"/>
        <v>1.2078453718004468E-2</v>
      </c>
      <c r="V117">
        <f t="shared" si="51"/>
        <v>2.8872827602753077E-2</v>
      </c>
      <c r="W117">
        <f t="shared" si="52"/>
        <v>2.4113142907339357E-2</v>
      </c>
      <c r="X117">
        <f t="shared" si="53"/>
        <v>5.278626679729196E-2</v>
      </c>
      <c r="Y117" s="1">
        <f t="shared" si="47"/>
        <v>36342</v>
      </c>
      <c r="Z117">
        <f t="shared" si="57"/>
        <v>4.2528827035516303E-2</v>
      </c>
      <c r="AA117">
        <f t="shared" si="58"/>
        <v>0.49060636111586403</v>
      </c>
      <c r="AB117" t="e">
        <f t="shared" si="59"/>
        <v>#N/A</v>
      </c>
      <c r="AC117">
        <f t="shared" si="60"/>
        <v>0.31223759869767403</v>
      </c>
      <c r="AD117">
        <f t="shared" si="61"/>
        <v>0.23669438725194905</v>
      </c>
      <c r="AE117">
        <f t="shared" si="62"/>
        <v>1.2406334300238958E-2</v>
      </c>
      <c r="AF117">
        <f t="shared" si="63"/>
        <v>2.8209609831635576E-2</v>
      </c>
      <c r="AG117">
        <f t="shared" si="64"/>
        <v>2.3142797018892065E-2</v>
      </c>
      <c r="AH117">
        <f t="shared" si="65"/>
        <v>5.3387211182105133E-2</v>
      </c>
      <c r="AI117">
        <f t="shared" si="54"/>
        <v>133367.66666666666</v>
      </c>
      <c r="AJ117">
        <f t="shared" si="55"/>
        <v>68337.333333333328</v>
      </c>
      <c r="AK117">
        <f t="shared" si="56"/>
        <v>5924</v>
      </c>
    </row>
    <row r="118" spans="1:37" x14ac:dyDescent="0.25">
      <c r="A118" s="1">
        <v>36373</v>
      </c>
      <c r="B118" s="1">
        <v>36373</v>
      </c>
      <c r="C118">
        <v>1944</v>
      </c>
      <c r="D118">
        <v>1413</v>
      </c>
      <c r="E118">
        <v>1603</v>
      </c>
      <c r="F118">
        <v>3811</v>
      </c>
      <c r="G118">
        <v>1552</v>
      </c>
      <c r="H118">
        <v>3572</v>
      </c>
      <c r="I118">
        <v>68608</v>
      </c>
      <c r="J118">
        <v>133591</v>
      </c>
      <c r="K118">
        <v>5838</v>
      </c>
      <c r="M118">
        <f t="shared" si="43"/>
        <v>139429</v>
      </c>
      <c r="P118">
        <f t="shared" si="44"/>
        <v>4.1870772938197937E-2</v>
      </c>
      <c r="Q118">
        <f t="shared" si="45"/>
        <v>0.49206406127850016</v>
      </c>
      <c r="R118" t="e">
        <f t="shared" si="46"/>
        <v>#N/A</v>
      </c>
      <c r="S118">
        <f t="shared" si="48"/>
        <v>0.32265560165975105</v>
      </c>
      <c r="T118">
        <f t="shared" si="49"/>
        <v>0.23452282157676349</v>
      </c>
      <c r="U118">
        <f t="shared" si="50"/>
        <v>1.2015230785374848E-2</v>
      </c>
      <c r="V118">
        <f t="shared" si="51"/>
        <v>2.8565218043083936E-2</v>
      </c>
      <c r="W118">
        <f t="shared" si="52"/>
        <v>2.2693708052464578E-2</v>
      </c>
      <c r="X118">
        <f t="shared" si="53"/>
        <v>5.2063899253731345E-2</v>
      </c>
      <c r="Y118" s="1">
        <f t="shared" si="47"/>
        <v>36373</v>
      </c>
      <c r="Z118">
        <f t="shared" si="57"/>
        <v>4.2597161988978748E-2</v>
      </c>
      <c r="AA118">
        <f t="shared" si="58"/>
        <v>0.49091680648589886</v>
      </c>
      <c r="AB118" t="e">
        <f t="shared" si="59"/>
        <v>#N/A</v>
      </c>
      <c r="AC118">
        <f t="shared" si="60"/>
        <v>0.31613634577546362</v>
      </c>
      <c r="AD118">
        <f t="shared" si="61"/>
        <v>0.23003632711131439</v>
      </c>
      <c r="AE118">
        <f t="shared" si="62"/>
        <v>1.2186924246886353E-2</v>
      </c>
      <c r="AF118">
        <f t="shared" si="63"/>
        <v>2.8472577414447364E-2</v>
      </c>
      <c r="AG118">
        <f t="shared" si="64"/>
        <v>2.343795890697602E-2</v>
      </c>
      <c r="AH118">
        <f t="shared" si="65"/>
        <v>5.2304100316643211E-2</v>
      </c>
      <c r="AI118">
        <f t="shared" si="54"/>
        <v>133461</v>
      </c>
      <c r="AJ118">
        <f t="shared" si="55"/>
        <v>68433.333333333328</v>
      </c>
      <c r="AK118">
        <f t="shared" si="56"/>
        <v>5938</v>
      </c>
    </row>
    <row r="119" spans="1:37" x14ac:dyDescent="0.25">
      <c r="A119" s="1">
        <v>36404</v>
      </c>
      <c r="B119" s="1">
        <v>36404</v>
      </c>
      <c r="C119">
        <v>1871</v>
      </c>
      <c r="D119">
        <v>1292</v>
      </c>
      <c r="E119">
        <v>1527</v>
      </c>
      <c r="F119">
        <v>3779</v>
      </c>
      <c r="G119">
        <v>1696</v>
      </c>
      <c r="H119">
        <v>3497</v>
      </c>
      <c r="I119">
        <v>68643</v>
      </c>
      <c r="J119">
        <v>133707</v>
      </c>
      <c r="K119">
        <v>5915</v>
      </c>
      <c r="M119">
        <f t="shared" si="43"/>
        <v>139622</v>
      </c>
      <c r="P119">
        <f t="shared" si="44"/>
        <v>4.2364383836358169E-2</v>
      </c>
      <c r="Q119">
        <f t="shared" si="45"/>
        <v>0.49163455615877155</v>
      </c>
      <c r="R119" t="e">
        <f t="shared" si="46"/>
        <v>#N/A</v>
      </c>
      <c r="S119">
        <f t="shared" si="48"/>
        <v>0.32048646796848235</v>
      </c>
      <c r="T119">
        <f t="shared" si="49"/>
        <v>0.22130866735183283</v>
      </c>
      <c r="U119">
        <f t="shared" si="50"/>
        <v>1.1430410731261836E-2</v>
      </c>
      <c r="V119">
        <f t="shared" si="51"/>
        <v>2.8287833761256372E-2</v>
      </c>
      <c r="W119">
        <f t="shared" si="52"/>
        <v>2.4720149253731342E-2</v>
      </c>
      <c r="X119">
        <f t="shared" si="53"/>
        <v>5.0944743091065364E-2</v>
      </c>
      <c r="Y119" s="1">
        <f t="shared" si="47"/>
        <v>36404</v>
      </c>
      <c r="Z119">
        <f t="shared" si="57"/>
        <v>4.248133837612942E-2</v>
      </c>
      <c r="AA119">
        <f t="shared" si="58"/>
        <v>0.49138560354189703</v>
      </c>
      <c r="AB119" t="e">
        <f t="shared" si="59"/>
        <v>#N/A</v>
      </c>
      <c r="AC119">
        <f t="shared" si="60"/>
        <v>0.31789270466350844</v>
      </c>
      <c r="AD119">
        <f t="shared" si="61"/>
        <v>0.22812150286305252</v>
      </c>
      <c r="AE119">
        <f t="shared" si="62"/>
        <v>1.1841365078213718E-2</v>
      </c>
      <c r="AF119">
        <f t="shared" si="63"/>
        <v>2.8575293135697798E-2</v>
      </c>
      <c r="AG119">
        <f t="shared" si="64"/>
        <v>2.3842333404511761E-2</v>
      </c>
      <c r="AH119">
        <f t="shared" si="65"/>
        <v>5.1931636380696221E-2</v>
      </c>
      <c r="AI119">
        <f t="shared" si="54"/>
        <v>133570.66666666666</v>
      </c>
      <c r="AJ119">
        <f t="shared" si="55"/>
        <v>68546.666666666672</v>
      </c>
      <c r="AK119">
        <f t="shared" si="56"/>
        <v>5926</v>
      </c>
    </row>
    <row r="120" spans="1:37" x14ac:dyDescent="0.25">
      <c r="A120" s="1">
        <v>36434</v>
      </c>
      <c r="B120" s="1">
        <v>36434</v>
      </c>
      <c r="C120">
        <v>1827</v>
      </c>
      <c r="D120">
        <v>1457</v>
      </c>
      <c r="E120">
        <v>1613</v>
      </c>
      <c r="F120">
        <v>3656</v>
      </c>
      <c r="G120">
        <v>1525</v>
      </c>
      <c r="H120">
        <v>3644</v>
      </c>
      <c r="I120">
        <v>68712</v>
      </c>
      <c r="J120">
        <v>133993</v>
      </c>
      <c r="K120">
        <v>5778</v>
      </c>
      <c r="M120">
        <f t="shared" si="43"/>
        <v>139771</v>
      </c>
      <c r="P120">
        <f t="shared" si="44"/>
        <v>4.1339047441887086E-2</v>
      </c>
      <c r="Q120">
        <f t="shared" si="45"/>
        <v>0.49160412388836022</v>
      </c>
      <c r="R120" t="e">
        <f t="shared" si="46"/>
        <v>#N/A</v>
      </c>
      <c r="S120">
        <f t="shared" si="48"/>
        <v>0.30887573964497039</v>
      </c>
      <c r="T120">
        <f t="shared" si="49"/>
        <v>0.2463229078613694</v>
      </c>
      <c r="U120">
        <f t="shared" si="50"/>
        <v>1.2063691504558475E-2</v>
      </c>
      <c r="V120">
        <f t="shared" si="51"/>
        <v>2.7343370205000488E-2</v>
      </c>
      <c r="W120">
        <f t="shared" si="52"/>
        <v>2.2216394971082267E-2</v>
      </c>
      <c r="X120">
        <f t="shared" si="53"/>
        <v>5.3032949120968682E-2</v>
      </c>
      <c r="Y120" s="1">
        <f t="shared" si="47"/>
        <v>36434</v>
      </c>
      <c r="Z120">
        <f t="shared" si="57"/>
        <v>4.1858068072147731E-2</v>
      </c>
      <c r="AA120">
        <f t="shared" si="58"/>
        <v>0.49176758044187729</v>
      </c>
      <c r="AB120" t="e">
        <f t="shared" si="59"/>
        <v>#N/A</v>
      </c>
      <c r="AC120">
        <f t="shared" si="60"/>
        <v>0.31733926975773458</v>
      </c>
      <c r="AD120">
        <f t="shared" si="61"/>
        <v>0.23405146559665524</v>
      </c>
      <c r="AE120">
        <f t="shared" si="62"/>
        <v>1.1836444340398386E-2</v>
      </c>
      <c r="AF120">
        <f t="shared" si="63"/>
        <v>2.80654740031136E-2</v>
      </c>
      <c r="AG120">
        <f t="shared" si="64"/>
        <v>2.3210084092426062E-2</v>
      </c>
      <c r="AH120">
        <f t="shared" si="65"/>
        <v>5.2013863821921795E-2</v>
      </c>
      <c r="AI120">
        <f t="shared" si="54"/>
        <v>133763.66666666666</v>
      </c>
      <c r="AJ120">
        <f t="shared" si="55"/>
        <v>68654.333333333328</v>
      </c>
      <c r="AK120">
        <f t="shared" si="56"/>
        <v>5843.666666666667</v>
      </c>
    </row>
    <row r="121" spans="1:37" x14ac:dyDescent="0.25">
      <c r="A121" s="1">
        <v>36465</v>
      </c>
      <c r="B121" s="1">
        <v>36465</v>
      </c>
      <c r="C121">
        <v>1993</v>
      </c>
      <c r="D121">
        <v>1404</v>
      </c>
      <c r="E121">
        <v>1613</v>
      </c>
      <c r="F121">
        <v>3666</v>
      </c>
      <c r="G121">
        <v>1688</v>
      </c>
      <c r="H121">
        <v>3547</v>
      </c>
      <c r="I121">
        <v>68641</v>
      </c>
      <c r="J121">
        <v>134309</v>
      </c>
      <c r="K121">
        <v>5716</v>
      </c>
      <c r="M121">
        <f t="shared" si="43"/>
        <v>140025</v>
      </c>
      <c r="P121">
        <f t="shared" si="44"/>
        <v>4.0821281913943935E-2</v>
      </c>
      <c r="Q121">
        <f t="shared" si="45"/>
        <v>0.49020532047848597</v>
      </c>
      <c r="R121" t="e">
        <f t="shared" si="46"/>
        <v>#N/A</v>
      </c>
      <c r="S121">
        <f t="shared" si="48"/>
        <v>0.34492904119072343</v>
      </c>
      <c r="T121">
        <f t="shared" si="49"/>
        <v>0.24299065420560748</v>
      </c>
      <c r="U121">
        <f t="shared" si="50"/>
        <v>1.2037942280566895E-2</v>
      </c>
      <c r="V121">
        <f t="shared" si="51"/>
        <v>2.7359638190054703E-2</v>
      </c>
      <c r="W121">
        <f t="shared" si="52"/>
        <v>2.4566305739899871E-2</v>
      </c>
      <c r="X121">
        <f t="shared" si="53"/>
        <v>5.1674655089523756E-2</v>
      </c>
      <c r="Y121" s="1">
        <f t="shared" si="47"/>
        <v>36465</v>
      </c>
      <c r="Z121">
        <f t="shared" si="57"/>
        <v>4.150823773072973E-2</v>
      </c>
      <c r="AA121">
        <f t="shared" si="58"/>
        <v>0.49114800017520593</v>
      </c>
      <c r="AB121" t="e">
        <f t="shared" si="59"/>
        <v>#N/A</v>
      </c>
      <c r="AC121">
        <f t="shared" si="60"/>
        <v>0.32476374960139204</v>
      </c>
      <c r="AD121">
        <f t="shared" si="61"/>
        <v>0.23687407647293657</v>
      </c>
      <c r="AE121">
        <f t="shared" si="62"/>
        <v>1.1844014838795736E-2</v>
      </c>
      <c r="AF121">
        <f t="shared" si="63"/>
        <v>2.7663614052103852E-2</v>
      </c>
      <c r="AG121">
        <f t="shared" si="64"/>
        <v>2.383428332157116E-2</v>
      </c>
      <c r="AH121">
        <f t="shared" si="65"/>
        <v>5.1884115767185934E-2</v>
      </c>
      <c r="AI121">
        <f t="shared" si="54"/>
        <v>134003</v>
      </c>
      <c r="AJ121">
        <f t="shared" si="55"/>
        <v>68665.333333333328</v>
      </c>
      <c r="AK121">
        <f t="shared" si="56"/>
        <v>5803</v>
      </c>
    </row>
    <row r="122" spans="1:37" x14ac:dyDescent="0.25">
      <c r="A122" s="1">
        <v>36495</v>
      </c>
      <c r="B122" s="1">
        <v>36495</v>
      </c>
      <c r="C122">
        <v>1944</v>
      </c>
      <c r="D122">
        <v>1401</v>
      </c>
      <c r="E122">
        <v>1620</v>
      </c>
      <c r="F122">
        <v>3707</v>
      </c>
      <c r="G122">
        <v>1643</v>
      </c>
      <c r="H122">
        <v>3561</v>
      </c>
      <c r="I122">
        <v>68655</v>
      </c>
      <c r="J122">
        <v>134523</v>
      </c>
      <c r="K122">
        <v>5653</v>
      </c>
      <c r="M122">
        <f t="shared" si="43"/>
        <v>140176</v>
      </c>
      <c r="P122">
        <f t="shared" si="44"/>
        <v>4.0327873530418903E-2</v>
      </c>
      <c r="Q122">
        <f t="shared" si="45"/>
        <v>0.48977713731309214</v>
      </c>
      <c r="R122" t="e">
        <f t="shared" si="46"/>
        <v>#N/A</v>
      </c>
      <c r="S122">
        <f t="shared" si="48"/>
        <v>0.34009797060881736</v>
      </c>
      <c r="T122">
        <f t="shared" si="49"/>
        <v>0.24510146955913226</v>
      </c>
      <c r="U122">
        <f t="shared" si="50"/>
        <v>1.2061738230498328E-2</v>
      </c>
      <c r="V122">
        <f t="shared" si="51"/>
        <v>2.7600533099047718E-2</v>
      </c>
      <c r="W122">
        <f t="shared" si="52"/>
        <v>2.3936131466616162E-2</v>
      </c>
      <c r="X122">
        <f t="shared" si="53"/>
        <v>5.1868035831330567E-2</v>
      </c>
      <c r="Y122" s="1">
        <f t="shared" si="47"/>
        <v>36495</v>
      </c>
      <c r="Z122">
        <f t="shared" si="57"/>
        <v>4.0829400962083311E-2</v>
      </c>
      <c r="AA122">
        <f t="shared" si="58"/>
        <v>0.49052886055997941</v>
      </c>
      <c r="AB122" t="e">
        <f t="shared" si="59"/>
        <v>#N/A</v>
      </c>
      <c r="AC122">
        <f t="shared" si="60"/>
        <v>0.33130091714817039</v>
      </c>
      <c r="AD122">
        <f t="shared" si="61"/>
        <v>0.24480501054203638</v>
      </c>
      <c r="AE122">
        <f t="shared" si="62"/>
        <v>1.2054457338541233E-2</v>
      </c>
      <c r="AF122">
        <f t="shared" si="63"/>
        <v>2.7434513831367635E-2</v>
      </c>
      <c r="AG122">
        <f t="shared" si="64"/>
        <v>2.3572944059199435E-2</v>
      </c>
      <c r="AH122">
        <f t="shared" si="65"/>
        <v>5.2191880013941004E-2</v>
      </c>
      <c r="AI122">
        <f t="shared" si="54"/>
        <v>134275</v>
      </c>
      <c r="AJ122">
        <f t="shared" si="55"/>
        <v>68669.333333333328</v>
      </c>
      <c r="AK122">
        <f t="shared" si="56"/>
        <v>5715.666666666667</v>
      </c>
    </row>
    <row r="123" spans="1:37" x14ac:dyDescent="0.25">
      <c r="A123" s="1">
        <v>36526</v>
      </c>
      <c r="B123" s="1">
        <v>36526</v>
      </c>
      <c r="C123">
        <v>2005</v>
      </c>
      <c r="D123">
        <v>1256</v>
      </c>
      <c r="E123">
        <v>1614</v>
      </c>
      <c r="F123">
        <v>3591</v>
      </c>
      <c r="G123">
        <v>1628</v>
      </c>
      <c r="H123">
        <v>3629</v>
      </c>
      <c r="I123">
        <v>69143</v>
      </c>
      <c r="J123">
        <v>136559</v>
      </c>
      <c r="K123">
        <v>5708</v>
      </c>
      <c r="M123">
        <f t="shared" si="43"/>
        <v>142267</v>
      </c>
      <c r="P123">
        <f t="shared" si="44"/>
        <v>4.0121742920002527E-2</v>
      </c>
      <c r="Q123">
        <f t="shared" si="45"/>
        <v>0.48600870194774615</v>
      </c>
      <c r="R123" t="e">
        <f t="shared" si="46"/>
        <v>#N/A</v>
      </c>
      <c r="S123">
        <f t="shared" si="48"/>
        <v>0.35467893154077479</v>
      </c>
      <c r="T123">
        <f t="shared" si="49"/>
        <v>0.22218291172828586</v>
      </c>
      <c r="U123">
        <f t="shared" si="50"/>
        <v>1.1997948306237596E-2</v>
      </c>
      <c r="V123">
        <f t="shared" si="51"/>
        <v>2.6694319930420821E-2</v>
      </c>
      <c r="W123">
        <f t="shared" si="52"/>
        <v>2.3712766732211784E-2</v>
      </c>
      <c r="X123">
        <f t="shared" si="53"/>
        <v>5.2485428749114153E-2</v>
      </c>
      <c r="Y123" s="1">
        <f t="shared" si="47"/>
        <v>36526</v>
      </c>
      <c r="Z123">
        <f t="shared" si="57"/>
        <v>4.0423632788121784E-2</v>
      </c>
      <c r="AA123">
        <f t="shared" si="58"/>
        <v>0.48866371991310809</v>
      </c>
      <c r="AB123" t="e">
        <f t="shared" si="59"/>
        <v>#N/A</v>
      </c>
      <c r="AC123">
        <f t="shared" si="60"/>
        <v>0.34656864778010515</v>
      </c>
      <c r="AD123">
        <f t="shared" si="61"/>
        <v>0.23675834516434188</v>
      </c>
      <c r="AE123">
        <f t="shared" si="62"/>
        <v>1.2032542939100938E-2</v>
      </c>
      <c r="AF123">
        <f t="shared" si="63"/>
        <v>2.7218163739841081E-2</v>
      </c>
      <c r="AG123">
        <f t="shared" si="64"/>
        <v>2.4071734646242609E-2</v>
      </c>
      <c r="AH123">
        <f t="shared" si="65"/>
        <v>5.200937322332283E-2</v>
      </c>
      <c r="AI123">
        <f t="shared" si="54"/>
        <v>135130.33333333334</v>
      </c>
      <c r="AJ123">
        <f t="shared" si="55"/>
        <v>68813</v>
      </c>
      <c r="AK123">
        <f t="shared" si="56"/>
        <v>5692.333333333333</v>
      </c>
    </row>
    <row r="124" spans="1:37" x14ac:dyDescent="0.25">
      <c r="A124" s="1">
        <v>36557</v>
      </c>
      <c r="B124" s="1">
        <v>36557</v>
      </c>
      <c r="C124">
        <v>1784</v>
      </c>
      <c r="D124">
        <v>1395</v>
      </c>
      <c r="E124">
        <v>1678</v>
      </c>
      <c r="F124">
        <v>3739</v>
      </c>
      <c r="G124">
        <v>1628</v>
      </c>
      <c r="H124">
        <v>3640</v>
      </c>
      <c r="I124">
        <v>69120</v>
      </c>
      <c r="J124">
        <v>136598</v>
      </c>
      <c r="K124">
        <v>5858</v>
      </c>
      <c r="M124">
        <f t="shared" si="43"/>
        <v>142456</v>
      </c>
      <c r="P124">
        <f t="shared" si="44"/>
        <v>4.1121469085191216E-2</v>
      </c>
      <c r="Q124">
        <f t="shared" si="45"/>
        <v>0.48520244847531868</v>
      </c>
      <c r="R124" t="e">
        <f t="shared" si="46"/>
        <v>#N/A</v>
      </c>
      <c r="S124">
        <f t="shared" si="48"/>
        <v>0.31254379817799577</v>
      </c>
      <c r="T124">
        <f t="shared" si="49"/>
        <v>0.24439383321653818</v>
      </c>
      <c r="U124">
        <f t="shared" si="50"/>
        <v>1.2287729113423502E-2</v>
      </c>
      <c r="V124">
        <f t="shared" si="51"/>
        <v>2.7380106767038424E-2</v>
      </c>
      <c r="W124">
        <f t="shared" si="52"/>
        <v>2.3545405897921697E-2</v>
      </c>
      <c r="X124">
        <f t="shared" si="53"/>
        <v>5.2662037037037035E-2</v>
      </c>
      <c r="Y124" s="1">
        <f t="shared" si="47"/>
        <v>36557</v>
      </c>
      <c r="Z124">
        <f t="shared" si="57"/>
        <v>4.0523695178537544E-2</v>
      </c>
      <c r="AA124">
        <f t="shared" si="58"/>
        <v>0.48699609591205234</v>
      </c>
      <c r="AB124" t="e">
        <f t="shared" si="59"/>
        <v>#N/A</v>
      </c>
      <c r="AC124">
        <f t="shared" si="60"/>
        <v>0.33577356677586262</v>
      </c>
      <c r="AD124">
        <f t="shared" si="61"/>
        <v>0.23722607150131877</v>
      </c>
      <c r="AE124">
        <f t="shared" si="62"/>
        <v>1.2115805216719809E-2</v>
      </c>
      <c r="AF124">
        <f t="shared" si="63"/>
        <v>2.7224986598835654E-2</v>
      </c>
      <c r="AG124">
        <f t="shared" si="64"/>
        <v>2.3731434698916549E-2</v>
      </c>
      <c r="AH124">
        <f t="shared" si="65"/>
        <v>5.2338500539160587E-2</v>
      </c>
      <c r="AI124">
        <f t="shared" si="54"/>
        <v>135893.33333333334</v>
      </c>
      <c r="AJ124">
        <f t="shared" si="55"/>
        <v>68972.666666666672</v>
      </c>
      <c r="AK124">
        <f t="shared" si="56"/>
        <v>5739.666666666667</v>
      </c>
    </row>
    <row r="125" spans="1:37" x14ac:dyDescent="0.25">
      <c r="A125" s="1">
        <v>36586</v>
      </c>
      <c r="B125" s="1">
        <v>36586</v>
      </c>
      <c r="C125">
        <v>1893</v>
      </c>
      <c r="D125">
        <v>1451</v>
      </c>
      <c r="E125">
        <v>1646</v>
      </c>
      <c r="F125">
        <v>3798</v>
      </c>
      <c r="G125">
        <v>1541</v>
      </c>
      <c r="H125">
        <v>3585</v>
      </c>
      <c r="I125">
        <v>69338</v>
      </c>
      <c r="J125">
        <v>136701</v>
      </c>
      <c r="K125">
        <v>5733</v>
      </c>
      <c r="M125">
        <f t="shared" si="43"/>
        <v>142434</v>
      </c>
      <c r="P125">
        <f t="shared" si="44"/>
        <v>4.0250221155061293E-2</v>
      </c>
      <c r="Q125">
        <f t="shared" si="45"/>
        <v>0.48680792507406939</v>
      </c>
      <c r="R125" t="e">
        <f t="shared" si="46"/>
        <v>#N/A</v>
      </c>
      <c r="S125">
        <f t="shared" si="48"/>
        <v>0.32314783202458175</v>
      </c>
      <c r="T125">
        <f t="shared" si="49"/>
        <v>0.24769545920109251</v>
      </c>
      <c r="U125">
        <f t="shared" si="50"/>
        <v>1.2049956807566729E-2</v>
      </c>
      <c r="V125">
        <f t="shared" si="51"/>
        <v>2.7804213824506947E-2</v>
      </c>
      <c r="W125">
        <f t="shared" si="52"/>
        <v>2.2294560185185185E-2</v>
      </c>
      <c r="X125">
        <f t="shared" si="53"/>
        <v>5.1703250742738467E-2</v>
      </c>
      <c r="Y125" s="1">
        <f t="shared" si="47"/>
        <v>36586</v>
      </c>
      <c r="Z125">
        <f t="shared" si="57"/>
        <v>4.0497811053418348E-2</v>
      </c>
      <c r="AA125">
        <f t="shared" si="58"/>
        <v>0.48600635849904478</v>
      </c>
      <c r="AB125" t="e">
        <f t="shared" si="59"/>
        <v>#N/A</v>
      </c>
      <c r="AC125">
        <f t="shared" si="60"/>
        <v>0.33012352058111744</v>
      </c>
      <c r="AD125">
        <f t="shared" si="61"/>
        <v>0.23809073471530551</v>
      </c>
      <c r="AE125">
        <f t="shared" si="62"/>
        <v>1.2111878075742608E-2</v>
      </c>
      <c r="AF125">
        <f t="shared" si="63"/>
        <v>2.7292880173988732E-2</v>
      </c>
      <c r="AG125">
        <f t="shared" si="64"/>
        <v>2.3184244271772889E-2</v>
      </c>
      <c r="AH125">
        <f t="shared" si="65"/>
        <v>5.2283572176296554E-2</v>
      </c>
      <c r="AI125">
        <f t="shared" si="54"/>
        <v>136619.33333333334</v>
      </c>
      <c r="AJ125">
        <f t="shared" si="55"/>
        <v>69200.333333333328</v>
      </c>
      <c r="AK125">
        <f t="shared" si="56"/>
        <v>5766.333333333333</v>
      </c>
    </row>
    <row r="126" spans="1:37" x14ac:dyDescent="0.25">
      <c r="A126" s="1">
        <v>36617</v>
      </c>
      <c r="B126" s="1">
        <v>36617</v>
      </c>
      <c r="C126">
        <v>1940</v>
      </c>
      <c r="D126">
        <v>1398</v>
      </c>
      <c r="E126">
        <v>1532</v>
      </c>
      <c r="F126">
        <v>3547</v>
      </c>
      <c r="G126">
        <v>1533</v>
      </c>
      <c r="H126">
        <v>3611</v>
      </c>
      <c r="I126">
        <v>69267</v>
      </c>
      <c r="J126">
        <v>137270</v>
      </c>
      <c r="K126">
        <v>5481</v>
      </c>
      <c r="M126">
        <f t="shared" si="43"/>
        <v>142751</v>
      </c>
      <c r="P126">
        <f t="shared" si="44"/>
        <v>3.8395527877212766E-2</v>
      </c>
      <c r="Q126">
        <f t="shared" si="45"/>
        <v>0.48522952553747434</v>
      </c>
      <c r="R126" t="e">
        <f t="shared" si="46"/>
        <v>#N/A</v>
      </c>
      <c r="S126">
        <f t="shared" si="48"/>
        <v>0.33839176696319556</v>
      </c>
      <c r="T126">
        <f t="shared" si="49"/>
        <v>0.24385138670852957</v>
      </c>
      <c r="U126">
        <f t="shared" si="50"/>
        <v>1.1206940695386282E-2</v>
      </c>
      <c r="V126">
        <f t="shared" si="51"/>
        <v>2.59471401087044E-2</v>
      </c>
      <c r="W126">
        <f t="shared" si="52"/>
        <v>2.2109088811330006E-2</v>
      </c>
      <c r="X126">
        <f t="shared" si="53"/>
        <v>5.2131606681392294E-2</v>
      </c>
      <c r="Y126" s="1">
        <f t="shared" si="47"/>
        <v>36617</v>
      </c>
      <c r="Z126">
        <f t="shared" si="57"/>
        <v>3.9922406039155089E-2</v>
      </c>
      <c r="AA126">
        <f t="shared" si="58"/>
        <v>0.48574663302895416</v>
      </c>
      <c r="AB126" t="e">
        <f t="shared" si="59"/>
        <v>#N/A</v>
      </c>
      <c r="AC126">
        <f t="shared" si="60"/>
        <v>0.32469446572192434</v>
      </c>
      <c r="AD126">
        <f t="shared" si="61"/>
        <v>0.24531355970872007</v>
      </c>
      <c r="AE126">
        <f t="shared" si="62"/>
        <v>1.1848208872125504E-2</v>
      </c>
      <c r="AF126">
        <f t="shared" si="63"/>
        <v>2.7043820233416588E-2</v>
      </c>
      <c r="AG126">
        <f t="shared" si="64"/>
        <v>2.2649684964812292E-2</v>
      </c>
      <c r="AH126">
        <f t="shared" si="65"/>
        <v>5.2165631487055934E-2</v>
      </c>
      <c r="AI126">
        <f t="shared" si="54"/>
        <v>136856.33333333334</v>
      </c>
      <c r="AJ126">
        <f t="shared" si="55"/>
        <v>69241.666666666672</v>
      </c>
      <c r="AK126">
        <f t="shared" si="56"/>
        <v>5690.666666666667</v>
      </c>
    </row>
    <row r="127" spans="1:37" x14ac:dyDescent="0.25">
      <c r="A127" s="1">
        <v>36647</v>
      </c>
      <c r="B127" s="1">
        <v>36647</v>
      </c>
      <c r="C127">
        <v>1660</v>
      </c>
      <c r="D127">
        <v>1379</v>
      </c>
      <c r="E127">
        <v>1688</v>
      </c>
      <c r="F127">
        <v>3992</v>
      </c>
      <c r="G127">
        <v>1619</v>
      </c>
      <c r="H127">
        <v>3265</v>
      </c>
      <c r="I127">
        <v>69854</v>
      </c>
      <c r="J127">
        <v>136630</v>
      </c>
      <c r="K127">
        <v>5758</v>
      </c>
      <c r="M127">
        <f t="shared" si="43"/>
        <v>142388</v>
      </c>
      <c r="P127">
        <f t="shared" si="44"/>
        <v>4.0438801022558084E-2</v>
      </c>
      <c r="Q127">
        <f t="shared" si="45"/>
        <v>0.49058909458662248</v>
      </c>
      <c r="R127" t="e">
        <f t="shared" si="46"/>
        <v>#N/A</v>
      </c>
      <c r="S127">
        <f t="shared" si="48"/>
        <v>0.30286444079547525</v>
      </c>
      <c r="T127">
        <f t="shared" si="49"/>
        <v>0.25159642401021709</v>
      </c>
      <c r="U127">
        <f t="shared" si="50"/>
        <v>1.2296933051650033E-2</v>
      </c>
      <c r="V127">
        <f t="shared" si="51"/>
        <v>2.9081372477598892E-2</v>
      </c>
      <c r="W127">
        <f t="shared" si="52"/>
        <v>2.3373323516248719E-2</v>
      </c>
      <c r="X127">
        <f t="shared" si="53"/>
        <v>4.6740344146362411E-2</v>
      </c>
      <c r="Y127" s="1">
        <f t="shared" si="47"/>
        <v>36647</v>
      </c>
      <c r="Z127">
        <f t="shared" si="57"/>
        <v>3.9694850018277383E-2</v>
      </c>
      <c r="AA127">
        <f t="shared" si="58"/>
        <v>0.48754218173272207</v>
      </c>
      <c r="AB127" t="e">
        <f t="shared" si="59"/>
        <v>#N/A</v>
      </c>
      <c r="AC127">
        <f t="shared" si="60"/>
        <v>0.32146801326108415</v>
      </c>
      <c r="AD127">
        <f t="shared" si="61"/>
        <v>0.24771442330661306</v>
      </c>
      <c r="AE127">
        <f t="shared" si="62"/>
        <v>1.1851276851534349E-2</v>
      </c>
      <c r="AF127">
        <f t="shared" si="63"/>
        <v>2.7610908803603413E-2</v>
      </c>
      <c r="AG127">
        <f t="shared" si="64"/>
        <v>2.2592324170921302E-2</v>
      </c>
      <c r="AH127">
        <f t="shared" si="65"/>
        <v>5.019173385683106E-2</v>
      </c>
      <c r="AI127">
        <f t="shared" si="54"/>
        <v>136867</v>
      </c>
      <c r="AJ127">
        <f t="shared" si="55"/>
        <v>69486.333333333328</v>
      </c>
      <c r="AK127">
        <f t="shared" si="56"/>
        <v>5657.333333333333</v>
      </c>
    </row>
    <row r="128" spans="1:37" x14ac:dyDescent="0.25">
      <c r="A128" s="1">
        <v>36678</v>
      </c>
      <c r="B128" s="1">
        <v>36678</v>
      </c>
      <c r="C128">
        <v>1850</v>
      </c>
      <c r="D128">
        <v>1491</v>
      </c>
      <c r="E128">
        <v>1597</v>
      </c>
      <c r="F128">
        <v>3696</v>
      </c>
      <c r="G128">
        <v>1610</v>
      </c>
      <c r="H128">
        <v>3660</v>
      </c>
      <c r="I128">
        <v>69875</v>
      </c>
      <c r="J128">
        <v>136940</v>
      </c>
      <c r="K128">
        <v>5651</v>
      </c>
      <c r="M128">
        <f t="shared" si="43"/>
        <v>142591</v>
      </c>
      <c r="P128">
        <f t="shared" si="44"/>
        <v>3.9630832240463987E-2</v>
      </c>
      <c r="Q128">
        <f t="shared" si="45"/>
        <v>0.49003794068349332</v>
      </c>
      <c r="R128" t="e">
        <f t="shared" si="46"/>
        <v>#N/A</v>
      </c>
      <c r="S128">
        <f t="shared" si="48"/>
        <v>0.32129211531781871</v>
      </c>
      <c r="T128">
        <f t="shared" si="49"/>
        <v>0.25894407780479334</v>
      </c>
      <c r="U128">
        <f t="shared" si="50"/>
        <v>1.1688501793164019E-2</v>
      </c>
      <c r="V128">
        <f t="shared" si="51"/>
        <v>2.7051160067335139E-2</v>
      </c>
      <c r="W128">
        <f t="shared" si="52"/>
        <v>2.3048071692386977E-2</v>
      </c>
      <c r="X128">
        <f t="shared" si="53"/>
        <v>5.2379248658318424E-2</v>
      </c>
      <c r="Y128" s="1">
        <f t="shared" si="47"/>
        <v>36678</v>
      </c>
      <c r="Z128">
        <f t="shared" si="57"/>
        <v>3.9488387046744948E-2</v>
      </c>
      <c r="AA128">
        <f t="shared" si="58"/>
        <v>0.48861885360253005</v>
      </c>
      <c r="AB128" t="e">
        <f t="shared" si="59"/>
        <v>#N/A</v>
      </c>
      <c r="AC128">
        <f t="shared" si="60"/>
        <v>0.32084944102549651</v>
      </c>
      <c r="AD128">
        <f t="shared" si="61"/>
        <v>0.25146396284118</v>
      </c>
      <c r="AE128">
        <f t="shared" si="62"/>
        <v>1.1730791846733445E-2</v>
      </c>
      <c r="AF128">
        <f t="shared" si="63"/>
        <v>2.7359890884546142E-2</v>
      </c>
      <c r="AG128">
        <f t="shared" si="64"/>
        <v>2.2843494673321901E-2</v>
      </c>
      <c r="AH128">
        <f t="shared" si="65"/>
        <v>5.041706649535771E-2</v>
      </c>
      <c r="AI128">
        <f t="shared" si="54"/>
        <v>136946.66666666666</v>
      </c>
      <c r="AJ128">
        <f t="shared" si="55"/>
        <v>69665.333333333328</v>
      </c>
      <c r="AK128">
        <f t="shared" si="56"/>
        <v>5630</v>
      </c>
    </row>
    <row r="129" spans="1:37" x14ac:dyDescent="0.25">
      <c r="A129" s="1">
        <v>36708</v>
      </c>
      <c r="B129" s="1">
        <v>36708</v>
      </c>
      <c r="C129">
        <v>1887</v>
      </c>
      <c r="D129">
        <v>1289</v>
      </c>
      <c r="E129">
        <v>1751</v>
      </c>
      <c r="F129">
        <v>3921</v>
      </c>
      <c r="G129">
        <v>1499</v>
      </c>
      <c r="H129">
        <v>3276</v>
      </c>
      <c r="I129">
        <v>70399</v>
      </c>
      <c r="J129">
        <v>136531</v>
      </c>
      <c r="K129">
        <v>5747</v>
      </c>
      <c r="M129">
        <f t="shared" si="43"/>
        <v>142278</v>
      </c>
      <c r="P129">
        <f t="shared" si="44"/>
        <v>4.0392752217489704E-2</v>
      </c>
      <c r="Q129">
        <f t="shared" si="45"/>
        <v>0.49479891480060162</v>
      </c>
      <c r="R129" t="e">
        <f t="shared" si="46"/>
        <v>#N/A</v>
      </c>
      <c r="S129">
        <f t="shared" si="48"/>
        <v>0.33392319943372856</v>
      </c>
      <c r="T129">
        <f t="shared" si="49"/>
        <v>0.22810122102282782</v>
      </c>
      <c r="U129">
        <f t="shared" si="50"/>
        <v>1.2786621878194829E-2</v>
      </c>
      <c r="V129">
        <f t="shared" si="51"/>
        <v>2.8632977946545932E-2</v>
      </c>
      <c r="W129">
        <f t="shared" si="52"/>
        <v>2.1452593917710198E-2</v>
      </c>
      <c r="X129">
        <f t="shared" si="53"/>
        <v>4.6534751914089692E-2</v>
      </c>
      <c r="Y129" s="1">
        <f t="shared" si="47"/>
        <v>36708</v>
      </c>
      <c r="Z129">
        <f t="shared" si="57"/>
        <v>4.0154128493503922E-2</v>
      </c>
      <c r="AA129">
        <f t="shared" si="58"/>
        <v>0.49180865002357249</v>
      </c>
      <c r="AB129" t="e">
        <f t="shared" si="59"/>
        <v>#N/A</v>
      </c>
      <c r="AC129">
        <f t="shared" si="60"/>
        <v>0.31935991851567419</v>
      </c>
      <c r="AD129">
        <f t="shared" si="61"/>
        <v>0.24621390761261275</v>
      </c>
      <c r="AE129">
        <f t="shared" si="62"/>
        <v>1.225735224100296E-2</v>
      </c>
      <c r="AF129">
        <f t="shared" si="63"/>
        <v>2.8255170163826653E-2</v>
      </c>
      <c r="AG129">
        <f t="shared" si="64"/>
        <v>2.2624663042115301E-2</v>
      </c>
      <c r="AH129">
        <f t="shared" si="65"/>
        <v>4.8551448239590178E-2</v>
      </c>
      <c r="AI129">
        <f t="shared" si="54"/>
        <v>136700.33333333334</v>
      </c>
      <c r="AJ129">
        <f t="shared" si="55"/>
        <v>70042.666666666672</v>
      </c>
      <c r="AK129">
        <f t="shared" si="56"/>
        <v>5718.666666666667</v>
      </c>
    </row>
    <row r="130" spans="1:37" x14ac:dyDescent="0.25">
      <c r="A130" s="1">
        <v>36739</v>
      </c>
      <c r="B130" s="1">
        <v>36739</v>
      </c>
      <c r="C130">
        <v>1831</v>
      </c>
      <c r="D130">
        <v>1422</v>
      </c>
      <c r="E130">
        <v>1718</v>
      </c>
      <c r="F130">
        <v>3684</v>
      </c>
      <c r="G130">
        <v>1596</v>
      </c>
      <c r="H130">
        <v>3639</v>
      </c>
      <c r="I130">
        <v>70402</v>
      </c>
      <c r="J130">
        <v>136662</v>
      </c>
      <c r="K130">
        <v>5853</v>
      </c>
      <c r="M130">
        <f t="shared" si="43"/>
        <v>142515</v>
      </c>
      <c r="P130">
        <f t="shared" si="44"/>
        <v>4.1069361119882117E-2</v>
      </c>
      <c r="Q130">
        <f t="shared" si="45"/>
        <v>0.49399712310984811</v>
      </c>
      <c r="R130" t="e">
        <f t="shared" si="46"/>
        <v>#N/A</v>
      </c>
      <c r="S130">
        <f t="shared" si="48"/>
        <v>0.31860100922220291</v>
      </c>
      <c r="T130">
        <f t="shared" si="49"/>
        <v>0.24743344353575777</v>
      </c>
      <c r="U130">
        <f t="shared" si="50"/>
        <v>1.2583222857812512E-2</v>
      </c>
      <c r="V130">
        <f t="shared" si="51"/>
        <v>2.6982883008254535E-2</v>
      </c>
      <c r="W130">
        <f t="shared" si="52"/>
        <v>2.2670776573530876E-2</v>
      </c>
      <c r="X130">
        <f t="shared" si="53"/>
        <v>5.1688872475213775E-2</v>
      </c>
      <c r="Y130" s="1">
        <f t="shared" si="47"/>
        <v>36739</v>
      </c>
      <c r="Z130">
        <f t="shared" si="57"/>
        <v>4.0364315192611931E-2</v>
      </c>
      <c r="AA130">
        <f t="shared" si="58"/>
        <v>0.49294465953131433</v>
      </c>
      <c r="AB130" t="e">
        <f t="shared" si="59"/>
        <v>#N/A</v>
      </c>
      <c r="AC130">
        <f t="shared" si="60"/>
        <v>0.32460544132458341</v>
      </c>
      <c r="AD130">
        <f t="shared" si="61"/>
        <v>0.24482624745445966</v>
      </c>
      <c r="AE130">
        <f t="shared" si="62"/>
        <v>1.2352782176390452E-2</v>
      </c>
      <c r="AF130">
        <f t="shared" si="63"/>
        <v>2.7555673674045201E-2</v>
      </c>
      <c r="AG130">
        <f t="shared" si="64"/>
        <v>2.2390480727876017E-2</v>
      </c>
      <c r="AH130">
        <f t="shared" si="65"/>
        <v>5.0200957682540633E-2</v>
      </c>
      <c r="AI130">
        <f t="shared" si="54"/>
        <v>136711</v>
      </c>
      <c r="AJ130">
        <f t="shared" si="55"/>
        <v>70225.333333333328</v>
      </c>
      <c r="AK130">
        <f t="shared" si="56"/>
        <v>5750.333333333333</v>
      </c>
    </row>
    <row r="131" spans="1:37" x14ac:dyDescent="0.25">
      <c r="A131" s="1">
        <v>36770</v>
      </c>
      <c r="B131" s="1">
        <v>36770</v>
      </c>
      <c r="C131">
        <v>1875</v>
      </c>
      <c r="D131">
        <v>1497</v>
      </c>
      <c r="E131">
        <v>1643</v>
      </c>
      <c r="F131">
        <v>3901</v>
      </c>
      <c r="G131">
        <v>1471</v>
      </c>
      <c r="H131">
        <v>3775</v>
      </c>
      <c r="I131">
        <v>70645</v>
      </c>
      <c r="J131">
        <v>136893</v>
      </c>
      <c r="K131">
        <v>5625</v>
      </c>
      <c r="M131">
        <f t="shared" si="43"/>
        <v>142518</v>
      </c>
      <c r="P131">
        <f t="shared" si="44"/>
        <v>3.9468698690691702E-2</v>
      </c>
      <c r="Q131">
        <f t="shared" si="45"/>
        <v>0.49569177226736272</v>
      </c>
      <c r="R131" t="e">
        <f t="shared" si="46"/>
        <v>#N/A</v>
      </c>
      <c r="S131">
        <f t="shared" si="48"/>
        <v>0.3203485392106612</v>
      </c>
      <c r="T131">
        <f t="shared" si="49"/>
        <v>0.25576627370579191</v>
      </c>
      <c r="U131">
        <f t="shared" si="50"/>
        <v>1.2022361739181338E-2</v>
      </c>
      <c r="V131">
        <f t="shared" si="51"/>
        <v>2.8544877142146319E-2</v>
      </c>
      <c r="W131">
        <f t="shared" si="52"/>
        <v>2.0894292775773416E-2</v>
      </c>
      <c r="X131">
        <f t="shared" si="53"/>
        <v>5.3436195059806076E-2</v>
      </c>
      <c r="Y131" s="1">
        <f t="shared" si="47"/>
        <v>36770</v>
      </c>
      <c r="Z131">
        <f t="shared" si="57"/>
        <v>4.0310270676021172E-2</v>
      </c>
      <c r="AA131">
        <f t="shared" si="58"/>
        <v>0.49482927005927085</v>
      </c>
      <c r="AB131" t="e">
        <f t="shared" si="59"/>
        <v>#N/A</v>
      </c>
      <c r="AC131">
        <f t="shared" si="60"/>
        <v>0.32429091595553089</v>
      </c>
      <c r="AD131">
        <f t="shared" si="61"/>
        <v>0.2437669794214592</v>
      </c>
      <c r="AE131">
        <f t="shared" si="62"/>
        <v>1.2464068825062893E-2</v>
      </c>
      <c r="AF131">
        <f t="shared" si="63"/>
        <v>2.8053579365648926E-2</v>
      </c>
      <c r="AG131">
        <f t="shared" si="64"/>
        <v>2.1672554422338161E-2</v>
      </c>
      <c r="AH131">
        <f t="shared" si="65"/>
        <v>5.0553273149703176E-2</v>
      </c>
      <c r="AI131">
        <f t="shared" si="54"/>
        <v>136695.33333333334</v>
      </c>
      <c r="AJ131">
        <f t="shared" si="55"/>
        <v>70482</v>
      </c>
      <c r="AK131">
        <f t="shared" si="56"/>
        <v>5741.666666666667</v>
      </c>
    </row>
    <row r="132" spans="1:37" x14ac:dyDescent="0.25">
      <c r="A132" s="1">
        <v>36800</v>
      </c>
      <c r="B132" s="1">
        <v>36800</v>
      </c>
      <c r="C132">
        <v>1885</v>
      </c>
      <c r="D132">
        <v>1273</v>
      </c>
      <c r="E132">
        <v>1549</v>
      </c>
      <c r="F132">
        <v>3929</v>
      </c>
      <c r="G132">
        <v>1498</v>
      </c>
      <c r="H132">
        <v>3691</v>
      </c>
      <c r="I132">
        <v>70783</v>
      </c>
      <c r="J132">
        <v>137088</v>
      </c>
      <c r="K132">
        <v>5534</v>
      </c>
      <c r="M132">
        <f t="shared" ref="M132:M195" si="66">J132+K132</f>
        <v>142622</v>
      </c>
      <c r="P132">
        <f t="shared" ref="P132:P195" si="67">K132/M132</f>
        <v>3.8801867874521459E-2</v>
      </c>
      <c r="Q132">
        <f t="shared" ref="Q132:Q195" si="68">I132/M132</f>
        <v>0.49629790635385845</v>
      </c>
      <c r="R132" t="e">
        <f t="shared" ref="R132:R195" si="69">IF(ISNUMBER(L132),L132/M132,NA())</f>
        <v>#N/A</v>
      </c>
      <c r="S132">
        <f t="shared" si="48"/>
        <v>0.33511111111111114</v>
      </c>
      <c r="T132">
        <f t="shared" si="49"/>
        <v>0.2263111111111111</v>
      </c>
      <c r="U132">
        <f t="shared" si="50"/>
        <v>1.1315406923655702E-2</v>
      </c>
      <c r="V132">
        <f t="shared" si="51"/>
        <v>2.8701248420299065E-2</v>
      </c>
      <c r="W132">
        <f t="shared" si="52"/>
        <v>2.1204614622407813E-2</v>
      </c>
      <c r="X132">
        <f t="shared" si="53"/>
        <v>5.2145289123094525E-2</v>
      </c>
      <c r="Y132" s="1">
        <f t="shared" ref="Y132:Y195" si="70">B132</f>
        <v>36800</v>
      </c>
      <c r="Z132">
        <f t="shared" si="57"/>
        <v>3.9779975895031759E-2</v>
      </c>
      <c r="AA132">
        <f t="shared" si="58"/>
        <v>0.49532893391035643</v>
      </c>
      <c r="AB132" t="e">
        <f t="shared" si="59"/>
        <v>#N/A</v>
      </c>
      <c r="AC132">
        <f t="shared" si="60"/>
        <v>0.32468688651465843</v>
      </c>
      <c r="AD132">
        <f t="shared" si="61"/>
        <v>0.2431702761175536</v>
      </c>
      <c r="AE132">
        <f t="shared" si="62"/>
        <v>1.1973663840216517E-2</v>
      </c>
      <c r="AF132">
        <f t="shared" si="63"/>
        <v>2.8076336190233309E-2</v>
      </c>
      <c r="AG132">
        <f t="shared" si="64"/>
        <v>2.1589894657237371E-2</v>
      </c>
      <c r="AH132">
        <f t="shared" si="65"/>
        <v>5.2423452219371454E-2</v>
      </c>
      <c r="AI132">
        <f t="shared" si="54"/>
        <v>136881</v>
      </c>
      <c r="AJ132">
        <f t="shared" si="55"/>
        <v>70610</v>
      </c>
      <c r="AK132">
        <f t="shared" si="56"/>
        <v>5670.666666666667</v>
      </c>
    </row>
    <row r="133" spans="1:37" x14ac:dyDescent="0.25">
      <c r="A133" s="1">
        <v>36831</v>
      </c>
      <c r="B133" s="1">
        <v>36831</v>
      </c>
      <c r="C133">
        <v>1709</v>
      </c>
      <c r="D133">
        <v>1244</v>
      </c>
      <c r="E133">
        <v>1444</v>
      </c>
      <c r="F133">
        <v>3894</v>
      </c>
      <c r="G133">
        <v>1596</v>
      </c>
      <c r="H133">
        <v>3831</v>
      </c>
      <c r="I133">
        <v>70578</v>
      </c>
      <c r="J133">
        <v>137322</v>
      </c>
      <c r="K133">
        <v>5639</v>
      </c>
      <c r="M133">
        <f t="shared" si="66"/>
        <v>142961</v>
      </c>
      <c r="P133">
        <f t="shared" si="67"/>
        <v>3.944432397646911E-2</v>
      </c>
      <c r="Q133">
        <f t="shared" si="68"/>
        <v>0.4936870894859437</v>
      </c>
      <c r="R133" t="e">
        <f t="shared" si="69"/>
        <v>#N/A</v>
      </c>
      <c r="S133">
        <f t="shared" ref="S133:S196" si="71">IF(ISNUMBER(C133),C133/$K132,NA())</f>
        <v>0.30881821467293097</v>
      </c>
      <c r="T133">
        <f t="shared" ref="T133:T196" si="72">IF(ISNUMBER(D133),D133/$K132,NA())</f>
        <v>0.224792193711601</v>
      </c>
      <c r="U133">
        <f t="shared" ref="U133:U196" si="73">IF(ISNUMBER(E133),E133/$J132,NA())</f>
        <v>1.0533380018674137E-2</v>
      </c>
      <c r="V133">
        <f t="shared" ref="V133:V196" si="74">IF(ISNUMBER(F133),F133/$J132,NA())</f>
        <v>2.8405112044817927E-2</v>
      </c>
      <c r="W133">
        <f t="shared" ref="W133:W196" si="75">IF(ISNUMBER(G133),G133/$I132,NA())</f>
        <v>2.2547786897983979E-2</v>
      </c>
      <c r="X133">
        <f t="shared" ref="X133:X196" si="76">IF(ISNUMBER(H133),H133/$I133,NA())</f>
        <v>5.4280370653744796E-2</v>
      </c>
      <c r="Y133" s="1">
        <f t="shared" si="70"/>
        <v>36831</v>
      </c>
      <c r="Z133">
        <f t="shared" si="57"/>
        <v>3.9238296847227426E-2</v>
      </c>
      <c r="AA133">
        <f t="shared" si="58"/>
        <v>0.49522558936905497</v>
      </c>
      <c r="AB133" t="e">
        <f t="shared" si="59"/>
        <v>#N/A</v>
      </c>
      <c r="AC133">
        <f t="shared" si="60"/>
        <v>0.3214259549982344</v>
      </c>
      <c r="AD133">
        <f t="shared" si="61"/>
        <v>0.23562319284283464</v>
      </c>
      <c r="AE133">
        <f t="shared" si="62"/>
        <v>1.129038289383706E-2</v>
      </c>
      <c r="AF133">
        <f t="shared" si="63"/>
        <v>2.8550412535754438E-2</v>
      </c>
      <c r="AG133">
        <f t="shared" si="64"/>
        <v>2.1548898098721736E-2</v>
      </c>
      <c r="AH133">
        <f t="shared" si="65"/>
        <v>5.3287284945548463E-2</v>
      </c>
      <c r="AI133">
        <f t="shared" si="54"/>
        <v>137101</v>
      </c>
      <c r="AJ133">
        <f t="shared" si="55"/>
        <v>70668.666666666672</v>
      </c>
      <c r="AK133">
        <f t="shared" si="56"/>
        <v>5599.333333333333</v>
      </c>
    </row>
    <row r="134" spans="1:37" x14ac:dyDescent="0.25">
      <c r="A134" s="1">
        <v>36861</v>
      </c>
      <c r="B134" s="1">
        <v>36861</v>
      </c>
      <c r="C134">
        <v>1699</v>
      </c>
      <c r="D134">
        <v>1293</v>
      </c>
      <c r="E134">
        <v>1472</v>
      </c>
      <c r="F134">
        <v>3748</v>
      </c>
      <c r="G134">
        <v>1487</v>
      </c>
      <c r="H134">
        <v>3768</v>
      </c>
      <c r="I134">
        <v>70488</v>
      </c>
      <c r="J134">
        <v>137614</v>
      </c>
      <c r="K134">
        <v>5634</v>
      </c>
      <c r="L134">
        <v>5191</v>
      </c>
      <c r="M134">
        <f t="shared" si="66"/>
        <v>143248</v>
      </c>
      <c r="P134">
        <f t="shared" si="67"/>
        <v>3.9330392047358428E-2</v>
      </c>
      <c r="Q134">
        <f t="shared" si="68"/>
        <v>0.49206969730816486</v>
      </c>
      <c r="R134">
        <f t="shared" si="69"/>
        <v>3.6237853233552997E-2</v>
      </c>
      <c r="S134">
        <f t="shared" si="71"/>
        <v>0.30129455577230008</v>
      </c>
      <c r="T134">
        <f t="shared" si="72"/>
        <v>0.22929597446355737</v>
      </c>
      <c r="U134">
        <f t="shared" si="73"/>
        <v>1.0719331206944262E-2</v>
      </c>
      <c r="V134">
        <f t="shared" si="74"/>
        <v>2.7293514513333623E-2</v>
      </c>
      <c r="W134">
        <f t="shared" si="75"/>
        <v>2.1068888322140045E-2</v>
      </c>
      <c r="X134">
        <f t="shared" si="76"/>
        <v>5.3455907388491659E-2</v>
      </c>
      <c r="Y134" s="1">
        <f t="shared" si="70"/>
        <v>36861</v>
      </c>
      <c r="Z134">
        <f t="shared" si="57"/>
        <v>3.9192194632782999E-2</v>
      </c>
      <c r="AA134">
        <f t="shared" si="58"/>
        <v>0.49401823104932235</v>
      </c>
      <c r="AB134" t="e">
        <f t="shared" si="59"/>
        <v>#N/A</v>
      </c>
      <c r="AC134">
        <f t="shared" si="60"/>
        <v>0.31507462718544743</v>
      </c>
      <c r="AD134">
        <f t="shared" si="61"/>
        <v>0.2267997597620898</v>
      </c>
      <c r="AE134">
        <f t="shared" si="62"/>
        <v>1.0856039383091367E-2</v>
      </c>
      <c r="AF134">
        <f t="shared" si="63"/>
        <v>2.8133291659483538E-2</v>
      </c>
      <c r="AG134">
        <f t="shared" si="64"/>
        <v>2.1607096614177281E-2</v>
      </c>
      <c r="AH134">
        <f t="shared" si="65"/>
        <v>5.3293855721776993E-2</v>
      </c>
      <c r="AI134">
        <f t="shared" si="54"/>
        <v>137341.33333333334</v>
      </c>
      <c r="AJ134">
        <f t="shared" si="55"/>
        <v>70616.333333333328</v>
      </c>
      <c r="AK134">
        <f t="shared" si="56"/>
        <v>5602.333333333333</v>
      </c>
    </row>
    <row r="135" spans="1:37" x14ac:dyDescent="0.25">
      <c r="A135" s="1">
        <v>36892</v>
      </c>
      <c r="B135" s="1">
        <v>36892</v>
      </c>
      <c r="C135">
        <v>1784</v>
      </c>
      <c r="D135">
        <v>1258</v>
      </c>
      <c r="E135">
        <v>1758</v>
      </c>
      <c r="F135">
        <v>3894</v>
      </c>
      <c r="G135">
        <v>1660</v>
      </c>
      <c r="H135">
        <v>3972</v>
      </c>
      <c r="I135">
        <v>70088</v>
      </c>
      <c r="J135">
        <v>137778</v>
      </c>
      <c r="K135">
        <v>6023</v>
      </c>
      <c r="L135">
        <v>5186</v>
      </c>
      <c r="M135">
        <f t="shared" si="66"/>
        <v>143801</v>
      </c>
      <c r="P135">
        <f t="shared" si="67"/>
        <v>4.1884270623987314E-2</v>
      </c>
      <c r="Q135">
        <f t="shared" si="68"/>
        <v>0.48739577610725932</v>
      </c>
      <c r="R135">
        <f t="shared" si="69"/>
        <v>3.6063726956001699E-2</v>
      </c>
      <c r="S135">
        <f t="shared" si="71"/>
        <v>0.3166489172878949</v>
      </c>
      <c r="T135">
        <f t="shared" si="72"/>
        <v>0.22328718494852681</v>
      </c>
      <c r="U135">
        <f t="shared" si="73"/>
        <v>1.2774863022657578E-2</v>
      </c>
      <c r="V135">
        <f t="shared" si="74"/>
        <v>2.8296539596262008E-2</v>
      </c>
      <c r="W135">
        <f t="shared" si="75"/>
        <v>2.3550107819770742E-2</v>
      </c>
      <c r="X135">
        <f t="shared" si="76"/>
        <v>5.6671612829585667E-2</v>
      </c>
      <c r="Y135" s="1">
        <f t="shared" si="70"/>
        <v>36892</v>
      </c>
      <c r="Z135">
        <f t="shared" si="57"/>
        <v>4.0219662215938284E-2</v>
      </c>
      <c r="AA135">
        <f t="shared" si="58"/>
        <v>0.49105085430045597</v>
      </c>
      <c r="AB135" t="e">
        <f t="shared" si="59"/>
        <v>#N/A</v>
      </c>
      <c r="AC135">
        <f t="shared" si="60"/>
        <v>0.30892056257770867</v>
      </c>
      <c r="AD135">
        <f t="shared" si="61"/>
        <v>0.22579178437456174</v>
      </c>
      <c r="AE135">
        <f t="shared" si="62"/>
        <v>1.1342524749425325E-2</v>
      </c>
      <c r="AF135">
        <f t="shared" si="63"/>
        <v>2.7998388718137854E-2</v>
      </c>
      <c r="AG135">
        <f t="shared" si="64"/>
        <v>2.2388927679964921E-2</v>
      </c>
      <c r="AH135">
        <f t="shared" si="65"/>
        <v>5.480263029060737E-2</v>
      </c>
      <c r="AI135">
        <f t="shared" ref="AI135:AI198" si="77">AVERAGE(J133:J135)</f>
        <v>137571.33333333334</v>
      </c>
      <c r="AJ135">
        <f t="shared" ref="AJ135:AJ198" si="78">AVERAGE(I133:I135)</f>
        <v>70384.666666666672</v>
      </c>
      <c r="AK135">
        <f t="shared" ref="AK135:AK198" si="79">AVERAGE(K133:K135)</f>
        <v>5765.333333333333</v>
      </c>
    </row>
    <row r="136" spans="1:37" x14ac:dyDescent="0.25">
      <c r="A136" s="1">
        <v>36923</v>
      </c>
      <c r="B136" s="1">
        <v>36923</v>
      </c>
      <c r="C136">
        <v>1831</v>
      </c>
      <c r="D136">
        <v>1436</v>
      </c>
      <c r="E136">
        <v>1729</v>
      </c>
      <c r="F136">
        <v>4170</v>
      </c>
      <c r="G136">
        <v>1573</v>
      </c>
      <c r="H136">
        <v>3843</v>
      </c>
      <c r="I136">
        <v>70409</v>
      </c>
      <c r="J136">
        <v>137612</v>
      </c>
      <c r="K136">
        <v>6089</v>
      </c>
      <c r="L136">
        <v>4702</v>
      </c>
      <c r="M136">
        <f t="shared" si="66"/>
        <v>143701</v>
      </c>
      <c r="P136">
        <f t="shared" si="67"/>
        <v>4.2372704434903027E-2</v>
      </c>
      <c r="Q136">
        <f t="shared" si="68"/>
        <v>0.48996875456677408</v>
      </c>
      <c r="R136">
        <f t="shared" si="69"/>
        <v>3.2720718714553135E-2</v>
      </c>
      <c r="S136">
        <f t="shared" si="71"/>
        <v>0.30400132824173998</v>
      </c>
      <c r="T136">
        <f t="shared" si="72"/>
        <v>0.23841939232940396</v>
      </c>
      <c r="U136">
        <f t="shared" si="73"/>
        <v>1.2549173307784987E-2</v>
      </c>
      <c r="V136">
        <f t="shared" si="74"/>
        <v>3.0266080215999653E-2</v>
      </c>
      <c r="W136">
        <f t="shared" si="75"/>
        <v>2.2443214244949206E-2</v>
      </c>
      <c r="X136">
        <f t="shared" si="76"/>
        <v>5.458109048559133E-2</v>
      </c>
      <c r="Y136" s="1">
        <f t="shared" si="70"/>
        <v>36923</v>
      </c>
      <c r="Z136">
        <f t="shared" si="57"/>
        <v>4.1195789035416257E-2</v>
      </c>
      <c r="AA136">
        <f t="shared" si="58"/>
        <v>0.48981140932739947</v>
      </c>
      <c r="AB136">
        <f t="shared" si="59"/>
        <v>3.5007432968035941E-2</v>
      </c>
      <c r="AC136">
        <f t="shared" si="60"/>
        <v>0.30731493376731162</v>
      </c>
      <c r="AD136">
        <f t="shared" si="61"/>
        <v>0.2303341839138294</v>
      </c>
      <c r="AE136">
        <f t="shared" si="62"/>
        <v>1.2014455845795609E-2</v>
      </c>
      <c r="AF136">
        <f t="shared" si="63"/>
        <v>2.8618711441865095E-2</v>
      </c>
      <c r="AG136">
        <f t="shared" si="64"/>
        <v>2.2354070128953327E-2</v>
      </c>
      <c r="AH136">
        <f t="shared" si="65"/>
        <v>5.4902870234556221E-2</v>
      </c>
      <c r="AI136">
        <f t="shared" si="77"/>
        <v>137668</v>
      </c>
      <c r="AJ136">
        <f t="shared" si="78"/>
        <v>70328.333333333328</v>
      </c>
      <c r="AK136">
        <f t="shared" si="79"/>
        <v>5915.333333333333</v>
      </c>
    </row>
    <row r="137" spans="1:37" x14ac:dyDescent="0.25">
      <c r="A137" s="1">
        <v>36951</v>
      </c>
      <c r="B137" s="1">
        <v>36951</v>
      </c>
      <c r="C137">
        <v>1892</v>
      </c>
      <c r="D137">
        <v>1478</v>
      </c>
      <c r="E137">
        <v>1782</v>
      </c>
      <c r="F137">
        <v>3836</v>
      </c>
      <c r="G137">
        <v>1626</v>
      </c>
      <c r="H137">
        <v>3840</v>
      </c>
      <c r="I137">
        <v>70381</v>
      </c>
      <c r="J137">
        <v>137783</v>
      </c>
      <c r="K137">
        <v>6141</v>
      </c>
      <c r="L137">
        <v>4774</v>
      </c>
      <c r="M137">
        <f t="shared" si="66"/>
        <v>143924</v>
      </c>
      <c r="P137">
        <f t="shared" si="67"/>
        <v>4.2668352741724799E-2</v>
      </c>
      <c r="Q137">
        <f t="shared" si="68"/>
        <v>0.48901503571329313</v>
      </c>
      <c r="R137">
        <f t="shared" si="69"/>
        <v>3.3170284316722712E-2</v>
      </c>
      <c r="S137">
        <f t="shared" si="71"/>
        <v>0.31072425685662669</v>
      </c>
      <c r="T137">
        <f t="shared" si="72"/>
        <v>0.24273279684677287</v>
      </c>
      <c r="U137">
        <f t="shared" si="73"/>
        <v>1.294945208266721E-2</v>
      </c>
      <c r="V137">
        <f t="shared" si="74"/>
        <v>2.7875475975932332E-2</v>
      </c>
      <c r="W137">
        <f t="shared" si="75"/>
        <v>2.3093638597338408E-2</v>
      </c>
      <c r="X137">
        <f t="shared" si="76"/>
        <v>5.4560179593924493E-2</v>
      </c>
      <c r="Y137" s="1">
        <f t="shared" si="70"/>
        <v>36951</v>
      </c>
      <c r="Z137">
        <f t="shared" si="57"/>
        <v>4.2308442600205054E-2</v>
      </c>
      <c r="AA137">
        <f t="shared" si="58"/>
        <v>0.48879318879577549</v>
      </c>
      <c r="AB137">
        <f t="shared" si="59"/>
        <v>3.3984909995759184E-2</v>
      </c>
      <c r="AC137">
        <f t="shared" si="60"/>
        <v>0.31045816746208721</v>
      </c>
      <c r="AD137">
        <f t="shared" si="61"/>
        <v>0.23481312470823454</v>
      </c>
      <c r="AE137">
        <f t="shared" si="62"/>
        <v>1.2757829471036592E-2</v>
      </c>
      <c r="AF137">
        <f t="shared" si="63"/>
        <v>2.8812698596064664E-2</v>
      </c>
      <c r="AG137">
        <f t="shared" si="64"/>
        <v>2.3028986887352786E-2</v>
      </c>
      <c r="AH137">
        <f t="shared" si="65"/>
        <v>5.5270960969700501E-2</v>
      </c>
      <c r="AI137">
        <f t="shared" si="77"/>
        <v>137724.33333333334</v>
      </c>
      <c r="AJ137">
        <f t="shared" si="78"/>
        <v>70292.666666666672</v>
      </c>
      <c r="AK137">
        <f t="shared" si="79"/>
        <v>6084.333333333333</v>
      </c>
    </row>
    <row r="138" spans="1:37" x14ac:dyDescent="0.25">
      <c r="A138" s="1">
        <v>36982</v>
      </c>
      <c r="B138" s="1">
        <v>36982</v>
      </c>
      <c r="C138">
        <v>1859</v>
      </c>
      <c r="D138">
        <v>1536</v>
      </c>
      <c r="E138">
        <v>1827</v>
      </c>
      <c r="F138">
        <v>4193</v>
      </c>
      <c r="G138">
        <v>1672</v>
      </c>
      <c r="H138">
        <v>3594</v>
      </c>
      <c r="I138">
        <v>70956</v>
      </c>
      <c r="J138">
        <v>137299</v>
      </c>
      <c r="K138">
        <v>6271</v>
      </c>
      <c r="L138">
        <v>4653</v>
      </c>
      <c r="M138">
        <f t="shared" si="66"/>
        <v>143570</v>
      </c>
      <c r="P138">
        <f t="shared" si="67"/>
        <v>4.3679041582503311E-2</v>
      </c>
      <c r="Q138">
        <f t="shared" si="68"/>
        <v>0.49422581319217107</v>
      </c>
      <c r="R138">
        <f t="shared" si="69"/>
        <v>3.2409277704255765E-2</v>
      </c>
      <c r="S138">
        <f t="shared" si="71"/>
        <v>0.30271942680345221</v>
      </c>
      <c r="T138">
        <f t="shared" si="72"/>
        <v>0.25012212994626282</v>
      </c>
      <c r="U138">
        <f t="shared" si="73"/>
        <v>1.325998127490329E-2</v>
      </c>
      <c r="V138">
        <f t="shared" si="74"/>
        <v>3.0431911048532836E-2</v>
      </c>
      <c r="W138">
        <f t="shared" si="75"/>
        <v>2.375641153152129E-2</v>
      </c>
      <c r="X138">
        <f t="shared" si="76"/>
        <v>5.0651107728733297E-2</v>
      </c>
      <c r="Y138" s="1">
        <f t="shared" si="70"/>
        <v>36982</v>
      </c>
      <c r="Z138">
        <f t="shared" si="57"/>
        <v>4.2906699586377051E-2</v>
      </c>
      <c r="AA138">
        <f t="shared" si="58"/>
        <v>0.49106986782407941</v>
      </c>
      <c r="AB138">
        <f t="shared" si="59"/>
        <v>3.2766760245177204E-2</v>
      </c>
      <c r="AC138">
        <f t="shared" si="60"/>
        <v>0.30581500396727296</v>
      </c>
      <c r="AD138">
        <f t="shared" si="61"/>
        <v>0.24375810637414655</v>
      </c>
      <c r="AE138">
        <f t="shared" si="62"/>
        <v>1.2919535555118496E-2</v>
      </c>
      <c r="AF138">
        <f t="shared" si="63"/>
        <v>2.9524489080154939E-2</v>
      </c>
      <c r="AG138">
        <f t="shared" si="64"/>
        <v>2.3097754791269635E-2</v>
      </c>
      <c r="AH138">
        <f t="shared" si="65"/>
        <v>5.326412593608304E-2</v>
      </c>
      <c r="AI138">
        <f t="shared" si="77"/>
        <v>137564.66666666666</v>
      </c>
      <c r="AJ138">
        <f t="shared" si="78"/>
        <v>70582</v>
      </c>
      <c r="AK138">
        <f t="shared" si="79"/>
        <v>6167</v>
      </c>
    </row>
    <row r="139" spans="1:37" x14ac:dyDescent="0.25">
      <c r="A139" s="1">
        <v>37012</v>
      </c>
      <c r="B139" s="1">
        <v>37012</v>
      </c>
      <c r="C139">
        <v>2034</v>
      </c>
      <c r="D139">
        <v>1462</v>
      </c>
      <c r="E139">
        <v>1810</v>
      </c>
      <c r="F139">
        <v>4163</v>
      </c>
      <c r="G139">
        <v>1618</v>
      </c>
      <c r="H139">
        <v>3677</v>
      </c>
      <c r="I139">
        <v>71414</v>
      </c>
      <c r="J139">
        <v>137092</v>
      </c>
      <c r="K139">
        <v>6226</v>
      </c>
      <c r="L139">
        <v>4452</v>
      </c>
      <c r="M139">
        <f t="shared" si="66"/>
        <v>143318</v>
      </c>
      <c r="P139">
        <f t="shared" si="67"/>
        <v>4.3441856570702909E-2</v>
      </c>
      <c r="Q139">
        <f t="shared" si="68"/>
        <v>0.49829051479925762</v>
      </c>
      <c r="R139">
        <f t="shared" si="69"/>
        <v>3.1063788219204844E-2</v>
      </c>
      <c r="S139">
        <f t="shared" si="71"/>
        <v>0.32435018338383031</v>
      </c>
      <c r="T139">
        <f t="shared" si="72"/>
        <v>0.23313666081964599</v>
      </c>
      <c r="U139">
        <f t="shared" si="73"/>
        <v>1.3182907377329769E-2</v>
      </c>
      <c r="V139">
        <f t="shared" si="74"/>
        <v>3.032068696785847E-2</v>
      </c>
      <c r="W139">
        <f t="shared" si="75"/>
        <v>2.2802863746547157E-2</v>
      </c>
      <c r="X139">
        <f t="shared" si="76"/>
        <v>5.1488503654745568E-2</v>
      </c>
      <c r="Y139" s="1">
        <f t="shared" si="70"/>
        <v>37012</v>
      </c>
      <c r="Z139">
        <f t="shared" si="57"/>
        <v>4.3263083631643669E-2</v>
      </c>
      <c r="AA139">
        <f t="shared" si="58"/>
        <v>0.49384378790157396</v>
      </c>
      <c r="AB139">
        <f t="shared" si="59"/>
        <v>3.2214450080061109E-2</v>
      </c>
      <c r="AC139">
        <f t="shared" si="60"/>
        <v>0.31259795568130305</v>
      </c>
      <c r="AD139">
        <f t="shared" si="61"/>
        <v>0.24199719587089388</v>
      </c>
      <c r="AE139">
        <f t="shared" si="62"/>
        <v>1.3130780244966755E-2</v>
      </c>
      <c r="AF139">
        <f t="shared" si="63"/>
        <v>2.9542691330774546E-2</v>
      </c>
      <c r="AG139">
        <f t="shared" si="64"/>
        <v>2.3217637958468953E-2</v>
      </c>
      <c r="AH139">
        <f t="shared" si="65"/>
        <v>5.223326365913445E-2</v>
      </c>
      <c r="AI139">
        <f t="shared" si="77"/>
        <v>137391.33333333334</v>
      </c>
      <c r="AJ139">
        <f t="shared" si="78"/>
        <v>70917</v>
      </c>
      <c r="AK139">
        <f t="shared" si="79"/>
        <v>6212.666666666667</v>
      </c>
    </row>
    <row r="140" spans="1:37" x14ac:dyDescent="0.25">
      <c r="A140" s="1">
        <v>37043</v>
      </c>
      <c r="B140" s="1">
        <v>37043</v>
      </c>
      <c r="C140">
        <v>1910</v>
      </c>
      <c r="D140">
        <v>1437</v>
      </c>
      <c r="E140">
        <v>1877</v>
      </c>
      <c r="F140">
        <v>3958</v>
      </c>
      <c r="G140">
        <v>1689</v>
      </c>
      <c r="H140">
        <v>3655</v>
      </c>
      <c r="I140">
        <v>71593</v>
      </c>
      <c r="J140">
        <v>136873</v>
      </c>
      <c r="K140">
        <v>6484</v>
      </c>
      <c r="L140">
        <v>4337</v>
      </c>
      <c r="M140">
        <f t="shared" si="66"/>
        <v>143357</v>
      </c>
      <c r="P140">
        <f t="shared" si="67"/>
        <v>4.5229741135765958E-2</v>
      </c>
      <c r="Q140">
        <f t="shared" si="68"/>
        <v>0.49940358684961322</v>
      </c>
      <c r="R140">
        <f t="shared" si="69"/>
        <v>3.0253144248275285E-2</v>
      </c>
      <c r="S140">
        <f t="shared" si="71"/>
        <v>0.30677802762608414</v>
      </c>
      <c r="T140">
        <f t="shared" si="72"/>
        <v>0.2308062961773209</v>
      </c>
      <c r="U140">
        <f t="shared" si="73"/>
        <v>1.3691535611122458E-2</v>
      </c>
      <c r="V140">
        <f t="shared" si="74"/>
        <v>2.8871123041461208E-2</v>
      </c>
      <c r="W140">
        <f t="shared" si="75"/>
        <v>2.3650824768252723E-2</v>
      </c>
      <c r="X140">
        <f t="shared" si="76"/>
        <v>5.1052477197491376E-2</v>
      </c>
      <c r="Y140" s="1">
        <f t="shared" si="70"/>
        <v>37043</v>
      </c>
      <c r="Z140">
        <f t="shared" si="57"/>
        <v>4.4116879762990724E-2</v>
      </c>
      <c r="AA140">
        <f t="shared" si="58"/>
        <v>0.49730663828034727</v>
      </c>
      <c r="AB140">
        <f t="shared" si="59"/>
        <v>3.1242070057245299E-2</v>
      </c>
      <c r="AC140">
        <f t="shared" si="60"/>
        <v>0.31128254593778887</v>
      </c>
      <c r="AD140">
        <f t="shared" si="61"/>
        <v>0.23802169564774323</v>
      </c>
      <c r="AE140">
        <f t="shared" si="62"/>
        <v>1.3378141421118504E-2</v>
      </c>
      <c r="AF140">
        <f t="shared" si="63"/>
        <v>2.9874573685950839E-2</v>
      </c>
      <c r="AG140">
        <f t="shared" si="64"/>
        <v>2.3403366682107057E-2</v>
      </c>
      <c r="AH140">
        <f t="shared" si="65"/>
        <v>5.106402952699008E-2</v>
      </c>
      <c r="AI140">
        <f t="shared" si="77"/>
        <v>137088</v>
      </c>
      <c r="AJ140">
        <f t="shared" si="78"/>
        <v>71321</v>
      </c>
      <c r="AK140">
        <f t="shared" si="79"/>
        <v>6327</v>
      </c>
    </row>
    <row r="141" spans="1:37" x14ac:dyDescent="0.25">
      <c r="A141" s="1">
        <v>37073</v>
      </c>
      <c r="B141" s="1">
        <v>37073</v>
      </c>
      <c r="C141">
        <v>1956</v>
      </c>
      <c r="D141">
        <v>1456</v>
      </c>
      <c r="E141">
        <v>1833</v>
      </c>
      <c r="F141">
        <v>4028</v>
      </c>
      <c r="G141">
        <v>1661</v>
      </c>
      <c r="H141">
        <v>4003</v>
      </c>
      <c r="I141">
        <v>71526</v>
      </c>
      <c r="J141">
        <v>137071</v>
      </c>
      <c r="K141">
        <v>6583</v>
      </c>
      <c r="L141">
        <v>4231</v>
      </c>
      <c r="M141">
        <f t="shared" si="66"/>
        <v>143654</v>
      </c>
      <c r="P141">
        <f t="shared" si="67"/>
        <v>4.5825385996909239E-2</v>
      </c>
      <c r="Q141">
        <f t="shared" si="68"/>
        <v>0.49790468765227558</v>
      </c>
      <c r="R141">
        <f t="shared" si="69"/>
        <v>2.9452712768179096E-2</v>
      </c>
      <c r="S141">
        <f t="shared" si="71"/>
        <v>0.30166563849475631</v>
      </c>
      <c r="T141">
        <f t="shared" si="72"/>
        <v>0.22455274521900062</v>
      </c>
      <c r="U141">
        <f t="shared" si="73"/>
        <v>1.3391976503766265E-2</v>
      </c>
      <c r="V141">
        <f t="shared" si="74"/>
        <v>2.9428740511276877E-2</v>
      </c>
      <c r="W141">
        <f t="shared" si="75"/>
        <v>2.3200592236671182E-2</v>
      </c>
      <c r="X141">
        <f t="shared" si="76"/>
        <v>5.5965662835891841E-2</v>
      </c>
      <c r="Y141" s="1">
        <f t="shared" si="70"/>
        <v>37073</v>
      </c>
      <c r="Z141">
        <f t="shared" si="57"/>
        <v>4.483232790112604E-2</v>
      </c>
      <c r="AA141">
        <f t="shared" si="58"/>
        <v>0.49853292976704883</v>
      </c>
      <c r="AB141">
        <f t="shared" si="59"/>
        <v>3.0256548411886408E-2</v>
      </c>
      <c r="AC141">
        <f t="shared" si="60"/>
        <v>0.3109312831682236</v>
      </c>
      <c r="AD141">
        <f t="shared" si="61"/>
        <v>0.22949856740532248</v>
      </c>
      <c r="AE141">
        <f t="shared" si="62"/>
        <v>1.3422139830739498E-2</v>
      </c>
      <c r="AF141">
        <f t="shared" si="63"/>
        <v>2.9540183506865519E-2</v>
      </c>
      <c r="AG141">
        <f t="shared" si="64"/>
        <v>2.3218093583823689E-2</v>
      </c>
      <c r="AH141">
        <f t="shared" si="65"/>
        <v>5.2835547896042924E-2</v>
      </c>
      <c r="AI141">
        <f t="shared" si="77"/>
        <v>137012</v>
      </c>
      <c r="AJ141">
        <f t="shared" si="78"/>
        <v>71511</v>
      </c>
      <c r="AK141">
        <f t="shared" si="79"/>
        <v>6431</v>
      </c>
    </row>
    <row r="142" spans="1:37" x14ac:dyDescent="0.25">
      <c r="A142" s="1">
        <v>37104</v>
      </c>
      <c r="B142" s="1">
        <v>37104</v>
      </c>
      <c r="C142">
        <v>1914</v>
      </c>
      <c r="D142">
        <v>1454</v>
      </c>
      <c r="E142">
        <v>1946</v>
      </c>
      <c r="F142">
        <v>4523</v>
      </c>
      <c r="G142">
        <v>1861</v>
      </c>
      <c r="H142">
        <v>3663</v>
      </c>
      <c r="I142">
        <v>72136</v>
      </c>
      <c r="J142">
        <v>136241</v>
      </c>
      <c r="K142">
        <v>7042</v>
      </c>
      <c r="L142">
        <v>4139</v>
      </c>
      <c r="M142">
        <f t="shared" si="66"/>
        <v>143283</v>
      </c>
      <c r="P142">
        <f t="shared" si="67"/>
        <v>4.9147491328350189E-2</v>
      </c>
      <c r="Q142">
        <f t="shared" si="68"/>
        <v>0.5034512119372152</v>
      </c>
      <c r="R142">
        <f t="shared" si="69"/>
        <v>2.888688818631659E-2</v>
      </c>
      <c r="S142">
        <f t="shared" si="71"/>
        <v>0.29074889867841408</v>
      </c>
      <c r="T142">
        <f t="shared" si="72"/>
        <v>0.22087194288318396</v>
      </c>
      <c r="U142">
        <f t="shared" si="73"/>
        <v>1.4197021981308957E-2</v>
      </c>
      <c r="V142">
        <f t="shared" si="74"/>
        <v>3.2997497647204735E-2</v>
      </c>
      <c r="W142">
        <f t="shared" si="75"/>
        <v>2.601851075133518E-2</v>
      </c>
      <c r="X142">
        <f t="shared" si="76"/>
        <v>5.0779083952534103E-2</v>
      </c>
      <c r="Y142" s="1">
        <f t="shared" si="70"/>
        <v>37104</v>
      </c>
      <c r="Z142">
        <f t="shared" si="57"/>
        <v>4.6734206153675129E-2</v>
      </c>
      <c r="AA142">
        <f t="shared" si="58"/>
        <v>0.50025316214636806</v>
      </c>
      <c r="AB142">
        <f t="shared" si="59"/>
        <v>2.9530915067590324E-2</v>
      </c>
      <c r="AC142">
        <f t="shared" si="60"/>
        <v>0.29973085493308482</v>
      </c>
      <c r="AD142">
        <f t="shared" si="61"/>
        <v>0.22541032809316852</v>
      </c>
      <c r="AE142">
        <f t="shared" si="62"/>
        <v>1.3760178032065891E-2</v>
      </c>
      <c r="AF142">
        <f t="shared" si="63"/>
        <v>3.0432453733314272E-2</v>
      </c>
      <c r="AG142">
        <f t="shared" si="64"/>
        <v>2.4289975918753027E-2</v>
      </c>
      <c r="AH142">
        <f t="shared" si="65"/>
        <v>5.2599074661972445E-2</v>
      </c>
      <c r="AI142">
        <f t="shared" si="77"/>
        <v>136728.33333333334</v>
      </c>
      <c r="AJ142">
        <f t="shared" si="78"/>
        <v>71751.666666666672</v>
      </c>
      <c r="AK142">
        <f t="shared" si="79"/>
        <v>6703</v>
      </c>
    </row>
    <row r="143" spans="1:37" x14ac:dyDescent="0.25">
      <c r="A143" s="1">
        <v>37135</v>
      </c>
      <c r="B143" s="1">
        <v>37135</v>
      </c>
      <c r="C143">
        <v>2045</v>
      </c>
      <c r="D143">
        <v>1550</v>
      </c>
      <c r="E143">
        <v>1823</v>
      </c>
      <c r="F143">
        <v>3839</v>
      </c>
      <c r="G143">
        <v>1856</v>
      </c>
      <c r="H143">
        <v>4124</v>
      </c>
      <c r="I143">
        <v>71676</v>
      </c>
      <c r="J143">
        <v>136846</v>
      </c>
      <c r="K143">
        <v>7142</v>
      </c>
      <c r="L143">
        <v>4006</v>
      </c>
      <c r="M143">
        <f t="shared" si="66"/>
        <v>143988</v>
      </c>
      <c r="P143">
        <f t="shared" si="67"/>
        <v>4.9601355668527934E-2</v>
      </c>
      <c r="Q143">
        <f t="shared" si="68"/>
        <v>0.49779148262355194</v>
      </c>
      <c r="R143">
        <f t="shared" si="69"/>
        <v>2.782176292468817E-2</v>
      </c>
      <c r="S143">
        <f t="shared" si="71"/>
        <v>0.29040045441635898</v>
      </c>
      <c r="T143">
        <f t="shared" si="72"/>
        <v>0.22010792388525988</v>
      </c>
      <c r="U143">
        <f t="shared" si="73"/>
        <v>1.3380700376538634E-2</v>
      </c>
      <c r="V143">
        <f t="shared" si="74"/>
        <v>2.8178008088607688E-2</v>
      </c>
      <c r="W143">
        <f t="shared" si="75"/>
        <v>2.5729178218919818E-2</v>
      </c>
      <c r="X143">
        <f t="shared" si="76"/>
        <v>5.753669289580892E-2</v>
      </c>
      <c r="Y143" s="1">
        <f t="shared" si="70"/>
        <v>37135</v>
      </c>
      <c r="Z143">
        <f t="shared" si="57"/>
        <v>4.8191410997929118E-2</v>
      </c>
      <c r="AA143">
        <f t="shared" si="58"/>
        <v>0.49971579407101419</v>
      </c>
      <c r="AB143">
        <f t="shared" si="59"/>
        <v>2.872045462639462E-2</v>
      </c>
      <c r="AC143">
        <f t="shared" si="60"/>
        <v>0.29427166386317644</v>
      </c>
      <c r="AD143">
        <f t="shared" si="61"/>
        <v>0.22184420399581484</v>
      </c>
      <c r="AE143">
        <f t="shared" si="62"/>
        <v>1.3656566287204618E-2</v>
      </c>
      <c r="AF143">
        <f t="shared" si="63"/>
        <v>3.0201415415696431E-2</v>
      </c>
      <c r="AG143">
        <f t="shared" si="64"/>
        <v>2.4982760402308724E-2</v>
      </c>
      <c r="AH143">
        <f t="shared" si="65"/>
        <v>5.4760479894744953E-2</v>
      </c>
      <c r="AI143">
        <f t="shared" si="77"/>
        <v>136719.33333333334</v>
      </c>
      <c r="AJ143">
        <f t="shared" si="78"/>
        <v>71779.333333333328</v>
      </c>
      <c r="AK143">
        <f t="shared" si="79"/>
        <v>6922.333333333333</v>
      </c>
    </row>
    <row r="144" spans="1:37" x14ac:dyDescent="0.25">
      <c r="A144" s="1">
        <v>37165</v>
      </c>
      <c r="B144" s="1">
        <v>37165</v>
      </c>
      <c r="C144">
        <v>1933</v>
      </c>
      <c r="D144">
        <v>1562</v>
      </c>
      <c r="E144">
        <v>2025</v>
      </c>
      <c r="F144">
        <v>3890</v>
      </c>
      <c r="G144">
        <v>1989</v>
      </c>
      <c r="H144">
        <v>3416</v>
      </c>
      <c r="I144">
        <v>71817</v>
      </c>
      <c r="J144">
        <v>136392</v>
      </c>
      <c r="K144">
        <v>7694</v>
      </c>
      <c r="L144">
        <v>3583</v>
      </c>
      <c r="M144">
        <f t="shared" si="66"/>
        <v>144086</v>
      </c>
      <c r="P144">
        <f t="shared" si="67"/>
        <v>5.3398664686367864E-2</v>
      </c>
      <c r="Q144">
        <f t="shared" si="68"/>
        <v>0.49843149230320782</v>
      </c>
      <c r="R144">
        <f t="shared" si="69"/>
        <v>2.4867093263745262E-2</v>
      </c>
      <c r="S144">
        <f t="shared" si="71"/>
        <v>0.27065247829739569</v>
      </c>
      <c r="T144">
        <f t="shared" si="72"/>
        <v>0.21870624474936992</v>
      </c>
      <c r="U144">
        <f t="shared" si="73"/>
        <v>1.4797655759028397E-2</v>
      </c>
      <c r="V144">
        <f t="shared" si="74"/>
        <v>2.8426114025985414E-2</v>
      </c>
      <c r="W144">
        <f t="shared" si="75"/>
        <v>2.7749874434957307E-2</v>
      </c>
      <c r="X144">
        <f t="shared" si="76"/>
        <v>4.7565339682804908E-2</v>
      </c>
      <c r="Y144" s="1">
        <f t="shared" si="70"/>
        <v>37165</v>
      </c>
      <c r="Z144">
        <f t="shared" si="57"/>
        <v>5.071583722774866E-2</v>
      </c>
      <c r="AA144">
        <f t="shared" si="58"/>
        <v>0.49989139562132495</v>
      </c>
      <c r="AB144">
        <f t="shared" si="59"/>
        <v>2.7191914791583338E-2</v>
      </c>
      <c r="AC144">
        <f t="shared" si="60"/>
        <v>0.28393394379738962</v>
      </c>
      <c r="AD144">
        <f t="shared" si="61"/>
        <v>0.21989537050593791</v>
      </c>
      <c r="AE144">
        <f t="shared" si="62"/>
        <v>1.4125126038958663E-2</v>
      </c>
      <c r="AF144">
        <f t="shared" si="63"/>
        <v>2.9867206587265948E-2</v>
      </c>
      <c r="AG144">
        <f t="shared" si="64"/>
        <v>2.6499187801737434E-2</v>
      </c>
      <c r="AH144">
        <f t="shared" si="65"/>
        <v>5.1960372177049317E-2</v>
      </c>
      <c r="AI144">
        <f t="shared" si="77"/>
        <v>136493</v>
      </c>
      <c r="AJ144">
        <f t="shared" si="78"/>
        <v>71876.333333333328</v>
      </c>
      <c r="AK144">
        <f t="shared" si="79"/>
        <v>7292.666666666667</v>
      </c>
    </row>
    <row r="145" spans="1:37" x14ac:dyDescent="0.25">
      <c r="A145" s="1">
        <v>37196</v>
      </c>
      <c r="B145" s="1">
        <v>37196</v>
      </c>
      <c r="C145">
        <v>2121</v>
      </c>
      <c r="D145">
        <v>1624</v>
      </c>
      <c r="E145">
        <v>2109</v>
      </c>
      <c r="F145">
        <v>3719</v>
      </c>
      <c r="G145">
        <v>1917</v>
      </c>
      <c r="H145">
        <v>3528</v>
      </c>
      <c r="I145">
        <v>71877</v>
      </c>
      <c r="J145">
        <v>136238</v>
      </c>
      <c r="K145">
        <v>8003</v>
      </c>
      <c r="L145">
        <v>3538</v>
      </c>
      <c r="M145">
        <f t="shared" si="66"/>
        <v>144241</v>
      </c>
      <c r="P145">
        <f t="shared" si="67"/>
        <v>5.5483531034865259E-2</v>
      </c>
      <c r="Q145">
        <f t="shared" si="68"/>
        <v>0.4983118530792216</v>
      </c>
      <c r="R145">
        <f t="shared" si="69"/>
        <v>2.4528393452624427E-2</v>
      </c>
      <c r="S145">
        <f t="shared" si="71"/>
        <v>0.27566935274239668</v>
      </c>
      <c r="T145">
        <f t="shared" si="72"/>
        <v>0.21107356381596049</v>
      </c>
      <c r="U145">
        <f t="shared" si="73"/>
        <v>1.5462783740981876E-2</v>
      </c>
      <c r="V145">
        <f t="shared" si="74"/>
        <v>2.7266995131679277E-2</v>
      </c>
      <c r="W145">
        <f t="shared" si="75"/>
        <v>2.6692844312627931E-2</v>
      </c>
      <c r="X145">
        <f t="shared" si="76"/>
        <v>4.908385157978213E-2</v>
      </c>
      <c r="Y145" s="1">
        <f t="shared" si="70"/>
        <v>37196</v>
      </c>
      <c r="Z145">
        <f t="shared" si="57"/>
        <v>5.2827850463253688E-2</v>
      </c>
      <c r="AA145">
        <f t="shared" si="58"/>
        <v>0.49817827600199377</v>
      </c>
      <c r="AB145">
        <f t="shared" si="59"/>
        <v>2.5739083213685954E-2</v>
      </c>
      <c r="AC145">
        <f t="shared" si="60"/>
        <v>0.2789074284853838</v>
      </c>
      <c r="AD145">
        <f t="shared" si="61"/>
        <v>0.21662924415019677</v>
      </c>
      <c r="AE145">
        <f t="shared" si="62"/>
        <v>1.4547046625516301E-2</v>
      </c>
      <c r="AF145">
        <f t="shared" si="63"/>
        <v>2.7957039082090795E-2</v>
      </c>
      <c r="AG145">
        <f t="shared" si="64"/>
        <v>2.6723965655501686E-2</v>
      </c>
      <c r="AH145">
        <f t="shared" si="65"/>
        <v>5.1395294719465322E-2</v>
      </c>
      <c r="AI145">
        <f t="shared" si="77"/>
        <v>136492</v>
      </c>
      <c r="AJ145">
        <f t="shared" si="78"/>
        <v>71790</v>
      </c>
      <c r="AK145">
        <f t="shared" si="79"/>
        <v>7613</v>
      </c>
    </row>
    <row r="146" spans="1:37" x14ac:dyDescent="0.25">
      <c r="A146" s="1">
        <v>37226</v>
      </c>
      <c r="B146" s="1">
        <v>37226</v>
      </c>
      <c r="C146">
        <v>2109</v>
      </c>
      <c r="D146">
        <v>1680</v>
      </c>
      <c r="E146">
        <v>1986</v>
      </c>
      <c r="F146">
        <v>3883</v>
      </c>
      <c r="G146">
        <v>2036</v>
      </c>
      <c r="H146">
        <v>3505</v>
      </c>
      <c r="I146">
        <v>72010</v>
      </c>
      <c r="J146">
        <v>136047</v>
      </c>
      <c r="K146">
        <v>8258</v>
      </c>
      <c r="L146">
        <v>3559</v>
      </c>
      <c r="M146">
        <f t="shared" si="66"/>
        <v>144305</v>
      </c>
      <c r="P146">
        <f t="shared" si="67"/>
        <v>5.7226014344617306E-2</v>
      </c>
      <c r="Q146">
        <f t="shared" si="68"/>
        <v>0.4990125082290981</v>
      </c>
      <c r="R146">
        <f t="shared" si="69"/>
        <v>2.4663040088701016E-2</v>
      </c>
      <c r="S146">
        <f t="shared" si="71"/>
        <v>0.26352617768336872</v>
      </c>
      <c r="T146">
        <f t="shared" si="72"/>
        <v>0.20992127952017994</v>
      </c>
      <c r="U146">
        <f t="shared" si="73"/>
        <v>1.45774306727932E-2</v>
      </c>
      <c r="V146">
        <f t="shared" si="74"/>
        <v>2.8501592800833836E-2</v>
      </c>
      <c r="W146">
        <f t="shared" si="75"/>
        <v>2.8326168315316442E-2</v>
      </c>
      <c r="X146">
        <f t="shared" si="76"/>
        <v>4.8673795306207468E-2</v>
      </c>
      <c r="Y146" s="1">
        <f t="shared" si="70"/>
        <v>37226</v>
      </c>
      <c r="Z146">
        <f t="shared" si="57"/>
        <v>5.5369403355283474E-2</v>
      </c>
      <c r="AA146">
        <f t="shared" si="58"/>
        <v>0.49858528453717588</v>
      </c>
      <c r="AB146">
        <f t="shared" si="59"/>
        <v>2.4686175601690234E-2</v>
      </c>
      <c r="AC146">
        <f t="shared" si="60"/>
        <v>0.26994933624105372</v>
      </c>
      <c r="AD146">
        <f t="shared" si="61"/>
        <v>0.21323369602850342</v>
      </c>
      <c r="AE146">
        <f t="shared" si="62"/>
        <v>1.4945956724267824E-2</v>
      </c>
      <c r="AF146">
        <f t="shared" si="63"/>
        <v>2.8064900652832844E-2</v>
      </c>
      <c r="AG146">
        <f t="shared" si="64"/>
        <v>2.7589629020967229E-2</v>
      </c>
      <c r="AH146">
        <f t="shared" si="65"/>
        <v>4.8440995522931497E-2</v>
      </c>
      <c r="AI146">
        <f t="shared" si="77"/>
        <v>136225.66666666666</v>
      </c>
      <c r="AJ146">
        <f t="shared" si="78"/>
        <v>71901.333333333328</v>
      </c>
      <c r="AK146">
        <f t="shared" si="79"/>
        <v>7985</v>
      </c>
    </row>
    <row r="147" spans="1:37" x14ac:dyDescent="0.25">
      <c r="A147" s="1">
        <v>37257</v>
      </c>
      <c r="B147" s="1">
        <v>37257</v>
      </c>
      <c r="C147">
        <v>2109</v>
      </c>
      <c r="D147">
        <v>1796</v>
      </c>
      <c r="E147">
        <v>2130</v>
      </c>
      <c r="F147">
        <v>3897</v>
      </c>
      <c r="G147">
        <v>1687</v>
      </c>
      <c r="H147">
        <v>3558</v>
      </c>
      <c r="I147">
        <v>72623</v>
      </c>
      <c r="J147">
        <v>135701</v>
      </c>
      <c r="K147">
        <v>8182</v>
      </c>
      <c r="L147">
        <v>3572</v>
      </c>
      <c r="M147">
        <f t="shared" si="66"/>
        <v>143883</v>
      </c>
      <c r="P147">
        <f t="shared" si="67"/>
        <v>5.6865647783268351E-2</v>
      </c>
      <c r="Q147">
        <f t="shared" si="68"/>
        <v>0.5047364872848078</v>
      </c>
      <c r="R147">
        <f t="shared" si="69"/>
        <v>2.4825726458302926E-2</v>
      </c>
      <c r="S147">
        <f t="shared" si="71"/>
        <v>0.25538871397432794</v>
      </c>
      <c r="T147">
        <f t="shared" si="72"/>
        <v>0.21748607410995399</v>
      </c>
      <c r="U147">
        <f t="shared" si="73"/>
        <v>1.5656354054113652E-2</v>
      </c>
      <c r="V147">
        <f t="shared" si="74"/>
        <v>2.8644512558160046E-2</v>
      </c>
      <c r="W147">
        <f t="shared" si="75"/>
        <v>2.3427301763643937E-2</v>
      </c>
      <c r="X147">
        <f t="shared" si="76"/>
        <v>4.8992743345772E-2</v>
      </c>
      <c r="Y147" s="1">
        <f t="shared" si="70"/>
        <v>37257</v>
      </c>
      <c r="Z147">
        <f t="shared" si="57"/>
        <v>5.6525064387583639E-2</v>
      </c>
      <c r="AA147">
        <f t="shared" si="58"/>
        <v>0.50068694953104254</v>
      </c>
      <c r="AB147">
        <f t="shared" si="59"/>
        <v>2.4672386666542787E-2</v>
      </c>
      <c r="AC147">
        <f t="shared" si="60"/>
        <v>0.26486141480003111</v>
      </c>
      <c r="AD147">
        <f t="shared" si="61"/>
        <v>0.2128269724820315</v>
      </c>
      <c r="AE147">
        <f t="shared" si="62"/>
        <v>1.5232189489296243E-2</v>
      </c>
      <c r="AF147">
        <f t="shared" si="63"/>
        <v>2.8137700163557721E-2</v>
      </c>
      <c r="AG147">
        <f t="shared" si="64"/>
        <v>2.6148771463862769E-2</v>
      </c>
      <c r="AH147">
        <f t="shared" si="65"/>
        <v>4.8916796743920528E-2</v>
      </c>
      <c r="AI147">
        <f t="shared" si="77"/>
        <v>135995.33333333334</v>
      </c>
      <c r="AJ147">
        <f t="shared" si="78"/>
        <v>72170</v>
      </c>
      <c r="AK147">
        <f t="shared" si="79"/>
        <v>8147.666666666667</v>
      </c>
    </row>
    <row r="148" spans="1:37" x14ac:dyDescent="0.25">
      <c r="A148" s="1">
        <v>37288</v>
      </c>
      <c r="B148" s="1">
        <v>37288</v>
      </c>
      <c r="C148">
        <v>2332</v>
      </c>
      <c r="D148">
        <v>1608</v>
      </c>
      <c r="E148">
        <v>1950</v>
      </c>
      <c r="F148">
        <v>3419</v>
      </c>
      <c r="G148">
        <v>2013</v>
      </c>
      <c r="H148">
        <v>3766</v>
      </c>
      <c r="I148">
        <v>72010</v>
      </c>
      <c r="J148">
        <v>136438</v>
      </c>
      <c r="K148">
        <v>8215</v>
      </c>
      <c r="L148">
        <v>3370</v>
      </c>
      <c r="M148">
        <f t="shared" si="66"/>
        <v>144653</v>
      </c>
      <c r="P148">
        <f t="shared" si="67"/>
        <v>5.6791079341596787E-2</v>
      </c>
      <c r="Q148">
        <f t="shared" si="68"/>
        <v>0.49781200528160496</v>
      </c>
      <c r="R148">
        <f t="shared" si="69"/>
        <v>2.3297131756686691E-2</v>
      </c>
      <c r="S148">
        <f t="shared" si="71"/>
        <v>0.28501588853581034</v>
      </c>
      <c r="T148">
        <f t="shared" si="72"/>
        <v>0.19652896602297726</v>
      </c>
      <c r="U148">
        <f t="shared" si="73"/>
        <v>1.4369827783140877E-2</v>
      </c>
      <c r="V148">
        <f t="shared" si="74"/>
        <v>2.5195098046440337E-2</v>
      </c>
      <c r="W148">
        <f t="shared" si="75"/>
        <v>2.7718491387026149E-2</v>
      </c>
      <c r="X148">
        <f t="shared" si="76"/>
        <v>5.2298291903902235E-2</v>
      </c>
      <c r="Y148" s="1">
        <f t="shared" si="70"/>
        <v>37288</v>
      </c>
      <c r="Z148">
        <f t="shared" si="57"/>
        <v>5.6960913823160819E-2</v>
      </c>
      <c r="AA148">
        <f t="shared" si="58"/>
        <v>0.50052033359850367</v>
      </c>
      <c r="AB148">
        <f t="shared" si="59"/>
        <v>2.4261966101230215E-2</v>
      </c>
      <c r="AC148">
        <f t="shared" si="60"/>
        <v>0.26797692673116896</v>
      </c>
      <c r="AD148">
        <f t="shared" si="61"/>
        <v>0.20797877321770372</v>
      </c>
      <c r="AE148">
        <f t="shared" si="62"/>
        <v>1.4867870836682576E-2</v>
      </c>
      <c r="AF148">
        <f t="shared" si="63"/>
        <v>2.7447067801811404E-2</v>
      </c>
      <c r="AG148">
        <f t="shared" si="64"/>
        <v>2.6490653821995506E-2</v>
      </c>
      <c r="AH148">
        <f t="shared" si="65"/>
        <v>4.9988276851960563E-2</v>
      </c>
      <c r="AI148">
        <f t="shared" si="77"/>
        <v>136062</v>
      </c>
      <c r="AJ148">
        <f t="shared" si="78"/>
        <v>72214.333333333328</v>
      </c>
      <c r="AK148">
        <f t="shared" si="79"/>
        <v>8218.3333333333339</v>
      </c>
    </row>
    <row r="149" spans="1:37" x14ac:dyDescent="0.25">
      <c r="A149" s="1">
        <v>37316</v>
      </c>
      <c r="B149" s="1">
        <v>37316</v>
      </c>
      <c r="C149">
        <v>2195</v>
      </c>
      <c r="D149">
        <v>1655</v>
      </c>
      <c r="E149">
        <v>1884</v>
      </c>
      <c r="F149">
        <v>3992</v>
      </c>
      <c r="G149">
        <v>2029</v>
      </c>
      <c r="H149">
        <v>3360</v>
      </c>
      <c r="I149">
        <v>72342</v>
      </c>
      <c r="J149">
        <v>136177</v>
      </c>
      <c r="K149">
        <v>8304</v>
      </c>
      <c r="L149">
        <v>3560</v>
      </c>
      <c r="M149">
        <f t="shared" si="66"/>
        <v>144481</v>
      </c>
      <c r="P149">
        <f t="shared" si="67"/>
        <v>5.7474685252732194E-2</v>
      </c>
      <c r="Q149">
        <f t="shared" si="68"/>
        <v>0.50070251451747982</v>
      </c>
      <c r="R149">
        <f t="shared" si="69"/>
        <v>2.4639918051508503E-2</v>
      </c>
      <c r="S149">
        <f t="shared" si="71"/>
        <v>0.26719415702982352</v>
      </c>
      <c r="T149">
        <f t="shared" si="72"/>
        <v>0.2014607425441266</v>
      </c>
      <c r="U149">
        <f t="shared" si="73"/>
        <v>1.3808469781146014E-2</v>
      </c>
      <c r="V149">
        <f t="shared" si="74"/>
        <v>2.9258710916313636E-2</v>
      </c>
      <c r="W149">
        <f t="shared" si="75"/>
        <v>2.817664213303708E-2</v>
      </c>
      <c r="X149">
        <f t="shared" si="76"/>
        <v>4.6446047938956625E-2</v>
      </c>
      <c r="Y149" s="1">
        <f t="shared" si="70"/>
        <v>37316</v>
      </c>
      <c r="Z149">
        <f t="shared" si="57"/>
        <v>5.7043804125865773E-2</v>
      </c>
      <c r="AA149">
        <f t="shared" si="58"/>
        <v>0.5010836690279642</v>
      </c>
      <c r="AB149">
        <f t="shared" si="59"/>
        <v>2.4254258755499372E-2</v>
      </c>
      <c r="AC149">
        <f t="shared" si="60"/>
        <v>0.2691995865133206</v>
      </c>
      <c r="AD149">
        <f t="shared" si="61"/>
        <v>0.20515859422568594</v>
      </c>
      <c r="AE149">
        <f t="shared" si="62"/>
        <v>1.4611550539466847E-2</v>
      </c>
      <c r="AF149">
        <f t="shared" si="63"/>
        <v>2.7699440506971335E-2</v>
      </c>
      <c r="AG149">
        <f t="shared" si="64"/>
        <v>2.6440811761235722E-2</v>
      </c>
      <c r="AH149">
        <f t="shared" si="65"/>
        <v>4.9245694396210286E-2</v>
      </c>
      <c r="AI149">
        <f t="shared" si="77"/>
        <v>136105.33333333334</v>
      </c>
      <c r="AJ149">
        <f t="shared" si="78"/>
        <v>72325</v>
      </c>
      <c r="AK149">
        <f t="shared" si="79"/>
        <v>8233.6666666666661</v>
      </c>
    </row>
    <row r="150" spans="1:37" x14ac:dyDescent="0.25">
      <c r="A150" s="1">
        <v>37347</v>
      </c>
      <c r="B150" s="1">
        <v>37347</v>
      </c>
      <c r="C150">
        <v>2085</v>
      </c>
      <c r="D150">
        <v>1651</v>
      </c>
      <c r="E150">
        <v>2008</v>
      </c>
      <c r="F150">
        <v>3801</v>
      </c>
      <c r="G150">
        <v>1992</v>
      </c>
      <c r="H150">
        <v>3637</v>
      </c>
      <c r="I150">
        <v>72281</v>
      </c>
      <c r="J150">
        <v>136126</v>
      </c>
      <c r="K150">
        <v>8599</v>
      </c>
      <c r="L150">
        <v>3373</v>
      </c>
      <c r="M150">
        <f t="shared" si="66"/>
        <v>144725</v>
      </c>
      <c r="P150">
        <f t="shared" si="67"/>
        <v>5.9416134047331148E-2</v>
      </c>
      <c r="Q150">
        <f t="shared" si="68"/>
        <v>0.49943686301606494</v>
      </c>
      <c r="R150">
        <f t="shared" si="69"/>
        <v>2.3306270513041977E-2</v>
      </c>
      <c r="S150">
        <f t="shared" si="71"/>
        <v>0.25108381502890176</v>
      </c>
      <c r="T150">
        <f t="shared" si="72"/>
        <v>0.1988198458574181</v>
      </c>
      <c r="U150">
        <f t="shared" si="73"/>
        <v>1.4745515028235311E-2</v>
      </c>
      <c r="V150">
        <f t="shared" si="74"/>
        <v>2.7912202501156582E-2</v>
      </c>
      <c r="W150">
        <f t="shared" si="75"/>
        <v>2.7535871278095713E-2</v>
      </c>
      <c r="X150">
        <f t="shared" si="76"/>
        <v>5.0317510825804844E-2</v>
      </c>
      <c r="Y150" s="1">
        <f t="shared" si="70"/>
        <v>37347</v>
      </c>
      <c r="Z150">
        <f t="shared" si="57"/>
        <v>5.7893966213886705E-2</v>
      </c>
      <c r="AA150">
        <f t="shared" si="58"/>
        <v>0.49931712760504993</v>
      </c>
      <c r="AB150">
        <f t="shared" si="59"/>
        <v>2.374777344041239E-2</v>
      </c>
      <c r="AC150">
        <f t="shared" si="60"/>
        <v>0.26776462019817854</v>
      </c>
      <c r="AD150">
        <f t="shared" si="61"/>
        <v>0.19893651814150734</v>
      </c>
      <c r="AE150">
        <f t="shared" si="62"/>
        <v>1.4307937530840734E-2</v>
      </c>
      <c r="AF150">
        <f t="shared" si="63"/>
        <v>2.7455337154636852E-2</v>
      </c>
      <c r="AG150">
        <f t="shared" si="64"/>
        <v>2.7810334932719647E-2</v>
      </c>
      <c r="AH150">
        <f t="shared" si="65"/>
        <v>4.9687283556221234E-2</v>
      </c>
      <c r="AI150">
        <f t="shared" si="77"/>
        <v>136247</v>
      </c>
      <c r="AJ150">
        <f t="shared" si="78"/>
        <v>72211</v>
      </c>
      <c r="AK150">
        <f t="shared" si="79"/>
        <v>8372.6666666666661</v>
      </c>
    </row>
    <row r="151" spans="1:37" x14ac:dyDescent="0.25">
      <c r="A151" s="1">
        <v>37377</v>
      </c>
      <c r="B151" s="1">
        <v>37377</v>
      </c>
      <c r="C151">
        <v>2130</v>
      </c>
      <c r="D151">
        <v>1814</v>
      </c>
      <c r="E151">
        <v>1797</v>
      </c>
      <c r="F151">
        <v>3817</v>
      </c>
      <c r="G151">
        <v>1927</v>
      </c>
      <c r="H151">
        <v>3852</v>
      </c>
      <c r="I151">
        <v>72260</v>
      </c>
      <c r="J151">
        <v>136539</v>
      </c>
      <c r="K151">
        <v>8399</v>
      </c>
      <c r="L151">
        <v>3482</v>
      </c>
      <c r="M151">
        <f t="shared" si="66"/>
        <v>144938</v>
      </c>
      <c r="P151">
        <f t="shared" si="67"/>
        <v>5.7948916088258424E-2</v>
      </c>
      <c r="Q151">
        <f t="shared" si="68"/>
        <v>0.4985580041121031</v>
      </c>
      <c r="R151">
        <f t="shared" si="69"/>
        <v>2.4024065462473609E-2</v>
      </c>
      <c r="S151">
        <f t="shared" si="71"/>
        <v>0.24770322130480288</v>
      </c>
      <c r="T151">
        <f t="shared" si="72"/>
        <v>0.21095476218164902</v>
      </c>
      <c r="U151">
        <f t="shared" si="73"/>
        <v>1.3201004951295123E-2</v>
      </c>
      <c r="V151">
        <f t="shared" si="74"/>
        <v>2.8040198051804945E-2</v>
      </c>
      <c r="W151">
        <f t="shared" si="75"/>
        <v>2.6659841452110512E-2</v>
      </c>
      <c r="X151">
        <f t="shared" si="76"/>
        <v>5.3307500691945751E-2</v>
      </c>
      <c r="Y151" s="1">
        <f t="shared" si="70"/>
        <v>37377</v>
      </c>
      <c r="Z151">
        <f t="shared" si="57"/>
        <v>5.8279911796107253E-2</v>
      </c>
      <c r="AA151">
        <f t="shared" si="58"/>
        <v>0.49956579388188266</v>
      </c>
      <c r="AB151">
        <f t="shared" si="59"/>
        <v>2.3990084675674695E-2</v>
      </c>
      <c r="AC151">
        <f t="shared" si="60"/>
        <v>0.25532706445450937</v>
      </c>
      <c r="AD151">
        <f t="shared" si="61"/>
        <v>0.20374511686106456</v>
      </c>
      <c r="AE151">
        <f t="shared" si="62"/>
        <v>1.3918329920225481E-2</v>
      </c>
      <c r="AF151">
        <f t="shared" si="63"/>
        <v>2.8403703823091719E-2</v>
      </c>
      <c r="AG151">
        <f t="shared" si="64"/>
        <v>2.7457451621081101E-2</v>
      </c>
      <c r="AH151">
        <f t="shared" si="65"/>
        <v>5.0023686485569076E-2</v>
      </c>
      <c r="AI151">
        <f t="shared" si="77"/>
        <v>136280.66666666666</v>
      </c>
      <c r="AJ151">
        <f t="shared" si="78"/>
        <v>72294.333333333328</v>
      </c>
      <c r="AK151">
        <f t="shared" si="79"/>
        <v>8434</v>
      </c>
    </row>
    <row r="152" spans="1:37" x14ac:dyDescent="0.25">
      <c r="A152" s="1">
        <v>37408</v>
      </c>
      <c r="B152" s="1">
        <v>37408</v>
      </c>
      <c r="C152">
        <v>1997</v>
      </c>
      <c r="D152">
        <v>1786</v>
      </c>
      <c r="E152">
        <v>1989</v>
      </c>
      <c r="F152">
        <v>3988</v>
      </c>
      <c r="G152">
        <v>1774</v>
      </c>
      <c r="H152">
        <v>3765</v>
      </c>
      <c r="I152">
        <v>72599</v>
      </c>
      <c r="J152">
        <v>136415</v>
      </c>
      <c r="K152">
        <v>8393</v>
      </c>
      <c r="L152">
        <v>3251</v>
      </c>
      <c r="M152">
        <f t="shared" si="66"/>
        <v>144808</v>
      </c>
      <c r="P152">
        <f t="shared" si="67"/>
        <v>5.7959504999723771E-2</v>
      </c>
      <c r="Q152">
        <f t="shared" si="68"/>
        <v>0.5013466106844926</v>
      </c>
      <c r="R152">
        <f t="shared" si="69"/>
        <v>2.2450417104027402E-2</v>
      </c>
      <c r="S152">
        <f t="shared" si="71"/>
        <v>0.23776640076199548</v>
      </c>
      <c r="T152">
        <f t="shared" si="72"/>
        <v>0.21264436242409809</v>
      </c>
      <c r="U152">
        <f t="shared" si="73"/>
        <v>1.456726649528706E-2</v>
      </c>
      <c r="V152">
        <f t="shared" si="74"/>
        <v>2.9207772138363397E-2</v>
      </c>
      <c r="W152">
        <f t="shared" si="75"/>
        <v>2.4550235261555493E-2</v>
      </c>
      <c r="X152">
        <f t="shared" si="76"/>
        <v>5.1860218460309374E-2</v>
      </c>
      <c r="Y152" s="1">
        <f t="shared" si="70"/>
        <v>37408</v>
      </c>
      <c r="Z152">
        <f t="shared" si="57"/>
        <v>5.8441518378437779E-2</v>
      </c>
      <c r="AA152">
        <f t="shared" si="58"/>
        <v>0.49978049260422019</v>
      </c>
      <c r="AB152">
        <f t="shared" si="59"/>
        <v>2.3260251026514328E-2</v>
      </c>
      <c r="AC152">
        <f t="shared" si="60"/>
        <v>0.24551781236523337</v>
      </c>
      <c r="AD152">
        <f t="shared" si="61"/>
        <v>0.20747299015438839</v>
      </c>
      <c r="AE152">
        <f t="shared" si="62"/>
        <v>1.4171262158272496E-2</v>
      </c>
      <c r="AF152">
        <f t="shared" si="63"/>
        <v>2.838672423044164E-2</v>
      </c>
      <c r="AG152">
        <f t="shared" si="64"/>
        <v>2.6248649330587237E-2</v>
      </c>
      <c r="AH152">
        <f t="shared" si="65"/>
        <v>5.1828409992686654E-2</v>
      </c>
      <c r="AI152">
        <f t="shared" si="77"/>
        <v>136360</v>
      </c>
      <c r="AJ152">
        <f t="shared" si="78"/>
        <v>72380</v>
      </c>
      <c r="AK152">
        <f t="shared" si="79"/>
        <v>8463.6666666666661</v>
      </c>
    </row>
    <row r="153" spans="1:37" x14ac:dyDescent="0.25">
      <c r="A153" s="1">
        <v>37438</v>
      </c>
      <c r="B153" s="1">
        <v>37438</v>
      </c>
      <c r="C153">
        <v>2022</v>
      </c>
      <c r="D153">
        <v>1975</v>
      </c>
      <c r="E153">
        <v>1935</v>
      </c>
      <c r="F153">
        <v>3721</v>
      </c>
      <c r="G153">
        <v>2028</v>
      </c>
      <c r="H153">
        <v>3562</v>
      </c>
      <c r="I153">
        <v>72827</v>
      </c>
      <c r="J153">
        <v>136413</v>
      </c>
      <c r="K153">
        <v>8390</v>
      </c>
      <c r="L153">
        <v>3403</v>
      </c>
      <c r="M153">
        <f t="shared" si="66"/>
        <v>144803</v>
      </c>
      <c r="P153">
        <f t="shared" si="67"/>
        <v>5.7940788519574869E-2</v>
      </c>
      <c r="Q153">
        <f t="shared" si="68"/>
        <v>0.50293847503159461</v>
      </c>
      <c r="R153">
        <f t="shared" si="69"/>
        <v>2.3500894318487876E-2</v>
      </c>
      <c r="S153">
        <f t="shared" si="71"/>
        <v>0.2409150482544978</v>
      </c>
      <c r="T153">
        <f t="shared" si="72"/>
        <v>0.23531514357202429</v>
      </c>
      <c r="U153">
        <f t="shared" si="73"/>
        <v>1.418465711248763E-2</v>
      </c>
      <c r="V153">
        <f t="shared" si="74"/>
        <v>2.7277058974452956E-2</v>
      </c>
      <c r="W153">
        <f t="shared" si="75"/>
        <v>2.7934269067067041E-2</v>
      </c>
      <c r="X153">
        <f t="shared" si="76"/>
        <v>4.8910431570708665E-2</v>
      </c>
      <c r="Y153" s="1">
        <f t="shared" si="70"/>
        <v>37438</v>
      </c>
      <c r="Z153">
        <f t="shared" si="57"/>
        <v>5.7949736535852357E-2</v>
      </c>
      <c r="AA153">
        <f t="shared" si="58"/>
        <v>0.50094769660939675</v>
      </c>
      <c r="AB153">
        <f t="shared" si="59"/>
        <v>2.332512562832963E-2</v>
      </c>
      <c r="AC153">
        <f t="shared" si="60"/>
        <v>0.24212822344043206</v>
      </c>
      <c r="AD153">
        <f t="shared" si="61"/>
        <v>0.21963808939259047</v>
      </c>
      <c r="AE153">
        <f t="shared" si="62"/>
        <v>1.3984309519689939E-2</v>
      </c>
      <c r="AF153">
        <f t="shared" si="63"/>
        <v>2.8175009721540429E-2</v>
      </c>
      <c r="AG153">
        <f t="shared" si="64"/>
        <v>2.6381448593577685E-2</v>
      </c>
      <c r="AH153">
        <f t="shared" si="65"/>
        <v>5.1359383574321259E-2</v>
      </c>
      <c r="AI153">
        <f t="shared" si="77"/>
        <v>136455.66666666666</v>
      </c>
      <c r="AJ153">
        <f t="shared" si="78"/>
        <v>72562</v>
      </c>
      <c r="AK153">
        <f t="shared" si="79"/>
        <v>8394</v>
      </c>
    </row>
    <row r="154" spans="1:37" x14ac:dyDescent="0.25">
      <c r="A154" s="1">
        <v>37469</v>
      </c>
      <c r="B154" s="1">
        <v>37469</v>
      </c>
      <c r="C154">
        <v>2184</v>
      </c>
      <c r="D154">
        <v>1713</v>
      </c>
      <c r="E154">
        <v>1934</v>
      </c>
      <c r="F154">
        <v>3682</v>
      </c>
      <c r="G154">
        <v>1852</v>
      </c>
      <c r="H154">
        <v>3718</v>
      </c>
      <c r="I154">
        <v>72857</v>
      </c>
      <c r="J154">
        <v>136705</v>
      </c>
      <c r="K154">
        <v>8304</v>
      </c>
      <c r="L154">
        <v>3415</v>
      </c>
      <c r="M154">
        <f t="shared" si="66"/>
        <v>145009</v>
      </c>
      <c r="P154">
        <f t="shared" si="67"/>
        <v>5.7265411112413712E-2</v>
      </c>
      <c r="Q154">
        <f t="shared" si="68"/>
        <v>0.50243088360032828</v>
      </c>
      <c r="R154">
        <f t="shared" si="69"/>
        <v>2.355026239750636E-2</v>
      </c>
      <c r="S154">
        <f t="shared" si="71"/>
        <v>0.26030989272943983</v>
      </c>
      <c r="T154">
        <f t="shared" si="72"/>
        <v>0.20417163289630513</v>
      </c>
      <c r="U154">
        <f t="shared" si="73"/>
        <v>1.4177534399214152E-2</v>
      </c>
      <c r="V154">
        <f t="shared" si="74"/>
        <v>2.6991562387748969E-2</v>
      </c>
      <c r="W154">
        <f t="shared" si="75"/>
        <v>2.5430128935696926E-2</v>
      </c>
      <c r="X154">
        <f t="shared" si="76"/>
        <v>5.1031472610730606E-2</v>
      </c>
      <c r="Y154" s="1">
        <f t="shared" si="70"/>
        <v>37469</v>
      </c>
      <c r="Z154">
        <f t="shared" si="57"/>
        <v>5.7721901543904115E-2</v>
      </c>
      <c r="AA154">
        <f t="shared" si="58"/>
        <v>0.50223865643880516</v>
      </c>
      <c r="AB154">
        <f t="shared" si="59"/>
        <v>2.3167191273340548E-2</v>
      </c>
      <c r="AC154">
        <f t="shared" si="60"/>
        <v>0.24633044724864436</v>
      </c>
      <c r="AD154">
        <f t="shared" si="61"/>
        <v>0.21737704629747587</v>
      </c>
      <c r="AE154">
        <f t="shared" si="62"/>
        <v>1.4309819335662948E-2</v>
      </c>
      <c r="AF154">
        <f t="shared" si="63"/>
        <v>2.782546450018844E-2</v>
      </c>
      <c r="AG154">
        <f t="shared" si="64"/>
        <v>2.5971544421439823E-2</v>
      </c>
      <c r="AH154">
        <f t="shared" si="65"/>
        <v>5.0600707547249546E-2</v>
      </c>
      <c r="AI154">
        <f t="shared" si="77"/>
        <v>136511</v>
      </c>
      <c r="AJ154">
        <f t="shared" si="78"/>
        <v>72761</v>
      </c>
      <c r="AK154">
        <f t="shared" si="79"/>
        <v>8362.3333333333339</v>
      </c>
    </row>
    <row r="155" spans="1:37" x14ac:dyDescent="0.25">
      <c r="A155" s="1">
        <v>37500</v>
      </c>
      <c r="B155" s="1">
        <v>37500</v>
      </c>
      <c r="C155">
        <v>2178</v>
      </c>
      <c r="D155">
        <v>1714</v>
      </c>
      <c r="E155">
        <v>1878</v>
      </c>
      <c r="F155">
        <v>3413</v>
      </c>
      <c r="G155">
        <v>1948</v>
      </c>
      <c r="H155">
        <v>3611</v>
      </c>
      <c r="I155">
        <v>72555</v>
      </c>
      <c r="J155">
        <v>137302</v>
      </c>
      <c r="K155">
        <v>8251</v>
      </c>
      <c r="L155">
        <v>3290</v>
      </c>
      <c r="M155">
        <f t="shared" si="66"/>
        <v>145553</v>
      </c>
      <c r="P155">
        <f t="shared" si="67"/>
        <v>5.6687254814397507E-2</v>
      </c>
      <c r="Q155">
        <f t="shared" si="68"/>
        <v>0.49847821755649147</v>
      </c>
      <c r="R155">
        <f t="shared" si="69"/>
        <v>2.2603450289585238E-2</v>
      </c>
      <c r="S155">
        <f t="shared" si="71"/>
        <v>0.26228323699421963</v>
      </c>
      <c r="T155">
        <f t="shared" si="72"/>
        <v>0.20640655105973024</v>
      </c>
      <c r="U155">
        <f t="shared" si="73"/>
        <v>1.3737610182509784E-2</v>
      </c>
      <c r="V155">
        <f t="shared" si="74"/>
        <v>2.4966168026041475E-2</v>
      </c>
      <c r="W155">
        <f t="shared" si="75"/>
        <v>2.6737307328053586E-2</v>
      </c>
      <c r="X155">
        <f t="shared" si="76"/>
        <v>4.976914065191923E-2</v>
      </c>
      <c r="Y155" s="1">
        <f t="shared" si="70"/>
        <v>37500</v>
      </c>
      <c r="Z155">
        <f t="shared" si="57"/>
        <v>5.7297818148795365E-2</v>
      </c>
      <c r="AA155">
        <f t="shared" si="58"/>
        <v>0.50128252539613805</v>
      </c>
      <c r="AB155">
        <f t="shared" si="59"/>
        <v>2.3218202335193158E-2</v>
      </c>
      <c r="AC155">
        <f t="shared" si="60"/>
        <v>0.25450272599271911</v>
      </c>
      <c r="AD155">
        <f t="shared" si="61"/>
        <v>0.21529777584268658</v>
      </c>
      <c r="AE155">
        <f t="shared" si="62"/>
        <v>1.4033267231403855E-2</v>
      </c>
      <c r="AF155">
        <f t="shared" si="63"/>
        <v>2.6411596462747797E-2</v>
      </c>
      <c r="AG155">
        <f t="shared" si="64"/>
        <v>2.6700568443605851E-2</v>
      </c>
      <c r="AH155">
        <f t="shared" si="65"/>
        <v>4.9903681611119501E-2</v>
      </c>
      <c r="AI155">
        <f t="shared" si="77"/>
        <v>136806.66666666666</v>
      </c>
      <c r="AJ155">
        <f t="shared" si="78"/>
        <v>72746.333333333328</v>
      </c>
      <c r="AK155">
        <f t="shared" si="79"/>
        <v>8315</v>
      </c>
    </row>
    <row r="156" spans="1:37" x14ac:dyDescent="0.25">
      <c r="A156" s="1">
        <v>37530</v>
      </c>
      <c r="B156" s="1">
        <v>37530</v>
      </c>
      <c r="C156">
        <v>2041</v>
      </c>
      <c r="D156">
        <v>1778</v>
      </c>
      <c r="E156">
        <v>2004</v>
      </c>
      <c r="F156">
        <v>3956</v>
      </c>
      <c r="G156">
        <v>1842</v>
      </c>
      <c r="H156">
        <v>3604</v>
      </c>
      <c r="I156">
        <v>73026</v>
      </c>
      <c r="J156">
        <v>137008</v>
      </c>
      <c r="K156">
        <v>8307</v>
      </c>
      <c r="L156">
        <v>3560</v>
      </c>
      <c r="M156">
        <f t="shared" si="66"/>
        <v>145315</v>
      </c>
      <c r="P156">
        <f t="shared" si="67"/>
        <v>5.7165468120978565E-2</v>
      </c>
      <c r="Q156">
        <f t="shared" si="68"/>
        <v>0.50253587035061764</v>
      </c>
      <c r="R156">
        <f t="shared" si="69"/>
        <v>2.4498503251556964E-2</v>
      </c>
      <c r="S156">
        <f t="shared" si="71"/>
        <v>0.24736395588413526</v>
      </c>
      <c r="T156">
        <f t="shared" si="72"/>
        <v>0.21548903163252939</v>
      </c>
      <c r="U156">
        <f t="shared" si="73"/>
        <v>1.4595563065359573E-2</v>
      </c>
      <c r="V156">
        <f t="shared" si="74"/>
        <v>2.8812398945390453E-2</v>
      </c>
      <c r="W156">
        <f t="shared" si="75"/>
        <v>2.5387636965060988E-2</v>
      </c>
      <c r="X156">
        <f t="shared" si="76"/>
        <v>4.9352285487360668E-2</v>
      </c>
      <c r="Y156" s="1">
        <f t="shared" si="70"/>
        <v>37530</v>
      </c>
      <c r="Z156">
        <f t="shared" si="57"/>
        <v>5.7039378015929926E-2</v>
      </c>
      <c r="AA156">
        <f t="shared" si="58"/>
        <v>0.50114832383581254</v>
      </c>
      <c r="AB156">
        <f t="shared" si="59"/>
        <v>2.355073864621619E-2</v>
      </c>
      <c r="AC156">
        <f t="shared" si="60"/>
        <v>0.25665236186926493</v>
      </c>
      <c r="AD156">
        <f t="shared" si="61"/>
        <v>0.20868907186285493</v>
      </c>
      <c r="AE156">
        <f t="shared" si="62"/>
        <v>1.4170235882361168E-2</v>
      </c>
      <c r="AF156">
        <f t="shared" si="63"/>
        <v>2.6923376453060296E-2</v>
      </c>
      <c r="AG156">
        <f t="shared" si="64"/>
        <v>2.58516910762705E-2</v>
      </c>
      <c r="AH156">
        <f t="shared" si="65"/>
        <v>5.0050966250003499E-2</v>
      </c>
      <c r="AI156">
        <f t="shared" si="77"/>
        <v>137005</v>
      </c>
      <c r="AJ156">
        <f t="shared" si="78"/>
        <v>72812.666666666672</v>
      </c>
      <c r="AK156">
        <f t="shared" si="79"/>
        <v>8287.3333333333339</v>
      </c>
    </row>
    <row r="157" spans="1:37" x14ac:dyDescent="0.25">
      <c r="A157" s="1">
        <v>37561</v>
      </c>
      <c r="B157" s="1">
        <v>37561</v>
      </c>
      <c r="C157">
        <v>1959</v>
      </c>
      <c r="D157">
        <v>1819</v>
      </c>
      <c r="E157">
        <v>2050</v>
      </c>
      <c r="F157">
        <v>4040</v>
      </c>
      <c r="G157">
        <v>1890</v>
      </c>
      <c r="H157">
        <v>3620</v>
      </c>
      <c r="I157">
        <v>73507</v>
      </c>
      <c r="J157">
        <v>136521</v>
      </c>
      <c r="K157">
        <v>8520</v>
      </c>
      <c r="L157">
        <v>3513</v>
      </c>
      <c r="M157">
        <f t="shared" si="66"/>
        <v>145041</v>
      </c>
      <c r="P157">
        <f t="shared" si="67"/>
        <v>5.8742010879682297E-2</v>
      </c>
      <c r="Q157">
        <f t="shared" si="68"/>
        <v>0.50680152508601017</v>
      </c>
      <c r="R157">
        <f t="shared" si="69"/>
        <v>2.4220737584545061E-2</v>
      </c>
      <c r="S157">
        <f t="shared" si="71"/>
        <v>0.23582520765619358</v>
      </c>
      <c r="T157">
        <f t="shared" si="72"/>
        <v>0.21897195136631756</v>
      </c>
      <c r="U157">
        <f t="shared" si="73"/>
        <v>1.4962629919420763E-2</v>
      </c>
      <c r="V157">
        <f t="shared" si="74"/>
        <v>2.9487329207053603E-2</v>
      </c>
      <c r="W157">
        <f t="shared" si="75"/>
        <v>2.5881192999753513E-2</v>
      </c>
      <c r="X157">
        <f t="shared" si="76"/>
        <v>4.9247010488796983E-2</v>
      </c>
      <c r="Y157" s="1">
        <f t="shared" si="70"/>
        <v>37561</v>
      </c>
      <c r="Z157">
        <f t="shared" si="57"/>
        <v>5.7531577938352785E-2</v>
      </c>
      <c r="AA157">
        <f t="shared" si="58"/>
        <v>0.50260520433103972</v>
      </c>
      <c r="AB157">
        <f t="shared" si="59"/>
        <v>2.3774230375229088E-2</v>
      </c>
      <c r="AC157">
        <f t="shared" si="60"/>
        <v>0.24849080017818284</v>
      </c>
      <c r="AD157">
        <f t="shared" si="61"/>
        <v>0.21362251135285906</v>
      </c>
      <c r="AE157">
        <f t="shared" si="62"/>
        <v>1.4431934389096707E-2</v>
      </c>
      <c r="AF157">
        <f t="shared" si="63"/>
        <v>2.7755298726161847E-2</v>
      </c>
      <c r="AG157">
        <f t="shared" si="64"/>
        <v>2.6002045764289366E-2</v>
      </c>
      <c r="AH157">
        <f t="shared" si="65"/>
        <v>4.9456145542692294E-2</v>
      </c>
      <c r="AI157">
        <f t="shared" si="77"/>
        <v>136943.66666666666</v>
      </c>
      <c r="AJ157">
        <f t="shared" si="78"/>
        <v>73029.333333333328</v>
      </c>
      <c r="AK157">
        <f t="shared" si="79"/>
        <v>8359.3333333333339</v>
      </c>
    </row>
    <row r="158" spans="1:37" x14ac:dyDescent="0.25">
      <c r="A158" s="1">
        <v>37591</v>
      </c>
      <c r="B158" s="1">
        <v>37591</v>
      </c>
      <c r="C158">
        <v>1977</v>
      </c>
      <c r="D158">
        <v>1777</v>
      </c>
      <c r="E158">
        <v>1911</v>
      </c>
      <c r="F158">
        <v>3701</v>
      </c>
      <c r="G158">
        <v>1951</v>
      </c>
      <c r="H158">
        <v>3445</v>
      </c>
      <c r="I158">
        <v>73675</v>
      </c>
      <c r="J158">
        <v>136426</v>
      </c>
      <c r="K158">
        <v>8640</v>
      </c>
      <c r="L158">
        <v>3056</v>
      </c>
      <c r="M158">
        <f t="shared" si="66"/>
        <v>145066</v>
      </c>
      <c r="P158">
        <f t="shared" si="67"/>
        <v>5.9559097238498337E-2</v>
      </c>
      <c r="Q158">
        <f t="shared" si="68"/>
        <v>0.50787227882481079</v>
      </c>
      <c r="R158">
        <f t="shared" si="69"/>
        <v>2.1066273282505894E-2</v>
      </c>
      <c r="S158">
        <f t="shared" si="71"/>
        <v>0.23204225352112676</v>
      </c>
      <c r="T158">
        <f t="shared" si="72"/>
        <v>0.20856807511737088</v>
      </c>
      <c r="U158">
        <f t="shared" si="73"/>
        <v>1.399784648515613E-2</v>
      </c>
      <c r="V158">
        <f t="shared" si="74"/>
        <v>2.7109382439331677E-2</v>
      </c>
      <c r="W158">
        <f t="shared" si="75"/>
        <v>2.6541689907083679E-2</v>
      </c>
      <c r="X158">
        <f t="shared" si="76"/>
        <v>4.6759416355615882E-2</v>
      </c>
      <c r="Y158" s="1">
        <f t="shared" si="70"/>
        <v>37591</v>
      </c>
      <c r="Z158">
        <f t="shared" si="57"/>
        <v>5.8488858746386402E-2</v>
      </c>
      <c r="AA158">
        <f t="shared" si="58"/>
        <v>0.50573655808714613</v>
      </c>
      <c r="AB158">
        <f t="shared" si="59"/>
        <v>2.3261838039535975E-2</v>
      </c>
      <c r="AC158">
        <f t="shared" si="60"/>
        <v>0.23841047235381851</v>
      </c>
      <c r="AD158">
        <f t="shared" si="61"/>
        <v>0.21434301937207259</v>
      </c>
      <c r="AE158">
        <f t="shared" si="62"/>
        <v>1.4518679823312156E-2</v>
      </c>
      <c r="AF158">
        <f t="shared" si="63"/>
        <v>2.8469703530591906E-2</v>
      </c>
      <c r="AG158">
        <f t="shared" si="64"/>
        <v>2.5936839957299396E-2</v>
      </c>
      <c r="AH158">
        <f t="shared" si="65"/>
        <v>4.8452904110591187E-2</v>
      </c>
      <c r="AI158">
        <f t="shared" si="77"/>
        <v>136651.66666666666</v>
      </c>
      <c r="AJ158">
        <f t="shared" si="78"/>
        <v>73402.666666666672</v>
      </c>
      <c r="AK158">
        <f t="shared" si="79"/>
        <v>8489</v>
      </c>
    </row>
    <row r="159" spans="1:37" x14ac:dyDescent="0.25">
      <c r="A159" s="1">
        <v>37622</v>
      </c>
      <c r="B159" s="1">
        <v>37622</v>
      </c>
      <c r="C159">
        <v>2176</v>
      </c>
      <c r="D159">
        <v>1988</v>
      </c>
      <c r="E159">
        <v>2008</v>
      </c>
      <c r="F159">
        <v>3705</v>
      </c>
      <c r="G159">
        <v>1958</v>
      </c>
      <c r="H159">
        <v>3902</v>
      </c>
      <c r="I159">
        <v>73960</v>
      </c>
      <c r="J159">
        <v>137417</v>
      </c>
      <c r="K159">
        <v>8520</v>
      </c>
      <c r="L159">
        <v>3618</v>
      </c>
      <c r="M159">
        <f t="shared" si="66"/>
        <v>145937</v>
      </c>
      <c r="P159">
        <f t="shared" si="67"/>
        <v>5.8381356338694096E-2</v>
      </c>
      <c r="Q159">
        <f t="shared" si="68"/>
        <v>0.50679402755983749</v>
      </c>
      <c r="R159">
        <f t="shared" si="69"/>
        <v>2.4791519628332773E-2</v>
      </c>
      <c r="S159">
        <f t="shared" si="71"/>
        <v>0.25185185185185183</v>
      </c>
      <c r="T159">
        <f t="shared" si="72"/>
        <v>0.2300925925925926</v>
      </c>
      <c r="U159">
        <f t="shared" si="73"/>
        <v>1.4718602026006772E-2</v>
      </c>
      <c r="V159">
        <f t="shared" si="74"/>
        <v>2.7157579933443771E-2</v>
      </c>
      <c r="W159">
        <f t="shared" si="75"/>
        <v>2.6576179165252799E-2</v>
      </c>
      <c r="X159">
        <f t="shared" si="76"/>
        <v>5.2758247701460252E-2</v>
      </c>
      <c r="Y159" s="1">
        <f t="shared" si="70"/>
        <v>37622</v>
      </c>
      <c r="Z159">
        <f t="shared" si="57"/>
        <v>5.8894154818958246E-2</v>
      </c>
      <c r="AA159">
        <f t="shared" si="58"/>
        <v>0.50715594382355278</v>
      </c>
      <c r="AB159">
        <f t="shared" si="59"/>
        <v>2.3359510165127911E-2</v>
      </c>
      <c r="AC159">
        <f t="shared" si="60"/>
        <v>0.23990643767639072</v>
      </c>
      <c r="AD159">
        <f t="shared" si="61"/>
        <v>0.21921087302542699</v>
      </c>
      <c r="AE159">
        <f t="shared" si="62"/>
        <v>1.4559692810194555E-2</v>
      </c>
      <c r="AF159">
        <f t="shared" si="63"/>
        <v>2.7918097193276353E-2</v>
      </c>
      <c r="AG159">
        <f t="shared" si="64"/>
        <v>2.6333020690696665E-2</v>
      </c>
      <c r="AH159">
        <f t="shared" si="65"/>
        <v>4.9588224848624372E-2</v>
      </c>
      <c r="AI159">
        <f t="shared" si="77"/>
        <v>136788</v>
      </c>
      <c r="AJ159">
        <f t="shared" si="78"/>
        <v>73714</v>
      </c>
      <c r="AK159">
        <f t="shared" si="79"/>
        <v>8560</v>
      </c>
    </row>
    <row r="160" spans="1:37" x14ac:dyDescent="0.25">
      <c r="A160" s="1">
        <v>37653</v>
      </c>
      <c r="B160" s="1">
        <v>37653</v>
      </c>
      <c r="C160">
        <v>1966</v>
      </c>
      <c r="D160">
        <v>1796</v>
      </c>
      <c r="E160">
        <v>1886</v>
      </c>
      <c r="F160">
        <v>3710</v>
      </c>
      <c r="G160">
        <v>1964</v>
      </c>
      <c r="H160">
        <v>3623</v>
      </c>
      <c r="I160">
        <v>74014</v>
      </c>
      <c r="J160">
        <v>137482</v>
      </c>
      <c r="K160">
        <v>8618</v>
      </c>
      <c r="L160">
        <v>3378</v>
      </c>
      <c r="M160">
        <f t="shared" si="66"/>
        <v>146100</v>
      </c>
      <c r="P160">
        <f t="shared" si="67"/>
        <v>5.898699520876112E-2</v>
      </c>
      <c r="Q160">
        <f t="shared" si="68"/>
        <v>0.50659822039698832</v>
      </c>
      <c r="R160">
        <f t="shared" si="69"/>
        <v>2.3121149897330596E-2</v>
      </c>
      <c r="S160">
        <f t="shared" si="71"/>
        <v>0.23075117370892018</v>
      </c>
      <c r="T160">
        <f t="shared" si="72"/>
        <v>0.21079812206572771</v>
      </c>
      <c r="U160">
        <f t="shared" si="73"/>
        <v>1.3724648333175663E-2</v>
      </c>
      <c r="V160">
        <f t="shared" si="74"/>
        <v>2.699811522591819E-2</v>
      </c>
      <c r="W160">
        <f t="shared" si="75"/>
        <v>2.6554894537587886E-2</v>
      </c>
      <c r="X160">
        <f t="shared" si="76"/>
        <v>4.8950198611073581E-2</v>
      </c>
      <c r="Y160" s="1">
        <f t="shared" si="70"/>
        <v>37653</v>
      </c>
      <c r="Z160">
        <f t="shared" si="57"/>
        <v>5.8975816261984525E-2</v>
      </c>
      <c r="AA160">
        <f t="shared" si="58"/>
        <v>0.50708817559387886</v>
      </c>
      <c r="AB160">
        <f t="shared" si="59"/>
        <v>2.299298093605642E-2</v>
      </c>
      <c r="AC160">
        <f t="shared" si="60"/>
        <v>0.2382150930272996</v>
      </c>
      <c r="AD160">
        <f t="shared" si="61"/>
        <v>0.21648626325856371</v>
      </c>
      <c r="AE160">
        <f t="shared" si="62"/>
        <v>1.414703228144619E-2</v>
      </c>
      <c r="AF160">
        <f t="shared" si="63"/>
        <v>2.7088359199564548E-2</v>
      </c>
      <c r="AG160">
        <f t="shared" si="64"/>
        <v>2.6557587869974791E-2</v>
      </c>
      <c r="AH160">
        <f t="shared" si="65"/>
        <v>4.94892875560499E-2</v>
      </c>
      <c r="AI160">
        <f t="shared" si="77"/>
        <v>137108.33333333334</v>
      </c>
      <c r="AJ160">
        <f t="shared" si="78"/>
        <v>73883</v>
      </c>
      <c r="AK160">
        <f t="shared" si="79"/>
        <v>8592.6666666666661</v>
      </c>
    </row>
    <row r="161" spans="1:37" x14ac:dyDescent="0.25">
      <c r="A161" s="1">
        <v>37681</v>
      </c>
      <c r="B161" s="1">
        <v>37681</v>
      </c>
      <c r="C161">
        <v>1998</v>
      </c>
      <c r="D161">
        <v>2015</v>
      </c>
      <c r="E161">
        <v>1959</v>
      </c>
      <c r="F161">
        <v>3790</v>
      </c>
      <c r="G161">
        <v>1999</v>
      </c>
      <c r="H161">
        <v>3623</v>
      </c>
      <c r="I161">
        <v>74295</v>
      </c>
      <c r="J161">
        <v>137434</v>
      </c>
      <c r="K161">
        <v>8588</v>
      </c>
      <c r="L161">
        <v>3056</v>
      </c>
      <c r="M161">
        <f t="shared" si="66"/>
        <v>146022</v>
      </c>
      <c r="P161">
        <f t="shared" si="67"/>
        <v>5.8813055566969363E-2</v>
      </c>
      <c r="Q161">
        <f t="shared" si="68"/>
        <v>0.50879319554587665</v>
      </c>
      <c r="R161">
        <f t="shared" si="69"/>
        <v>2.0928353261837257E-2</v>
      </c>
      <c r="S161">
        <f t="shared" si="71"/>
        <v>0.2318403341842655</v>
      </c>
      <c r="T161">
        <f t="shared" si="72"/>
        <v>0.23381294964028776</v>
      </c>
      <c r="U161">
        <f t="shared" si="73"/>
        <v>1.4249138068983576E-2</v>
      </c>
      <c r="V161">
        <f t="shared" si="74"/>
        <v>2.7567245166639998E-2</v>
      </c>
      <c r="W161">
        <f t="shared" si="75"/>
        <v>2.7008403815494367E-2</v>
      </c>
      <c r="X161">
        <f t="shared" si="76"/>
        <v>4.876505821387711E-2</v>
      </c>
      <c r="Y161" s="1">
        <f t="shared" si="70"/>
        <v>37681</v>
      </c>
      <c r="Z161">
        <f t="shared" si="57"/>
        <v>5.8727135704808198E-2</v>
      </c>
      <c r="AA161">
        <f t="shared" si="58"/>
        <v>0.50739514783423412</v>
      </c>
      <c r="AB161">
        <f t="shared" si="59"/>
        <v>2.2947007595833541E-2</v>
      </c>
      <c r="AC161">
        <f t="shared" si="60"/>
        <v>0.23814778658167915</v>
      </c>
      <c r="AD161">
        <f t="shared" si="61"/>
        <v>0.22490122143286936</v>
      </c>
      <c r="AE161">
        <f t="shared" si="62"/>
        <v>1.4230796142722005E-2</v>
      </c>
      <c r="AF161">
        <f t="shared" si="63"/>
        <v>2.724098010866732E-2</v>
      </c>
      <c r="AG161">
        <f t="shared" si="64"/>
        <v>2.6713159172778351E-2</v>
      </c>
      <c r="AH161">
        <f t="shared" si="65"/>
        <v>5.0157834842136984E-2</v>
      </c>
      <c r="AI161">
        <f t="shared" si="77"/>
        <v>137444.33333333334</v>
      </c>
      <c r="AJ161">
        <f t="shared" si="78"/>
        <v>74089.666666666672</v>
      </c>
      <c r="AK161">
        <f t="shared" si="79"/>
        <v>8575.3333333333339</v>
      </c>
    </row>
    <row r="162" spans="1:37" x14ac:dyDescent="0.25">
      <c r="A162" s="1">
        <v>37712</v>
      </c>
      <c r="B162" s="1">
        <v>37712</v>
      </c>
      <c r="C162">
        <v>2086</v>
      </c>
      <c r="D162">
        <v>1778</v>
      </c>
      <c r="E162">
        <v>1978</v>
      </c>
      <c r="F162">
        <v>3608</v>
      </c>
      <c r="G162">
        <v>2124</v>
      </c>
      <c r="H162">
        <v>3639</v>
      </c>
      <c r="I162">
        <v>74066</v>
      </c>
      <c r="J162">
        <v>137633</v>
      </c>
      <c r="K162">
        <v>8842</v>
      </c>
      <c r="L162">
        <v>3107</v>
      </c>
      <c r="M162">
        <f t="shared" si="66"/>
        <v>146475</v>
      </c>
      <c r="P162">
        <f t="shared" si="67"/>
        <v>6.0365250042669398E-2</v>
      </c>
      <c r="Q162">
        <f t="shared" si="68"/>
        <v>0.50565625533367464</v>
      </c>
      <c r="R162">
        <f t="shared" si="69"/>
        <v>2.1211810889230243E-2</v>
      </c>
      <c r="S162">
        <f t="shared" si="71"/>
        <v>0.24289706567303213</v>
      </c>
      <c r="T162">
        <f t="shared" si="72"/>
        <v>0.20703306939916163</v>
      </c>
      <c r="U162">
        <f t="shared" si="73"/>
        <v>1.4392362879636772E-2</v>
      </c>
      <c r="V162">
        <f t="shared" si="74"/>
        <v>2.6252601248599329E-2</v>
      </c>
      <c r="W162">
        <f t="shared" si="75"/>
        <v>2.8588734100545125E-2</v>
      </c>
      <c r="X162">
        <f t="shared" si="76"/>
        <v>4.9131855372235571E-2</v>
      </c>
      <c r="Y162" s="1">
        <f t="shared" si="70"/>
        <v>37712</v>
      </c>
      <c r="Z162">
        <f t="shared" ref="Z162:Z225" si="80">IF(ISNUMBER(P160),AVERAGE(P160:P162),NA())</f>
        <v>5.9388433606133294E-2</v>
      </c>
      <c r="AA162">
        <f t="shared" si="58"/>
        <v>0.5070158904255132</v>
      </c>
      <c r="AB162">
        <f t="shared" si="59"/>
        <v>2.1753771349466031E-2</v>
      </c>
      <c r="AC162">
        <f t="shared" si="60"/>
        <v>0.23516285785540594</v>
      </c>
      <c r="AD162">
        <f t="shared" si="61"/>
        <v>0.21721471370172571</v>
      </c>
      <c r="AE162">
        <f t="shared" si="62"/>
        <v>1.412204976059867E-2</v>
      </c>
      <c r="AF162">
        <f t="shared" si="63"/>
        <v>2.6939320547052503E-2</v>
      </c>
      <c r="AG162">
        <f t="shared" si="64"/>
        <v>2.7384010817875792E-2</v>
      </c>
      <c r="AH162">
        <f t="shared" si="65"/>
        <v>4.894903739906209E-2</v>
      </c>
      <c r="AI162">
        <f t="shared" si="77"/>
        <v>137516.33333333334</v>
      </c>
      <c r="AJ162">
        <f t="shared" si="78"/>
        <v>74125</v>
      </c>
      <c r="AK162">
        <f t="shared" si="79"/>
        <v>8682.6666666666661</v>
      </c>
    </row>
    <row r="163" spans="1:37" x14ac:dyDescent="0.25">
      <c r="A163" s="1">
        <v>37742</v>
      </c>
      <c r="B163" s="1">
        <v>37742</v>
      </c>
      <c r="C163">
        <v>2048</v>
      </c>
      <c r="D163">
        <v>1897</v>
      </c>
      <c r="E163">
        <v>2000</v>
      </c>
      <c r="F163">
        <v>3667</v>
      </c>
      <c r="G163">
        <v>2048</v>
      </c>
      <c r="H163">
        <v>3478</v>
      </c>
      <c r="I163">
        <v>74268</v>
      </c>
      <c r="J163">
        <v>137544</v>
      </c>
      <c r="K163">
        <v>8957</v>
      </c>
      <c r="L163">
        <v>3108</v>
      </c>
      <c r="M163">
        <f t="shared" si="66"/>
        <v>146501</v>
      </c>
      <c r="P163">
        <f t="shared" si="67"/>
        <v>6.1139514406045009E-2</v>
      </c>
      <c r="Q163">
        <f t="shared" si="68"/>
        <v>0.50694534508296873</v>
      </c>
      <c r="R163">
        <f t="shared" si="69"/>
        <v>2.1214872253431716E-2</v>
      </c>
      <c r="S163">
        <f t="shared" si="71"/>
        <v>0.23162180502148835</v>
      </c>
      <c r="T163">
        <f t="shared" si="72"/>
        <v>0.21454422076453292</v>
      </c>
      <c r="U163">
        <f t="shared" si="73"/>
        <v>1.4531398719783773E-2</v>
      </c>
      <c r="V163">
        <f t="shared" si="74"/>
        <v>2.6643319552723546E-2</v>
      </c>
      <c r="W163">
        <f t="shared" si="75"/>
        <v>2.7651013960521695E-2</v>
      </c>
      <c r="X163">
        <f t="shared" si="76"/>
        <v>4.6830398017988904E-2</v>
      </c>
      <c r="Y163" s="1">
        <f t="shared" si="70"/>
        <v>37742</v>
      </c>
      <c r="Z163">
        <f t="shared" si="80"/>
        <v>6.0105940005227926E-2</v>
      </c>
      <c r="AA163">
        <f t="shared" ref="AA163:AA226" si="81">IF(ISNUMBER(Q161),AVERAGE(Q161:Q163),NA())</f>
        <v>0.50713159865417345</v>
      </c>
      <c r="AB163">
        <f t="shared" ref="AB163:AB226" si="82">IF(ISNUMBER(R161),AVERAGE(R161:R163),NA())</f>
        <v>2.1118345468166405E-2</v>
      </c>
      <c r="AC163">
        <f t="shared" ref="AC163:AC226" si="83">IF(ISNUMBER(S161),AVERAGE(S161:S163),NA())</f>
        <v>0.23545306829292867</v>
      </c>
      <c r="AD163">
        <f t="shared" ref="AD163:AD226" si="84">IF(ISNUMBER(T161),AVERAGE(T161:T163),NA())</f>
        <v>0.21846341326799412</v>
      </c>
      <c r="AE163">
        <f t="shared" ref="AE163:AE226" si="85">IF(ISNUMBER(U161),AVERAGE(U161:U163),NA())</f>
        <v>1.4390966556134708E-2</v>
      </c>
      <c r="AF163">
        <f t="shared" ref="AF163:AF226" si="86">IF(ISNUMBER(V161),AVERAGE(V161:V163),NA())</f>
        <v>2.6821055322654292E-2</v>
      </c>
      <c r="AG163">
        <f t="shared" ref="AG163:AG226" si="87">IF(ISNUMBER(W161),AVERAGE(W161:W163),NA())</f>
        <v>2.7749383958853732E-2</v>
      </c>
      <c r="AH163">
        <f t="shared" ref="AH163:AH226" si="88">IF(ISNUMBER(X161),AVERAGE(X161:X163),NA())</f>
        <v>4.82424372013672E-2</v>
      </c>
      <c r="AI163">
        <f t="shared" si="77"/>
        <v>137537</v>
      </c>
      <c r="AJ163">
        <f t="shared" si="78"/>
        <v>74209.666666666672</v>
      </c>
      <c r="AK163">
        <f t="shared" si="79"/>
        <v>8795.6666666666661</v>
      </c>
    </row>
    <row r="164" spans="1:37" x14ac:dyDescent="0.25">
      <c r="A164" s="1">
        <v>37773</v>
      </c>
      <c r="B164" s="1">
        <v>37773</v>
      </c>
      <c r="C164">
        <v>2114</v>
      </c>
      <c r="D164">
        <v>1828</v>
      </c>
      <c r="E164">
        <v>1949</v>
      </c>
      <c r="F164">
        <v>3801</v>
      </c>
      <c r="G164">
        <v>2273</v>
      </c>
      <c r="H164">
        <v>3776</v>
      </c>
      <c r="I164">
        <v>73958</v>
      </c>
      <c r="J164">
        <v>137790</v>
      </c>
      <c r="K164">
        <v>9266</v>
      </c>
      <c r="L164">
        <v>3196</v>
      </c>
      <c r="M164">
        <f t="shared" si="66"/>
        <v>147056</v>
      </c>
      <c r="P164">
        <f t="shared" si="67"/>
        <v>6.3010009792188015E-2</v>
      </c>
      <c r="Q164">
        <f t="shared" si="68"/>
        <v>0.50292405614187796</v>
      </c>
      <c r="R164">
        <f t="shared" si="69"/>
        <v>2.1733217277771732E-2</v>
      </c>
      <c r="S164">
        <f t="shared" si="71"/>
        <v>0.23601652338952775</v>
      </c>
      <c r="T164">
        <f t="shared" si="72"/>
        <v>0.20408618957240146</v>
      </c>
      <c r="U164">
        <f t="shared" si="73"/>
        <v>1.4170011051009132E-2</v>
      </c>
      <c r="V164">
        <f t="shared" si="74"/>
        <v>2.7634793229802827E-2</v>
      </c>
      <c r="W164">
        <f t="shared" si="75"/>
        <v>3.0605375127915117E-2</v>
      </c>
      <c r="X164">
        <f t="shared" si="76"/>
        <v>5.1056004759458068E-2</v>
      </c>
      <c r="Y164" s="1">
        <f t="shared" si="70"/>
        <v>37773</v>
      </c>
      <c r="Z164">
        <f t="shared" si="80"/>
        <v>6.1504924746967476E-2</v>
      </c>
      <c r="AA164">
        <f t="shared" si="81"/>
        <v>0.50517521885284045</v>
      </c>
      <c r="AB164">
        <f t="shared" si="82"/>
        <v>2.1386633473477898E-2</v>
      </c>
      <c r="AC164">
        <f t="shared" si="83"/>
        <v>0.23684513136134941</v>
      </c>
      <c r="AD164">
        <f t="shared" si="84"/>
        <v>0.20855449324536535</v>
      </c>
      <c r="AE164">
        <f t="shared" si="85"/>
        <v>1.4364590883476559E-2</v>
      </c>
      <c r="AF164">
        <f t="shared" si="86"/>
        <v>2.6843571343708569E-2</v>
      </c>
      <c r="AG164">
        <f t="shared" si="87"/>
        <v>2.8948374396327314E-2</v>
      </c>
      <c r="AH164">
        <f t="shared" si="88"/>
        <v>4.9006086049894183E-2</v>
      </c>
      <c r="AI164">
        <f t="shared" si="77"/>
        <v>137655.66666666666</v>
      </c>
      <c r="AJ164">
        <f t="shared" si="78"/>
        <v>74097.333333333328</v>
      </c>
      <c r="AK164">
        <f t="shared" si="79"/>
        <v>9021.6666666666661</v>
      </c>
    </row>
    <row r="165" spans="1:37" x14ac:dyDescent="0.25">
      <c r="A165" s="1">
        <v>37803</v>
      </c>
      <c r="B165" s="1">
        <v>37803</v>
      </c>
      <c r="C165">
        <v>2127</v>
      </c>
      <c r="D165">
        <v>2005</v>
      </c>
      <c r="E165">
        <v>1882</v>
      </c>
      <c r="F165">
        <v>4074</v>
      </c>
      <c r="G165">
        <v>1972</v>
      </c>
      <c r="H165">
        <v>3487</v>
      </c>
      <c r="I165">
        <v>74767</v>
      </c>
      <c r="J165">
        <v>137474</v>
      </c>
      <c r="K165">
        <v>9011</v>
      </c>
      <c r="L165">
        <v>3106</v>
      </c>
      <c r="M165">
        <f t="shared" si="66"/>
        <v>146485</v>
      </c>
      <c r="P165">
        <f t="shared" si="67"/>
        <v>6.1514830870054951E-2</v>
      </c>
      <c r="Q165">
        <f t="shared" si="68"/>
        <v>0.51040720892924185</v>
      </c>
      <c r="R165">
        <f t="shared" si="69"/>
        <v>2.1203536198245554E-2</v>
      </c>
      <c r="S165">
        <f t="shared" si="71"/>
        <v>0.22954888840923807</v>
      </c>
      <c r="T165">
        <f t="shared" si="72"/>
        <v>0.21638247355924886</v>
      </c>
      <c r="U165">
        <f t="shared" si="73"/>
        <v>1.365846578126134E-2</v>
      </c>
      <c r="V165">
        <f t="shared" si="74"/>
        <v>2.9566731983453082E-2</v>
      </c>
      <c r="W165">
        <f t="shared" si="75"/>
        <v>2.6663782146623759E-2</v>
      </c>
      <c r="X165">
        <f t="shared" si="76"/>
        <v>4.663822274532882E-2</v>
      </c>
      <c r="Y165" s="1">
        <f t="shared" si="70"/>
        <v>37803</v>
      </c>
      <c r="Z165">
        <f t="shared" si="80"/>
        <v>6.1888118356095999E-2</v>
      </c>
      <c r="AA165">
        <f t="shared" si="81"/>
        <v>0.50675887005136289</v>
      </c>
      <c r="AB165">
        <f t="shared" si="82"/>
        <v>2.1383875243149667E-2</v>
      </c>
      <c r="AC165">
        <f t="shared" si="83"/>
        <v>0.23239573894008472</v>
      </c>
      <c r="AD165">
        <f t="shared" si="84"/>
        <v>0.21167096129872776</v>
      </c>
      <c r="AE165">
        <f t="shared" si="85"/>
        <v>1.4119958517351415E-2</v>
      </c>
      <c r="AF165">
        <f t="shared" si="86"/>
        <v>2.7948281588659817E-2</v>
      </c>
      <c r="AG165">
        <f t="shared" si="87"/>
        <v>2.830672374502019E-2</v>
      </c>
      <c r="AH165">
        <f t="shared" si="88"/>
        <v>4.8174875174258593E-2</v>
      </c>
      <c r="AI165">
        <f t="shared" si="77"/>
        <v>137602.66666666666</v>
      </c>
      <c r="AJ165">
        <f t="shared" si="78"/>
        <v>74331</v>
      </c>
      <c r="AK165">
        <f t="shared" si="79"/>
        <v>9078</v>
      </c>
    </row>
    <row r="166" spans="1:37" x14ac:dyDescent="0.25">
      <c r="A166" s="1">
        <v>37834</v>
      </c>
      <c r="B166" s="1">
        <v>37834</v>
      </c>
      <c r="C166">
        <v>2127</v>
      </c>
      <c r="D166">
        <v>2016</v>
      </c>
      <c r="E166">
        <v>2041</v>
      </c>
      <c r="F166">
        <v>3781</v>
      </c>
      <c r="G166">
        <v>1973</v>
      </c>
      <c r="H166">
        <v>3698</v>
      </c>
      <c r="I166">
        <v>75062</v>
      </c>
      <c r="J166">
        <v>137549</v>
      </c>
      <c r="K166">
        <v>8896</v>
      </c>
      <c r="L166">
        <v>3182</v>
      </c>
      <c r="M166">
        <f t="shared" si="66"/>
        <v>146445</v>
      </c>
      <c r="P166">
        <f t="shared" si="67"/>
        <v>6.0746355286967806E-2</v>
      </c>
      <c r="Q166">
        <f t="shared" si="68"/>
        <v>0.51256102973812689</v>
      </c>
      <c r="R166">
        <f t="shared" si="69"/>
        <v>2.1728293898733313E-2</v>
      </c>
      <c r="S166">
        <f t="shared" si="71"/>
        <v>0.23604483409166574</v>
      </c>
      <c r="T166">
        <f t="shared" si="72"/>
        <v>0.22372655643102873</v>
      </c>
      <c r="U166">
        <f t="shared" si="73"/>
        <v>1.4846443691170694E-2</v>
      </c>
      <c r="V166">
        <f t="shared" si="74"/>
        <v>2.7503382457773833E-2</v>
      </c>
      <c r="W166">
        <f t="shared" si="75"/>
        <v>2.6388647397916194E-2</v>
      </c>
      <c r="X166">
        <f t="shared" si="76"/>
        <v>4.926594015613759E-2</v>
      </c>
      <c r="Y166" s="1">
        <f t="shared" si="70"/>
        <v>37834</v>
      </c>
      <c r="Z166">
        <f t="shared" si="80"/>
        <v>6.1757065316403591E-2</v>
      </c>
      <c r="AA166">
        <f t="shared" si="81"/>
        <v>0.50863076493641557</v>
      </c>
      <c r="AB166">
        <f t="shared" si="82"/>
        <v>2.1555015791583532E-2</v>
      </c>
      <c r="AC166">
        <f t="shared" si="83"/>
        <v>0.23387008196347717</v>
      </c>
      <c r="AD166">
        <f t="shared" si="84"/>
        <v>0.21473173985422633</v>
      </c>
      <c r="AE166">
        <f t="shared" si="85"/>
        <v>1.4224973507813723E-2</v>
      </c>
      <c r="AF166">
        <f t="shared" si="86"/>
        <v>2.8234969223676579E-2</v>
      </c>
      <c r="AG166">
        <f t="shared" si="87"/>
        <v>2.7885934890818354E-2</v>
      </c>
      <c r="AH166">
        <f t="shared" si="88"/>
        <v>4.8986722553641497E-2</v>
      </c>
      <c r="AI166">
        <f t="shared" si="77"/>
        <v>137604.33333333334</v>
      </c>
      <c r="AJ166">
        <f t="shared" si="78"/>
        <v>74595.666666666672</v>
      </c>
      <c r="AK166">
        <f t="shared" si="79"/>
        <v>9057.6666666666661</v>
      </c>
    </row>
    <row r="167" spans="1:37" x14ac:dyDescent="0.25">
      <c r="A167" s="1">
        <v>37865</v>
      </c>
      <c r="B167" s="1">
        <v>37865</v>
      </c>
      <c r="C167">
        <v>2051</v>
      </c>
      <c r="D167">
        <v>1912</v>
      </c>
      <c r="E167">
        <v>1931</v>
      </c>
      <c r="F167">
        <v>3894</v>
      </c>
      <c r="G167">
        <v>2040</v>
      </c>
      <c r="H167">
        <v>3757</v>
      </c>
      <c r="I167">
        <v>75249</v>
      </c>
      <c r="J167">
        <v>137609</v>
      </c>
      <c r="K167">
        <v>8921</v>
      </c>
      <c r="L167">
        <v>3051</v>
      </c>
      <c r="M167">
        <f t="shared" si="66"/>
        <v>146530</v>
      </c>
      <c r="P167">
        <f t="shared" si="67"/>
        <v>6.0881730703610179E-2</v>
      </c>
      <c r="Q167">
        <f t="shared" si="68"/>
        <v>0.513539889442435</v>
      </c>
      <c r="R167">
        <f t="shared" si="69"/>
        <v>2.0821674742373574E-2</v>
      </c>
      <c r="S167">
        <f t="shared" si="71"/>
        <v>0.23055305755395683</v>
      </c>
      <c r="T167">
        <f t="shared" si="72"/>
        <v>0.21492805755395683</v>
      </c>
      <c r="U167">
        <f t="shared" si="73"/>
        <v>1.4038633505150892E-2</v>
      </c>
      <c r="V167">
        <f t="shared" si="74"/>
        <v>2.8309911377036548E-2</v>
      </c>
      <c r="W167">
        <f t="shared" si="75"/>
        <v>2.7177533239188936E-2</v>
      </c>
      <c r="X167">
        <f t="shared" si="76"/>
        <v>4.9927573788355994E-2</v>
      </c>
      <c r="Y167" s="1">
        <f t="shared" si="70"/>
        <v>37865</v>
      </c>
      <c r="Z167">
        <f t="shared" si="80"/>
        <v>6.1047638953544314E-2</v>
      </c>
      <c r="AA167">
        <f t="shared" si="81"/>
        <v>0.51216937603660118</v>
      </c>
      <c r="AB167">
        <f t="shared" si="82"/>
        <v>2.1251168279784145E-2</v>
      </c>
      <c r="AC167">
        <f t="shared" si="83"/>
        <v>0.23204892668495355</v>
      </c>
      <c r="AD167">
        <f t="shared" si="84"/>
        <v>0.21834569584807814</v>
      </c>
      <c r="AE167">
        <f t="shared" si="85"/>
        <v>1.418118099252764E-2</v>
      </c>
      <c r="AF167">
        <f t="shared" si="86"/>
        <v>2.8460008606087817E-2</v>
      </c>
      <c r="AG167">
        <f t="shared" si="87"/>
        <v>2.6743320927909629E-2</v>
      </c>
      <c r="AH167">
        <f t="shared" si="88"/>
        <v>4.861057889660747E-2</v>
      </c>
      <c r="AI167">
        <f t="shared" si="77"/>
        <v>137544</v>
      </c>
      <c r="AJ167">
        <f t="shared" si="78"/>
        <v>75026</v>
      </c>
      <c r="AK167">
        <f t="shared" si="79"/>
        <v>8942.6666666666661</v>
      </c>
    </row>
    <row r="168" spans="1:37" x14ac:dyDescent="0.25">
      <c r="A168" s="1">
        <v>37895</v>
      </c>
      <c r="B168" s="1">
        <v>37895</v>
      </c>
      <c r="C168">
        <v>2064</v>
      </c>
      <c r="D168">
        <v>1997</v>
      </c>
      <c r="E168">
        <v>1733</v>
      </c>
      <c r="F168">
        <v>3768</v>
      </c>
      <c r="G168">
        <v>2121</v>
      </c>
      <c r="H168">
        <v>3800</v>
      </c>
      <c r="I168">
        <v>75323</v>
      </c>
      <c r="J168">
        <v>137984</v>
      </c>
      <c r="K168">
        <v>8732</v>
      </c>
      <c r="L168">
        <v>3140</v>
      </c>
      <c r="M168">
        <f t="shared" si="66"/>
        <v>146716</v>
      </c>
      <c r="P168">
        <f t="shared" si="67"/>
        <v>5.9516344502303774E-2</v>
      </c>
      <c r="Q168">
        <f t="shared" si="68"/>
        <v>0.51339322227977857</v>
      </c>
      <c r="R168">
        <f t="shared" si="69"/>
        <v>2.1401892090842173E-2</v>
      </c>
      <c r="S168">
        <f t="shared" si="71"/>
        <v>0.2313641968389194</v>
      </c>
      <c r="T168">
        <f t="shared" si="72"/>
        <v>0.22385382804618317</v>
      </c>
      <c r="U168">
        <f t="shared" si="73"/>
        <v>1.2593653031415096E-2</v>
      </c>
      <c r="V168">
        <f t="shared" si="74"/>
        <v>2.7381929960976388E-2</v>
      </c>
      <c r="W168">
        <f t="shared" si="75"/>
        <v>2.8186421082007734E-2</v>
      </c>
      <c r="X168">
        <f t="shared" si="76"/>
        <v>5.0449397926264225E-2</v>
      </c>
      <c r="Y168" s="1">
        <f t="shared" si="70"/>
        <v>37895</v>
      </c>
      <c r="Z168">
        <f t="shared" si="80"/>
        <v>6.0381476830960588E-2</v>
      </c>
      <c r="AA168">
        <f t="shared" si="81"/>
        <v>0.51316471382011353</v>
      </c>
      <c r="AB168">
        <f t="shared" si="82"/>
        <v>2.1317286910649685E-2</v>
      </c>
      <c r="AC168">
        <f t="shared" si="83"/>
        <v>0.23265402949484734</v>
      </c>
      <c r="AD168">
        <f t="shared" si="84"/>
        <v>0.22083614734372292</v>
      </c>
      <c r="AE168">
        <f t="shared" si="85"/>
        <v>1.3826243409245561E-2</v>
      </c>
      <c r="AF168">
        <f t="shared" si="86"/>
        <v>2.7731741265262257E-2</v>
      </c>
      <c r="AG168">
        <f t="shared" si="87"/>
        <v>2.7250867239704286E-2</v>
      </c>
      <c r="AH168">
        <f t="shared" si="88"/>
        <v>4.988097062358593E-2</v>
      </c>
      <c r="AI168">
        <f t="shared" si="77"/>
        <v>137714</v>
      </c>
      <c r="AJ168">
        <f t="shared" si="78"/>
        <v>75211.333333333328</v>
      </c>
      <c r="AK168">
        <f t="shared" si="79"/>
        <v>8849.6666666666661</v>
      </c>
    </row>
    <row r="169" spans="1:37" x14ac:dyDescent="0.25">
      <c r="A169" s="1">
        <v>37926</v>
      </c>
      <c r="B169" s="1">
        <v>37926</v>
      </c>
      <c r="C169">
        <v>2120</v>
      </c>
      <c r="D169">
        <v>1845</v>
      </c>
      <c r="E169">
        <v>1832</v>
      </c>
      <c r="F169">
        <v>3822</v>
      </c>
      <c r="G169">
        <v>1959</v>
      </c>
      <c r="H169">
        <v>3886</v>
      </c>
      <c r="I169">
        <v>75279</v>
      </c>
      <c r="J169">
        <v>138424</v>
      </c>
      <c r="K169">
        <v>8576</v>
      </c>
      <c r="L169">
        <v>3286</v>
      </c>
      <c r="M169">
        <f t="shared" si="66"/>
        <v>147000</v>
      </c>
      <c r="P169">
        <f t="shared" si="67"/>
        <v>5.8340136054421766E-2</v>
      </c>
      <c r="Q169">
        <f t="shared" si="68"/>
        <v>0.51210204081632649</v>
      </c>
      <c r="R169">
        <f t="shared" si="69"/>
        <v>2.2353741496598641E-2</v>
      </c>
      <c r="S169">
        <f t="shared" si="71"/>
        <v>0.24278515803939532</v>
      </c>
      <c r="T169">
        <f t="shared" si="72"/>
        <v>0.21129180027485112</v>
      </c>
      <c r="U169">
        <f t="shared" si="73"/>
        <v>1.3276901669758813E-2</v>
      </c>
      <c r="V169">
        <f t="shared" si="74"/>
        <v>2.7698863636363636E-2</v>
      </c>
      <c r="W169">
        <f t="shared" si="75"/>
        <v>2.6007992246724107E-2</v>
      </c>
      <c r="X169">
        <f t="shared" si="76"/>
        <v>5.1621302089560173E-2</v>
      </c>
      <c r="Y169" s="1">
        <f t="shared" si="70"/>
        <v>37926</v>
      </c>
      <c r="Z169">
        <f t="shared" si="80"/>
        <v>5.9579403753445233E-2</v>
      </c>
      <c r="AA169">
        <f t="shared" si="81"/>
        <v>0.51301171751284669</v>
      </c>
      <c r="AB169">
        <f t="shared" si="82"/>
        <v>2.1525769443271465E-2</v>
      </c>
      <c r="AC169">
        <f t="shared" si="83"/>
        <v>0.23490080414409054</v>
      </c>
      <c r="AD169">
        <f t="shared" si="84"/>
        <v>0.21669122862499704</v>
      </c>
      <c r="AE169">
        <f t="shared" si="85"/>
        <v>1.3303062735441601E-2</v>
      </c>
      <c r="AF169">
        <f t="shared" si="86"/>
        <v>2.7796901658125525E-2</v>
      </c>
      <c r="AG169">
        <f t="shared" si="87"/>
        <v>2.7123982189306926E-2</v>
      </c>
      <c r="AH169">
        <f t="shared" si="88"/>
        <v>5.0666091268060133E-2</v>
      </c>
      <c r="AI169">
        <f t="shared" si="77"/>
        <v>138005.66666666666</v>
      </c>
      <c r="AJ169">
        <f t="shared" si="78"/>
        <v>75283.666666666672</v>
      </c>
      <c r="AK169">
        <f t="shared" si="79"/>
        <v>8743</v>
      </c>
    </row>
    <row r="170" spans="1:37" x14ac:dyDescent="0.25">
      <c r="A170" s="1">
        <v>37956</v>
      </c>
      <c r="B170" s="1">
        <v>37956</v>
      </c>
      <c r="C170">
        <v>2247</v>
      </c>
      <c r="D170">
        <v>1892</v>
      </c>
      <c r="E170">
        <v>1922</v>
      </c>
      <c r="F170">
        <v>3991</v>
      </c>
      <c r="G170">
        <v>1936</v>
      </c>
      <c r="H170">
        <v>3584</v>
      </c>
      <c r="I170">
        <v>75780</v>
      </c>
      <c r="J170">
        <v>138411</v>
      </c>
      <c r="K170">
        <v>8317</v>
      </c>
      <c r="L170">
        <v>3255</v>
      </c>
      <c r="M170">
        <f t="shared" si="66"/>
        <v>146728</v>
      </c>
      <c r="P170">
        <f t="shared" si="67"/>
        <v>5.6683114334005781E-2</v>
      </c>
      <c r="Q170">
        <f t="shared" si="68"/>
        <v>0.51646584155716702</v>
      </c>
      <c r="R170">
        <f t="shared" si="69"/>
        <v>2.2183904912491139E-2</v>
      </c>
      <c r="S170">
        <f t="shared" si="71"/>
        <v>0.26201026119402987</v>
      </c>
      <c r="T170">
        <f t="shared" si="72"/>
        <v>0.22061567164179105</v>
      </c>
      <c r="U170">
        <f t="shared" si="73"/>
        <v>1.3884875455123388E-2</v>
      </c>
      <c r="V170">
        <f t="shared" si="74"/>
        <v>2.8831705484598045E-2</v>
      </c>
      <c r="W170">
        <f t="shared" si="75"/>
        <v>2.5717663624649636E-2</v>
      </c>
      <c r="X170">
        <f t="shared" si="76"/>
        <v>4.7294800738981263E-2</v>
      </c>
      <c r="Y170" s="1">
        <f t="shared" si="70"/>
        <v>37956</v>
      </c>
      <c r="Z170">
        <f t="shared" si="80"/>
        <v>5.8179864963577105E-2</v>
      </c>
      <c r="AA170">
        <f t="shared" si="81"/>
        <v>0.5139870348844241</v>
      </c>
      <c r="AB170">
        <f t="shared" si="82"/>
        <v>2.1979846166643984E-2</v>
      </c>
      <c r="AC170">
        <f t="shared" si="83"/>
        <v>0.24538653869078153</v>
      </c>
      <c r="AD170">
        <f t="shared" si="84"/>
        <v>0.21858709998760847</v>
      </c>
      <c r="AE170">
        <f t="shared" si="85"/>
        <v>1.3251810052099099E-2</v>
      </c>
      <c r="AF170">
        <f t="shared" si="86"/>
        <v>2.7970833027312691E-2</v>
      </c>
      <c r="AG170">
        <f t="shared" si="87"/>
        <v>2.6637358984460496E-2</v>
      </c>
      <c r="AH170">
        <f t="shared" si="88"/>
        <v>4.9788500251601885E-2</v>
      </c>
      <c r="AI170">
        <f t="shared" si="77"/>
        <v>138273</v>
      </c>
      <c r="AJ170">
        <f t="shared" si="78"/>
        <v>75460.666666666672</v>
      </c>
      <c r="AK170">
        <f t="shared" si="79"/>
        <v>8541.6666666666661</v>
      </c>
    </row>
    <row r="171" spans="1:37" x14ac:dyDescent="0.25">
      <c r="A171" s="1">
        <v>37987</v>
      </c>
      <c r="B171" s="1">
        <v>37987</v>
      </c>
      <c r="C171">
        <v>2058</v>
      </c>
      <c r="D171">
        <v>1661</v>
      </c>
      <c r="E171">
        <v>1729</v>
      </c>
      <c r="F171">
        <v>3766</v>
      </c>
      <c r="G171">
        <v>2049</v>
      </c>
      <c r="H171">
        <v>3769</v>
      </c>
      <c r="I171">
        <v>75319</v>
      </c>
      <c r="J171">
        <v>138472</v>
      </c>
      <c r="K171">
        <v>8370</v>
      </c>
      <c r="L171">
        <v>3322</v>
      </c>
      <c r="M171">
        <f t="shared" si="66"/>
        <v>146842</v>
      </c>
      <c r="P171">
        <f t="shared" si="67"/>
        <v>5.7000040860244343E-2</v>
      </c>
      <c r="Q171">
        <f t="shared" si="68"/>
        <v>0.51292545729423467</v>
      </c>
      <c r="R171">
        <f t="shared" si="69"/>
        <v>2.2622955285272604E-2</v>
      </c>
      <c r="S171">
        <f t="shared" si="71"/>
        <v>0.24744499218468197</v>
      </c>
      <c r="T171">
        <f t="shared" si="72"/>
        <v>0.19971143441144643</v>
      </c>
      <c r="U171">
        <f t="shared" si="73"/>
        <v>1.2491781722550954E-2</v>
      </c>
      <c r="V171">
        <f t="shared" si="74"/>
        <v>2.7208820108228393E-2</v>
      </c>
      <c r="W171">
        <f t="shared" si="75"/>
        <v>2.7038796516231197E-2</v>
      </c>
      <c r="X171">
        <f t="shared" si="76"/>
        <v>5.0040494430356221E-2</v>
      </c>
      <c r="Y171" s="1">
        <f t="shared" si="70"/>
        <v>37987</v>
      </c>
      <c r="Z171">
        <f t="shared" si="80"/>
        <v>5.7341097082890626E-2</v>
      </c>
      <c r="AA171">
        <f t="shared" si="81"/>
        <v>0.51383111322257602</v>
      </c>
      <c r="AB171">
        <f t="shared" si="82"/>
        <v>2.2386867231454128E-2</v>
      </c>
      <c r="AC171">
        <f t="shared" si="83"/>
        <v>0.2507468038060357</v>
      </c>
      <c r="AD171">
        <f t="shared" si="84"/>
        <v>0.21053963544269619</v>
      </c>
      <c r="AE171">
        <f t="shared" si="85"/>
        <v>1.3217852949144385E-2</v>
      </c>
      <c r="AF171">
        <f t="shared" si="86"/>
        <v>2.7913129743063359E-2</v>
      </c>
      <c r="AG171">
        <f t="shared" si="87"/>
        <v>2.6254817462534982E-2</v>
      </c>
      <c r="AH171">
        <f t="shared" si="88"/>
        <v>4.9652199086299219E-2</v>
      </c>
      <c r="AI171">
        <f t="shared" si="77"/>
        <v>138435.66666666666</v>
      </c>
      <c r="AJ171">
        <f t="shared" si="78"/>
        <v>75459.333333333328</v>
      </c>
      <c r="AK171">
        <f t="shared" si="79"/>
        <v>8421</v>
      </c>
    </row>
    <row r="172" spans="1:37" x14ac:dyDescent="0.25">
      <c r="A172" s="1">
        <v>38018</v>
      </c>
      <c r="B172" s="1">
        <v>38018</v>
      </c>
      <c r="C172">
        <v>1984</v>
      </c>
      <c r="D172">
        <v>1948</v>
      </c>
      <c r="E172">
        <v>1806</v>
      </c>
      <c r="F172">
        <v>3747</v>
      </c>
      <c r="G172">
        <v>1910</v>
      </c>
      <c r="H172">
        <v>3549</v>
      </c>
      <c r="I172">
        <v>75648</v>
      </c>
      <c r="J172">
        <v>138542</v>
      </c>
      <c r="K172">
        <v>8167</v>
      </c>
      <c r="L172">
        <v>3415</v>
      </c>
      <c r="M172">
        <f t="shared" si="66"/>
        <v>146709</v>
      </c>
      <c r="P172">
        <f t="shared" si="67"/>
        <v>5.5668023093334421E-2</v>
      </c>
      <c r="Q172">
        <f t="shared" si="68"/>
        <v>0.51563298775126265</v>
      </c>
      <c r="R172">
        <f t="shared" si="69"/>
        <v>2.3277372213020332E-2</v>
      </c>
      <c r="S172">
        <f t="shared" si="71"/>
        <v>0.23703703703703705</v>
      </c>
      <c r="T172">
        <f t="shared" si="72"/>
        <v>0.23273596176821984</v>
      </c>
      <c r="U172">
        <f t="shared" si="73"/>
        <v>1.3042347911491132E-2</v>
      </c>
      <c r="V172">
        <f t="shared" si="74"/>
        <v>2.7059622161881101E-2</v>
      </c>
      <c r="W172">
        <f t="shared" si="75"/>
        <v>2.5358807206680916E-2</v>
      </c>
      <c r="X172">
        <f t="shared" si="76"/>
        <v>4.6914657360406092E-2</v>
      </c>
      <c r="Y172" s="1">
        <f t="shared" si="70"/>
        <v>38018</v>
      </c>
      <c r="Z172">
        <f t="shared" si="80"/>
        <v>5.6450392762528188E-2</v>
      </c>
      <c r="AA172">
        <f t="shared" si="81"/>
        <v>0.51500809553422144</v>
      </c>
      <c r="AB172">
        <f t="shared" si="82"/>
        <v>2.2694744136928024E-2</v>
      </c>
      <c r="AC172">
        <f t="shared" si="83"/>
        <v>0.24883076347191627</v>
      </c>
      <c r="AD172">
        <f t="shared" si="84"/>
        <v>0.2176876892738191</v>
      </c>
      <c r="AE172">
        <f t="shared" si="85"/>
        <v>1.3139668363055157E-2</v>
      </c>
      <c r="AF172">
        <f t="shared" si="86"/>
        <v>2.7700049251569176E-2</v>
      </c>
      <c r="AG172">
        <f t="shared" si="87"/>
        <v>2.6038422449187248E-2</v>
      </c>
      <c r="AH172">
        <f t="shared" si="88"/>
        <v>4.8083317509914521E-2</v>
      </c>
      <c r="AI172">
        <f t="shared" si="77"/>
        <v>138475</v>
      </c>
      <c r="AJ172">
        <f t="shared" si="78"/>
        <v>75582.333333333328</v>
      </c>
      <c r="AK172">
        <f t="shared" si="79"/>
        <v>8284.6666666666661</v>
      </c>
    </row>
    <row r="173" spans="1:37" x14ac:dyDescent="0.25">
      <c r="A173" s="1">
        <v>38047</v>
      </c>
      <c r="B173" s="1">
        <v>38047</v>
      </c>
      <c r="C173">
        <v>1925</v>
      </c>
      <c r="D173">
        <v>1871</v>
      </c>
      <c r="E173">
        <v>1857</v>
      </c>
      <c r="F173">
        <v>3910</v>
      </c>
      <c r="G173">
        <v>2237</v>
      </c>
      <c r="H173">
        <v>3704</v>
      </c>
      <c r="I173">
        <v>75606</v>
      </c>
      <c r="J173">
        <v>138453</v>
      </c>
      <c r="K173">
        <v>8491</v>
      </c>
      <c r="L173">
        <v>3394</v>
      </c>
      <c r="M173">
        <f t="shared" si="66"/>
        <v>146944</v>
      </c>
      <c r="P173">
        <f t="shared" si="67"/>
        <v>5.778391768292683E-2</v>
      </c>
      <c r="Q173">
        <f t="shared" si="68"/>
        <v>0.51452253919860624</v>
      </c>
      <c r="R173">
        <f t="shared" si="69"/>
        <v>2.3097234320557491E-2</v>
      </c>
      <c r="S173">
        <f t="shared" si="71"/>
        <v>0.23570466511570956</v>
      </c>
      <c r="T173">
        <f t="shared" si="72"/>
        <v>0.22909269009428188</v>
      </c>
      <c r="U173">
        <f t="shared" si="73"/>
        <v>1.3403877524505205E-2</v>
      </c>
      <c r="V173">
        <f t="shared" si="74"/>
        <v>2.8222488487245744E-2</v>
      </c>
      <c r="W173">
        <f t="shared" si="75"/>
        <v>2.9571171742808797E-2</v>
      </c>
      <c r="X173">
        <f t="shared" si="76"/>
        <v>4.8990820834325322E-2</v>
      </c>
      <c r="Y173" s="1">
        <f t="shared" si="70"/>
        <v>38047</v>
      </c>
      <c r="Z173">
        <f t="shared" si="80"/>
        <v>5.6817327212168534E-2</v>
      </c>
      <c r="AA173">
        <f t="shared" si="81"/>
        <v>0.51436032808136778</v>
      </c>
      <c r="AB173">
        <f t="shared" si="82"/>
        <v>2.2999187272950142E-2</v>
      </c>
      <c r="AC173">
        <f t="shared" si="83"/>
        <v>0.24006223144580952</v>
      </c>
      <c r="AD173">
        <f t="shared" si="84"/>
        <v>0.22051336209131603</v>
      </c>
      <c r="AE173">
        <f t="shared" si="85"/>
        <v>1.2979335719515763E-2</v>
      </c>
      <c r="AF173">
        <f t="shared" si="86"/>
        <v>2.7496976919118413E-2</v>
      </c>
      <c r="AG173">
        <f t="shared" si="87"/>
        <v>2.7322925155240305E-2</v>
      </c>
      <c r="AH173">
        <f t="shared" si="88"/>
        <v>4.8648657541695874E-2</v>
      </c>
      <c r="AI173">
        <f t="shared" si="77"/>
        <v>138489</v>
      </c>
      <c r="AJ173">
        <f t="shared" si="78"/>
        <v>75524.333333333328</v>
      </c>
      <c r="AK173">
        <f t="shared" si="79"/>
        <v>8342.6666666666661</v>
      </c>
    </row>
    <row r="174" spans="1:37" x14ac:dyDescent="0.25">
      <c r="A174" s="1">
        <v>38078</v>
      </c>
      <c r="B174" s="1">
        <v>38078</v>
      </c>
      <c r="C174">
        <v>2147</v>
      </c>
      <c r="D174">
        <v>1879</v>
      </c>
      <c r="E174">
        <v>1787</v>
      </c>
      <c r="F174">
        <v>3845</v>
      </c>
      <c r="G174">
        <v>1897</v>
      </c>
      <c r="H174">
        <v>3656</v>
      </c>
      <c r="I174">
        <v>75907</v>
      </c>
      <c r="J174">
        <v>138680</v>
      </c>
      <c r="K174">
        <v>8170</v>
      </c>
      <c r="L174">
        <v>3524</v>
      </c>
      <c r="M174">
        <f t="shared" si="66"/>
        <v>146850</v>
      </c>
      <c r="P174">
        <f t="shared" si="67"/>
        <v>5.5635001702417433E-2</v>
      </c>
      <c r="Q174">
        <f t="shared" si="68"/>
        <v>0.51690160027238674</v>
      </c>
      <c r="R174">
        <f t="shared" si="69"/>
        <v>2.3997276132107594E-2</v>
      </c>
      <c r="S174">
        <f t="shared" si="71"/>
        <v>0.25285596513955955</v>
      </c>
      <c r="T174">
        <f t="shared" si="72"/>
        <v>0.22129313390648922</v>
      </c>
      <c r="U174">
        <f t="shared" si="73"/>
        <v>1.2906907037045062E-2</v>
      </c>
      <c r="V174">
        <f t="shared" si="74"/>
        <v>2.7771156999126058E-2</v>
      </c>
      <c r="W174">
        <f t="shared" si="75"/>
        <v>2.5090601275031082E-2</v>
      </c>
      <c r="X174">
        <f t="shared" si="76"/>
        <v>4.8164200930085499E-2</v>
      </c>
      <c r="Y174" s="1">
        <f t="shared" si="70"/>
        <v>38078</v>
      </c>
      <c r="Z174">
        <f t="shared" si="80"/>
        <v>5.6362314159559557E-2</v>
      </c>
      <c r="AA174">
        <f t="shared" si="81"/>
        <v>0.51568570907408517</v>
      </c>
      <c r="AB174">
        <f t="shared" si="82"/>
        <v>2.3457294221895141E-2</v>
      </c>
      <c r="AC174">
        <f t="shared" si="83"/>
        <v>0.24186588909743537</v>
      </c>
      <c r="AD174">
        <f t="shared" si="84"/>
        <v>0.22770726192299698</v>
      </c>
      <c r="AE174">
        <f t="shared" si="85"/>
        <v>1.3117710824347132E-2</v>
      </c>
      <c r="AF174">
        <f t="shared" si="86"/>
        <v>2.7684422549417637E-2</v>
      </c>
      <c r="AG174">
        <f t="shared" si="87"/>
        <v>2.6673526741506932E-2</v>
      </c>
      <c r="AH174">
        <f t="shared" si="88"/>
        <v>4.8023226374938971E-2</v>
      </c>
      <c r="AI174">
        <f t="shared" si="77"/>
        <v>138558.33333333334</v>
      </c>
      <c r="AJ174">
        <f t="shared" si="78"/>
        <v>75720.333333333328</v>
      </c>
      <c r="AK174">
        <f t="shared" si="79"/>
        <v>8276</v>
      </c>
    </row>
    <row r="175" spans="1:37" x14ac:dyDescent="0.25">
      <c r="A175" s="1">
        <v>38108</v>
      </c>
      <c r="B175" s="1">
        <v>38108</v>
      </c>
      <c r="C175">
        <v>2088</v>
      </c>
      <c r="D175">
        <v>1766</v>
      </c>
      <c r="E175">
        <v>1851</v>
      </c>
      <c r="F175">
        <v>3846</v>
      </c>
      <c r="G175">
        <v>2034</v>
      </c>
      <c r="H175">
        <v>3722</v>
      </c>
      <c r="I175">
        <v>75902</v>
      </c>
      <c r="J175">
        <v>138852</v>
      </c>
      <c r="K175">
        <v>8212</v>
      </c>
      <c r="L175">
        <v>3620</v>
      </c>
      <c r="M175">
        <f t="shared" si="66"/>
        <v>147064</v>
      </c>
      <c r="P175">
        <f t="shared" si="67"/>
        <v>5.5839634444867538E-2</v>
      </c>
      <c r="Q175">
        <f t="shared" si="68"/>
        <v>0.51611543273676763</v>
      </c>
      <c r="R175">
        <f t="shared" si="69"/>
        <v>2.4615133547299134E-2</v>
      </c>
      <c r="S175">
        <f t="shared" si="71"/>
        <v>0.2555691554467564</v>
      </c>
      <c r="T175">
        <f t="shared" si="72"/>
        <v>0.21615667074663403</v>
      </c>
      <c r="U175">
        <f t="shared" si="73"/>
        <v>1.3347274300548025E-2</v>
      </c>
      <c r="V175">
        <f t="shared" si="74"/>
        <v>2.773291029708682E-2</v>
      </c>
      <c r="W175">
        <f t="shared" si="75"/>
        <v>2.6795947672810148E-2</v>
      </c>
      <c r="X175">
        <f t="shared" si="76"/>
        <v>4.9036916023293194E-2</v>
      </c>
      <c r="Y175" s="1">
        <f t="shared" si="70"/>
        <v>38108</v>
      </c>
      <c r="Z175">
        <f t="shared" si="80"/>
        <v>5.6419517943403934E-2</v>
      </c>
      <c r="AA175">
        <f t="shared" si="81"/>
        <v>0.51584652406925346</v>
      </c>
      <c r="AB175">
        <f t="shared" si="82"/>
        <v>2.3903214666654737E-2</v>
      </c>
      <c r="AC175">
        <f t="shared" si="83"/>
        <v>0.24804326190067516</v>
      </c>
      <c r="AD175">
        <f t="shared" si="84"/>
        <v>0.22218083158246837</v>
      </c>
      <c r="AE175">
        <f t="shared" si="85"/>
        <v>1.3219352954032764E-2</v>
      </c>
      <c r="AF175">
        <f t="shared" si="86"/>
        <v>2.7908851927819538E-2</v>
      </c>
      <c r="AG175">
        <f t="shared" si="87"/>
        <v>2.7152573563550008E-2</v>
      </c>
      <c r="AH175">
        <f t="shared" si="88"/>
        <v>4.8730645929234671E-2</v>
      </c>
      <c r="AI175">
        <f t="shared" si="77"/>
        <v>138661.66666666666</v>
      </c>
      <c r="AJ175">
        <f t="shared" si="78"/>
        <v>75805</v>
      </c>
      <c r="AK175">
        <f t="shared" si="79"/>
        <v>8291</v>
      </c>
    </row>
    <row r="176" spans="1:37" x14ac:dyDescent="0.25">
      <c r="A176" s="1">
        <v>38139</v>
      </c>
      <c r="B176" s="1">
        <v>38139</v>
      </c>
      <c r="C176">
        <v>2032</v>
      </c>
      <c r="D176">
        <v>1797</v>
      </c>
      <c r="E176">
        <v>1777</v>
      </c>
      <c r="F176">
        <v>3604</v>
      </c>
      <c r="G176">
        <v>2088</v>
      </c>
      <c r="H176">
        <v>3630</v>
      </c>
      <c r="I176">
        <v>75736</v>
      </c>
      <c r="J176">
        <v>139174</v>
      </c>
      <c r="K176">
        <v>8286</v>
      </c>
      <c r="L176">
        <v>3423</v>
      </c>
      <c r="M176">
        <f t="shared" si="66"/>
        <v>147460</v>
      </c>
      <c r="P176">
        <f t="shared" si="67"/>
        <v>5.6191509561915098E-2</v>
      </c>
      <c r="Q176">
        <f t="shared" si="68"/>
        <v>0.51360368913603693</v>
      </c>
      <c r="R176">
        <f t="shared" si="69"/>
        <v>2.3213074732130749E-2</v>
      </c>
      <c r="S176">
        <f t="shared" si="71"/>
        <v>0.24744276668290308</v>
      </c>
      <c r="T176">
        <f t="shared" si="72"/>
        <v>0.2188261081344374</v>
      </c>
      <c r="U176">
        <f t="shared" si="73"/>
        <v>1.2797799095439748E-2</v>
      </c>
      <c r="V176">
        <f t="shared" si="74"/>
        <v>2.5955693832281853E-2</v>
      </c>
      <c r="W176">
        <f t="shared" si="75"/>
        <v>2.7509156543964585E-2</v>
      </c>
      <c r="X176">
        <f t="shared" si="76"/>
        <v>4.7929650364423787E-2</v>
      </c>
      <c r="Y176" s="1">
        <f t="shared" si="70"/>
        <v>38139</v>
      </c>
      <c r="Z176">
        <f t="shared" si="80"/>
        <v>5.5888715236400023E-2</v>
      </c>
      <c r="AA176">
        <f t="shared" si="81"/>
        <v>0.51554024071506377</v>
      </c>
      <c r="AB176">
        <f t="shared" si="82"/>
        <v>2.3941828137179159E-2</v>
      </c>
      <c r="AC176">
        <f t="shared" si="83"/>
        <v>0.251955962423073</v>
      </c>
      <c r="AD176">
        <f t="shared" si="84"/>
        <v>0.21875863759585354</v>
      </c>
      <c r="AE176">
        <f t="shared" si="85"/>
        <v>1.3017326811010943E-2</v>
      </c>
      <c r="AF176">
        <f t="shared" si="86"/>
        <v>2.7153253709498244E-2</v>
      </c>
      <c r="AG176">
        <f t="shared" si="87"/>
        <v>2.6465235163935272E-2</v>
      </c>
      <c r="AH176">
        <f t="shared" si="88"/>
        <v>4.8376922439267493E-2</v>
      </c>
      <c r="AI176">
        <f t="shared" si="77"/>
        <v>138902</v>
      </c>
      <c r="AJ176">
        <f t="shared" si="78"/>
        <v>75848.333333333328</v>
      </c>
      <c r="AK176">
        <f t="shared" si="79"/>
        <v>8222.6666666666661</v>
      </c>
    </row>
    <row r="177" spans="1:37" x14ac:dyDescent="0.25">
      <c r="A177" s="1">
        <v>38169</v>
      </c>
      <c r="B177" s="1">
        <v>38169</v>
      </c>
      <c r="C177">
        <v>2151</v>
      </c>
      <c r="D177">
        <v>1845</v>
      </c>
      <c r="E177">
        <v>1823</v>
      </c>
      <c r="F177">
        <v>3887</v>
      </c>
      <c r="G177">
        <v>1991</v>
      </c>
      <c r="H177">
        <v>3903</v>
      </c>
      <c r="I177">
        <v>75730</v>
      </c>
      <c r="J177">
        <v>139556</v>
      </c>
      <c r="K177">
        <v>8136</v>
      </c>
      <c r="L177">
        <v>3807</v>
      </c>
      <c r="M177">
        <f t="shared" si="66"/>
        <v>147692</v>
      </c>
      <c r="P177">
        <f t="shared" si="67"/>
        <v>5.5087614765864094E-2</v>
      </c>
      <c r="Q177">
        <f t="shared" si="68"/>
        <v>0.51275627657557621</v>
      </c>
      <c r="R177">
        <f t="shared" si="69"/>
        <v>2.5776616201283752E-2</v>
      </c>
      <c r="S177">
        <f t="shared" si="71"/>
        <v>0.25959449674149165</v>
      </c>
      <c r="T177">
        <f t="shared" si="72"/>
        <v>0.22266473569876902</v>
      </c>
      <c r="U177">
        <f t="shared" si="73"/>
        <v>1.309871096612873E-2</v>
      </c>
      <c r="V177">
        <f t="shared" si="74"/>
        <v>2.7929067210829609E-2</v>
      </c>
      <c r="W177">
        <f t="shared" si="75"/>
        <v>2.6288687018062744E-2</v>
      </c>
      <c r="X177">
        <f t="shared" si="76"/>
        <v>5.1538359963026539E-2</v>
      </c>
      <c r="Y177" s="1">
        <f t="shared" si="70"/>
        <v>38169</v>
      </c>
      <c r="Z177">
        <f t="shared" si="80"/>
        <v>5.5706252924215577E-2</v>
      </c>
      <c r="AA177">
        <f t="shared" si="81"/>
        <v>0.51415846614946026</v>
      </c>
      <c r="AB177">
        <f t="shared" si="82"/>
        <v>2.4534941493571213E-2</v>
      </c>
      <c r="AC177">
        <f t="shared" si="83"/>
        <v>0.25420213962371707</v>
      </c>
      <c r="AD177">
        <f t="shared" si="84"/>
        <v>0.21921583819328014</v>
      </c>
      <c r="AE177">
        <f t="shared" si="85"/>
        <v>1.3081261454038836E-2</v>
      </c>
      <c r="AF177">
        <f t="shared" si="86"/>
        <v>2.7205890446732758E-2</v>
      </c>
      <c r="AG177">
        <f t="shared" si="87"/>
        <v>2.6864597078279161E-2</v>
      </c>
      <c r="AH177">
        <f t="shared" si="88"/>
        <v>4.9501642116914511E-2</v>
      </c>
      <c r="AI177">
        <f t="shared" si="77"/>
        <v>139194</v>
      </c>
      <c r="AJ177">
        <f t="shared" si="78"/>
        <v>75789.333333333328</v>
      </c>
      <c r="AK177">
        <f t="shared" si="79"/>
        <v>8211.3333333333339</v>
      </c>
    </row>
    <row r="178" spans="1:37" x14ac:dyDescent="0.25">
      <c r="A178" s="1">
        <v>38200</v>
      </c>
      <c r="B178" s="1">
        <v>38200</v>
      </c>
      <c r="C178">
        <v>1996</v>
      </c>
      <c r="D178">
        <v>1974</v>
      </c>
      <c r="E178">
        <v>1858</v>
      </c>
      <c r="F178">
        <v>3946</v>
      </c>
      <c r="G178">
        <v>1946</v>
      </c>
      <c r="H178">
        <v>3713</v>
      </c>
      <c r="I178">
        <v>76113</v>
      </c>
      <c r="J178">
        <v>139573</v>
      </c>
      <c r="K178">
        <v>7990</v>
      </c>
      <c r="L178">
        <v>3623</v>
      </c>
      <c r="M178">
        <f t="shared" si="66"/>
        <v>147563</v>
      </c>
      <c r="P178">
        <f t="shared" si="67"/>
        <v>5.4146364603593039E-2</v>
      </c>
      <c r="Q178">
        <f t="shared" si="68"/>
        <v>0.51580003117312601</v>
      </c>
      <c r="R178">
        <f t="shared" si="69"/>
        <v>2.4552225151291313E-2</v>
      </c>
      <c r="S178">
        <f t="shared" si="71"/>
        <v>0.24532940019665683</v>
      </c>
      <c r="T178">
        <f t="shared" si="72"/>
        <v>0.24262536873156343</v>
      </c>
      <c r="U178">
        <f t="shared" si="73"/>
        <v>1.3313651867350741E-2</v>
      </c>
      <c r="V178">
        <f t="shared" si="74"/>
        <v>2.827538765800109E-2</v>
      </c>
      <c r="W178">
        <f t="shared" si="75"/>
        <v>2.5696553545490559E-2</v>
      </c>
      <c r="X178">
        <f t="shared" si="76"/>
        <v>4.8782730939524128E-2</v>
      </c>
      <c r="Y178" s="1">
        <f t="shared" si="70"/>
        <v>38200</v>
      </c>
      <c r="Z178">
        <f t="shared" si="80"/>
        <v>5.5141829643790746E-2</v>
      </c>
      <c r="AA178">
        <f t="shared" si="81"/>
        <v>0.51405333229491301</v>
      </c>
      <c r="AB178">
        <f t="shared" si="82"/>
        <v>2.451397202823527E-2</v>
      </c>
      <c r="AC178">
        <f t="shared" si="83"/>
        <v>0.25078888787368386</v>
      </c>
      <c r="AD178">
        <f t="shared" si="84"/>
        <v>0.22803873752158996</v>
      </c>
      <c r="AE178">
        <f t="shared" si="85"/>
        <v>1.3070053976306407E-2</v>
      </c>
      <c r="AF178">
        <f t="shared" si="86"/>
        <v>2.7386716233704183E-2</v>
      </c>
      <c r="AG178">
        <f t="shared" si="87"/>
        <v>2.6498132369172627E-2</v>
      </c>
      <c r="AH178">
        <f t="shared" si="88"/>
        <v>4.9416913755658154E-2</v>
      </c>
      <c r="AI178">
        <f t="shared" si="77"/>
        <v>139434.33333333334</v>
      </c>
      <c r="AJ178">
        <f t="shared" si="78"/>
        <v>75859.666666666672</v>
      </c>
      <c r="AK178">
        <f t="shared" si="79"/>
        <v>8137.333333333333</v>
      </c>
    </row>
    <row r="179" spans="1:37" x14ac:dyDescent="0.25">
      <c r="A179" s="1">
        <v>38231</v>
      </c>
      <c r="B179" s="1">
        <v>38231</v>
      </c>
      <c r="C179">
        <v>2138</v>
      </c>
      <c r="D179">
        <v>1886</v>
      </c>
      <c r="E179">
        <v>1907</v>
      </c>
      <c r="F179">
        <v>4006</v>
      </c>
      <c r="G179">
        <v>2025</v>
      </c>
      <c r="H179">
        <v>3608</v>
      </c>
      <c r="I179">
        <v>76526</v>
      </c>
      <c r="J179">
        <v>139487</v>
      </c>
      <c r="K179">
        <v>7927</v>
      </c>
      <c r="L179">
        <v>3754</v>
      </c>
      <c r="M179">
        <f t="shared" si="66"/>
        <v>147414</v>
      </c>
      <c r="P179">
        <f t="shared" si="67"/>
        <v>5.3773725697694924E-2</v>
      </c>
      <c r="Q179">
        <f t="shared" si="68"/>
        <v>0.51912301409635453</v>
      </c>
      <c r="R179">
        <f t="shared" si="69"/>
        <v>2.5465695252825375E-2</v>
      </c>
      <c r="S179">
        <f t="shared" si="71"/>
        <v>0.26758448060075096</v>
      </c>
      <c r="T179">
        <f t="shared" si="72"/>
        <v>0.23604505632040049</v>
      </c>
      <c r="U179">
        <f t="shared" si="73"/>
        <v>1.3663101029568756E-2</v>
      </c>
      <c r="V179">
        <f t="shared" si="74"/>
        <v>2.8701826284453297E-2</v>
      </c>
      <c r="W179">
        <f t="shared" si="75"/>
        <v>2.6605179141539554E-2</v>
      </c>
      <c r="X179">
        <f t="shared" si="76"/>
        <v>4.7147374748451508E-2</v>
      </c>
      <c r="Y179" s="1">
        <f t="shared" si="70"/>
        <v>38231</v>
      </c>
      <c r="Z179">
        <f t="shared" si="80"/>
        <v>5.433590168905069E-2</v>
      </c>
      <c r="AA179">
        <f t="shared" si="81"/>
        <v>0.51589310728168558</v>
      </c>
      <c r="AB179">
        <f t="shared" si="82"/>
        <v>2.5264845535133484E-2</v>
      </c>
      <c r="AC179">
        <f t="shared" si="83"/>
        <v>0.25750279251296648</v>
      </c>
      <c r="AD179">
        <f t="shared" si="84"/>
        <v>0.233778386916911</v>
      </c>
      <c r="AE179">
        <f t="shared" si="85"/>
        <v>1.3358487954349409E-2</v>
      </c>
      <c r="AF179">
        <f t="shared" si="86"/>
        <v>2.8302093717761333E-2</v>
      </c>
      <c r="AG179">
        <f t="shared" si="87"/>
        <v>2.6196806568364286E-2</v>
      </c>
      <c r="AH179">
        <f t="shared" si="88"/>
        <v>4.915615521700073E-2</v>
      </c>
      <c r="AI179">
        <f t="shared" si="77"/>
        <v>139538.66666666666</v>
      </c>
      <c r="AJ179">
        <f t="shared" si="78"/>
        <v>76123</v>
      </c>
      <c r="AK179">
        <f t="shared" si="79"/>
        <v>8017.666666666667</v>
      </c>
    </row>
    <row r="180" spans="1:37" x14ac:dyDescent="0.25">
      <c r="A180" s="1">
        <v>38261</v>
      </c>
      <c r="B180" s="1">
        <v>38261</v>
      </c>
      <c r="C180">
        <v>2132</v>
      </c>
      <c r="D180">
        <v>1740</v>
      </c>
      <c r="E180">
        <v>1890</v>
      </c>
      <c r="F180">
        <v>4014</v>
      </c>
      <c r="G180">
        <v>2085</v>
      </c>
      <c r="H180">
        <v>3937</v>
      </c>
      <c r="I180">
        <v>76399</v>
      </c>
      <c r="J180">
        <v>139732</v>
      </c>
      <c r="K180">
        <v>8061</v>
      </c>
      <c r="L180">
        <v>3836</v>
      </c>
      <c r="M180">
        <f t="shared" si="66"/>
        <v>147793</v>
      </c>
      <c r="P180">
        <f t="shared" si="67"/>
        <v>5.4542502012950543E-2</v>
      </c>
      <c r="Q180">
        <f t="shared" si="68"/>
        <v>0.51693246635496948</v>
      </c>
      <c r="R180">
        <f t="shared" si="69"/>
        <v>2.5955221153911214E-2</v>
      </c>
      <c r="S180">
        <f t="shared" si="71"/>
        <v>0.26895420714015389</v>
      </c>
      <c r="T180">
        <f t="shared" si="72"/>
        <v>0.21950296455153273</v>
      </c>
      <c r="U180">
        <f t="shared" si="73"/>
        <v>1.3549649788152301E-2</v>
      </c>
      <c r="V180">
        <f t="shared" si="74"/>
        <v>2.8776875264361554E-2</v>
      </c>
      <c r="W180">
        <f t="shared" si="75"/>
        <v>2.7245642004024778E-2</v>
      </c>
      <c r="X180">
        <f t="shared" si="76"/>
        <v>5.1532088116336604E-2</v>
      </c>
      <c r="Y180" s="1">
        <f t="shared" si="70"/>
        <v>38261</v>
      </c>
      <c r="Z180">
        <f t="shared" si="80"/>
        <v>5.4154197438079504E-2</v>
      </c>
      <c r="AA180">
        <f t="shared" si="81"/>
        <v>0.51728517054148337</v>
      </c>
      <c r="AB180">
        <f t="shared" si="82"/>
        <v>2.5324380519342635E-2</v>
      </c>
      <c r="AC180">
        <f t="shared" si="83"/>
        <v>0.26062269597918725</v>
      </c>
      <c r="AD180">
        <f t="shared" si="84"/>
        <v>0.23272446320116555</v>
      </c>
      <c r="AE180">
        <f t="shared" si="85"/>
        <v>1.3508800895023931E-2</v>
      </c>
      <c r="AF180">
        <f t="shared" si="86"/>
        <v>2.8584696402271983E-2</v>
      </c>
      <c r="AG180">
        <f t="shared" si="87"/>
        <v>2.6515791563684967E-2</v>
      </c>
      <c r="AH180">
        <f t="shared" si="88"/>
        <v>4.9154064601437418E-2</v>
      </c>
      <c r="AI180">
        <f t="shared" si="77"/>
        <v>139597.33333333334</v>
      </c>
      <c r="AJ180">
        <f t="shared" si="78"/>
        <v>76346</v>
      </c>
      <c r="AK180">
        <f t="shared" si="79"/>
        <v>7992.666666666667</v>
      </c>
    </row>
    <row r="181" spans="1:37" x14ac:dyDescent="0.25">
      <c r="A181" s="1">
        <v>38292</v>
      </c>
      <c r="B181" s="1">
        <v>38292</v>
      </c>
      <c r="C181">
        <v>2154</v>
      </c>
      <c r="D181">
        <v>1780</v>
      </c>
      <c r="E181">
        <v>1801</v>
      </c>
      <c r="F181">
        <v>3815</v>
      </c>
      <c r="G181">
        <v>1992</v>
      </c>
      <c r="H181">
        <v>3876</v>
      </c>
      <c r="I181">
        <v>76260</v>
      </c>
      <c r="J181">
        <v>140231</v>
      </c>
      <c r="K181">
        <v>7932</v>
      </c>
      <c r="L181">
        <v>3383</v>
      </c>
      <c r="M181">
        <f t="shared" si="66"/>
        <v>148163</v>
      </c>
      <c r="P181">
        <f t="shared" si="67"/>
        <v>5.3535633052786455E-2</v>
      </c>
      <c r="Q181">
        <f t="shared" si="68"/>
        <v>0.51470340098405132</v>
      </c>
      <c r="R181">
        <f t="shared" si="69"/>
        <v>2.2832960995660186E-2</v>
      </c>
      <c r="S181">
        <f t="shared" si="71"/>
        <v>0.26721250465202828</v>
      </c>
      <c r="T181">
        <f t="shared" si="72"/>
        <v>0.22081627589629077</v>
      </c>
      <c r="U181">
        <f t="shared" si="73"/>
        <v>1.2888958864111299E-2</v>
      </c>
      <c r="V181">
        <f t="shared" si="74"/>
        <v>2.7302264334583347E-2</v>
      </c>
      <c r="W181">
        <f t="shared" si="75"/>
        <v>2.6073639707326013E-2</v>
      </c>
      <c r="X181">
        <f t="shared" si="76"/>
        <v>5.0826121164437452E-2</v>
      </c>
      <c r="Y181" s="1">
        <f t="shared" si="70"/>
        <v>38292</v>
      </c>
      <c r="Z181">
        <f t="shared" si="80"/>
        <v>5.3950620254477312E-2</v>
      </c>
      <c r="AA181">
        <f t="shared" si="81"/>
        <v>0.51691962714512518</v>
      </c>
      <c r="AB181">
        <f t="shared" si="82"/>
        <v>2.4751292467465592E-2</v>
      </c>
      <c r="AC181">
        <f t="shared" si="83"/>
        <v>0.26791706413097771</v>
      </c>
      <c r="AD181">
        <f t="shared" si="84"/>
        <v>0.225454765589408</v>
      </c>
      <c r="AE181">
        <f t="shared" si="85"/>
        <v>1.3367236560610785E-2</v>
      </c>
      <c r="AF181">
        <f t="shared" si="86"/>
        <v>2.8260321961132734E-2</v>
      </c>
      <c r="AG181">
        <f t="shared" si="87"/>
        <v>2.6641486950963449E-2</v>
      </c>
      <c r="AH181">
        <f t="shared" si="88"/>
        <v>4.9835194676408519E-2</v>
      </c>
      <c r="AI181">
        <f t="shared" si="77"/>
        <v>139816.66666666666</v>
      </c>
      <c r="AJ181">
        <f t="shared" si="78"/>
        <v>76395</v>
      </c>
      <c r="AK181">
        <f t="shared" si="79"/>
        <v>7973.333333333333</v>
      </c>
    </row>
    <row r="182" spans="1:37" x14ac:dyDescent="0.25">
      <c r="A182" s="1">
        <v>38322</v>
      </c>
      <c r="B182" s="1">
        <v>38322</v>
      </c>
      <c r="C182">
        <v>2080</v>
      </c>
      <c r="D182">
        <v>1797</v>
      </c>
      <c r="E182">
        <v>1848</v>
      </c>
      <c r="F182">
        <v>4119</v>
      </c>
      <c r="G182">
        <v>2015</v>
      </c>
      <c r="H182">
        <v>3726</v>
      </c>
      <c r="I182">
        <v>76581</v>
      </c>
      <c r="J182">
        <v>140125</v>
      </c>
      <c r="K182">
        <v>7934</v>
      </c>
      <c r="L182">
        <v>3808</v>
      </c>
      <c r="M182">
        <f t="shared" si="66"/>
        <v>148059</v>
      </c>
      <c r="P182">
        <f t="shared" si="67"/>
        <v>5.3586745824299772E-2</v>
      </c>
      <c r="Q182">
        <f t="shared" si="68"/>
        <v>0.51723299495471398</v>
      </c>
      <c r="R182">
        <f t="shared" si="69"/>
        <v>2.5719476695101277E-2</v>
      </c>
      <c r="S182">
        <f t="shared" si="71"/>
        <v>0.2622289460413515</v>
      </c>
      <c r="T182">
        <f t="shared" si="72"/>
        <v>0.22655068078668683</v>
      </c>
      <c r="U182">
        <f t="shared" si="73"/>
        <v>1.3178255877801628E-2</v>
      </c>
      <c r="V182">
        <f t="shared" si="74"/>
        <v>2.9372963182177979E-2</v>
      </c>
      <c r="W182">
        <f t="shared" si="75"/>
        <v>2.6422764227642278E-2</v>
      </c>
      <c r="X182">
        <f t="shared" si="76"/>
        <v>4.8654365965448351E-2</v>
      </c>
      <c r="Y182" s="1">
        <f t="shared" si="70"/>
        <v>38322</v>
      </c>
      <c r="Z182">
        <f t="shared" si="80"/>
        <v>5.3888293630012261E-2</v>
      </c>
      <c r="AA182">
        <f t="shared" si="81"/>
        <v>0.51628962076457829</v>
      </c>
      <c r="AB182">
        <f t="shared" si="82"/>
        <v>2.4835886281557557E-2</v>
      </c>
      <c r="AC182">
        <f t="shared" si="83"/>
        <v>0.26613188594451126</v>
      </c>
      <c r="AD182">
        <f t="shared" si="84"/>
        <v>0.22228997374483681</v>
      </c>
      <c r="AE182">
        <f t="shared" si="85"/>
        <v>1.3205621510021743E-2</v>
      </c>
      <c r="AF182">
        <f t="shared" si="86"/>
        <v>2.8484034260374293E-2</v>
      </c>
      <c r="AG182">
        <f t="shared" si="87"/>
        <v>2.6580681979664358E-2</v>
      </c>
      <c r="AH182">
        <f t="shared" si="88"/>
        <v>5.033752508207414E-2</v>
      </c>
      <c r="AI182">
        <f t="shared" si="77"/>
        <v>140029.33333333334</v>
      </c>
      <c r="AJ182">
        <f t="shared" si="78"/>
        <v>76413.333333333328</v>
      </c>
      <c r="AK182">
        <f t="shared" si="79"/>
        <v>7975.666666666667</v>
      </c>
    </row>
    <row r="183" spans="1:37" x14ac:dyDescent="0.25">
      <c r="A183" s="1">
        <v>38353</v>
      </c>
      <c r="B183" s="1">
        <v>38353</v>
      </c>
      <c r="C183">
        <v>2040</v>
      </c>
      <c r="D183">
        <v>1733</v>
      </c>
      <c r="E183">
        <v>1814</v>
      </c>
      <c r="F183">
        <v>3978</v>
      </c>
      <c r="G183">
        <v>1776</v>
      </c>
      <c r="H183">
        <v>3865</v>
      </c>
      <c r="I183">
        <v>76808</v>
      </c>
      <c r="J183">
        <v>140245</v>
      </c>
      <c r="K183">
        <v>7784</v>
      </c>
      <c r="L183">
        <v>3638</v>
      </c>
      <c r="M183">
        <f t="shared" si="66"/>
        <v>148029</v>
      </c>
      <c r="P183">
        <f t="shared" si="67"/>
        <v>5.2584290915969167E-2</v>
      </c>
      <c r="Q183">
        <f t="shared" si="68"/>
        <v>0.51887130224483036</v>
      </c>
      <c r="R183">
        <f t="shared" si="69"/>
        <v>2.457626546149741E-2</v>
      </c>
      <c r="S183">
        <f t="shared" si="71"/>
        <v>0.25712125031509958</v>
      </c>
      <c r="T183">
        <f t="shared" si="72"/>
        <v>0.21842702293924882</v>
      </c>
      <c r="U183">
        <f t="shared" si="73"/>
        <v>1.2945584299732383E-2</v>
      </c>
      <c r="V183">
        <f t="shared" si="74"/>
        <v>2.8388938447814451E-2</v>
      </c>
      <c r="W183">
        <f t="shared" si="75"/>
        <v>2.3191130959376346E-2</v>
      </c>
      <c r="X183">
        <f t="shared" si="76"/>
        <v>5.0320279137589838E-2</v>
      </c>
      <c r="Y183" s="1">
        <f t="shared" si="70"/>
        <v>38353</v>
      </c>
      <c r="Z183">
        <f t="shared" si="80"/>
        <v>5.3235556597685134E-2</v>
      </c>
      <c r="AA183">
        <f t="shared" si="81"/>
        <v>0.51693589939453188</v>
      </c>
      <c r="AB183">
        <f t="shared" si="82"/>
        <v>2.4376234384086291E-2</v>
      </c>
      <c r="AC183">
        <f t="shared" si="83"/>
        <v>0.26218756700282647</v>
      </c>
      <c r="AD183">
        <f t="shared" si="84"/>
        <v>0.22193132654074213</v>
      </c>
      <c r="AE183">
        <f t="shared" si="85"/>
        <v>1.3004266347215103E-2</v>
      </c>
      <c r="AF183">
        <f t="shared" si="86"/>
        <v>2.8354721988191927E-2</v>
      </c>
      <c r="AG183">
        <f t="shared" si="87"/>
        <v>2.5229178298114881E-2</v>
      </c>
      <c r="AH183">
        <f t="shared" si="88"/>
        <v>4.9933588755825209E-2</v>
      </c>
      <c r="AI183">
        <f t="shared" si="77"/>
        <v>140200.33333333334</v>
      </c>
      <c r="AJ183">
        <f t="shared" si="78"/>
        <v>76549.666666666672</v>
      </c>
      <c r="AK183">
        <f t="shared" si="79"/>
        <v>7883.333333333333</v>
      </c>
    </row>
    <row r="184" spans="1:37" x14ac:dyDescent="0.25">
      <c r="A184" s="1">
        <v>38384</v>
      </c>
      <c r="B184" s="1">
        <v>38384</v>
      </c>
      <c r="C184">
        <v>2052</v>
      </c>
      <c r="D184">
        <v>1648</v>
      </c>
      <c r="E184">
        <v>1853</v>
      </c>
      <c r="F184">
        <v>3890</v>
      </c>
      <c r="G184">
        <v>2030</v>
      </c>
      <c r="H184">
        <v>3757</v>
      </c>
      <c r="I184">
        <v>76677</v>
      </c>
      <c r="J184">
        <v>140385</v>
      </c>
      <c r="K184">
        <v>7980</v>
      </c>
      <c r="L184">
        <v>3757</v>
      </c>
      <c r="M184">
        <f t="shared" si="66"/>
        <v>148365</v>
      </c>
      <c r="P184">
        <f t="shared" si="67"/>
        <v>5.3786270346779901E-2</v>
      </c>
      <c r="Q184">
        <f t="shared" si="68"/>
        <v>0.51681326458396526</v>
      </c>
      <c r="R184">
        <f t="shared" si="69"/>
        <v>2.5322683921410037E-2</v>
      </c>
      <c r="S184">
        <f t="shared" si="71"/>
        <v>0.26361767728674201</v>
      </c>
      <c r="T184">
        <f t="shared" si="72"/>
        <v>0.2117163412127441</v>
      </c>
      <c r="U184">
        <f t="shared" si="73"/>
        <v>1.3212592249278048E-2</v>
      </c>
      <c r="V184">
        <f t="shared" si="74"/>
        <v>2.7737174230810367E-2</v>
      </c>
      <c r="W184">
        <f t="shared" si="75"/>
        <v>2.6429538589730236E-2</v>
      </c>
      <c r="X184">
        <f t="shared" si="76"/>
        <v>4.8997743782359771E-2</v>
      </c>
      <c r="Y184" s="1">
        <f t="shared" si="70"/>
        <v>38384</v>
      </c>
      <c r="Z184">
        <f t="shared" si="80"/>
        <v>5.3319102362349609E-2</v>
      </c>
      <c r="AA184">
        <f t="shared" si="81"/>
        <v>0.51763918726116998</v>
      </c>
      <c r="AB184">
        <f t="shared" si="82"/>
        <v>2.5206142026002909E-2</v>
      </c>
      <c r="AC184">
        <f t="shared" si="83"/>
        <v>0.26098929121439768</v>
      </c>
      <c r="AD184">
        <f t="shared" si="84"/>
        <v>0.21889801497955994</v>
      </c>
      <c r="AE184">
        <f t="shared" si="85"/>
        <v>1.3112144142270687E-2</v>
      </c>
      <c r="AF184">
        <f t="shared" si="86"/>
        <v>2.8499691953600931E-2</v>
      </c>
      <c r="AG184">
        <f t="shared" si="87"/>
        <v>2.5347811258916289E-2</v>
      </c>
      <c r="AH184">
        <f t="shared" si="88"/>
        <v>4.9324129628465989E-2</v>
      </c>
      <c r="AI184">
        <f t="shared" si="77"/>
        <v>140251.66666666666</v>
      </c>
      <c r="AJ184">
        <f t="shared" si="78"/>
        <v>76688.666666666672</v>
      </c>
      <c r="AK184">
        <f t="shared" si="79"/>
        <v>7899.333333333333</v>
      </c>
    </row>
    <row r="185" spans="1:37" x14ac:dyDescent="0.25">
      <c r="A185" s="1">
        <v>38412</v>
      </c>
      <c r="B185" s="1">
        <v>38412</v>
      </c>
      <c r="C185">
        <v>2060</v>
      </c>
      <c r="D185">
        <v>1853</v>
      </c>
      <c r="E185">
        <v>1730</v>
      </c>
      <c r="F185">
        <v>3847</v>
      </c>
      <c r="G185">
        <v>1929</v>
      </c>
      <c r="H185">
        <v>3741</v>
      </c>
      <c r="I185">
        <v>76845</v>
      </c>
      <c r="J185">
        <v>140654</v>
      </c>
      <c r="K185">
        <v>7737</v>
      </c>
      <c r="L185">
        <v>3916</v>
      </c>
      <c r="M185">
        <f t="shared" si="66"/>
        <v>148391</v>
      </c>
      <c r="P185">
        <f t="shared" si="67"/>
        <v>5.2139280684138527E-2</v>
      </c>
      <c r="Q185">
        <f t="shared" si="68"/>
        <v>0.51785485642660267</v>
      </c>
      <c r="R185">
        <f t="shared" si="69"/>
        <v>2.6389740617692448E-2</v>
      </c>
      <c r="S185">
        <f t="shared" si="71"/>
        <v>0.25814536340852129</v>
      </c>
      <c r="T185">
        <f t="shared" si="72"/>
        <v>0.23220551378446116</v>
      </c>
      <c r="U185">
        <f t="shared" si="73"/>
        <v>1.2323253908893401E-2</v>
      </c>
      <c r="V185">
        <f t="shared" si="74"/>
        <v>2.74032125939381E-2</v>
      </c>
      <c r="W185">
        <f t="shared" si="75"/>
        <v>2.5157478774599944E-2</v>
      </c>
      <c r="X185">
        <f t="shared" si="76"/>
        <v>4.8682412648838574E-2</v>
      </c>
      <c r="Y185" s="1">
        <f t="shared" si="70"/>
        <v>38412</v>
      </c>
      <c r="Z185">
        <f t="shared" si="80"/>
        <v>5.2836613982295867E-2</v>
      </c>
      <c r="AA185">
        <f t="shared" si="81"/>
        <v>0.51784647441846621</v>
      </c>
      <c r="AB185">
        <f t="shared" si="82"/>
        <v>2.54295633335333E-2</v>
      </c>
      <c r="AC185">
        <f t="shared" si="83"/>
        <v>0.25962809700345429</v>
      </c>
      <c r="AD185">
        <f t="shared" si="84"/>
        <v>0.22078295931215139</v>
      </c>
      <c r="AE185">
        <f t="shared" si="85"/>
        <v>1.2827143485967946E-2</v>
      </c>
      <c r="AF185">
        <f t="shared" si="86"/>
        <v>2.7843108424187638E-2</v>
      </c>
      <c r="AG185">
        <f t="shared" si="87"/>
        <v>2.4926049441235509E-2</v>
      </c>
      <c r="AH185">
        <f t="shared" si="88"/>
        <v>4.9333478522929387E-2</v>
      </c>
      <c r="AI185">
        <f t="shared" si="77"/>
        <v>140428</v>
      </c>
      <c r="AJ185">
        <f t="shared" si="78"/>
        <v>76776.666666666672</v>
      </c>
      <c r="AK185">
        <f t="shared" si="79"/>
        <v>7833.666666666667</v>
      </c>
    </row>
    <row r="186" spans="1:37" x14ac:dyDescent="0.25">
      <c r="A186" s="1">
        <v>38443</v>
      </c>
      <c r="B186" s="1">
        <v>38443</v>
      </c>
      <c r="C186">
        <v>2060</v>
      </c>
      <c r="D186">
        <v>1716</v>
      </c>
      <c r="E186">
        <v>1692</v>
      </c>
      <c r="F186">
        <v>3863</v>
      </c>
      <c r="G186">
        <v>1983</v>
      </c>
      <c r="H186">
        <v>4034</v>
      </c>
      <c r="I186">
        <v>76515</v>
      </c>
      <c r="J186">
        <v>141254</v>
      </c>
      <c r="K186">
        <v>7672</v>
      </c>
      <c r="L186">
        <v>4057</v>
      </c>
      <c r="M186">
        <f t="shared" si="66"/>
        <v>148926</v>
      </c>
      <c r="P186">
        <f t="shared" si="67"/>
        <v>5.1515517773927988E-2</v>
      </c>
      <c r="Q186">
        <f t="shared" si="68"/>
        <v>0.5137786551710245</v>
      </c>
      <c r="R186">
        <f t="shared" si="69"/>
        <v>2.7241717362985644E-2</v>
      </c>
      <c r="S186">
        <f t="shared" si="71"/>
        <v>0.26625306966524492</v>
      </c>
      <c r="T186">
        <f t="shared" si="72"/>
        <v>0.22179139201240791</v>
      </c>
      <c r="U186">
        <f t="shared" si="73"/>
        <v>1.2029519245808864E-2</v>
      </c>
      <c r="V186">
        <f t="shared" si="74"/>
        <v>2.7464558419952507E-2</v>
      </c>
      <c r="W186">
        <f t="shared" si="75"/>
        <v>2.5805192270154206E-2</v>
      </c>
      <c r="X186">
        <f t="shared" si="76"/>
        <v>5.2721688557799122E-2</v>
      </c>
      <c r="Y186" s="1">
        <f t="shared" si="70"/>
        <v>38443</v>
      </c>
      <c r="Z186">
        <f t="shared" si="80"/>
        <v>5.2480356268282145E-2</v>
      </c>
      <c r="AA186">
        <f t="shared" si="81"/>
        <v>0.51614892539386414</v>
      </c>
      <c r="AB186">
        <f t="shared" si="82"/>
        <v>2.6318047300696045E-2</v>
      </c>
      <c r="AC186">
        <f t="shared" si="83"/>
        <v>0.26267203678683609</v>
      </c>
      <c r="AD186">
        <f t="shared" si="84"/>
        <v>0.22190441566987107</v>
      </c>
      <c r="AE186">
        <f t="shared" si="85"/>
        <v>1.2521788467993436E-2</v>
      </c>
      <c r="AF186">
        <f t="shared" si="86"/>
        <v>2.7534981748233656E-2</v>
      </c>
      <c r="AG186">
        <f t="shared" si="87"/>
        <v>2.5797403211494794E-2</v>
      </c>
      <c r="AH186">
        <f t="shared" si="88"/>
        <v>5.0133948329665827E-2</v>
      </c>
      <c r="AI186">
        <f t="shared" si="77"/>
        <v>140764.33333333334</v>
      </c>
      <c r="AJ186">
        <f t="shared" si="78"/>
        <v>76679</v>
      </c>
      <c r="AK186">
        <f t="shared" si="79"/>
        <v>7796.333333333333</v>
      </c>
    </row>
    <row r="187" spans="1:37" x14ac:dyDescent="0.25">
      <c r="A187" s="1">
        <v>38473</v>
      </c>
      <c r="B187" s="1">
        <v>38473</v>
      </c>
      <c r="C187">
        <v>1979</v>
      </c>
      <c r="D187">
        <v>1777</v>
      </c>
      <c r="E187">
        <v>1738</v>
      </c>
      <c r="F187">
        <v>3894</v>
      </c>
      <c r="G187">
        <v>1964</v>
      </c>
      <c r="H187">
        <v>3943</v>
      </c>
      <c r="I187">
        <v>76409</v>
      </c>
      <c r="J187">
        <v>141609</v>
      </c>
      <c r="K187">
        <v>7651</v>
      </c>
      <c r="L187">
        <v>3877</v>
      </c>
      <c r="M187">
        <f t="shared" si="66"/>
        <v>149260</v>
      </c>
      <c r="P187">
        <f t="shared" si="67"/>
        <v>5.1259547099021842E-2</v>
      </c>
      <c r="Q187">
        <f t="shared" si="68"/>
        <v>0.51191879941042473</v>
      </c>
      <c r="R187">
        <f t="shared" si="69"/>
        <v>2.5974809058019563E-2</v>
      </c>
      <c r="S187">
        <f t="shared" si="71"/>
        <v>0.2579509906152242</v>
      </c>
      <c r="T187">
        <f t="shared" si="72"/>
        <v>0.23162148070907196</v>
      </c>
      <c r="U187">
        <f t="shared" si="73"/>
        <v>1.2304076344740679E-2</v>
      </c>
      <c r="V187">
        <f t="shared" si="74"/>
        <v>2.7567360924292409E-2</v>
      </c>
      <c r="W187">
        <f t="shared" si="75"/>
        <v>2.566816963993988E-2</v>
      </c>
      <c r="X187">
        <f t="shared" si="76"/>
        <v>5.1603868654216123E-2</v>
      </c>
      <c r="Y187" s="1">
        <f t="shared" si="70"/>
        <v>38473</v>
      </c>
      <c r="Z187">
        <f t="shared" si="80"/>
        <v>5.1638115185696117E-2</v>
      </c>
      <c r="AA187">
        <f t="shared" si="81"/>
        <v>0.51451743700268393</v>
      </c>
      <c r="AB187">
        <f t="shared" si="82"/>
        <v>2.6535422346232549E-2</v>
      </c>
      <c r="AC187">
        <f t="shared" si="83"/>
        <v>0.26078314122966345</v>
      </c>
      <c r="AD187">
        <f t="shared" si="84"/>
        <v>0.22853946216864704</v>
      </c>
      <c r="AE187">
        <f t="shared" si="85"/>
        <v>1.2218949833147648E-2</v>
      </c>
      <c r="AF187">
        <f t="shared" si="86"/>
        <v>2.7478377312727672E-2</v>
      </c>
      <c r="AG187">
        <f t="shared" si="87"/>
        <v>2.5543613561564676E-2</v>
      </c>
      <c r="AH187">
        <f t="shared" si="88"/>
        <v>5.1002656620284609E-2</v>
      </c>
      <c r="AI187">
        <f t="shared" si="77"/>
        <v>141172.33333333334</v>
      </c>
      <c r="AJ187">
        <f t="shared" si="78"/>
        <v>76589.666666666672</v>
      </c>
      <c r="AK187">
        <f t="shared" si="79"/>
        <v>7686.666666666667</v>
      </c>
    </row>
    <row r="188" spans="1:37" x14ac:dyDescent="0.25">
      <c r="A188" s="1">
        <v>38504</v>
      </c>
      <c r="B188" s="1">
        <v>38504</v>
      </c>
      <c r="C188">
        <v>1978</v>
      </c>
      <c r="D188">
        <v>1819</v>
      </c>
      <c r="E188">
        <v>1822</v>
      </c>
      <c r="F188">
        <v>3863</v>
      </c>
      <c r="G188">
        <v>1827</v>
      </c>
      <c r="H188">
        <v>3755</v>
      </c>
      <c r="I188">
        <v>76673</v>
      </c>
      <c r="J188">
        <v>141714</v>
      </c>
      <c r="K188">
        <v>7524</v>
      </c>
      <c r="L188">
        <v>4064</v>
      </c>
      <c r="M188">
        <f t="shared" si="66"/>
        <v>149238</v>
      </c>
      <c r="P188">
        <f t="shared" si="67"/>
        <v>5.0416113858400675E-2</v>
      </c>
      <c r="Q188">
        <f t="shared" si="68"/>
        <v>0.51376325064661821</v>
      </c>
      <c r="R188">
        <f t="shared" si="69"/>
        <v>2.7231670218040981E-2</v>
      </c>
      <c r="S188">
        <f t="shared" si="71"/>
        <v>0.25852829695464646</v>
      </c>
      <c r="T188">
        <f t="shared" si="72"/>
        <v>0.23774669977780682</v>
      </c>
      <c r="U188">
        <f t="shared" si="73"/>
        <v>1.2866413857876265E-2</v>
      </c>
      <c r="V188">
        <f t="shared" si="74"/>
        <v>2.7279339589997811E-2</v>
      </c>
      <c r="W188">
        <f t="shared" si="75"/>
        <v>2.3910795848656571E-2</v>
      </c>
      <c r="X188">
        <f t="shared" si="76"/>
        <v>4.8974215173529144E-2</v>
      </c>
      <c r="Y188" s="1">
        <f t="shared" si="70"/>
        <v>38504</v>
      </c>
      <c r="Z188">
        <f t="shared" si="80"/>
        <v>5.1063726243783497E-2</v>
      </c>
      <c r="AA188">
        <f t="shared" si="81"/>
        <v>0.51315356840935589</v>
      </c>
      <c r="AB188">
        <f t="shared" si="82"/>
        <v>2.6816065546348727E-2</v>
      </c>
      <c r="AC188">
        <f t="shared" si="83"/>
        <v>0.26091078574503856</v>
      </c>
      <c r="AD188">
        <f t="shared" si="84"/>
        <v>0.23038652416642891</v>
      </c>
      <c r="AE188">
        <f t="shared" si="85"/>
        <v>1.240000314947527E-2</v>
      </c>
      <c r="AF188">
        <f t="shared" si="86"/>
        <v>2.7437086311414241E-2</v>
      </c>
      <c r="AG188">
        <f t="shared" si="87"/>
        <v>2.5128052586250216E-2</v>
      </c>
      <c r="AH188">
        <f t="shared" si="88"/>
        <v>5.1099924128514801E-2</v>
      </c>
      <c r="AI188">
        <f t="shared" si="77"/>
        <v>141525.66666666666</v>
      </c>
      <c r="AJ188">
        <f t="shared" si="78"/>
        <v>76532.333333333328</v>
      </c>
      <c r="AK188">
        <f t="shared" si="79"/>
        <v>7615.666666666667</v>
      </c>
    </row>
    <row r="189" spans="1:37" x14ac:dyDescent="0.25">
      <c r="A189" s="1">
        <v>38534</v>
      </c>
      <c r="B189" s="1">
        <v>38534</v>
      </c>
      <c r="C189">
        <v>1944</v>
      </c>
      <c r="D189">
        <v>1816</v>
      </c>
      <c r="E189">
        <v>1783</v>
      </c>
      <c r="F189">
        <v>3993</v>
      </c>
      <c r="G189">
        <v>1841</v>
      </c>
      <c r="H189">
        <v>4062</v>
      </c>
      <c r="I189">
        <v>76721</v>
      </c>
      <c r="J189">
        <v>142026</v>
      </c>
      <c r="K189">
        <v>7406</v>
      </c>
      <c r="L189">
        <v>4155</v>
      </c>
      <c r="M189">
        <f t="shared" si="66"/>
        <v>149432</v>
      </c>
      <c r="P189">
        <f t="shared" si="67"/>
        <v>4.9561004336420578E-2</v>
      </c>
      <c r="Q189">
        <f t="shared" si="68"/>
        <v>0.51341747416885275</v>
      </c>
      <c r="R189">
        <f t="shared" si="69"/>
        <v>2.7805289362385566E-2</v>
      </c>
      <c r="S189">
        <f t="shared" si="71"/>
        <v>0.25837320574162681</v>
      </c>
      <c r="T189">
        <f t="shared" si="72"/>
        <v>0.24136097820308347</v>
      </c>
      <c r="U189">
        <f t="shared" si="73"/>
        <v>1.2581678592093935E-2</v>
      </c>
      <c r="V189">
        <f t="shared" si="74"/>
        <v>2.8176468097717938E-2</v>
      </c>
      <c r="W189">
        <f t="shared" si="75"/>
        <v>2.4011059955916684E-2</v>
      </c>
      <c r="X189">
        <f t="shared" si="76"/>
        <v>5.2945086742873529E-2</v>
      </c>
      <c r="Y189" s="1">
        <f t="shared" si="70"/>
        <v>38534</v>
      </c>
      <c r="Z189">
        <f t="shared" si="80"/>
        <v>5.0412221764614372E-2</v>
      </c>
      <c r="AA189">
        <f t="shared" si="81"/>
        <v>0.5130331747419653</v>
      </c>
      <c r="AB189">
        <f t="shared" si="82"/>
        <v>2.7003922879482039E-2</v>
      </c>
      <c r="AC189">
        <f t="shared" si="83"/>
        <v>0.25828416443716584</v>
      </c>
      <c r="AD189">
        <f t="shared" si="84"/>
        <v>0.23690971956332074</v>
      </c>
      <c r="AE189">
        <f t="shared" si="85"/>
        <v>1.2584056264903628E-2</v>
      </c>
      <c r="AF189">
        <f t="shared" si="86"/>
        <v>2.7674389537336055E-2</v>
      </c>
      <c r="AG189">
        <f t="shared" si="87"/>
        <v>2.453000848150438E-2</v>
      </c>
      <c r="AH189">
        <f t="shared" si="88"/>
        <v>5.1174390190206274E-2</v>
      </c>
      <c r="AI189">
        <f t="shared" si="77"/>
        <v>141783</v>
      </c>
      <c r="AJ189">
        <f t="shared" si="78"/>
        <v>76601</v>
      </c>
      <c r="AK189">
        <f t="shared" si="79"/>
        <v>7527</v>
      </c>
    </row>
    <row r="190" spans="1:37" x14ac:dyDescent="0.25">
      <c r="A190" s="1">
        <v>38565</v>
      </c>
      <c r="B190" s="1">
        <v>38565</v>
      </c>
      <c r="C190">
        <v>2119</v>
      </c>
      <c r="D190">
        <v>1721</v>
      </c>
      <c r="E190">
        <v>1769</v>
      </c>
      <c r="F190">
        <v>3875</v>
      </c>
      <c r="G190">
        <v>1986</v>
      </c>
      <c r="H190">
        <v>3849</v>
      </c>
      <c r="I190">
        <v>76642</v>
      </c>
      <c r="J190">
        <v>142434</v>
      </c>
      <c r="K190">
        <v>7345</v>
      </c>
      <c r="L190">
        <v>4102</v>
      </c>
      <c r="M190">
        <f t="shared" si="66"/>
        <v>149779</v>
      </c>
      <c r="P190">
        <f t="shared" si="67"/>
        <v>4.9038917338211634E-2</v>
      </c>
      <c r="Q190">
        <f t="shared" si="68"/>
        <v>0.5117005721763398</v>
      </c>
      <c r="R190">
        <f t="shared" si="69"/>
        <v>2.7387016871524044E-2</v>
      </c>
      <c r="S190">
        <f t="shared" si="71"/>
        <v>0.28611936267890897</v>
      </c>
      <c r="T190">
        <f t="shared" si="72"/>
        <v>0.2323791520388874</v>
      </c>
      <c r="U190">
        <f t="shared" si="73"/>
        <v>1.2455465900609747E-2</v>
      </c>
      <c r="V190">
        <f t="shared" si="74"/>
        <v>2.7283736780589471E-2</v>
      </c>
      <c r="W190">
        <f t="shared" si="75"/>
        <v>2.5886002528642746E-2</v>
      </c>
      <c r="X190">
        <f t="shared" si="76"/>
        <v>5.0220505727929854E-2</v>
      </c>
      <c r="Y190" s="1">
        <f t="shared" si="70"/>
        <v>38565</v>
      </c>
      <c r="Z190">
        <f t="shared" si="80"/>
        <v>4.9672011844344298E-2</v>
      </c>
      <c r="AA190">
        <f t="shared" si="81"/>
        <v>0.51296043233060351</v>
      </c>
      <c r="AB190">
        <f t="shared" si="82"/>
        <v>2.7474658817316866E-2</v>
      </c>
      <c r="AC190">
        <f t="shared" si="83"/>
        <v>0.26767362179172743</v>
      </c>
      <c r="AD190">
        <f t="shared" si="84"/>
        <v>0.2371622766732592</v>
      </c>
      <c r="AE190">
        <f t="shared" si="85"/>
        <v>1.2634519450193315E-2</v>
      </c>
      <c r="AF190">
        <f t="shared" si="86"/>
        <v>2.7579848156101743E-2</v>
      </c>
      <c r="AG190">
        <f t="shared" si="87"/>
        <v>2.4602619444405335E-2</v>
      </c>
      <c r="AH190">
        <f t="shared" si="88"/>
        <v>5.0713269214777507E-2</v>
      </c>
      <c r="AI190">
        <f t="shared" si="77"/>
        <v>142058</v>
      </c>
      <c r="AJ190">
        <f t="shared" si="78"/>
        <v>76678.666666666672</v>
      </c>
      <c r="AK190">
        <f t="shared" si="79"/>
        <v>7425</v>
      </c>
    </row>
    <row r="191" spans="1:37" x14ac:dyDescent="0.25">
      <c r="A191" s="1">
        <v>38596</v>
      </c>
      <c r="B191" s="1">
        <v>38596</v>
      </c>
      <c r="C191">
        <v>1852</v>
      </c>
      <c r="D191">
        <v>1780</v>
      </c>
      <c r="E191">
        <v>1853</v>
      </c>
      <c r="F191">
        <v>3934</v>
      </c>
      <c r="G191">
        <v>1950</v>
      </c>
      <c r="H191">
        <v>3845</v>
      </c>
      <c r="I191">
        <v>76739</v>
      </c>
      <c r="J191">
        <v>142401</v>
      </c>
      <c r="K191">
        <v>7553</v>
      </c>
      <c r="L191">
        <v>4275</v>
      </c>
      <c r="M191">
        <f t="shared" si="66"/>
        <v>149954</v>
      </c>
      <c r="P191">
        <f t="shared" si="67"/>
        <v>5.0368779759126132E-2</v>
      </c>
      <c r="Q191">
        <f t="shared" si="68"/>
        <v>0.51175027008282536</v>
      </c>
      <c r="R191">
        <f t="shared" si="69"/>
        <v>2.8508742681088866E-2</v>
      </c>
      <c r="S191">
        <f t="shared" si="71"/>
        <v>0.25214431586113001</v>
      </c>
      <c r="T191">
        <f t="shared" si="72"/>
        <v>0.24234172906739279</v>
      </c>
      <c r="U191">
        <f t="shared" si="73"/>
        <v>1.3009534240420124E-2</v>
      </c>
      <c r="V191">
        <f t="shared" si="74"/>
        <v>2.7619809876855247E-2</v>
      </c>
      <c r="W191">
        <f t="shared" si="75"/>
        <v>2.544296860729104E-2</v>
      </c>
      <c r="X191">
        <f t="shared" si="76"/>
        <v>5.0104901028160391E-2</v>
      </c>
      <c r="Y191" s="1">
        <f t="shared" si="70"/>
        <v>38596</v>
      </c>
      <c r="Z191">
        <f t="shared" si="80"/>
        <v>4.9656233811252781E-2</v>
      </c>
      <c r="AA191">
        <f t="shared" si="81"/>
        <v>0.5122894388093393</v>
      </c>
      <c r="AB191">
        <f t="shared" si="82"/>
        <v>2.7900349638332825E-2</v>
      </c>
      <c r="AC191">
        <f t="shared" si="83"/>
        <v>0.2655456280938886</v>
      </c>
      <c r="AD191">
        <f t="shared" si="84"/>
        <v>0.23869395310312122</v>
      </c>
      <c r="AE191">
        <f t="shared" si="85"/>
        <v>1.2682226244374602E-2</v>
      </c>
      <c r="AF191">
        <f t="shared" si="86"/>
        <v>2.7693338251720889E-2</v>
      </c>
      <c r="AG191">
        <f t="shared" si="87"/>
        <v>2.5113343697283491E-2</v>
      </c>
      <c r="AH191">
        <f t="shared" si="88"/>
        <v>5.1090164499654589E-2</v>
      </c>
      <c r="AI191">
        <f t="shared" si="77"/>
        <v>142287</v>
      </c>
      <c r="AJ191">
        <f t="shared" si="78"/>
        <v>76700.666666666672</v>
      </c>
      <c r="AK191">
        <f t="shared" si="79"/>
        <v>7434.666666666667</v>
      </c>
    </row>
    <row r="192" spans="1:37" x14ac:dyDescent="0.25">
      <c r="A192" s="1">
        <v>38626</v>
      </c>
      <c r="B192" s="1">
        <v>38626</v>
      </c>
      <c r="C192">
        <v>1954</v>
      </c>
      <c r="D192">
        <v>1817</v>
      </c>
      <c r="E192">
        <v>1736</v>
      </c>
      <c r="F192">
        <v>4044</v>
      </c>
      <c r="G192">
        <v>1895</v>
      </c>
      <c r="H192">
        <v>3882</v>
      </c>
      <c r="I192">
        <v>76958</v>
      </c>
      <c r="J192">
        <v>142548</v>
      </c>
      <c r="K192">
        <v>7453</v>
      </c>
      <c r="L192">
        <v>4221</v>
      </c>
      <c r="M192">
        <f t="shared" si="66"/>
        <v>150001</v>
      </c>
      <c r="P192">
        <f t="shared" si="67"/>
        <v>4.9686335424430503E-2</v>
      </c>
      <c r="Q192">
        <f t="shared" si="68"/>
        <v>0.51304991300058</v>
      </c>
      <c r="R192">
        <f t="shared" si="69"/>
        <v>2.8139812401250658E-2</v>
      </c>
      <c r="S192">
        <f t="shared" si="71"/>
        <v>0.25870515027141533</v>
      </c>
      <c r="T192">
        <f t="shared" si="72"/>
        <v>0.24056666225340925</v>
      </c>
      <c r="U192">
        <f t="shared" si="73"/>
        <v>1.2190925625522292E-2</v>
      </c>
      <c r="V192">
        <f t="shared" si="74"/>
        <v>2.8398676975583036E-2</v>
      </c>
      <c r="W192">
        <f t="shared" si="75"/>
        <v>2.4694092964463961E-2</v>
      </c>
      <c r="X192">
        <f t="shared" si="76"/>
        <v>5.0443098833129758E-2</v>
      </c>
      <c r="Y192" s="1">
        <f t="shared" si="70"/>
        <v>38626</v>
      </c>
      <c r="Z192">
        <f t="shared" si="80"/>
        <v>4.9698010840589425E-2</v>
      </c>
      <c r="AA192">
        <f t="shared" si="81"/>
        <v>0.51216691841991502</v>
      </c>
      <c r="AB192">
        <f t="shared" si="82"/>
        <v>2.8011857317954525E-2</v>
      </c>
      <c r="AC192">
        <f t="shared" si="83"/>
        <v>0.26565627627048477</v>
      </c>
      <c r="AD192">
        <f t="shared" si="84"/>
        <v>0.2384291811198965</v>
      </c>
      <c r="AE192">
        <f t="shared" si="85"/>
        <v>1.2551975255517387E-2</v>
      </c>
      <c r="AF192">
        <f t="shared" si="86"/>
        <v>2.7767407877675915E-2</v>
      </c>
      <c r="AG192">
        <f t="shared" si="87"/>
        <v>2.5341021366799249E-2</v>
      </c>
      <c r="AH192">
        <f t="shared" si="88"/>
        <v>5.0256168529739999E-2</v>
      </c>
      <c r="AI192">
        <f t="shared" si="77"/>
        <v>142461</v>
      </c>
      <c r="AJ192">
        <f t="shared" si="78"/>
        <v>76779.666666666672</v>
      </c>
      <c r="AK192">
        <f t="shared" si="79"/>
        <v>7450.333333333333</v>
      </c>
    </row>
    <row r="193" spans="1:37" x14ac:dyDescent="0.25">
      <c r="A193" s="1">
        <v>38657</v>
      </c>
      <c r="B193" s="1">
        <v>38657</v>
      </c>
      <c r="C193">
        <v>2052</v>
      </c>
      <c r="D193">
        <v>1712</v>
      </c>
      <c r="E193">
        <v>1685</v>
      </c>
      <c r="F193">
        <v>4037</v>
      </c>
      <c r="G193">
        <v>2153</v>
      </c>
      <c r="H193">
        <v>3625</v>
      </c>
      <c r="I193">
        <v>77139</v>
      </c>
      <c r="J193">
        <v>142499</v>
      </c>
      <c r="K193">
        <v>7566</v>
      </c>
      <c r="L193">
        <v>4437</v>
      </c>
      <c r="M193">
        <f t="shared" si="66"/>
        <v>150065</v>
      </c>
      <c r="P193">
        <f t="shared" si="67"/>
        <v>5.0418152134075231E-2</v>
      </c>
      <c r="Q193">
        <f t="shared" si="68"/>
        <v>0.51403725052477256</v>
      </c>
      <c r="R193">
        <f t="shared" si="69"/>
        <v>2.9567187552060774E-2</v>
      </c>
      <c r="S193">
        <f t="shared" si="71"/>
        <v>0.27532537233328863</v>
      </c>
      <c r="T193">
        <f t="shared" si="72"/>
        <v>0.22970615859385482</v>
      </c>
      <c r="U193">
        <f t="shared" si="73"/>
        <v>1.1820579734545556E-2</v>
      </c>
      <c r="V193">
        <f t="shared" si="74"/>
        <v>2.8320285096949799E-2</v>
      </c>
      <c r="W193">
        <f t="shared" si="75"/>
        <v>2.7976298760362794E-2</v>
      </c>
      <c r="X193">
        <f t="shared" si="76"/>
        <v>4.6993090395260506E-2</v>
      </c>
      <c r="Y193" s="1">
        <f t="shared" si="70"/>
        <v>38657</v>
      </c>
      <c r="Z193">
        <f t="shared" si="80"/>
        <v>5.0157755772543965E-2</v>
      </c>
      <c r="AA193">
        <f t="shared" si="81"/>
        <v>0.51294581120272598</v>
      </c>
      <c r="AB193">
        <f t="shared" si="82"/>
        <v>2.873858087813343E-2</v>
      </c>
      <c r="AC193">
        <f t="shared" si="83"/>
        <v>0.26205827948861132</v>
      </c>
      <c r="AD193">
        <f t="shared" si="84"/>
        <v>0.23753818330488563</v>
      </c>
      <c r="AE193">
        <f t="shared" si="85"/>
        <v>1.2340346533495991E-2</v>
      </c>
      <c r="AF193">
        <f t="shared" si="86"/>
        <v>2.8112923983129357E-2</v>
      </c>
      <c r="AG193">
        <f t="shared" si="87"/>
        <v>2.6037786777372601E-2</v>
      </c>
      <c r="AH193">
        <f t="shared" si="88"/>
        <v>4.9180363418850216E-2</v>
      </c>
      <c r="AI193">
        <f t="shared" si="77"/>
        <v>142482.66666666666</v>
      </c>
      <c r="AJ193">
        <f t="shared" si="78"/>
        <v>76945.333333333328</v>
      </c>
      <c r="AK193">
        <f t="shared" si="79"/>
        <v>7524</v>
      </c>
    </row>
    <row r="194" spans="1:37" x14ac:dyDescent="0.25">
      <c r="A194" s="1">
        <v>38687</v>
      </c>
      <c r="B194" s="1">
        <v>38687</v>
      </c>
      <c r="C194">
        <v>1968</v>
      </c>
      <c r="D194">
        <v>2004</v>
      </c>
      <c r="E194">
        <v>1732</v>
      </c>
      <c r="F194">
        <v>4095</v>
      </c>
      <c r="G194">
        <v>1928</v>
      </c>
      <c r="H194">
        <v>4067</v>
      </c>
      <c r="I194">
        <v>77395</v>
      </c>
      <c r="J194">
        <v>142752</v>
      </c>
      <c r="K194">
        <v>7279</v>
      </c>
      <c r="L194">
        <v>4278</v>
      </c>
      <c r="M194">
        <f t="shared" si="66"/>
        <v>150031</v>
      </c>
      <c r="P194">
        <f t="shared" si="67"/>
        <v>4.8516639894421822E-2</v>
      </c>
      <c r="Q194">
        <f t="shared" si="68"/>
        <v>0.51586005558851167</v>
      </c>
      <c r="R194">
        <f t="shared" si="69"/>
        <v>2.8514107084535861E-2</v>
      </c>
      <c r="S194">
        <f t="shared" si="71"/>
        <v>0.26011102299762096</v>
      </c>
      <c r="T194">
        <f t="shared" si="72"/>
        <v>0.26486915146708961</v>
      </c>
      <c r="U194">
        <f t="shared" si="73"/>
        <v>1.2154471259447434E-2</v>
      </c>
      <c r="V194">
        <f t="shared" si="74"/>
        <v>2.8737043768728203E-2</v>
      </c>
      <c r="W194">
        <f t="shared" si="75"/>
        <v>2.4993842284706826E-2</v>
      </c>
      <c r="X194">
        <f t="shared" si="76"/>
        <v>5.2548614251566636E-2</v>
      </c>
      <c r="Y194" s="1">
        <f t="shared" si="70"/>
        <v>38687</v>
      </c>
      <c r="Z194">
        <f t="shared" si="80"/>
        <v>4.9540375817642514E-2</v>
      </c>
      <c r="AA194">
        <f t="shared" si="81"/>
        <v>0.51431573970462141</v>
      </c>
      <c r="AB194">
        <f t="shared" si="82"/>
        <v>2.8740369012615768E-2</v>
      </c>
      <c r="AC194">
        <f t="shared" si="83"/>
        <v>0.26471384853410829</v>
      </c>
      <c r="AD194">
        <f t="shared" si="84"/>
        <v>0.24504732410478458</v>
      </c>
      <c r="AE194">
        <f t="shared" si="85"/>
        <v>1.2055325539838428E-2</v>
      </c>
      <c r="AF194">
        <f t="shared" si="86"/>
        <v>2.8485335280420344E-2</v>
      </c>
      <c r="AG194">
        <f t="shared" si="87"/>
        <v>2.5888078003177859E-2</v>
      </c>
      <c r="AH194">
        <f t="shared" si="88"/>
        <v>4.9994934493318967E-2</v>
      </c>
      <c r="AI194">
        <f t="shared" si="77"/>
        <v>142599.66666666666</v>
      </c>
      <c r="AJ194">
        <f t="shared" si="78"/>
        <v>77164</v>
      </c>
      <c r="AK194">
        <f t="shared" si="79"/>
        <v>7432.666666666667</v>
      </c>
    </row>
    <row r="195" spans="1:37" x14ac:dyDescent="0.25">
      <c r="A195" s="1">
        <v>38718</v>
      </c>
      <c r="B195" s="1">
        <v>38718</v>
      </c>
      <c r="C195">
        <v>2033</v>
      </c>
      <c r="D195">
        <v>1800</v>
      </c>
      <c r="E195">
        <v>1595</v>
      </c>
      <c r="F195">
        <v>3935</v>
      </c>
      <c r="G195">
        <v>1997</v>
      </c>
      <c r="H195">
        <v>3968</v>
      </c>
      <c r="I195">
        <v>77339</v>
      </c>
      <c r="J195">
        <v>143150</v>
      </c>
      <c r="K195">
        <v>7064</v>
      </c>
      <c r="L195">
        <v>4296</v>
      </c>
      <c r="M195">
        <f t="shared" si="66"/>
        <v>150214</v>
      </c>
      <c r="P195">
        <f t="shared" si="67"/>
        <v>4.7026242560613524E-2</v>
      </c>
      <c r="Q195">
        <f t="shared" si="68"/>
        <v>0.51485880144327423</v>
      </c>
      <c r="R195">
        <f t="shared" si="69"/>
        <v>2.8599198476839709E-2</v>
      </c>
      <c r="S195">
        <f t="shared" si="71"/>
        <v>0.27929660667674133</v>
      </c>
      <c r="T195">
        <f t="shared" si="72"/>
        <v>0.24728671520813297</v>
      </c>
      <c r="U195">
        <f t="shared" si="73"/>
        <v>1.1173223492490473E-2</v>
      </c>
      <c r="V195">
        <f t="shared" si="74"/>
        <v>2.7565288052006278E-2</v>
      </c>
      <c r="W195">
        <f t="shared" si="75"/>
        <v>2.5802700432844498E-2</v>
      </c>
      <c r="X195">
        <f t="shared" si="76"/>
        <v>5.1306585293319024E-2</v>
      </c>
      <c r="Y195" s="1">
        <f t="shared" si="70"/>
        <v>38718</v>
      </c>
      <c r="Z195">
        <f t="shared" si="80"/>
        <v>4.8653678196370197E-2</v>
      </c>
      <c r="AA195">
        <f t="shared" si="81"/>
        <v>0.51491870251885274</v>
      </c>
      <c r="AB195">
        <f t="shared" si="82"/>
        <v>2.8893497704478781E-2</v>
      </c>
      <c r="AC195">
        <f t="shared" si="83"/>
        <v>0.27157766733588362</v>
      </c>
      <c r="AD195">
        <f t="shared" si="84"/>
        <v>0.24728734175635914</v>
      </c>
      <c r="AE195">
        <f t="shared" si="85"/>
        <v>1.1716091495494489E-2</v>
      </c>
      <c r="AF195">
        <f t="shared" si="86"/>
        <v>2.8207538972561428E-2</v>
      </c>
      <c r="AG195">
        <f t="shared" si="87"/>
        <v>2.6257613825971374E-2</v>
      </c>
      <c r="AH195">
        <f t="shared" si="88"/>
        <v>5.0282763313382051E-2</v>
      </c>
      <c r="AI195">
        <f t="shared" si="77"/>
        <v>142800.33333333334</v>
      </c>
      <c r="AJ195">
        <f t="shared" si="78"/>
        <v>77291</v>
      </c>
      <c r="AK195">
        <f t="shared" si="79"/>
        <v>7303</v>
      </c>
    </row>
    <row r="196" spans="1:37" x14ac:dyDescent="0.25">
      <c r="A196" s="1">
        <v>38749</v>
      </c>
      <c r="B196" s="1">
        <v>38749</v>
      </c>
      <c r="C196">
        <v>1824</v>
      </c>
      <c r="D196">
        <v>1672</v>
      </c>
      <c r="E196">
        <v>1692</v>
      </c>
      <c r="F196">
        <v>3791</v>
      </c>
      <c r="G196">
        <v>1903</v>
      </c>
      <c r="H196">
        <v>3942</v>
      </c>
      <c r="I196">
        <v>77122</v>
      </c>
      <c r="J196">
        <v>143457</v>
      </c>
      <c r="K196">
        <v>7184</v>
      </c>
      <c r="L196">
        <v>4282</v>
      </c>
      <c r="M196">
        <f t="shared" ref="M196:M259" si="89">J196+K196</f>
        <v>150641</v>
      </c>
      <c r="P196">
        <f t="shared" ref="P196:P259" si="90">K196/M196</f>
        <v>4.7689540032262133E-2</v>
      </c>
      <c r="Q196">
        <f t="shared" ref="Q196:Q259" si="91">I196/M196</f>
        <v>0.51195889565257802</v>
      </c>
      <c r="R196">
        <f t="shared" ref="R196:R259" si="92">IF(ISNUMBER(L196),L196/M196,NA())</f>
        <v>2.8425196327692991E-2</v>
      </c>
      <c r="S196">
        <f t="shared" si="71"/>
        <v>0.25821064552661382</v>
      </c>
      <c r="T196">
        <f t="shared" si="72"/>
        <v>0.23669309173272934</v>
      </c>
      <c r="U196">
        <f t="shared" si="73"/>
        <v>1.1819769472581209E-2</v>
      </c>
      <c r="V196">
        <f t="shared" si="74"/>
        <v>2.6482710443590639E-2</v>
      </c>
      <c r="W196">
        <f t="shared" si="75"/>
        <v>2.4605955598081174E-2</v>
      </c>
      <c r="X196">
        <f t="shared" si="76"/>
        <v>5.1113819662353156E-2</v>
      </c>
      <c r="Y196" s="1">
        <f t="shared" ref="Y196:Y259" si="93">B196</f>
        <v>38749</v>
      </c>
      <c r="Z196">
        <f t="shared" si="80"/>
        <v>4.7744140829099162E-2</v>
      </c>
      <c r="AA196">
        <f t="shared" si="81"/>
        <v>0.51422591756145464</v>
      </c>
      <c r="AB196">
        <f t="shared" si="82"/>
        <v>2.8512833963022854E-2</v>
      </c>
      <c r="AC196">
        <f t="shared" si="83"/>
        <v>0.26587275840032537</v>
      </c>
      <c r="AD196">
        <f t="shared" si="84"/>
        <v>0.24961631946931731</v>
      </c>
      <c r="AE196">
        <f t="shared" si="85"/>
        <v>1.1715821408173038E-2</v>
      </c>
      <c r="AF196">
        <f t="shared" si="86"/>
        <v>2.7595014088108372E-2</v>
      </c>
      <c r="AG196">
        <f t="shared" si="87"/>
        <v>2.5134166105210836E-2</v>
      </c>
      <c r="AH196">
        <f t="shared" si="88"/>
        <v>5.1656339735746272E-2</v>
      </c>
      <c r="AI196">
        <f t="shared" si="77"/>
        <v>143119.66666666666</v>
      </c>
      <c r="AJ196">
        <f t="shared" si="78"/>
        <v>77285.333333333328</v>
      </c>
      <c r="AK196">
        <f t="shared" si="79"/>
        <v>7175.666666666667</v>
      </c>
    </row>
    <row r="197" spans="1:37" x14ac:dyDescent="0.25">
      <c r="A197" s="1">
        <v>38777</v>
      </c>
      <c r="B197" s="1">
        <v>38777</v>
      </c>
      <c r="C197">
        <v>1952</v>
      </c>
      <c r="D197">
        <v>1745</v>
      </c>
      <c r="E197">
        <v>1728</v>
      </c>
      <c r="F197">
        <v>4011</v>
      </c>
      <c r="G197">
        <v>1833</v>
      </c>
      <c r="H197">
        <v>4015</v>
      </c>
      <c r="I197">
        <v>77162</v>
      </c>
      <c r="J197">
        <v>143741</v>
      </c>
      <c r="K197">
        <v>7072</v>
      </c>
      <c r="L197">
        <v>4472</v>
      </c>
      <c r="M197">
        <f t="shared" si="89"/>
        <v>150813</v>
      </c>
      <c r="P197">
        <f t="shared" si="90"/>
        <v>4.6892509266442547E-2</v>
      </c>
      <c r="Q197">
        <f t="shared" si="91"/>
        <v>0.51164024321510748</v>
      </c>
      <c r="R197">
        <f t="shared" si="92"/>
        <v>2.9652616153779846E-2</v>
      </c>
      <c r="S197">
        <f t="shared" ref="S197:S260" si="94">IF(ISNUMBER(C197),C197/$K196,NA())</f>
        <v>0.27171492204899778</v>
      </c>
      <c r="T197">
        <f t="shared" ref="T197:T260" si="95">IF(ISNUMBER(D197),D197/$K196,NA())</f>
        <v>0.24290089086859687</v>
      </c>
      <c r="U197">
        <f t="shared" ref="U197:U260" si="96">IF(ISNUMBER(E197),E197/$J196,NA())</f>
        <v>1.2045421276061816E-2</v>
      </c>
      <c r="V197">
        <f t="shared" ref="V197:V260" si="97">IF(ISNUMBER(F197),F197/$J196,NA())</f>
        <v>2.7959597649469876E-2</v>
      </c>
      <c r="W197">
        <f t="shared" ref="W197:W260" si="98">IF(ISNUMBER(G197),G197/$I196,NA())</f>
        <v>2.3767537148932861E-2</v>
      </c>
      <c r="X197">
        <f t="shared" ref="X197:X260" si="99">IF(ISNUMBER(H197),H197/$I197,NA())</f>
        <v>5.2033384308338301E-2</v>
      </c>
      <c r="Y197" s="1">
        <f t="shared" si="93"/>
        <v>38777</v>
      </c>
      <c r="Z197">
        <f t="shared" si="80"/>
        <v>4.7202763953106075E-2</v>
      </c>
      <c r="AA197">
        <f t="shared" si="81"/>
        <v>0.51281931343698661</v>
      </c>
      <c r="AB197">
        <f t="shared" si="82"/>
        <v>2.8892336986104179E-2</v>
      </c>
      <c r="AC197">
        <f t="shared" si="83"/>
        <v>0.26974072475078431</v>
      </c>
      <c r="AD197">
        <f t="shared" si="84"/>
        <v>0.2422935659364864</v>
      </c>
      <c r="AE197">
        <f t="shared" si="85"/>
        <v>1.1679471413711166E-2</v>
      </c>
      <c r="AF197">
        <f t="shared" si="86"/>
        <v>2.7335865381688931E-2</v>
      </c>
      <c r="AG197">
        <f t="shared" si="87"/>
        <v>2.4725397726619511E-2</v>
      </c>
      <c r="AH197">
        <f t="shared" si="88"/>
        <v>5.1484596421336827E-2</v>
      </c>
      <c r="AI197">
        <f t="shared" si="77"/>
        <v>143449.33333333334</v>
      </c>
      <c r="AJ197">
        <f t="shared" si="78"/>
        <v>77207.666666666672</v>
      </c>
      <c r="AK197">
        <f t="shared" si="79"/>
        <v>7106.666666666667</v>
      </c>
    </row>
    <row r="198" spans="1:37" x14ac:dyDescent="0.25">
      <c r="A198" s="1">
        <v>38808</v>
      </c>
      <c r="B198" s="1">
        <v>38808</v>
      </c>
      <c r="C198">
        <v>1977</v>
      </c>
      <c r="D198">
        <v>1733</v>
      </c>
      <c r="E198">
        <v>1882</v>
      </c>
      <c r="F198">
        <v>4229</v>
      </c>
      <c r="G198">
        <v>1866</v>
      </c>
      <c r="H198">
        <v>4064</v>
      </c>
      <c r="I198">
        <v>77318</v>
      </c>
      <c r="J198">
        <v>143761</v>
      </c>
      <c r="K198">
        <v>7120</v>
      </c>
      <c r="L198">
        <v>4438</v>
      </c>
      <c r="M198">
        <f t="shared" si="89"/>
        <v>150881</v>
      </c>
      <c r="P198">
        <f t="shared" si="90"/>
        <v>4.7189506962440599E-2</v>
      </c>
      <c r="Q198">
        <f t="shared" si="91"/>
        <v>0.51244358136544699</v>
      </c>
      <c r="R198">
        <f t="shared" si="92"/>
        <v>2.9413908974622385E-2</v>
      </c>
      <c r="S198">
        <f t="shared" si="94"/>
        <v>0.27955316742081449</v>
      </c>
      <c r="T198">
        <f t="shared" si="95"/>
        <v>0.24505090497737556</v>
      </c>
      <c r="U198">
        <f t="shared" si="96"/>
        <v>1.309299364829798E-2</v>
      </c>
      <c r="V198">
        <f t="shared" si="97"/>
        <v>2.9420972443492115E-2</v>
      </c>
      <c r="W198">
        <f t="shared" si="98"/>
        <v>2.4182887950027217E-2</v>
      </c>
      <c r="X198">
        <f t="shared" si="99"/>
        <v>5.2562145942730024E-2</v>
      </c>
      <c r="Y198" s="1">
        <f t="shared" si="93"/>
        <v>38808</v>
      </c>
      <c r="Z198">
        <f t="shared" si="80"/>
        <v>4.7257185420381757E-2</v>
      </c>
      <c r="AA198">
        <f t="shared" si="81"/>
        <v>0.51201424007771079</v>
      </c>
      <c r="AB198">
        <f t="shared" si="82"/>
        <v>2.9163907152031741E-2</v>
      </c>
      <c r="AC198">
        <f t="shared" si="83"/>
        <v>0.2698262449988087</v>
      </c>
      <c r="AD198">
        <f t="shared" si="84"/>
        <v>0.24154829585956727</v>
      </c>
      <c r="AE198">
        <f t="shared" si="85"/>
        <v>1.2319394798980336E-2</v>
      </c>
      <c r="AF198">
        <f t="shared" si="86"/>
        <v>2.7954426845517539E-2</v>
      </c>
      <c r="AG198">
        <f t="shared" si="87"/>
        <v>2.4185460232347088E-2</v>
      </c>
      <c r="AH198">
        <f t="shared" si="88"/>
        <v>5.1903116637807167E-2</v>
      </c>
      <c r="AI198">
        <f t="shared" si="77"/>
        <v>143653</v>
      </c>
      <c r="AJ198">
        <f t="shared" si="78"/>
        <v>77200.666666666672</v>
      </c>
      <c r="AK198">
        <f t="shared" si="79"/>
        <v>7125.333333333333</v>
      </c>
    </row>
    <row r="199" spans="1:37" x14ac:dyDescent="0.25">
      <c r="A199" s="1">
        <v>38838</v>
      </c>
      <c r="B199" s="1">
        <v>38838</v>
      </c>
      <c r="C199">
        <v>1997</v>
      </c>
      <c r="D199">
        <v>1745</v>
      </c>
      <c r="E199">
        <v>1754</v>
      </c>
      <c r="F199">
        <v>4132</v>
      </c>
      <c r="G199">
        <v>1832</v>
      </c>
      <c r="H199">
        <v>4122</v>
      </c>
      <c r="I199">
        <v>77359</v>
      </c>
      <c r="J199">
        <v>144089</v>
      </c>
      <c r="K199">
        <v>6980</v>
      </c>
      <c r="L199">
        <v>4487</v>
      </c>
      <c r="M199">
        <f t="shared" si="89"/>
        <v>151069</v>
      </c>
      <c r="P199">
        <f t="shared" si="90"/>
        <v>4.6204052452852667E-2</v>
      </c>
      <c r="Q199">
        <f t="shared" si="91"/>
        <v>0.51207726270776932</v>
      </c>
      <c r="R199">
        <f t="shared" si="92"/>
        <v>2.9701659506583083E-2</v>
      </c>
      <c r="S199">
        <f t="shared" si="94"/>
        <v>0.28047752808988763</v>
      </c>
      <c r="T199">
        <f t="shared" si="95"/>
        <v>0.24508426966292135</v>
      </c>
      <c r="U199">
        <f t="shared" si="96"/>
        <v>1.2200805503578856E-2</v>
      </c>
      <c r="V199">
        <f t="shared" si="97"/>
        <v>2.8742148426902984E-2</v>
      </c>
      <c r="W199">
        <f t="shared" si="98"/>
        <v>2.3694353190718848E-2</v>
      </c>
      <c r="X199">
        <f t="shared" si="99"/>
        <v>5.3284039349009167E-2</v>
      </c>
      <c r="Y199" s="1">
        <f t="shared" si="93"/>
        <v>38838</v>
      </c>
      <c r="Z199">
        <f t="shared" si="80"/>
        <v>4.6762022893911938E-2</v>
      </c>
      <c r="AA199">
        <f t="shared" si="81"/>
        <v>0.51205369576277471</v>
      </c>
      <c r="AB199">
        <f t="shared" si="82"/>
        <v>2.9589394878328439E-2</v>
      </c>
      <c r="AC199">
        <f t="shared" si="83"/>
        <v>0.27724853918656667</v>
      </c>
      <c r="AD199">
        <f t="shared" si="84"/>
        <v>0.24434535516963127</v>
      </c>
      <c r="AE199">
        <f t="shared" si="85"/>
        <v>1.2446406809312882E-2</v>
      </c>
      <c r="AF199">
        <f t="shared" si="86"/>
        <v>2.8707572839954992E-2</v>
      </c>
      <c r="AG199">
        <f t="shared" si="87"/>
        <v>2.3881592763226309E-2</v>
      </c>
      <c r="AH199">
        <f t="shared" si="88"/>
        <v>5.2626523200025831E-2</v>
      </c>
      <c r="AI199">
        <f t="shared" ref="AI199:AI262" si="100">AVERAGE(J197:J199)</f>
        <v>143863.66666666666</v>
      </c>
      <c r="AJ199">
        <f t="shared" ref="AJ199:AJ262" si="101">AVERAGE(I197:I199)</f>
        <v>77279.666666666672</v>
      </c>
      <c r="AK199">
        <f t="shared" ref="AK199:AK262" si="102">AVERAGE(K197:K199)</f>
        <v>7057.333333333333</v>
      </c>
    </row>
    <row r="200" spans="1:37" x14ac:dyDescent="0.25">
      <c r="A200" s="1">
        <v>38869</v>
      </c>
      <c r="B200" s="1">
        <v>38869</v>
      </c>
      <c r="C200">
        <v>2022</v>
      </c>
      <c r="D200">
        <v>1734</v>
      </c>
      <c r="E200">
        <v>1752</v>
      </c>
      <c r="F200">
        <v>4136</v>
      </c>
      <c r="G200">
        <v>1983</v>
      </c>
      <c r="H200">
        <v>4089</v>
      </c>
      <c r="I200">
        <v>77317</v>
      </c>
      <c r="J200">
        <v>144353</v>
      </c>
      <c r="K200">
        <v>7001</v>
      </c>
      <c r="L200">
        <v>4333</v>
      </c>
      <c r="M200">
        <f t="shared" si="89"/>
        <v>151354</v>
      </c>
      <c r="P200">
        <f t="shared" si="90"/>
        <v>4.625579766639798E-2</v>
      </c>
      <c r="Q200">
        <f t="shared" si="91"/>
        <v>0.5108355246640327</v>
      </c>
      <c r="R200">
        <f t="shared" si="92"/>
        <v>2.8628249005642401E-2</v>
      </c>
      <c r="S200">
        <f t="shared" si="94"/>
        <v>0.28968481375358168</v>
      </c>
      <c r="T200">
        <f t="shared" si="95"/>
        <v>0.24842406876790832</v>
      </c>
      <c r="U200">
        <f t="shared" si="96"/>
        <v>1.2159151635447537E-2</v>
      </c>
      <c r="V200">
        <f t="shared" si="97"/>
        <v>2.8704481258111307E-2</v>
      </c>
      <c r="W200">
        <f t="shared" si="98"/>
        <v>2.5633733631510232E-2</v>
      </c>
      <c r="X200">
        <f t="shared" si="99"/>
        <v>5.2886169923820114E-2</v>
      </c>
      <c r="Y200" s="1">
        <f t="shared" si="93"/>
        <v>38869</v>
      </c>
      <c r="Z200">
        <f t="shared" si="80"/>
        <v>4.6549785693897082E-2</v>
      </c>
      <c r="AA200">
        <f t="shared" si="81"/>
        <v>0.51178545624574967</v>
      </c>
      <c r="AB200">
        <f t="shared" si="82"/>
        <v>2.9247939162282622E-2</v>
      </c>
      <c r="AC200">
        <f t="shared" si="83"/>
        <v>0.28323850308809462</v>
      </c>
      <c r="AD200">
        <f t="shared" si="84"/>
        <v>0.24618641446940173</v>
      </c>
      <c r="AE200">
        <f t="shared" si="85"/>
        <v>1.2484316929108124E-2</v>
      </c>
      <c r="AF200">
        <f t="shared" si="86"/>
        <v>2.8955867376168804E-2</v>
      </c>
      <c r="AG200">
        <f t="shared" si="87"/>
        <v>2.4503658257418764E-2</v>
      </c>
      <c r="AH200">
        <f t="shared" si="88"/>
        <v>5.2910785071853102E-2</v>
      </c>
      <c r="AI200">
        <f t="shared" si="100"/>
        <v>144067.66666666666</v>
      </c>
      <c r="AJ200">
        <f t="shared" si="101"/>
        <v>77331.333333333328</v>
      </c>
      <c r="AK200">
        <f t="shared" si="102"/>
        <v>7033.666666666667</v>
      </c>
    </row>
    <row r="201" spans="1:37" x14ac:dyDescent="0.25">
      <c r="A201" s="1">
        <v>38899</v>
      </c>
      <c r="B201" s="1">
        <v>38899</v>
      </c>
      <c r="C201">
        <v>2012</v>
      </c>
      <c r="D201">
        <v>1711</v>
      </c>
      <c r="E201">
        <v>1900</v>
      </c>
      <c r="F201">
        <v>4244</v>
      </c>
      <c r="G201">
        <v>1974</v>
      </c>
      <c r="H201">
        <v>3881</v>
      </c>
      <c r="I201">
        <v>77535</v>
      </c>
      <c r="J201">
        <v>144202</v>
      </c>
      <c r="K201">
        <v>7175</v>
      </c>
      <c r="L201">
        <v>4076</v>
      </c>
      <c r="M201">
        <f t="shared" si="89"/>
        <v>151377</v>
      </c>
      <c r="P201">
        <f t="shared" si="90"/>
        <v>4.7398217694894204E-2</v>
      </c>
      <c r="Q201">
        <f t="shared" si="91"/>
        <v>0.51219802215660237</v>
      </c>
      <c r="R201">
        <f t="shared" si="92"/>
        <v>2.6926151264723176E-2</v>
      </c>
      <c r="S201">
        <f t="shared" si="94"/>
        <v>0.28738751606913299</v>
      </c>
      <c r="T201">
        <f t="shared" si="95"/>
        <v>0.24439365804885016</v>
      </c>
      <c r="U201">
        <f t="shared" si="96"/>
        <v>1.3162178825518001E-2</v>
      </c>
      <c r="V201">
        <f t="shared" si="97"/>
        <v>2.9400151018683367E-2</v>
      </c>
      <c r="W201">
        <f t="shared" si="98"/>
        <v>2.5531254445982126E-2</v>
      </c>
      <c r="X201">
        <f t="shared" si="99"/>
        <v>5.0054813954988071E-2</v>
      </c>
      <c r="Y201" s="1">
        <f t="shared" si="93"/>
        <v>38899</v>
      </c>
      <c r="Z201">
        <f t="shared" si="80"/>
        <v>4.6619355938048279E-2</v>
      </c>
      <c r="AA201">
        <f t="shared" si="81"/>
        <v>0.51170360317613472</v>
      </c>
      <c r="AB201">
        <f t="shared" si="82"/>
        <v>2.8418686592316222E-2</v>
      </c>
      <c r="AC201">
        <f t="shared" si="83"/>
        <v>0.28584995263753415</v>
      </c>
      <c r="AD201">
        <f t="shared" si="84"/>
        <v>0.24596733215989328</v>
      </c>
      <c r="AE201">
        <f t="shared" si="85"/>
        <v>1.2507378654848132E-2</v>
      </c>
      <c r="AF201">
        <f t="shared" si="86"/>
        <v>2.8948926901232557E-2</v>
      </c>
      <c r="AG201">
        <f t="shared" si="87"/>
        <v>2.4953113756070403E-2</v>
      </c>
      <c r="AH201">
        <f t="shared" si="88"/>
        <v>5.2075007742605782E-2</v>
      </c>
      <c r="AI201">
        <f t="shared" si="100"/>
        <v>144214.66666666666</v>
      </c>
      <c r="AJ201">
        <f t="shared" si="101"/>
        <v>77403.666666666672</v>
      </c>
      <c r="AK201">
        <f t="shared" si="102"/>
        <v>7052</v>
      </c>
    </row>
    <row r="202" spans="1:37" x14ac:dyDescent="0.25">
      <c r="A202" s="1">
        <v>38930</v>
      </c>
      <c r="B202" s="1">
        <v>38930</v>
      </c>
      <c r="C202">
        <v>2075</v>
      </c>
      <c r="D202">
        <v>1738</v>
      </c>
      <c r="E202">
        <v>1725</v>
      </c>
      <c r="F202">
        <v>4086</v>
      </c>
      <c r="G202">
        <v>1955</v>
      </c>
      <c r="H202">
        <v>4108</v>
      </c>
      <c r="I202">
        <v>77451</v>
      </c>
      <c r="J202">
        <v>144625</v>
      </c>
      <c r="K202">
        <v>7091</v>
      </c>
      <c r="L202">
        <v>4498</v>
      </c>
      <c r="M202">
        <f t="shared" si="89"/>
        <v>151716</v>
      </c>
      <c r="P202">
        <f t="shared" si="90"/>
        <v>4.6738643254501833E-2</v>
      </c>
      <c r="Q202">
        <f t="shared" si="91"/>
        <v>0.51049988135727276</v>
      </c>
      <c r="R202">
        <f t="shared" si="92"/>
        <v>2.964749927496111E-2</v>
      </c>
      <c r="S202">
        <f t="shared" si="94"/>
        <v>0.28919860627177701</v>
      </c>
      <c r="T202">
        <f t="shared" si="95"/>
        <v>0.24222996515679443</v>
      </c>
      <c r="U202">
        <f t="shared" si="96"/>
        <v>1.1962386097280205E-2</v>
      </c>
      <c r="V202">
        <f t="shared" si="97"/>
        <v>2.8335251938253283E-2</v>
      </c>
      <c r="W202">
        <f t="shared" si="98"/>
        <v>2.5214419294512156E-2</v>
      </c>
      <c r="X202">
        <f t="shared" si="99"/>
        <v>5.30399865721553E-2</v>
      </c>
      <c r="Y202" s="1">
        <f t="shared" si="93"/>
        <v>38930</v>
      </c>
      <c r="Z202">
        <f t="shared" si="80"/>
        <v>4.6797552871931346E-2</v>
      </c>
      <c r="AA202">
        <f t="shared" si="81"/>
        <v>0.51117780939263591</v>
      </c>
      <c r="AB202">
        <f t="shared" si="82"/>
        <v>2.8400633181775565E-2</v>
      </c>
      <c r="AC202">
        <f t="shared" si="83"/>
        <v>0.28875697869816391</v>
      </c>
      <c r="AD202">
        <f t="shared" si="84"/>
        <v>0.24501589732451765</v>
      </c>
      <c r="AE202">
        <f t="shared" si="85"/>
        <v>1.2427905519415248E-2</v>
      </c>
      <c r="AF202">
        <f t="shared" si="86"/>
        <v>2.8813294738349319E-2</v>
      </c>
      <c r="AG202">
        <f t="shared" si="87"/>
        <v>2.5459802457334837E-2</v>
      </c>
      <c r="AH202">
        <f t="shared" si="88"/>
        <v>5.1993656816987831E-2</v>
      </c>
      <c r="AI202">
        <f t="shared" si="100"/>
        <v>144393.33333333334</v>
      </c>
      <c r="AJ202">
        <f t="shared" si="101"/>
        <v>77434.333333333328</v>
      </c>
      <c r="AK202">
        <f t="shared" si="102"/>
        <v>7089</v>
      </c>
    </row>
    <row r="203" spans="1:37" x14ac:dyDescent="0.25">
      <c r="A203" s="1">
        <v>38961</v>
      </c>
      <c r="B203" s="1">
        <v>38961</v>
      </c>
      <c r="C203">
        <v>2081</v>
      </c>
      <c r="D203">
        <v>1683</v>
      </c>
      <c r="E203">
        <v>1761</v>
      </c>
      <c r="F203">
        <v>4154</v>
      </c>
      <c r="G203">
        <v>1733</v>
      </c>
      <c r="H203">
        <v>3933</v>
      </c>
      <c r="I203">
        <v>77758</v>
      </c>
      <c r="J203">
        <v>144815</v>
      </c>
      <c r="K203">
        <v>6847</v>
      </c>
      <c r="L203">
        <v>4563</v>
      </c>
      <c r="M203">
        <f t="shared" si="89"/>
        <v>151662</v>
      </c>
      <c r="P203">
        <f t="shared" si="90"/>
        <v>4.5146444066410836E-2</v>
      </c>
      <c r="Q203">
        <f t="shared" si="91"/>
        <v>0.51270588545581619</v>
      </c>
      <c r="R203">
        <f t="shared" si="92"/>
        <v>3.0086640028484393E-2</v>
      </c>
      <c r="S203">
        <f t="shared" si="94"/>
        <v>0.2934705965308137</v>
      </c>
      <c r="T203">
        <f t="shared" si="95"/>
        <v>0.23734311098575658</v>
      </c>
      <c r="U203">
        <f t="shared" si="96"/>
        <v>1.2176318063958514E-2</v>
      </c>
      <c r="V203">
        <f t="shared" si="97"/>
        <v>2.8722558340535869E-2</v>
      </c>
      <c r="W203">
        <f t="shared" si="98"/>
        <v>2.2375437373306994E-2</v>
      </c>
      <c r="X203">
        <f t="shared" si="99"/>
        <v>5.0580004629748709E-2</v>
      </c>
      <c r="Y203" s="1">
        <f t="shared" si="93"/>
        <v>38961</v>
      </c>
      <c r="Z203">
        <f t="shared" si="80"/>
        <v>4.6427768338602293E-2</v>
      </c>
      <c r="AA203">
        <f t="shared" si="81"/>
        <v>0.51180126298989714</v>
      </c>
      <c r="AB203">
        <f t="shared" si="82"/>
        <v>2.8886763522722892E-2</v>
      </c>
      <c r="AC203">
        <f t="shared" si="83"/>
        <v>0.29001890629057453</v>
      </c>
      <c r="AD203">
        <f t="shared" si="84"/>
        <v>0.24132224473046704</v>
      </c>
      <c r="AE203">
        <f t="shared" si="85"/>
        <v>1.2433627662252242E-2</v>
      </c>
      <c r="AF203">
        <f t="shared" si="86"/>
        <v>2.8819320432490841E-2</v>
      </c>
      <c r="AG203">
        <f t="shared" si="87"/>
        <v>2.4373703704600427E-2</v>
      </c>
      <c r="AH203">
        <f t="shared" si="88"/>
        <v>5.122493505229736E-2</v>
      </c>
      <c r="AI203">
        <f t="shared" si="100"/>
        <v>144547.33333333334</v>
      </c>
      <c r="AJ203">
        <f t="shared" si="101"/>
        <v>77581.333333333328</v>
      </c>
      <c r="AK203">
        <f t="shared" si="102"/>
        <v>7037.666666666667</v>
      </c>
    </row>
    <row r="204" spans="1:37" x14ac:dyDescent="0.25">
      <c r="A204" s="1">
        <v>38991</v>
      </c>
      <c r="B204" s="1">
        <v>38991</v>
      </c>
      <c r="C204">
        <v>1881</v>
      </c>
      <c r="D204">
        <v>1739</v>
      </c>
      <c r="E204">
        <v>1749</v>
      </c>
      <c r="F204">
        <v>3904</v>
      </c>
      <c r="G204">
        <v>1713</v>
      </c>
      <c r="H204">
        <v>4163</v>
      </c>
      <c r="I204">
        <v>77634</v>
      </c>
      <c r="J204">
        <v>145314</v>
      </c>
      <c r="K204">
        <v>6727</v>
      </c>
      <c r="L204">
        <v>4434</v>
      </c>
      <c r="M204">
        <f t="shared" si="89"/>
        <v>152041</v>
      </c>
      <c r="P204">
        <f t="shared" si="90"/>
        <v>4.4244644536671027E-2</v>
      </c>
      <c r="Q204">
        <f t="shared" si="91"/>
        <v>0.51061226905900381</v>
      </c>
      <c r="R204">
        <f t="shared" si="92"/>
        <v>2.9163186245815275E-2</v>
      </c>
      <c r="S204">
        <f t="shared" si="94"/>
        <v>0.27471885497298087</v>
      </c>
      <c r="T204">
        <f t="shared" si="95"/>
        <v>0.25397984518767341</v>
      </c>
      <c r="U204">
        <f t="shared" si="96"/>
        <v>1.2077478161792632E-2</v>
      </c>
      <c r="V204">
        <f t="shared" si="97"/>
        <v>2.6958533301108312E-2</v>
      </c>
      <c r="W204">
        <f t="shared" si="98"/>
        <v>2.2029887599989712E-2</v>
      </c>
      <c r="X204">
        <f t="shared" si="99"/>
        <v>5.3623412422392248E-2</v>
      </c>
      <c r="Y204" s="1">
        <f t="shared" si="93"/>
        <v>38991</v>
      </c>
      <c r="Z204">
        <f t="shared" si="80"/>
        <v>4.5376577285861232E-2</v>
      </c>
      <c r="AA204">
        <f t="shared" si="81"/>
        <v>0.51127267862403092</v>
      </c>
      <c r="AB204">
        <f t="shared" si="82"/>
        <v>2.9632441849753593E-2</v>
      </c>
      <c r="AC204">
        <f t="shared" si="83"/>
        <v>0.28579601925852388</v>
      </c>
      <c r="AD204">
        <f t="shared" si="84"/>
        <v>0.24451764044340815</v>
      </c>
      <c r="AE204">
        <f t="shared" si="85"/>
        <v>1.2072060774343784E-2</v>
      </c>
      <c r="AF204">
        <f t="shared" si="86"/>
        <v>2.800544785996582E-2</v>
      </c>
      <c r="AG204">
        <f t="shared" si="87"/>
        <v>2.3206581422602953E-2</v>
      </c>
      <c r="AH204">
        <f t="shared" si="88"/>
        <v>5.2414467874765419E-2</v>
      </c>
      <c r="AI204">
        <f t="shared" si="100"/>
        <v>144918</v>
      </c>
      <c r="AJ204">
        <f t="shared" si="101"/>
        <v>77614.333333333328</v>
      </c>
      <c r="AK204">
        <f t="shared" si="102"/>
        <v>6888.333333333333</v>
      </c>
    </row>
    <row r="205" spans="1:37" x14ac:dyDescent="0.25">
      <c r="A205" s="1">
        <v>39022</v>
      </c>
      <c r="B205" s="1">
        <v>39022</v>
      </c>
      <c r="C205">
        <v>1932</v>
      </c>
      <c r="D205">
        <v>1488</v>
      </c>
      <c r="E205">
        <v>1814</v>
      </c>
      <c r="F205">
        <v>4175</v>
      </c>
      <c r="G205">
        <v>1719</v>
      </c>
      <c r="H205">
        <v>4225</v>
      </c>
      <c r="I205">
        <v>77499</v>
      </c>
      <c r="J205">
        <v>145534</v>
      </c>
      <c r="K205">
        <v>6872</v>
      </c>
      <c r="L205">
        <v>4705</v>
      </c>
      <c r="M205">
        <f t="shared" si="89"/>
        <v>152406</v>
      </c>
      <c r="P205">
        <f t="shared" si="90"/>
        <v>4.5090088316732939E-2</v>
      </c>
      <c r="Q205">
        <f t="shared" si="91"/>
        <v>0.50850360222038504</v>
      </c>
      <c r="R205">
        <f t="shared" si="92"/>
        <v>3.087148799916014E-2</v>
      </c>
      <c r="S205">
        <f t="shared" si="94"/>
        <v>0.28720083246618106</v>
      </c>
      <c r="T205">
        <f t="shared" si="95"/>
        <v>0.22119815668202766</v>
      </c>
      <c r="U205">
        <f t="shared" si="96"/>
        <v>1.2483312000220213E-2</v>
      </c>
      <c r="V205">
        <f t="shared" si="97"/>
        <v>2.8730886218808923E-2</v>
      </c>
      <c r="W205">
        <f t="shared" si="98"/>
        <v>2.2142360306051472E-2</v>
      </c>
      <c r="X205">
        <f t="shared" si="99"/>
        <v>5.4516832475257744E-2</v>
      </c>
      <c r="Y205" s="1">
        <f t="shared" si="93"/>
        <v>39022</v>
      </c>
      <c r="Z205">
        <f t="shared" si="80"/>
        <v>4.4827058973271605E-2</v>
      </c>
      <c r="AA205">
        <f t="shared" si="81"/>
        <v>0.51060725224506831</v>
      </c>
      <c r="AB205">
        <f t="shared" si="82"/>
        <v>3.0040438091153272E-2</v>
      </c>
      <c r="AC205">
        <f t="shared" si="83"/>
        <v>0.28513009465665856</v>
      </c>
      <c r="AD205">
        <f t="shared" si="84"/>
        <v>0.23750703761848591</v>
      </c>
      <c r="AE205">
        <f t="shared" si="85"/>
        <v>1.2245702741990452E-2</v>
      </c>
      <c r="AF205">
        <f t="shared" si="86"/>
        <v>2.8137325953484369E-2</v>
      </c>
      <c r="AG205">
        <f t="shared" si="87"/>
        <v>2.2182561759782726E-2</v>
      </c>
      <c r="AH205">
        <f t="shared" si="88"/>
        <v>5.2906749842466232E-2</v>
      </c>
      <c r="AI205">
        <f t="shared" si="100"/>
        <v>145221</v>
      </c>
      <c r="AJ205">
        <f t="shared" si="101"/>
        <v>77630.333333333328</v>
      </c>
      <c r="AK205">
        <f t="shared" si="102"/>
        <v>6815.333333333333</v>
      </c>
    </row>
    <row r="206" spans="1:37" x14ac:dyDescent="0.25">
      <c r="A206" s="1">
        <v>39052</v>
      </c>
      <c r="B206" s="1">
        <v>39052</v>
      </c>
      <c r="C206">
        <v>2077</v>
      </c>
      <c r="D206">
        <v>1600</v>
      </c>
      <c r="E206">
        <v>1820</v>
      </c>
      <c r="F206">
        <v>4137</v>
      </c>
      <c r="G206">
        <v>1740</v>
      </c>
      <c r="H206">
        <v>4295</v>
      </c>
      <c r="I206">
        <v>77376</v>
      </c>
      <c r="J206">
        <v>145970</v>
      </c>
      <c r="K206">
        <v>6762</v>
      </c>
      <c r="L206">
        <v>4583</v>
      </c>
      <c r="M206">
        <f t="shared" si="89"/>
        <v>152732</v>
      </c>
      <c r="P206">
        <f t="shared" si="90"/>
        <v>4.4273629625749676E-2</v>
      </c>
      <c r="Q206">
        <f t="shared" si="91"/>
        <v>0.50661289055338765</v>
      </c>
      <c r="R206">
        <f t="shared" si="92"/>
        <v>3.0006809313045071E-2</v>
      </c>
      <c r="S206">
        <f t="shared" si="94"/>
        <v>0.30224097788125726</v>
      </c>
      <c r="T206">
        <f t="shared" si="95"/>
        <v>0.23282887077997672</v>
      </c>
      <c r="U206">
        <f t="shared" si="96"/>
        <v>1.2505668778429783E-2</v>
      </c>
      <c r="V206">
        <f t="shared" si="97"/>
        <v>2.8426347107892314E-2</v>
      </c>
      <c r="W206">
        <f t="shared" si="98"/>
        <v>2.2451902605194907E-2</v>
      </c>
      <c r="X206">
        <f t="shared" si="99"/>
        <v>5.5508167907361454E-2</v>
      </c>
      <c r="Y206" s="1">
        <f t="shared" si="93"/>
        <v>39052</v>
      </c>
      <c r="Z206">
        <f t="shared" si="80"/>
        <v>4.453612082638455E-2</v>
      </c>
      <c r="AA206">
        <f t="shared" si="81"/>
        <v>0.50857625394425876</v>
      </c>
      <c r="AB206">
        <f t="shared" si="82"/>
        <v>3.0013827852673494E-2</v>
      </c>
      <c r="AC206">
        <f t="shared" si="83"/>
        <v>0.28805355510680636</v>
      </c>
      <c r="AD206">
        <f t="shared" si="84"/>
        <v>0.23600229088322591</v>
      </c>
      <c r="AE206">
        <f t="shared" si="85"/>
        <v>1.2355486313480877E-2</v>
      </c>
      <c r="AF206">
        <f t="shared" si="86"/>
        <v>2.8038588875936517E-2</v>
      </c>
      <c r="AG206">
        <f t="shared" si="87"/>
        <v>2.2208050170412028E-2</v>
      </c>
      <c r="AH206">
        <f t="shared" si="88"/>
        <v>5.4549470935003813E-2</v>
      </c>
      <c r="AI206">
        <f t="shared" si="100"/>
        <v>145606</v>
      </c>
      <c r="AJ206">
        <f t="shared" si="101"/>
        <v>77503</v>
      </c>
      <c r="AK206">
        <f t="shared" si="102"/>
        <v>6787</v>
      </c>
    </row>
    <row r="207" spans="1:37" x14ac:dyDescent="0.25">
      <c r="A207" s="1">
        <v>39083</v>
      </c>
      <c r="B207" s="1">
        <v>39083</v>
      </c>
      <c r="C207">
        <v>1945</v>
      </c>
      <c r="D207">
        <v>1544</v>
      </c>
      <c r="E207">
        <v>1917</v>
      </c>
      <c r="F207">
        <v>4283</v>
      </c>
      <c r="G207">
        <v>1905</v>
      </c>
      <c r="H207">
        <v>4146</v>
      </c>
      <c r="I207">
        <v>77506</v>
      </c>
      <c r="J207">
        <v>146028</v>
      </c>
      <c r="K207">
        <v>7116</v>
      </c>
      <c r="L207">
        <v>4602</v>
      </c>
      <c r="M207">
        <f t="shared" si="89"/>
        <v>153144</v>
      </c>
      <c r="P207">
        <f t="shared" si="90"/>
        <v>4.6466071148722768E-2</v>
      </c>
      <c r="Q207">
        <f t="shared" si="91"/>
        <v>0.50609883508332032</v>
      </c>
      <c r="R207">
        <f t="shared" si="92"/>
        <v>3.0050148879485972E-2</v>
      </c>
      <c r="S207">
        <f t="shared" si="94"/>
        <v>0.28763679384797397</v>
      </c>
      <c r="T207">
        <f t="shared" si="95"/>
        <v>0.22833481218574386</v>
      </c>
      <c r="U207">
        <f t="shared" si="96"/>
        <v>1.3132835514146743E-2</v>
      </c>
      <c r="V207">
        <f t="shared" si="97"/>
        <v>2.9341645543604852E-2</v>
      </c>
      <c r="W207">
        <f t="shared" si="98"/>
        <v>2.4620037220843674E-2</v>
      </c>
      <c r="X207">
        <f t="shared" si="99"/>
        <v>5.3492632828426187E-2</v>
      </c>
      <c r="Y207" s="1">
        <f t="shared" si="93"/>
        <v>39083</v>
      </c>
      <c r="Z207">
        <f t="shared" si="80"/>
        <v>4.5276596363735128E-2</v>
      </c>
      <c r="AA207">
        <f t="shared" si="81"/>
        <v>0.50707177595236441</v>
      </c>
      <c r="AB207">
        <f t="shared" si="82"/>
        <v>3.0309482063897063E-2</v>
      </c>
      <c r="AC207">
        <f t="shared" si="83"/>
        <v>0.29235953473180415</v>
      </c>
      <c r="AD207">
        <f t="shared" si="84"/>
        <v>0.22745394654924941</v>
      </c>
      <c r="AE207">
        <f t="shared" si="85"/>
        <v>1.2707272097598914E-2</v>
      </c>
      <c r="AF207">
        <f t="shared" si="86"/>
        <v>2.8832959623435364E-2</v>
      </c>
      <c r="AG207">
        <f t="shared" si="87"/>
        <v>2.3071433377363351E-2</v>
      </c>
      <c r="AH207">
        <f t="shared" si="88"/>
        <v>5.4505877737015131E-2</v>
      </c>
      <c r="AI207">
        <f t="shared" si="100"/>
        <v>145844</v>
      </c>
      <c r="AJ207">
        <f t="shared" si="101"/>
        <v>77460.333333333328</v>
      </c>
      <c r="AK207">
        <f t="shared" si="102"/>
        <v>6916.666666666667</v>
      </c>
    </row>
    <row r="208" spans="1:37" x14ac:dyDescent="0.25">
      <c r="A208" s="1">
        <v>39114</v>
      </c>
      <c r="B208" s="1">
        <v>39114</v>
      </c>
      <c r="C208">
        <v>2125</v>
      </c>
      <c r="D208">
        <v>1741</v>
      </c>
      <c r="E208">
        <v>1833</v>
      </c>
      <c r="F208">
        <v>4333</v>
      </c>
      <c r="G208">
        <v>1812</v>
      </c>
      <c r="H208">
        <v>4044</v>
      </c>
      <c r="I208">
        <v>77851</v>
      </c>
      <c r="J208">
        <v>146057</v>
      </c>
      <c r="K208">
        <v>6927</v>
      </c>
      <c r="L208">
        <v>4483</v>
      </c>
      <c r="M208">
        <f t="shared" si="89"/>
        <v>152984</v>
      </c>
      <c r="P208">
        <f t="shared" si="90"/>
        <v>4.5279244888354338E-2</v>
      </c>
      <c r="Q208">
        <f t="shared" si="91"/>
        <v>0.50888328191183396</v>
      </c>
      <c r="R208">
        <f t="shared" si="92"/>
        <v>2.9303718035873033E-2</v>
      </c>
      <c r="S208">
        <f t="shared" si="94"/>
        <v>0.2986228218100056</v>
      </c>
      <c r="T208">
        <f t="shared" si="95"/>
        <v>0.24465992130410344</v>
      </c>
      <c r="U208">
        <f t="shared" si="96"/>
        <v>1.2552387213411127E-2</v>
      </c>
      <c r="V208">
        <f t="shared" si="97"/>
        <v>2.9672391596132247E-2</v>
      </c>
      <c r="W208">
        <f t="shared" si="98"/>
        <v>2.3378835186953269E-2</v>
      </c>
      <c r="X208">
        <f t="shared" si="99"/>
        <v>5.1945382846720019E-2</v>
      </c>
      <c r="Y208" s="1">
        <f t="shared" si="93"/>
        <v>39114</v>
      </c>
      <c r="Z208">
        <f t="shared" si="80"/>
        <v>4.5339648554275587E-2</v>
      </c>
      <c r="AA208">
        <f t="shared" si="81"/>
        <v>0.5071983358495139</v>
      </c>
      <c r="AB208">
        <f t="shared" si="82"/>
        <v>2.9786892076134691E-2</v>
      </c>
      <c r="AC208">
        <f t="shared" si="83"/>
        <v>0.29616686451307889</v>
      </c>
      <c r="AD208">
        <f t="shared" si="84"/>
        <v>0.23527453475660801</v>
      </c>
      <c r="AE208">
        <f t="shared" si="85"/>
        <v>1.2730297168662551E-2</v>
      </c>
      <c r="AF208">
        <f t="shared" si="86"/>
        <v>2.9146794749209805E-2</v>
      </c>
      <c r="AG208">
        <f t="shared" si="87"/>
        <v>2.3483591670997284E-2</v>
      </c>
      <c r="AH208">
        <f t="shared" si="88"/>
        <v>5.3648727860835882E-2</v>
      </c>
      <c r="AI208">
        <f t="shared" si="100"/>
        <v>146018.33333333334</v>
      </c>
      <c r="AJ208">
        <f t="shared" si="101"/>
        <v>77577.666666666672</v>
      </c>
      <c r="AK208">
        <f t="shared" si="102"/>
        <v>6935</v>
      </c>
    </row>
    <row r="209" spans="1:37" x14ac:dyDescent="0.25">
      <c r="A209" s="1">
        <v>39142</v>
      </c>
      <c r="B209" s="1">
        <v>39142</v>
      </c>
      <c r="C209">
        <v>2088</v>
      </c>
      <c r="D209">
        <v>1630</v>
      </c>
      <c r="E209">
        <v>1701</v>
      </c>
      <c r="F209">
        <v>4191</v>
      </c>
      <c r="G209">
        <v>1788</v>
      </c>
      <c r="H209">
        <v>4018</v>
      </c>
      <c r="I209">
        <v>77983</v>
      </c>
      <c r="J209">
        <v>146320</v>
      </c>
      <c r="K209">
        <v>6731</v>
      </c>
      <c r="L209">
        <v>4707</v>
      </c>
      <c r="M209">
        <f t="shared" si="89"/>
        <v>153051</v>
      </c>
      <c r="P209">
        <f t="shared" si="90"/>
        <v>4.3978804450803981E-2</v>
      </c>
      <c r="Q209">
        <f t="shared" si="91"/>
        <v>0.50952296946769382</v>
      </c>
      <c r="R209">
        <f t="shared" si="92"/>
        <v>3.0754454397553758E-2</v>
      </c>
      <c r="S209">
        <f t="shared" si="94"/>
        <v>0.30142919012559549</v>
      </c>
      <c r="T209">
        <f t="shared" si="95"/>
        <v>0.23531110148693518</v>
      </c>
      <c r="U209">
        <f t="shared" si="96"/>
        <v>1.1646138151543575E-2</v>
      </c>
      <c r="V209">
        <f t="shared" si="97"/>
        <v>2.8694276891898369E-2</v>
      </c>
      <c r="W209">
        <f t="shared" si="98"/>
        <v>2.2966949685938525E-2</v>
      </c>
      <c r="X209">
        <f t="shared" si="99"/>
        <v>5.1524050113486271E-2</v>
      </c>
      <c r="Y209" s="1">
        <f t="shared" si="93"/>
        <v>39142</v>
      </c>
      <c r="Z209">
        <f t="shared" si="80"/>
        <v>4.5241373495960364E-2</v>
      </c>
      <c r="AA209">
        <f t="shared" si="81"/>
        <v>0.50816836215428263</v>
      </c>
      <c r="AB209">
        <f t="shared" si="82"/>
        <v>3.0036107104304252E-2</v>
      </c>
      <c r="AC209">
        <f t="shared" si="83"/>
        <v>0.295896268594525</v>
      </c>
      <c r="AD209">
        <f t="shared" si="84"/>
        <v>0.23610194499226086</v>
      </c>
      <c r="AE209">
        <f t="shared" si="85"/>
        <v>1.2443786959700482E-2</v>
      </c>
      <c r="AF209">
        <f t="shared" si="86"/>
        <v>2.9236104677211824E-2</v>
      </c>
      <c r="AG209">
        <f t="shared" si="87"/>
        <v>2.365527403124516E-2</v>
      </c>
      <c r="AH209">
        <f t="shared" si="88"/>
        <v>5.2320688596210828E-2</v>
      </c>
      <c r="AI209">
        <f t="shared" si="100"/>
        <v>146135</v>
      </c>
      <c r="AJ209">
        <f t="shared" si="101"/>
        <v>77780</v>
      </c>
      <c r="AK209">
        <f t="shared" si="102"/>
        <v>6924.666666666667</v>
      </c>
    </row>
    <row r="210" spans="1:37" x14ac:dyDescent="0.25">
      <c r="A210" s="1">
        <v>39173</v>
      </c>
      <c r="B210" s="1">
        <v>39173</v>
      </c>
      <c r="C210">
        <v>1851</v>
      </c>
      <c r="D210">
        <v>1502</v>
      </c>
      <c r="E210">
        <v>1763</v>
      </c>
      <c r="F210">
        <v>4502</v>
      </c>
      <c r="G210">
        <v>1683</v>
      </c>
      <c r="H210">
        <v>3609</v>
      </c>
      <c r="I210">
        <v>78818</v>
      </c>
      <c r="J210">
        <v>145586</v>
      </c>
      <c r="K210">
        <v>6850</v>
      </c>
      <c r="L210">
        <v>4498</v>
      </c>
      <c r="M210">
        <f t="shared" si="89"/>
        <v>152436</v>
      </c>
      <c r="P210">
        <f t="shared" si="90"/>
        <v>4.4936891547928313E-2</v>
      </c>
      <c r="Q210">
        <f t="shared" si="91"/>
        <v>0.51705633839775378</v>
      </c>
      <c r="R210">
        <f t="shared" si="92"/>
        <v>2.9507465428114093E-2</v>
      </c>
      <c r="S210">
        <f t="shared" si="94"/>
        <v>0.27499628584162827</v>
      </c>
      <c r="T210">
        <f t="shared" si="95"/>
        <v>0.22314663497251522</v>
      </c>
      <c r="U210">
        <f t="shared" si="96"/>
        <v>1.2048933843630399E-2</v>
      </c>
      <c r="V210">
        <f t="shared" si="97"/>
        <v>3.0768179332968836E-2</v>
      </c>
      <c r="W210">
        <f t="shared" si="98"/>
        <v>2.1581626764807713E-2</v>
      </c>
      <c r="X210">
        <f t="shared" si="99"/>
        <v>4.5789032962013754E-2</v>
      </c>
      <c r="Y210" s="1">
        <f t="shared" si="93"/>
        <v>39173</v>
      </c>
      <c r="Z210">
        <f t="shared" si="80"/>
        <v>4.4731646962362211E-2</v>
      </c>
      <c r="AA210">
        <f t="shared" si="81"/>
        <v>0.51182086325909382</v>
      </c>
      <c r="AB210">
        <f t="shared" si="82"/>
        <v>2.9855212620513629E-2</v>
      </c>
      <c r="AC210">
        <f t="shared" si="83"/>
        <v>0.2916827659257431</v>
      </c>
      <c r="AD210">
        <f t="shared" si="84"/>
        <v>0.23437255258785128</v>
      </c>
      <c r="AE210">
        <f t="shared" si="85"/>
        <v>1.2082486402861701E-2</v>
      </c>
      <c r="AF210">
        <f t="shared" si="86"/>
        <v>2.9711615940333152E-2</v>
      </c>
      <c r="AG210">
        <f t="shared" si="87"/>
        <v>2.2642470545899837E-2</v>
      </c>
      <c r="AH210">
        <f t="shared" si="88"/>
        <v>4.9752821974073345E-2</v>
      </c>
      <c r="AI210">
        <f t="shared" si="100"/>
        <v>145987.66666666666</v>
      </c>
      <c r="AJ210">
        <f t="shared" si="101"/>
        <v>78217.333333333328</v>
      </c>
      <c r="AK210">
        <f t="shared" si="102"/>
        <v>6836</v>
      </c>
    </row>
    <row r="211" spans="1:37" x14ac:dyDescent="0.25">
      <c r="A211" s="1">
        <v>39203</v>
      </c>
      <c r="B211" s="1">
        <v>39203</v>
      </c>
      <c r="C211">
        <v>1981</v>
      </c>
      <c r="D211">
        <v>1559</v>
      </c>
      <c r="E211">
        <v>1712</v>
      </c>
      <c r="F211">
        <v>3961</v>
      </c>
      <c r="G211">
        <v>1736</v>
      </c>
      <c r="H211">
        <v>3966</v>
      </c>
      <c r="I211">
        <v>78810</v>
      </c>
      <c r="J211">
        <v>145903</v>
      </c>
      <c r="K211">
        <v>6766</v>
      </c>
      <c r="L211">
        <v>4479</v>
      </c>
      <c r="M211">
        <f t="shared" si="89"/>
        <v>152669</v>
      </c>
      <c r="P211">
        <f t="shared" si="90"/>
        <v>4.4318099941703951E-2</v>
      </c>
      <c r="Q211">
        <f t="shared" si="91"/>
        <v>0.51621481767745903</v>
      </c>
      <c r="R211">
        <f t="shared" si="92"/>
        <v>2.9337979550530888E-2</v>
      </c>
      <c r="S211">
        <f t="shared" si="94"/>
        <v>0.28919708029197078</v>
      </c>
      <c r="T211">
        <f t="shared" si="95"/>
        <v>0.2275912408759124</v>
      </c>
      <c r="U211">
        <f t="shared" si="96"/>
        <v>1.175937246713283E-2</v>
      </c>
      <c r="V211">
        <f t="shared" si="97"/>
        <v>2.7207286414902533E-2</v>
      </c>
      <c r="W211">
        <f t="shared" si="98"/>
        <v>2.2025425664188383E-2</v>
      </c>
      <c r="X211">
        <f t="shared" si="99"/>
        <v>5.0323562999619341E-2</v>
      </c>
      <c r="Y211" s="1">
        <f t="shared" si="93"/>
        <v>39203</v>
      </c>
      <c r="Z211">
        <f t="shared" si="80"/>
        <v>4.4411265313478748E-2</v>
      </c>
      <c r="AA211">
        <f t="shared" si="81"/>
        <v>0.51426470851430228</v>
      </c>
      <c r="AB211">
        <f t="shared" si="82"/>
        <v>2.986663312539958E-2</v>
      </c>
      <c r="AC211">
        <f t="shared" si="83"/>
        <v>0.28854085208639818</v>
      </c>
      <c r="AD211">
        <f t="shared" si="84"/>
        <v>0.22868299244512094</v>
      </c>
      <c r="AE211">
        <f t="shared" si="85"/>
        <v>1.1818148154102268E-2</v>
      </c>
      <c r="AF211">
        <f t="shared" si="86"/>
        <v>2.8889914213256578E-2</v>
      </c>
      <c r="AG211">
        <f t="shared" si="87"/>
        <v>2.2191334038311541E-2</v>
      </c>
      <c r="AH211">
        <f t="shared" si="88"/>
        <v>4.921221535837312E-2</v>
      </c>
      <c r="AI211">
        <f t="shared" si="100"/>
        <v>145936.33333333334</v>
      </c>
      <c r="AJ211">
        <f t="shared" si="101"/>
        <v>78537</v>
      </c>
      <c r="AK211">
        <f t="shared" si="102"/>
        <v>6782.333333333333</v>
      </c>
    </row>
    <row r="212" spans="1:37" x14ac:dyDescent="0.25">
      <c r="A212" s="1">
        <v>39234</v>
      </c>
      <c r="B212" s="1">
        <v>39234</v>
      </c>
      <c r="C212">
        <v>1753</v>
      </c>
      <c r="D212">
        <v>1598</v>
      </c>
      <c r="E212">
        <v>1774</v>
      </c>
      <c r="F212">
        <v>4035</v>
      </c>
      <c r="G212">
        <v>1757</v>
      </c>
      <c r="H212">
        <v>4095</v>
      </c>
      <c r="I212">
        <v>78672</v>
      </c>
      <c r="J212">
        <v>146063</v>
      </c>
      <c r="K212">
        <v>6979</v>
      </c>
      <c r="L212">
        <v>4690</v>
      </c>
      <c r="M212">
        <f t="shared" si="89"/>
        <v>153042</v>
      </c>
      <c r="P212">
        <f t="shared" si="90"/>
        <v>4.5601860927065772E-2</v>
      </c>
      <c r="Q212">
        <f t="shared" si="91"/>
        <v>0.51405496530364214</v>
      </c>
      <c r="R212">
        <f t="shared" si="92"/>
        <v>3.0645182368238783E-2</v>
      </c>
      <c r="S212">
        <f t="shared" si="94"/>
        <v>0.25908956547443096</v>
      </c>
      <c r="T212">
        <f t="shared" si="95"/>
        <v>0.23618090452261306</v>
      </c>
      <c r="U212">
        <f t="shared" si="96"/>
        <v>1.215876301378313E-2</v>
      </c>
      <c r="V212">
        <f t="shared" si="97"/>
        <v>2.7655360067990378E-2</v>
      </c>
      <c r="W212">
        <f t="shared" si="98"/>
        <v>2.2294125111026519E-2</v>
      </c>
      <c r="X212">
        <f t="shared" si="99"/>
        <v>5.2051555826723613E-2</v>
      </c>
      <c r="Y212" s="1">
        <f t="shared" si="93"/>
        <v>39234</v>
      </c>
      <c r="Z212">
        <f t="shared" si="80"/>
        <v>4.4952284138899345E-2</v>
      </c>
      <c r="AA212">
        <f t="shared" si="81"/>
        <v>0.51577537379295169</v>
      </c>
      <c r="AB212">
        <f t="shared" si="82"/>
        <v>2.983020911562792E-2</v>
      </c>
      <c r="AC212">
        <f t="shared" si="83"/>
        <v>0.27442764386934332</v>
      </c>
      <c r="AD212">
        <f t="shared" si="84"/>
        <v>0.22897292679034689</v>
      </c>
      <c r="AE212">
        <f t="shared" si="85"/>
        <v>1.1989023108182119E-2</v>
      </c>
      <c r="AF212">
        <f t="shared" si="86"/>
        <v>2.8543608605287249E-2</v>
      </c>
      <c r="AG212">
        <f t="shared" si="87"/>
        <v>2.1967059180007537E-2</v>
      </c>
      <c r="AH212">
        <f t="shared" si="88"/>
        <v>4.93880505961189E-2</v>
      </c>
      <c r="AI212">
        <f t="shared" si="100"/>
        <v>145850.66666666666</v>
      </c>
      <c r="AJ212">
        <f t="shared" si="101"/>
        <v>78766.666666666672</v>
      </c>
      <c r="AK212">
        <f t="shared" si="102"/>
        <v>6865</v>
      </c>
    </row>
    <row r="213" spans="1:37" x14ac:dyDescent="0.25">
      <c r="A213" s="1">
        <v>39264</v>
      </c>
      <c r="B213" s="1">
        <v>39264</v>
      </c>
      <c r="C213">
        <v>1900</v>
      </c>
      <c r="D213">
        <v>1582</v>
      </c>
      <c r="E213">
        <v>1843</v>
      </c>
      <c r="F213">
        <v>3998</v>
      </c>
      <c r="G213">
        <v>1787</v>
      </c>
      <c r="H213">
        <v>3745</v>
      </c>
      <c r="I213">
        <v>78904</v>
      </c>
      <c r="J213">
        <v>145905</v>
      </c>
      <c r="K213">
        <v>7149</v>
      </c>
      <c r="L213">
        <v>4404</v>
      </c>
      <c r="M213">
        <f t="shared" si="89"/>
        <v>153054</v>
      </c>
      <c r="P213">
        <f t="shared" si="90"/>
        <v>4.670900466502019E-2</v>
      </c>
      <c r="Q213">
        <f t="shared" si="91"/>
        <v>0.51553046637134603</v>
      </c>
      <c r="R213">
        <f t="shared" si="92"/>
        <v>2.8774158140264221E-2</v>
      </c>
      <c r="S213">
        <f t="shared" si="94"/>
        <v>0.2722453073506233</v>
      </c>
      <c r="T213">
        <f t="shared" si="95"/>
        <v>0.22668004012036108</v>
      </c>
      <c r="U213">
        <f t="shared" si="96"/>
        <v>1.2617842985561026E-2</v>
      </c>
      <c r="V213">
        <f t="shared" si="97"/>
        <v>2.7371750545997275E-2</v>
      </c>
      <c r="W213">
        <f t="shared" si="98"/>
        <v>2.2714561724628837E-2</v>
      </c>
      <c r="X213">
        <f t="shared" si="99"/>
        <v>4.7462739531582684E-2</v>
      </c>
      <c r="Y213" s="1">
        <f t="shared" si="93"/>
        <v>39264</v>
      </c>
      <c r="Z213">
        <f t="shared" si="80"/>
        <v>4.5542988511263295E-2</v>
      </c>
      <c r="AA213">
        <f t="shared" si="81"/>
        <v>0.5152667497841491</v>
      </c>
      <c r="AB213">
        <f t="shared" si="82"/>
        <v>2.9585773353011297E-2</v>
      </c>
      <c r="AC213">
        <f t="shared" si="83"/>
        <v>0.27351065103900835</v>
      </c>
      <c r="AD213">
        <f t="shared" si="84"/>
        <v>0.2301507285062955</v>
      </c>
      <c r="AE213">
        <f t="shared" si="85"/>
        <v>1.2178659488825662E-2</v>
      </c>
      <c r="AF213">
        <f t="shared" si="86"/>
        <v>2.7411465676296726E-2</v>
      </c>
      <c r="AG213">
        <f t="shared" si="87"/>
        <v>2.234470416661458E-2</v>
      </c>
      <c r="AH213">
        <f t="shared" si="88"/>
        <v>4.994595278597521E-2</v>
      </c>
      <c r="AI213">
        <f t="shared" si="100"/>
        <v>145957</v>
      </c>
      <c r="AJ213">
        <f t="shared" si="101"/>
        <v>78795.333333333328</v>
      </c>
      <c r="AK213">
        <f t="shared" si="102"/>
        <v>6964.666666666667</v>
      </c>
    </row>
    <row r="214" spans="1:37" x14ac:dyDescent="0.25">
      <c r="A214" s="1">
        <v>39295</v>
      </c>
      <c r="B214" s="1">
        <v>39295</v>
      </c>
      <c r="C214">
        <v>1975</v>
      </c>
      <c r="D214">
        <v>1592</v>
      </c>
      <c r="E214">
        <v>1714</v>
      </c>
      <c r="F214">
        <v>4412</v>
      </c>
      <c r="G214">
        <v>1735</v>
      </c>
      <c r="H214">
        <v>3888</v>
      </c>
      <c r="I214">
        <v>79462</v>
      </c>
      <c r="J214">
        <v>145682</v>
      </c>
      <c r="K214">
        <v>7067</v>
      </c>
      <c r="L214">
        <v>4491</v>
      </c>
      <c r="M214">
        <f t="shared" si="89"/>
        <v>152749</v>
      </c>
      <c r="P214">
        <f t="shared" si="90"/>
        <v>4.6265441999620294E-2</v>
      </c>
      <c r="Q214">
        <f t="shared" si="91"/>
        <v>0.5202128982841131</v>
      </c>
      <c r="R214">
        <f t="shared" si="92"/>
        <v>2.9401174475773981E-2</v>
      </c>
      <c r="S214">
        <f t="shared" si="94"/>
        <v>0.27626241432368165</v>
      </c>
      <c r="T214">
        <f t="shared" si="95"/>
        <v>0.22268848790040566</v>
      </c>
      <c r="U214">
        <f t="shared" si="96"/>
        <v>1.1747369863952572E-2</v>
      </c>
      <c r="V214">
        <f t="shared" si="97"/>
        <v>3.0238854048867413E-2</v>
      </c>
      <c r="W214">
        <f t="shared" si="98"/>
        <v>2.1988745817702524E-2</v>
      </c>
      <c r="X214">
        <f t="shared" si="99"/>
        <v>4.8929047846769526E-2</v>
      </c>
      <c r="Y214" s="1">
        <f t="shared" si="93"/>
        <v>39295</v>
      </c>
      <c r="Z214">
        <f t="shared" si="80"/>
        <v>4.6192102530568747E-2</v>
      </c>
      <c r="AA214">
        <f t="shared" si="81"/>
        <v>0.51659944331970042</v>
      </c>
      <c r="AB214">
        <f t="shared" si="82"/>
        <v>2.9606838328092328E-2</v>
      </c>
      <c r="AC214">
        <f t="shared" si="83"/>
        <v>0.26919909571624528</v>
      </c>
      <c r="AD214">
        <f t="shared" si="84"/>
        <v>0.22851647751445991</v>
      </c>
      <c r="AE214">
        <f t="shared" si="85"/>
        <v>1.2174658621098908E-2</v>
      </c>
      <c r="AF214">
        <f t="shared" si="86"/>
        <v>2.8421988220951693E-2</v>
      </c>
      <c r="AG214">
        <f t="shared" si="87"/>
        <v>2.2332477551119292E-2</v>
      </c>
      <c r="AH214">
        <f t="shared" si="88"/>
        <v>4.9481114401691943E-2</v>
      </c>
      <c r="AI214">
        <f t="shared" si="100"/>
        <v>145883.33333333334</v>
      </c>
      <c r="AJ214">
        <f t="shared" si="101"/>
        <v>79012.666666666672</v>
      </c>
      <c r="AK214">
        <f t="shared" si="102"/>
        <v>7065</v>
      </c>
    </row>
    <row r="215" spans="1:37" x14ac:dyDescent="0.25">
      <c r="A215" s="1">
        <v>39326</v>
      </c>
      <c r="B215" s="1">
        <v>39326</v>
      </c>
      <c r="C215">
        <v>1910</v>
      </c>
      <c r="D215">
        <v>1606</v>
      </c>
      <c r="E215">
        <v>1795</v>
      </c>
      <c r="F215">
        <v>3685</v>
      </c>
      <c r="G215">
        <v>1797</v>
      </c>
      <c r="H215">
        <v>4052</v>
      </c>
      <c r="I215">
        <v>79047</v>
      </c>
      <c r="J215">
        <v>146244</v>
      </c>
      <c r="K215">
        <v>7170</v>
      </c>
      <c r="L215">
        <v>4536</v>
      </c>
      <c r="M215">
        <f t="shared" si="89"/>
        <v>153414</v>
      </c>
      <c r="P215">
        <f t="shared" si="90"/>
        <v>4.673628221674684E-2</v>
      </c>
      <c r="Q215">
        <f t="shared" si="91"/>
        <v>0.51525284524228554</v>
      </c>
      <c r="R215">
        <f t="shared" si="92"/>
        <v>2.9567053854276663E-2</v>
      </c>
      <c r="S215">
        <f t="shared" si="94"/>
        <v>0.27027027027027029</v>
      </c>
      <c r="T215">
        <f t="shared" si="95"/>
        <v>0.22725343144191312</v>
      </c>
      <c r="U215">
        <f t="shared" si="96"/>
        <v>1.2321357477244959E-2</v>
      </c>
      <c r="V215">
        <f t="shared" si="97"/>
        <v>2.5294820224873355E-2</v>
      </c>
      <c r="W215">
        <f t="shared" si="98"/>
        <v>2.2614583071153507E-2</v>
      </c>
      <c r="X215">
        <f t="shared" si="99"/>
        <v>5.1260642402621223E-2</v>
      </c>
      <c r="Y215" s="1">
        <f t="shared" si="93"/>
        <v>39326</v>
      </c>
      <c r="Z215">
        <f t="shared" si="80"/>
        <v>4.6570242960462443E-2</v>
      </c>
      <c r="AA215">
        <f t="shared" si="81"/>
        <v>0.51699873663258156</v>
      </c>
      <c r="AB215">
        <f t="shared" si="82"/>
        <v>2.9247462156771622E-2</v>
      </c>
      <c r="AC215">
        <f t="shared" si="83"/>
        <v>0.27292599731485839</v>
      </c>
      <c r="AD215">
        <f t="shared" si="84"/>
        <v>0.22554065315422664</v>
      </c>
      <c r="AE215">
        <f t="shared" si="85"/>
        <v>1.2228856775586184E-2</v>
      </c>
      <c r="AF215">
        <f t="shared" si="86"/>
        <v>2.7635141606579348E-2</v>
      </c>
      <c r="AG215">
        <f t="shared" si="87"/>
        <v>2.2439296871161623E-2</v>
      </c>
      <c r="AH215">
        <f t="shared" si="88"/>
        <v>4.9217476593657807E-2</v>
      </c>
      <c r="AI215">
        <f t="shared" si="100"/>
        <v>145943.66666666666</v>
      </c>
      <c r="AJ215">
        <f t="shared" si="101"/>
        <v>79137.666666666672</v>
      </c>
      <c r="AK215">
        <f t="shared" si="102"/>
        <v>7128.666666666667</v>
      </c>
    </row>
    <row r="216" spans="1:37" x14ac:dyDescent="0.25">
      <c r="A216" s="1">
        <v>39356</v>
      </c>
      <c r="B216" s="1">
        <v>39356</v>
      </c>
      <c r="C216">
        <v>1907</v>
      </c>
      <c r="D216">
        <v>1637</v>
      </c>
      <c r="E216">
        <v>1818</v>
      </c>
      <c r="F216">
        <v>4277</v>
      </c>
      <c r="G216">
        <v>1774</v>
      </c>
      <c r="H216">
        <v>3818</v>
      </c>
      <c r="I216">
        <v>79532</v>
      </c>
      <c r="J216">
        <v>145946</v>
      </c>
      <c r="K216">
        <v>7237</v>
      </c>
      <c r="L216">
        <v>4275</v>
      </c>
      <c r="M216">
        <f t="shared" si="89"/>
        <v>153183</v>
      </c>
      <c r="P216">
        <f t="shared" si="90"/>
        <v>4.7244145890862566E-2</v>
      </c>
      <c r="Q216">
        <f t="shared" si="91"/>
        <v>0.51919599433357488</v>
      </c>
      <c r="R216">
        <f t="shared" si="92"/>
        <v>2.7907796557059203E-2</v>
      </c>
      <c r="S216">
        <f t="shared" si="94"/>
        <v>0.26596931659693168</v>
      </c>
      <c r="T216">
        <f t="shared" si="95"/>
        <v>0.22831241283124129</v>
      </c>
      <c r="U216">
        <f t="shared" si="96"/>
        <v>1.2431279231968491E-2</v>
      </c>
      <c r="V216">
        <f t="shared" si="97"/>
        <v>2.9245644265747654E-2</v>
      </c>
      <c r="W216">
        <f t="shared" si="98"/>
        <v>2.2442344427998532E-2</v>
      </c>
      <c r="X216">
        <f t="shared" si="99"/>
        <v>4.8005834129658503E-2</v>
      </c>
      <c r="Y216" s="1">
        <f t="shared" si="93"/>
        <v>39356</v>
      </c>
      <c r="Z216">
        <f t="shared" si="80"/>
        <v>4.6748623369076564E-2</v>
      </c>
      <c r="AA216">
        <f t="shared" si="81"/>
        <v>0.51822057928665777</v>
      </c>
      <c r="AB216">
        <f t="shared" si="82"/>
        <v>2.8958674962369951E-2</v>
      </c>
      <c r="AC216">
        <f t="shared" si="83"/>
        <v>0.27083400039696121</v>
      </c>
      <c r="AD216">
        <f t="shared" si="84"/>
        <v>0.22608477739118668</v>
      </c>
      <c r="AE216">
        <f t="shared" si="85"/>
        <v>1.2166668857722008E-2</v>
      </c>
      <c r="AF216">
        <f t="shared" si="86"/>
        <v>2.825977284649614E-2</v>
      </c>
      <c r="AG216">
        <f t="shared" si="87"/>
        <v>2.2348557772284852E-2</v>
      </c>
      <c r="AH216">
        <f t="shared" si="88"/>
        <v>4.9398508126349751E-2</v>
      </c>
      <c r="AI216">
        <f t="shared" si="100"/>
        <v>145957.33333333334</v>
      </c>
      <c r="AJ216">
        <f t="shared" si="101"/>
        <v>79347</v>
      </c>
      <c r="AK216">
        <f t="shared" si="102"/>
        <v>7158</v>
      </c>
    </row>
    <row r="217" spans="1:37" x14ac:dyDescent="0.25">
      <c r="A217" s="1">
        <v>39387</v>
      </c>
      <c r="B217" s="1">
        <v>39387</v>
      </c>
      <c r="C217">
        <v>1956</v>
      </c>
      <c r="D217">
        <v>1697</v>
      </c>
      <c r="E217">
        <v>1725</v>
      </c>
      <c r="F217">
        <v>3772</v>
      </c>
      <c r="G217">
        <v>1902</v>
      </c>
      <c r="H217">
        <v>4122</v>
      </c>
      <c r="I217">
        <v>79104</v>
      </c>
      <c r="J217">
        <v>146595</v>
      </c>
      <c r="K217">
        <v>7240</v>
      </c>
      <c r="L217">
        <v>4396</v>
      </c>
      <c r="M217">
        <f t="shared" si="89"/>
        <v>153835</v>
      </c>
      <c r="P217">
        <f t="shared" si="90"/>
        <v>4.7063412097377057E-2</v>
      </c>
      <c r="Q217">
        <f t="shared" si="91"/>
        <v>0.51421328046283354</v>
      </c>
      <c r="R217">
        <f t="shared" si="92"/>
        <v>2.8576071765202979E-2</v>
      </c>
      <c r="S217">
        <f t="shared" si="94"/>
        <v>0.27027773939477684</v>
      </c>
      <c r="T217">
        <f t="shared" si="95"/>
        <v>0.23448942932154207</v>
      </c>
      <c r="U217">
        <f t="shared" si="96"/>
        <v>1.1819440066874048E-2</v>
      </c>
      <c r="V217">
        <f t="shared" si="97"/>
        <v>2.5845175612897921E-2</v>
      </c>
      <c r="W217">
        <f t="shared" si="98"/>
        <v>2.3914902177739776E-2</v>
      </c>
      <c r="X217">
        <f t="shared" si="99"/>
        <v>5.210861650485437E-2</v>
      </c>
      <c r="Y217" s="1">
        <f t="shared" si="93"/>
        <v>39387</v>
      </c>
      <c r="Z217">
        <f t="shared" si="80"/>
        <v>4.7014613401662152E-2</v>
      </c>
      <c r="AA217">
        <f t="shared" si="81"/>
        <v>0.51622070667956466</v>
      </c>
      <c r="AB217">
        <f t="shared" si="82"/>
        <v>2.8683640725512948E-2</v>
      </c>
      <c r="AC217">
        <f t="shared" si="83"/>
        <v>0.26883910875399292</v>
      </c>
      <c r="AD217">
        <f t="shared" si="84"/>
        <v>0.23001842453156549</v>
      </c>
      <c r="AE217">
        <f t="shared" si="85"/>
        <v>1.2190692258695832E-2</v>
      </c>
      <c r="AF217">
        <f t="shared" si="86"/>
        <v>2.6795213367839646E-2</v>
      </c>
      <c r="AG217">
        <f t="shared" si="87"/>
        <v>2.2990609892297269E-2</v>
      </c>
      <c r="AH217">
        <f t="shared" si="88"/>
        <v>5.0458364345711361E-2</v>
      </c>
      <c r="AI217">
        <f t="shared" si="100"/>
        <v>146261.66666666666</v>
      </c>
      <c r="AJ217">
        <f t="shared" si="101"/>
        <v>79227.666666666672</v>
      </c>
      <c r="AK217">
        <f t="shared" si="102"/>
        <v>7215.666666666667</v>
      </c>
    </row>
    <row r="218" spans="1:37" x14ac:dyDescent="0.25">
      <c r="A218" s="1">
        <v>39417</v>
      </c>
      <c r="B218" s="1">
        <v>39417</v>
      </c>
      <c r="C218">
        <v>1951</v>
      </c>
      <c r="D218">
        <v>1496</v>
      </c>
      <c r="E218">
        <v>1866</v>
      </c>
      <c r="F218">
        <v>4160</v>
      </c>
      <c r="G218">
        <v>1974</v>
      </c>
      <c r="H218">
        <v>3668</v>
      </c>
      <c r="I218">
        <v>79238</v>
      </c>
      <c r="J218">
        <v>146273</v>
      </c>
      <c r="K218">
        <v>7645</v>
      </c>
      <c r="L218">
        <v>4256</v>
      </c>
      <c r="M218">
        <f t="shared" si="89"/>
        <v>153918</v>
      </c>
      <c r="P218">
        <f t="shared" si="90"/>
        <v>4.9669304434828934E-2</v>
      </c>
      <c r="Q218">
        <f t="shared" si="91"/>
        <v>0.5148065853246534</v>
      </c>
      <c r="R218">
        <f t="shared" si="92"/>
        <v>2.7651086942397901E-2</v>
      </c>
      <c r="S218">
        <f t="shared" si="94"/>
        <v>0.26947513812154694</v>
      </c>
      <c r="T218">
        <f t="shared" si="95"/>
        <v>0.20662983425414364</v>
      </c>
      <c r="U218">
        <f t="shared" si="96"/>
        <v>1.2728947099150721E-2</v>
      </c>
      <c r="V218">
        <f t="shared" si="97"/>
        <v>2.8377502643337084E-2</v>
      </c>
      <c r="W218">
        <f t="shared" si="98"/>
        <v>2.4954490291262135E-2</v>
      </c>
      <c r="X218">
        <f t="shared" si="99"/>
        <v>4.6290921022741613E-2</v>
      </c>
      <c r="Y218" s="1">
        <f t="shared" si="93"/>
        <v>39417</v>
      </c>
      <c r="Z218">
        <f t="shared" si="80"/>
        <v>4.7992287474356188E-2</v>
      </c>
      <c r="AA218">
        <f t="shared" si="81"/>
        <v>0.51607195337368728</v>
      </c>
      <c r="AB218">
        <f t="shared" si="82"/>
        <v>2.8044985088220026E-2</v>
      </c>
      <c r="AC218">
        <f t="shared" si="83"/>
        <v>0.26857406470441852</v>
      </c>
      <c r="AD218">
        <f t="shared" si="84"/>
        <v>0.22314389213564234</v>
      </c>
      <c r="AE218">
        <f t="shared" si="85"/>
        <v>1.2326555465997752E-2</v>
      </c>
      <c r="AF218">
        <f t="shared" si="86"/>
        <v>2.782277417399422E-2</v>
      </c>
      <c r="AG218">
        <f t="shared" si="87"/>
        <v>2.3770578965666814E-2</v>
      </c>
      <c r="AH218">
        <f t="shared" si="88"/>
        <v>4.8801790552418157E-2</v>
      </c>
      <c r="AI218">
        <f t="shared" si="100"/>
        <v>146271.33333333334</v>
      </c>
      <c r="AJ218">
        <f t="shared" si="101"/>
        <v>79291.333333333328</v>
      </c>
      <c r="AK218">
        <f t="shared" si="102"/>
        <v>7374</v>
      </c>
    </row>
    <row r="219" spans="1:37" x14ac:dyDescent="0.25">
      <c r="A219" s="1">
        <v>39448</v>
      </c>
      <c r="B219" s="1">
        <v>39448</v>
      </c>
      <c r="C219">
        <v>2034</v>
      </c>
      <c r="D219">
        <v>1567</v>
      </c>
      <c r="E219">
        <v>1780</v>
      </c>
      <c r="F219">
        <v>3630</v>
      </c>
      <c r="G219">
        <v>1851</v>
      </c>
      <c r="H219">
        <v>3964</v>
      </c>
      <c r="I219">
        <v>78553</v>
      </c>
      <c r="J219">
        <v>146378</v>
      </c>
      <c r="K219">
        <v>7685</v>
      </c>
      <c r="L219">
        <v>4224</v>
      </c>
      <c r="M219">
        <f t="shared" si="89"/>
        <v>154063</v>
      </c>
      <c r="P219">
        <f t="shared" si="90"/>
        <v>4.9882191051712613E-2</v>
      </c>
      <c r="Q219">
        <f t="shared" si="91"/>
        <v>0.50987583001759018</v>
      </c>
      <c r="R219">
        <f t="shared" si="92"/>
        <v>2.7417355237792332E-2</v>
      </c>
      <c r="S219">
        <f t="shared" si="94"/>
        <v>0.26605624591236104</v>
      </c>
      <c r="T219">
        <f t="shared" si="95"/>
        <v>0.20497056899934599</v>
      </c>
      <c r="U219">
        <f t="shared" si="96"/>
        <v>1.2169026409521921E-2</v>
      </c>
      <c r="V219">
        <f t="shared" si="97"/>
        <v>2.4816610037395829E-2</v>
      </c>
      <c r="W219">
        <f t="shared" si="98"/>
        <v>2.3360004038466393E-2</v>
      </c>
      <c r="X219">
        <f t="shared" si="99"/>
        <v>5.0462744898348885E-2</v>
      </c>
      <c r="Y219" s="1">
        <f t="shared" si="93"/>
        <v>39448</v>
      </c>
      <c r="Z219">
        <f t="shared" si="80"/>
        <v>4.8871635861306197E-2</v>
      </c>
      <c r="AA219">
        <f t="shared" si="81"/>
        <v>0.51296523193502575</v>
      </c>
      <c r="AB219">
        <f t="shared" si="82"/>
        <v>2.7881504648464405E-2</v>
      </c>
      <c r="AC219">
        <f t="shared" si="83"/>
        <v>0.26860304114289496</v>
      </c>
      <c r="AD219">
        <f t="shared" si="84"/>
        <v>0.21536327752501058</v>
      </c>
      <c r="AE219">
        <f t="shared" si="85"/>
        <v>1.2239137858515563E-2</v>
      </c>
      <c r="AF219">
        <f t="shared" si="86"/>
        <v>2.6346429431210277E-2</v>
      </c>
      <c r="AG219">
        <f t="shared" si="87"/>
        <v>2.4076465502489434E-2</v>
      </c>
      <c r="AH219">
        <f t="shared" si="88"/>
        <v>4.962076080864828E-2</v>
      </c>
      <c r="AI219">
        <f t="shared" si="100"/>
        <v>146415.33333333334</v>
      </c>
      <c r="AJ219">
        <f t="shared" si="101"/>
        <v>78965</v>
      </c>
      <c r="AK219">
        <f t="shared" si="102"/>
        <v>7523.333333333333</v>
      </c>
    </row>
    <row r="220" spans="1:37" x14ac:dyDescent="0.25">
      <c r="A220" s="1">
        <v>39479</v>
      </c>
      <c r="B220" s="1">
        <v>39479</v>
      </c>
      <c r="C220">
        <v>1965</v>
      </c>
      <c r="D220">
        <v>1873</v>
      </c>
      <c r="E220">
        <v>1817</v>
      </c>
      <c r="F220">
        <v>4048</v>
      </c>
      <c r="G220">
        <v>1818</v>
      </c>
      <c r="H220">
        <v>3645</v>
      </c>
      <c r="I220">
        <v>79156</v>
      </c>
      <c r="J220">
        <v>146156</v>
      </c>
      <c r="K220">
        <v>7497</v>
      </c>
      <c r="L220">
        <v>4026</v>
      </c>
      <c r="M220">
        <f t="shared" si="89"/>
        <v>153653</v>
      </c>
      <c r="P220">
        <f t="shared" si="90"/>
        <v>4.8791758052234582E-2</v>
      </c>
      <c r="Q220">
        <f t="shared" si="91"/>
        <v>0.51516078436476997</v>
      </c>
      <c r="R220">
        <f t="shared" si="92"/>
        <v>2.6201896481031935E-2</v>
      </c>
      <c r="S220">
        <f t="shared" si="94"/>
        <v>0.25569290826284968</v>
      </c>
      <c r="T220">
        <f t="shared" si="95"/>
        <v>0.24372153545868575</v>
      </c>
      <c r="U220">
        <f t="shared" si="96"/>
        <v>1.2413067537471479E-2</v>
      </c>
      <c r="V220">
        <f t="shared" si="97"/>
        <v>2.7654428944240254E-2</v>
      </c>
      <c r="W220">
        <f t="shared" si="98"/>
        <v>2.314361004672005E-2</v>
      </c>
      <c r="X220">
        <f t="shared" si="99"/>
        <v>4.6048309666986711E-2</v>
      </c>
      <c r="Y220" s="1">
        <f t="shared" si="93"/>
        <v>39479</v>
      </c>
      <c r="Z220">
        <f t="shared" si="80"/>
        <v>4.9447751179592048E-2</v>
      </c>
      <c r="AA220">
        <f t="shared" si="81"/>
        <v>0.51328106656900452</v>
      </c>
      <c r="AB220">
        <f t="shared" si="82"/>
        <v>2.7090112887074056E-2</v>
      </c>
      <c r="AC220">
        <f t="shared" si="83"/>
        <v>0.26374143076558587</v>
      </c>
      <c r="AD220">
        <f t="shared" si="84"/>
        <v>0.21844064623739179</v>
      </c>
      <c r="AE220">
        <f t="shared" si="85"/>
        <v>1.243701368204804E-2</v>
      </c>
      <c r="AF220">
        <f t="shared" si="86"/>
        <v>2.6949513874991057E-2</v>
      </c>
      <c r="AG220">
        <f t="shared" si="87"/>
        <v>2.3819368125482857E-2</v>
      </c>
      <c r="AH220">
        <f t="shared" si="88"/>
        <v>4.7600658529359074E-2</v>
      </c>
      <c r="AI220">
        <f t="shared" si="100"/>
        <v>146269</v>
      </c>
      <c r="AJ220">
        <f t="shared" si="101"/>
        <v>78982.333333333328</v>
      </c>
      <c r="AK220">
        <f t="shared" si="102"/>
        <v>7609</v>
      </c>
    </row>
    <row r="221" spans="1:37" x14ac:dyDescent="0.25">
      <c r="A221" s="1">
        <v>39508</v>
      </c>
      <c r="B221" s="1">
        <v>39508</v>
      </c>
      <c r="C221">
        <v>1996</v>
      </c>
      <c r="D221">
        <v>1712</v>
      </c>
      <c r="E221">
        <v>2005</v>
      </c>
      <c r="F221">
        <v>3957</v>
      </c>
      <c r="G221">
        <v>2005</v>
      </c>
      <c r="H221">
        <v>3830</v>
      </c>
      <c r="I221">
        <v>79087</v>
      </c>
      <c r="J221">
        <v>146086</v>
      </c>
      <c r="K221">
        <v>7822</v>
      </c>
      <c r="L221">
        <v>4003</v>
      </c>
      <c r="M221">
        <f t="shared" si="89"/>
        <v>153908</v>
      </c>
      <c r="P221">
        <f t="shared" si="90"/>
        <v>5.0822569327130494E-2</v>
      </c>
      <c r="Q221">
        <f t="shared" si="91"/>
        <v>0.5138589287106583</v>
      </c>
      <c r="R221">
        <f t="shared" si="92"/>
        <v>2.6009044364165606E-2</v>
      </c>
      <c r="S221">
        <f t="shared" si="94"/>
        <v>0.26623982926503936</v>
      </c>
      <c r="T221">
        <f t="shared" si="95"/>
        <v>0.22835800987061491</v>
      </c>
      <c r="U221">
        <f t="shared" si="96"/>
        <v>1.371821888940584E-2</v>
      </c>
      <c r="V221">
        <f t="shared" si="97"/>
        <v>2.707381154382988E-2</v>
      </c>
      <c r="W221">
        <f t="shared" si="98"/>
        <v>2.5329728637121633E-2</v>
      </c>
      <c r="X221">
        <f t="shared" si="99"/>
        <v>4.8427680908366737E-2</v>
      </c>
      <c r="Y221" s="1">
        <f t="shared" si="93"/>
        <v>39508</v>
      </c>
      <c r="Z221">
        <f t="shared" si="80"/>
        <v>4.9832172810359232E-2</v>
      </c>
      <c r="AA221">
        <f t="shared" si="81"/>
        <v>0.51296518103100619</v>
      </c>
      <c r="AB221">
        <f t="shared" si="82"/>
        <v>2.6542765360996628E-2</v>
      </c>
      <c r="AC221">
        <f t="shared" si="83"/>
        <v>0.26266299448008334</v>
      </c>
      <c r="AD221">
        <f t="shared" si="84"/>
        <v>0.22568337144288222</v>
      </c>
      <c r="AE221">
        <f t="shared" si="85"/>
        <v>1.2766770945466412E-2</v>
      </c>
      <c r="AF221">
        <f t="shared" si="86"/>
        <v>2.651495017515532E-2</v>
      </c>
      <c r="AG221">
        <f t="shared" si="87"/>
        <v>2.394444757410269E-2</v>
      </c>
      <c r="AH221">
        <f t="shared" si="88"/>
        <v>4.8312911824567449E-2</v>
      </c>
      <c r="AI221">
        <f t="shared" si="100"/>
        <v>146206.66666666666</v>
      </c>
      <c r="AJ221">
        <f t="shared" si="101"/>
        <v>78932</v>
      </c>
      <c r="AK221">
        <f t="shared" si="102"/>
        <v>7668</v>
      </c>
    </row>
    <row r="222" spans="1:37" x14ac:dyDescent="0.25">
      <c r="A222" s="1">
        <v>39539</v>
      </c>
      <c r="B222" s="1">
        <v>39539</v>
      </c>
      <c r="C222">
        <v>2122</v>
      </c>
      <c r="D222">
        <v>1905</v>
      </c>
      <c r="E222">
        <v>1915</v>
      </c>
      <c r="F222">
        <v>3886</v>
      </c>
      <c r="G222">
        <v>1911</v>
      </c>
      <c r="H222">
        <v>3695</v>
      </c>
      <c r="I222">
        <v>79429</v>
      </c>
      <c r="J222">
        <v>146132</v>
      </c>
      <c r="K222">
        <v>7637</v>
      </c>
      <c r="L222">
        <v>3906</v>
      </c>
      <c r="M222">
        <f t="shared" si="89"/>
        <v>153769</v>
      </c>
      <c r="P222">
        <f t="shared" si="90"/>
        <v>4.9665407201711656E-2</v>
      </c>
      <c r="Q222">
        <f t="shared" si="91"/>
        <v>0.51654754859562069</v>
      </c>
      <c r="R222">
        <f t="shared" si="92"/>
        <v>2.5401738972094506E-2</v>
      </c>
      <c r="S222">
        <f t="shared" si="94"/>
        <v>0.27128611608284325</v>
      </c>
      <c r="T222">
        <f t="shared" si="95"/>
        <v>0.24354385067757606</v>
      </c>
      <c r="U222">
        <f t="shared" si="96"/>
        <v>1.3108716783264652E-2</v>
      </c>
      <c r="V222">
        <f t="shared" si="97"/>
        <v>2.6600769409799708E-2</v>
      </c>
      <c r="W222">
        <f t="shared" si="98"/>
        <v>2.4163263241746433E-2</v>
      </c>
      <c r="X222">
        <f t="shared" si="99"/>
        <v>4.6519533167986502E-2</v>
      </c>
      <c r="Y222" s="1">
        <f t="shared" si="93"/>
        <v>39539</v>
      </c>
      <c r="Z222">
        <f t="shared" si="80"/>
        <v>4.975991152702558E-2</v>
      </c>
      <c r="AA222">
        <f t="shared" si="81"/>
        <v>0.51518908722368295</v>
      </c>
      <c r="AB222">
        <f t="shared" si="82"/>
        <v>2.5870893272430681E-2</v>
      </c>
      <c r="AC222">
        <f t="shared" si="83"/>
        <v>0.26440628453691079</v>
      </c>
      <c r="AD222">
        <f t="shared" si="84"/>
        <v>0.23854113200229224</v>
      </c>
      <c r="AE222">
        <f t="shared" si="85"/>
        <v>1.3080001070047323E-2</v>
      </c>
      <c r="AF222">
        <f t="shared" si="86"/>
        <v>2.7109669965956613E-2</v>
      </c>
      <c r="AG222">
        <f t="shared" si="87"/>
        <v>2.4212200641862705E-2</v>
      </c>
      <c r="AH222">
        <f t="shared" si="88"/>
        <v>4.6998507914446652E-2</v>
      </c>
      <c r="AI222">
        <f t="shared" si="100"/>
        <v>146124.66666666666</v>
      </c>
      <c r="AJ222">
        <f t="shared" si="101"/>
        <v>79224</v>
      </c>
      <c r="AK222">
        <f t="shared" si="102"/>
        <v>7652</v>
      </c>
    </row>
    <row r="223" spans="1:37" x14ac:dyDescent="0.25">
      <c r="A223" s="1">
        <v>39569</v>
      </c>
      <c r="B223" s="1">
        <v>39569</v>
      </c>
      <c r="C223">
        <v>1900</v>
      </c>
      <c r="D223">
        <v>1666</v>
      </c>
      <c r="E223">
        <v>2054</v>
      </c>
      <c r="F223">
        <v>3819</v>
      </c>
      <c r="G223">
        <v>2250</v>
      </c>
      <c r="H223">
        <v>3715</v>
      </c>
      <c r="I223">
        <v>79102</v>
      </c>
      <c r="J223">
        <v>145908</v>
      </c>
      <c r="K223">
        <v>8395</v>
      </c>
      <c r="L223">
        <v>3947</v>
      </c>
      <c r="M223">
        <f t="shared" si="89"/>
        <v>154303</v>
      </c>
      <c r="P223">
        <f t="shared" si="90"/>
        <v>5.4405941556547828E-2</v>
      </c>
      <c r="Q223">
        <f t="shared" si="91"/>
        <v>0.51264071340155404</v>
      </c>
      <c r="R223">
        <f t="shared" si="92"/>
        <v>2.5579541551363227E-2</v>
      </c>
      <c r="S223">
        <f t="shared" si="94"/>
        <v>0.24878879141023963</v>
      </c>
      <c r="T223">
        <f t="shared" si="95"/>
        <v>0.21814848762603117</v>
      </c>
      <c r="U223">
        <f t="shared" si="96"/>
        <v>1.405578518052172E-2</v>
      </c>
      <c r="V223">
        <f t="shared" si="97"/>
        <v>2.6133906331262148E-2</v>
      </c>
      <c r="W223">
        <f t="shared" si="98"/>
        <v>2.8327185284971485E-2</v>
      </c>
      <c r="X223">
        <f t="shared" si="99"/>
        <v>4.6964678516345983E-2</v>
      </c>
      <c r="Y223" s="1">
        <f t="shared" si="93"/>
        <v>39569</v>
      </c>
      <c r="Z223">
        <f t="shared" si="80"/>
        <v>5.1631306028463324E-2</v>
      </c>
      <c r="AA223">
        <f t="shared" si="81"/>
        <v>0.51434906356927768</v>
      </c>
      <c r="AB223">
        <f t="shared" si="82"/>
        <v>2.5663441629207778E-2</v>
      </c>
      <c r="AC223">
        <f t="shared" si="83"/>
        <v>0.26210491225270743</v>
      </c>
      <c r="AD223">
        <f t="shared" si="84"/>
        <v>0.23001678272474071</v>
      </c>
      <c r="AE223">
        <f t="shared" si="85"/>
        <v>1.3627573617730737E-2</v>
      </c>
      <c r="AF223">
        <f t="shared" si="86"/>
        <v>2.660282909496391E-2</v>
      </c>
      <c r="AG223">
        <f t="shared" si="87"/>
        <v>2.594005905461318E-2</v>
      </c>
      <c r="AH223">
        <f t="shared" si="88"/>
        <v>4.7303964197566405E-2</v>
      </c>
      <c r="AI223">
        <f t="shared" si="100"/>
        <v>146042</v>
      </c>
      <c r="AJ223">
        <f t="shared" si="101"/>
        <v>79206</v>
      </c>
      <c r="AK223">
        <f t="shared" si="102"/>
        <v>7951.333333333333</v>
      </c>
    </row>
    <row r="224" spans="1:37" x14ac:dyDescent="0.25">
      <c r="A224" s="1">
        <v>39600</v>
      </c>
      <c r="B224" s="1">
        <v>39600</v>
      </c>
      <c r="C224">
        <v>2016</v>
      </c>
      <c r="D224">
        <v>1819</v>
      </c>
      <c r="E224">
        <v>1996</v>
      </c>
      <c r="F224">
        <v>4031</v>
      </c>
      <c r="G224">
        <v>2000</v>
      </c>
      <c r="H224">
        <v>3765</v>
      </c>
      <c r="I224">
        <v>79314</v>
      </c>
      <c r="J224">
        <v>145737</v>
      </c>
      <c r="K224">
        <v>8575</v>
      </c>
      <c r="L224">
        <v>3777</v>
      </c>
      <c r="M224">
        <f t="shared" si="89"/>
        <v>154312</v>
      </c>
      <c r="P224">
        <f t="shared" si="90"/>
        <v>5.5569236352325156E-2</v>
      </c>
      <c r="Q224">
        <f t="shared" si="91"/>
        <v>0.51398465446627617</v>
      </c>
      <c r="R224">
        <f t="shared" si="92"/>
        <v>2.4476385504691792E-2</v>
      </c>
      <c r="S224">
        <f t="shared" si="94"/>
        <v>0.24014294222751636</v>
      </c>
      <c r="T224">
        <f t="shared" si="95"/>
        <v>0.21667659321024418</v>
      </c>
      <c r="U224">
        <f t="shared" si="96"/>
        <v>1.36798530580914E-2</v>
      </c>
      <c r="V224">
        <f t="shared" si="97"/>
        <v>2.762699783425172E-2</v>
      </c>
      <c r="W224">
        <f t="shared" si="98"/>
        <v>2.5283810775960154E-2</v>
      </c>
      <c r="X224">
        <f t="shared" si="99"/>
        <v>4.7469551403283156E-2</v>
      </c>
      <c r="Y224" s="1">
        <f t="shared" si="93"/>
        <v>39600</v>
      </c>
      <c r="Z224">
        <f t="shared" si="80"/>
        <v>5.3213528370194885E-2</v>
      </c>
      <c r="AA224">
        <f t="shared" si="81"/>
        <v>0.51439097215448359</v>
      </c>
      <c r="AB224">
        <f t="shared" si="82"/>
        <v>2.5152555342716505E-2</v>
      </c>
      <c r="AC224">
        <f t="shared" si="83"/>
        <v>0.25340594990686638</v>
      </c>
      <c r="AD224">
        <f t="shared" si="84"/>
        <v>0.22612297717128382</v>
      </c>
      <c r="AE224">
        <f t="shared" si="85"/>
        <v>1.3614785007292589E-2</v>
      </c>
      <c r="AF224">
        <f t="shared" si="86"/>
        <v>2.6787224525104528E-2</v>
      </c>
      <c r="AG224">
        <f t="shared" si="87"/>
        <v>2.5924753100892688E-2</v>
      </c>
      <c r="AH224">
        <f t="shared" si="88"/>
        <v>4.6984587695871882E-2</v>
      </c>
      <c r="AI224">
        <f t="shared" si="100"/>
        <v>145925.66666666666</v>
      </c>
      <c r="AJ224">
        <f t="shared" si="101"/>
        <v>79281.666666666672</v>
      </c>
      <c r="AK224">
        <f t="shared" si="102"/>
        <v>8202.3333333333339</v>
      </c>
    </row>
    <row r="225" spans="1:37" x14ac:dyDescent="0.25">
      <c r="A225" s="1">
        <v>39630</v>
      </c>
      <c r="B225" s="1">
        <v>39630</v>
      </c>
      <c r="C225">
        <v>2052</v>
      </c>
      <c r="D225">
        <v>1736</v>
      </c>
      <c r="E225">
        <v>1967</v>
      </c>
      <c r="F225">
        <v>3974</v>
      </c>
      <c r="G225">
        <v>2153</v>
      </c>
      <c r="H225">
        <v>3733</v>
      </c>
      <c r="I225">
        <v>79395</v>
      </c>
      <c r="J225">
        <v>145532</v>
      </c>
      <c r="K225">
        <v>8937</v>
      </c>
      <c r="L225">
        <v>3784</v>
      </c>
      <c r="M225">
        <f t="shared" si="89"/>
        <v>154469</v>
      </c>
      <c r="P225">
        <f t="shared" si="90"/>
        <v>5.7856268895377067E-2</v>
      </c>
      <c r="Q225">
        <f t="shared" si="91"/>
        <v>0.51398662514808802</v>
      </c>
      <c r="R225">
        <f t="shared" si="92"/>
        <v>2.4496824605584291E-2</v>
      </c>
      <c r="S225">
        <f t="shared" si="94"/>
        <v>0.2393002915451895</v>
      </c>
      <c r="T225">
        <f t="shared" si="95"/>
        <v>0.20244897959183675</v>
      </c>
      <c r="U225">
        <f t="shared" si="96"/>
        <v>1.3496915676869978E-2</v>
      </c>
      <c r="V225">
        <f t="shared" si="97"/>
        <v>2.7268298373096744E-2</v>
      </c>
      <c r="W225">
        <f t="shared" si="98"/>
        <v>2.7145270696220088E-2</v>
      </c>
      <c r="X225">
        <f t="shared" si="99"/>
        <v>4.7018074186031864E-2</v>
      </c>
      <c r="Y225" s="1">
        <f t="shared" si="93"/>
        <v>39630</v>
      </c>
      <c r="Z225">
        <f t="shared" si="80"/>
        <v>5.5943815601416681E-2</v>
      </c>
      <c r="AA225">
        <f t="shared" si="81"/>
        <v>0.51353733100530607</v>
      </c>
      <c r="AB225">
        <f t="shared" si="82"/>
        <v>2.4850917220546439E-2</v>
      </c>
      <c r="AC225">
        <f t="shared" si="83"/>
        <v>0.24274400839431517</v>
      </c>
      <c r="AD225">
        <f t="shared" si="84"/>
        <v>0.21242468680937068</v>
      </c>
      <c r="AE225">
        <f t="shared" si="85"/>
        <v>1.3744184638494366E-2</v>
      </c>
      <c r="AF225">
        <f t="shared" si="86"/>
        <v>2.7009734179536869E-2</v>
      </c>
      <c r="AG225">
        <f t="shared" si="87"/>
        <v>2.6918755585717241E-2</v>
      </c>
      <c r="AH225">
        <f t="shared" si="88"/>
        <v>4.7150768035220336E-2</v>
      </c>
      <c r="AI225">
        <f t="shared" si="100"/>
        <v>145725.66666666666</v>
      </c>
      <c r="AJ225">
        <f t="shared" si="101"/>
        <v>79270.333333333328</v>
      </c>
      <c r="AK225">
        <f t="shared" si="102"/>
        <v>8635.6666666666661</v>
      </c>
    </row>
    <row r="226" spans="1:37" x14ac:dyDescent="0.25">
      <c r="A226" s="1">
        <v>39661</v>
      </c>
      <c r="B226" s="1">
        <v>39661</v>
      </c>
      <c r="C226">
        <v>2087</v>
      </c>
      <c r="D226">
        <v>1919</v>
      </c>
      <c r="E226">
        <v>2288</v>
      </c>
      <c r="F226">
        <v>3756</v>
      </c>
      <c r="G226">
        <v>2189</v>
      </c>
      <c r="H226">
        <v>3564</v>
      </c>
      <c r="I226">
        <v>79466</v>
      </c>
      <c r="J226">
        <v>145203</v>
      </c>
      <c r="K226">
        <v>9438</v>
      </c>
      <c r="L226">
        <v>3643</v>
      </c>
      <c r="M226">
        <f t="shared" si="89"/>
        <v>154641</v>
      </c>
      <c r="P226">
        <f t="shared" si="90"/>
        <v>6.1031679826178048E-2</v>
      </c>
      <c r="Q226">
        <f t="shared" si="91"/>
        <v>0.51387406961931181</v>
      </c>
      <c r="R226">
        <f t="shared" si="92"/>
        <v>2.3557788684760186E-2</v>
      </c>
      <c r="S226">
        <f t="shared" si="94"/>
        <v>0.23352355376524561</v>
      </c>
      <c r="T226">
        <f t="shared" si="95"/>
        <v>0.21472529931744433</v>
      </c>
      <c r="U226">
        <f t="shared" si="96"/>
        <v>1.5721628232965947E-2</v>
      </c>
      <c r="V226">
        <f t="shared" si="97"/>
        <v>2.5808756836984307E-2</v>
      </c>
      <c r="W226">
        <f t="shared" si="98"/>
        <v>2.7571005730839475E-2</v>
      </c>
      <c r="X226">
        <f t="shared" si="99"/>
        <v>4.4849369541690783E-2</v>
      </c>
      <c r="Y226" s="1">
        <f t="shared" si="93"/>
        <v>39661</v>
      </c>
      <c r="Z226">
        <f t="shared" ref="Z226:Z286" si="103">IF(ISNUMBER(P224),AVERAGE(P224:P226),NA())</f>
        <v>5.8152395024626762E-2</v>
      </c>
      <c r="AA226">
        <f t="shared" si="81"/>
        <v>0.51394844974455867</v>
      </c>
      <c r="AB226">
        <f t="shared" si="82"/>
        <v>2.4176999598345423E-2</v>
      </c>
      <c r="AC226">
        <f t="shared" si="83"/>
        <v>0.23765559584598384</v>
      </c>
      <c r="AD226">
        <f t="shared" si="84"/>
        <v>0.21128362403984177</v>
      </c>
      <c r="AE226">
        <f t="shared" si="85"/>
        <v>1.4299465655975776E-2</v>
      </c>
      <c r="AF226">
        <f t="shared" si="86"/>
        <v>2.6901351014777589E-2</v>
      </c>
      <c r="AG226">
        <f t="shared" si="87"/>
        <v>2.6666695734339902E-2</v>
      </c>
      <c r="AH226">
        <f t="shared" si="88"/>
        <v>4.6445665043668601E-2</v>
      </c>
      <c r="AI226">
        <f t="shared" si="100"/>
        <v>145490.66666666666</v>
      </c>
      <c r="AJ226">
        <f t="shared" si="101"/>
        <v>79391.666666666672</v>
      </c>
      <c r="AK226">
        <f t="shared" si="102"/>
        <v>8983.3333333333339</v>
      </c>
    </row>
    <row r="227" spans="1:37" x14ac:dyDescent="0.25">
      <c r="A227" s="1">
        <v>39692</v>
      </c>
      <c r="B227" s="1">
        <v>39692</v>
      </c>
      <c r="C227">
        <v>2293</v>
      </c>
      <c r="D227">
        <v>2091</v>
      </c>
      <c r="E227">
        <v>2140</v>
      </c>
      <c r="F227">
        <v>3944</v>
      </c>
      <c r="G227">
        <v>2281</v>
      </c>
      <c r="H227">
        <v>3608</v>
      </c>
      <c r="I227">
        <v>79790</v>
      </c>
      <c r="J227">
        <v>145076</v>
      </c>
      <c r="K227">
        <v>9494</v>
      </c>
      <c r="L227">
        <v>3233</v>
      </c>
      <c r="M227">
        <f t="shared" si="89"/>
        <v>154570</v>
      </c>
      <c r="P227">
        <f t="shared" si="90"/>
        <v>6.1422009445558645E-2</v>
      </c>
      <c r="Q227">
        <f t="shared" si="91"/>
        <v>0.51620624959565242</v>
      </c>
      <c r="R227">
        <f t="shared" si="92"/>
        <v>2.091608979750275E-2</v>
      </c>
      <c r="S227">
        <f t="shared" si="94"/>
        <v>0.24295401568128841</v>
      </c>
      <c r="T227">
        <f t="shared" si="95"/>
        <v>0.22155117609663064</v>
      </c>
      <c r="U227">
        <f t="shared" si="96"/>
        <v>1.4737987507145169E-2</v>
      </c>
      <c r="V227">
        <f t="shared" si="97"/>
        <v>2.7161973237467545E-2</v>
      </c>
      <c r="W227">
        <f t="shared" si="98"/>
        <v>2.8704099866609618E-2</v>
      </c>
      <c r="X227">
        <f t="shared" si="99"/>
        <v>4.5218699085098381E-2</v>
      </c>
      <c r="Y227" s="1">
        <f t="shared" si="93"/>
        <v>39692</v>
      </c>
      <c r="Z227">
        <f t="shared" si="103"/>
        <v>6.0103319389037922E-2</v>
      </c>
      <c r="AA227">
        <f t="shared" ref="AA227:AA286" si="104">IF(ISNUMBER(Q225),AVERAGE(Q225:Q227),NA())</f>
        <v>0.51468898145435071</v>
      </c>
      <c r="AB227">
        <f t="shared" ref="AB227:AB286" si="105">IF(ISNUMBER(R225),AVERAGE(R225:R227),NA())</f>
        <v>2.2990234362615741E-2</v>
      </c>
      <c r="AC227">
        <f t="shared" ref="AC227:AC286" si="106">IF(ISNUMBER(S225),AVERAGE(S225:S227),NA())</f>
        <v>0.23859262033057449</v>
      </c>
      <c r="AD227">
        <f t="shared" ref="AD227:AD286" si="107">IF(ISNUMBER(T225),AVERAGE(T225:T227),NA())</f>
        <v>0.21290848500197057</v>
      </c>
      <c r="AE227">
        <f t="shared" ref="AE227:AE286" si="108">IF(ISNUMBER(U225),AVERAGE(U225:U227),NA())</f>
        <v>1.4652177138993699E-2</v>
      </c>
      <c r="AF227">
        <f t="shared" ref="AF227:AF286" si="109">IF(ISNUMBER(V225),AVERAGE(V225:V227),NA())</f>
        <v>2.6746342815849533E-2</v>
      </c>
      <c r="AG227">
        <f t="shared" ref="AG227:AG286" si="110">IF(ISNUMBER(W225),AVERAGE(W225:W227),NA())</f>
        <v>2.7806792097889724E-2</v>
      </c>
      <c r="AH227">
        <f t="shared" ref="AH227:AH286" si="111">IF(ISNUMBER(X225),AVERAGE(X225:X227),NA())</f>
        <v>4.5695380937607007E-2</v>
      </c>
      <c r="AI227">
        <f t="shared" si="100"/>
        <v>145270.33333333334</v>
      </c>
      <c r="AJ227">
        <f t="shared" si="101"/>
        <v>79550.333333333328</v>
      </c>
      <c r="AK227">
        <f t="shared" si="102"/>
        <v>9289.6666666666661</v>
      </c>
    </row>
    <row r="228" spans="1:37" x14ac:dyDescent="0.25">
      <c r="A228" s="1">
        <v>39722</v>
      </c>
      <c r="B228" s="1">
        <v>39722</v>
      </c>
      <c r="C228">
        <v>2139</v>
      </c>
      <c r="D228">
        <v>1998</v>
      </c>
      <c r="E228">
        <v>2259</v>
      </c>
      <c r="F228">
        <v>3701</v>
      </c>
      <c r="G228">
        <v>2422</v>
      </c>
      <c r="H228">
        <v>3517</v>
      </c>
      <c r="I228">
        <v>79736</v>
      </c>
      <c r="J228">
        <v>144802</v>
      </c>
      <c r="K228">
        <v>10074</v>
      </c>
      <c r="L228">
        <v>3384</v>
      </c>
      <c r="M228">
        <f t="shared" si="89"/>
        <v>154876</v>
      </c>
      <c r="P228">
        <f t="shared" si="90"/>
        <v>6.5045584854980756E-2</v>
      </c>
      <c r="Q228">
        <f t="shared" si="91"/>
        <v>0.51483767659288726</v>
      </c>
      <c r="R228">
        <f t="shared" si="92"/>
        <v>2.1849737854799968E-2</v>
      </c>
      <c r="S228">
        <f t="shared" si="94"/>
        <v>0.22530018959342743</v>
      </c>
      <c r="T228">
        <f t="shared" si="95"/>
        <v>0.21044870444491257</v>
      </c>
      <c r="U228">
        <f t="shared" si="96"/>
        <v>1.5571148915051422E-2</v>
      </c>
      <c r="V228">
        <f t="shared" si="97"/>
        <v>2.551076677052028E-2</v>
      </c>
      <c r="W228">
        <f t="shared" si="98"/>
        <v>3.0354681037724027E-2</v>
      </c>
      <c r="X228">
        <f t="shared" si="99"/>
        <v>4.4108056586736229E-2</v>
      </c>
      <c r="Y228" s="1">
        <f t="shared" si="93"/>
        <v>39722</v>
      </c>
      <c r="Z228">
        <f t="shared" si="103"/>
        <v>6.2499758042239152E-2</v>
      </c>
      <c r="AA228">
        <f t="shared" si="104"/>
        <v>0.51497266526928376</v>
      </c>
      <c r="AB228">
        <f t="shared" si="105"/>
        <v>2.2107872112354304E-2</v>
      </c>
      <c r="AC228">
        <f t="shared" si="106"/>
        <v>0.23392591967998713</v>
      </c>
      <c r="AD228">
        <f t="shared" si="107"/>
        <v>0.21557505995299586</v>
      </c>
      <c r="AE228">
        <f t="shared" si="108"/>
        <v>1.5343588218387513E-2</v>
      </c>
      <c r="AF228">
        <f t="shared" si="109"/>
        <v>2.6160498948324045E-2</v>
      </c>
      <c r="AG228">
        <f t="shared" si="110"/>
        <v>2.8876595545057709E-2</v>
      </c>
      <c r="AH228">
        <f t="shared" si="111"/>
        <v>4.4725375071175133E-2</v>
      </c>
      <c r="AI228">
        <f t="shared" si="100"/>
        <v>145027</v>
      </c>
      <c r="AJ228">
        <f t="shared" si="101"/>
        <v>79664</v>
      </c>
      <c r="AK228">
        <f t="shared" si="102"/>
        <v>9668.6666666666661</v>
      </c>
    </row>
    <row r="229" spans="1:37" x14ac:dyDescent="0.25">
      <c r="A229" s="1">
        <v>39753</v>
      </c>
      <c r="B229" s="1">
        <v>39753</v>
      </c>
      <c r="C229">
        <v>2098</v>
      </c>
      <c r="D229">
        <v>2090</v>
      </c>
      <c r="E229">
        <v>2506</v>
      </c>
      <c r="F229">
        <v>3867</v>
      </c>
      <c r="G229">
        <v>2125</v>
      </c>
      <c r="H229">
        <v>3481</v>
      </c>
      <c r="I229">
        <v>80189</v>
      </c>
      <c r="J229">
        <v>144100</v>
      </c>
      <c r="K229">
        <v>10538</v>
      </c>
      <c r="L229">
        <v>3155</v>
      </c>
      <c r="M229">
        <f t="shared" si="89"/>
        <v>154638</v>
      </c>
      <c r="P229">
        <f t="shared" si="90"/>
        <v>6.814625124484279E-2</v>
      </c>
      <c r="Q229">
        <f t="shared" si="91"/>
        <v>0.51855947438533867</v>
      </c>
      <c r="R229">
        <f t="shared" si="92"/>
        <v>2.0402488392245115E-2</v>
      </c>
      <c r="S229">
        <f t="shared" si="94"/>
        <v>0.20825888425650188</v>
      </c>
      <c r="T229">
        <f t="shared" si="95"/>
        <v>0.20746476077029979</v>
      </c>
      <c r="U229">
        <f t="shared" si="96"/>
        <v>1.7306390795707241E-2</v>
      </c>
      <c r="V229">
        <f t="shared" si="97"/>
        <v>2.6705432245410974E-2</v>
      </c>
      <c r="W229">
        <f t="shared" si="98"/>
        <v>2.6650446473362094E-2</v>
      </c>
      <c r="X229">
        <f t="shared" si="99"/>
        <v>4.3409944007282791E-2</v>
      </c>
      <c r="Y229" s="1">
        <f t="shared" si="93"/>
        <v>39753</v>
      </c>
      <c r="Z229">
        <f t="shared" si="103"/>
        <v>6.4871281848460735E-2</v>
      </c>
      <c r="AA229">
        <f t="shared" si="104"/>
        <v>0.51653446685795945</v>
      </c>
      <c r="AB229">
        <f t="shared" si="105"/>
        <v>2.1056105348182613E-2</v>
      </c>
      <c r="AC229">
        <f t="shared" si="106"/>
        <v>0.22550436317707256</v>
      </c>
      <c r="AD229">
        <f t="shared" si="107"/>
        <v>0.21315488043728101</v>
      </c>
      <c r="AE229">
        <f t="shared" si="108"/>
        <v>1.5871842405967944E-2</v>
      </c>
      <c r="AF229">
        <f t="shared" si="109"/>
        <v>2.6459390751132933E-2</v>
      </c>
      <c r="AG229">
        <f t="shared" si="110"/>
        <v>2.8569742459231912E-2</v>
      </c>
      <c r="AH229">
        <f t="shared" si="111"/>
        <v>4.4245566559705796E-2</v>
      </c>
      <c r="AI229">
        <f t="shared" si="100"/>
        <v>144659.33333333334</v>
      </c>
      <c r="AJ229">
        <f t="shared" si="101"/>
        <v>79905</v>
      </c>
      <c r="AK229">
        <f t="shared" si="102"/>
        <v>10035.333333333334</v>
      </c>
    </row>
    <row r="230" spans="1:37" x14ac:dyDescent="0.25">
      <c r="A230" s="1">
        <v>39783</v>
      </c>
      <c r="B230" s="1">
        <v>39783</v>
      </c>
      <c r="C230">
        <v>2080</v>
      </c>
      <c r="D230">
        <v>2240</v>
      </c>
      <c r="E230">
        <v>2519</v>
      </c>
      <c r="F230">
        <v>3797</v>
      </c>
      <c r="G230">
        <v>2515</v>
      </c>
      <c r="H230">
        <v>3441</v>
      </c>
      <c r="I230">
        <v>80380</v>
      </c>
      <c r="J230">
        <v>143369</v>
      </c>
      <c r="K230">
        <v>11286</v>
      </c>
      <c r="L230">
        <v>3011</v>
      </c>
      <c r="M230">
        <f t="shared" si="89"/>
        <v>154655</v>
      </c>
      <c r="P230">
        <f t="shared" si="90"/>
        <v>7.2975332191005784E-2</v>
      </c>
      <c r="Q230">
        <f t="shared" si="91"/>
        <v>0.5197374801978597</v>
      </c>
      <c r="R230">
        <f t="shared" si="92"/>
        <v>1.9469140991238563E-2</v>
      </c>
      <c r="S230">
        <f t="shared" si="94"/>
        <v>0.19738090719301576</v>
      </c>
      <c r="T230">
        <f t="shared" si="95"/>
        <v>0.2125640539001708</v>
      </c>
      <c r="U230">
        <f t="shared" si="96"/>
        <v>1.7480916030534352E-2</v>
      </c>
      <c r="V230">
        <f t="shared" si="97"/>
        <v>2.6349757113115893E-2</v>
      </c>
      <c r="W230">
        <f t="shared" si="98"/>
        <v>3.1363403958148871E-2</v>
      </c>
      <c r="X230">
        <f t="shared" si="99"/>
        <v>4.2809156506593678E-2</v>
      </c>
      <c r="Y230" s="1">
        <f t="shared" si="93"/>
        <v>39783</v>
      </c>
      <c r="Z230">
        <f t="shared" si="103"/>
        <v>6.8722389430276434E-2</v>
      </c>
      <c r="AA230">
        <f t="shared" si="104"/>
        <v>0.51771154372536188</v>
      </c>
      <c r="AB230">
        <f t="shared" si="105"/>
        <v>2.057378907942788E-2</v>
      </c>
      <c r="AC230">
        <f t="shared" si="106"/>
        <v>0.21031332701431502</v>
      </c>
      <c r="AD230">
        <f t="shared" si="107"/>
        <v>0.21015917303846102</v>
      </c>
      <c r="AE230">
        <f t="shared" si="108"/>
        <v>1.6786151913764338E-2</v>
      </c>
      <c r="AF230">
        <f t="shared" si="109"/>
        <v>2.6188652043015719E-2</v>
      </c>
      <c r="AG230">
        <f t="shared" si="110"/>
        <v>2.9456177156411661E-2</v>
      </c>
      <c r="AH230">
        <f t="shared" si="111"/>
        <v>4.3442385700204228E-2</v>
      </c>
      <c r="AI230">
        <f t="shared" si="100"/>
        <v>144090.33333333334</v>
      </c>
      <c r="AJ230">
        <f t="shared" si="101"/>
        <v>80101.666666666672</v>
      </c>
      <c r="AK230">
        <f t="shared" si="102"/>
        <v>10632.666666666666</v>
      </c>
    </row>
    <row r="231" spans="1:37" x14ac:dyDescent="0.25">
      <c r="A231" s="1">
        <v>39814</v>
      </c>
      <c r="B231" s="1">
        <v>39814</v>
      </c>
      <c r="C231">
        <v>2235</v>
      </c>
      <c r="D231">
        <v>2230</v>
      </c>
      <c r="E231">
        <v>2764</v>
      </c>
      <c r="F231">
        <v>4031</v>
      </c>
      <c r="G231">
        <v>2507</v>
      </c>
      <c r="H231">
        <v>3637</v>
      </c>
      <c r="I231">
        <v>80507</v>
      </c>
      <c r="J231">
        <v>142153</v>
      </c>
      <c r="K231">
        <v>12079</v>
      </c>
      <c r="L231">
        <v>2853</v>
      </c>
      <c r="M231">
        <f t="shared" si="89"/>
        <v>154232</v>
      </c>
      <c r="P231">
        <f t="shared" si="90"/>
        <v>7.8317080761450289E-2</v>
      </c>
      <c r="Q231">
        <f t="shared" si="91"/>
        <v>0.52198635821360029</v>
      </c>
      <c r="R231">
        <f t="shared" si="92"/>
        <v>1.8498106748275324E-2</v>
      </c>
      <c r="S231">
        <f t="shared" si="94"/>
        <v>0.19803296119085592</v>
      </c>
      <c r="T231">
        <f t="shared" si="95"/>
        <v>0.1975899344320397</v>
      </c>
      <c r="U231">
        <f t="shared" si="96"/>
        <v>1.9278923616681432E-2</v>
      </c>
      <c r="V231">
        <f t="shared" si="97"/>
        <v>2.8116259442417815E-2</v>
      </c>
      <c r="W231">
        <f t="shared" si="98"/>
        <v>3.1189350584722567E-2</v>
      </c>
      <c r="X231">
        <f t="shared" si="99"/>
        <v>4.5176195858745202E-2</v>
      </c>
      <c r="Y231" s="1">
        <f t="shared" si="93"/>
        <v>39814</v>
      </c>
      <c r="Z231">
        <f t="shared" si="103"/>
        <v>7.3146221399099612E-2</v>
      </c>
      <c r="AA231">
        <f t="shared" si="104"/>
        <v>0.52009443759893292</v>
      </c>
      <c r="AB231">
        <f t="shared" si="105"/>
        <v>1.9456578710586335E-2</v>
      </c>
      <c r="AC231">
        <f t="shared" si="106"/>
        <v>0.20122425088012452</v>
      </c>
      <c r="AD231">
        <f t="shared" si="107"/>
        <v>0.20587291636750341</v>
      </c>
      <c r="AE231">
        <f t="shared" si="108"/>
        <v>1.8022076814307675E-2</v>
      </c>
      <c r="AF231">
        <f t="shared" si="109"/>
        <v>2.7057149600314894E-2</v>
      </c>
      <c r="AG231">
        <f t="shared" si="110"/>
        <v>2.9734400338744509E-2</v>
      </c>
      <c r="AH231">
        <f t="shared" si="111"/>
        <v>4.3798432124207219E-2</v>
      </c>
      <c r="AI231">
        <f t="shared" si="100"/>
        <v>143207.33333333334</v>
      </c>
      <c r="AJ231">
        <f t="shared" si="101"/>
        <v>80358.666666666672</v>
      </c>
      <c r="AK231">
        <f t="shared" si="102"/>
        <v>11301</v>
      </c>
    </row>
    <row r="232" spans="1:37" x14ac:dyDescent="0.25">
      <c r="A232" s="1">
        <v>39845</v>
      </c>
      <c r="B232" s="1">
        <v>39845</v>
      </c>
      <c r="C232">
        <v>2299</v>
      </c>
      <c r="D232">
        <v>2323</v>
      </c>
      <c r="E232">
        <v>2827</v>
      </c>
      <c r="F232">
        <v>3574</v>
      </c>
      <c r="G232">
        <v>2577</v>
      </c>
      <c r="H232">
        <v>3525</v>
      </c>
      <c r="I232">
        <v>80387</v>
      </c>
      <c r="J232">
        <v>141644</v>
      </c>
      <c r="K232">
        <v>12881</v>
      </c>
      <c r="L232">
        <v>2807</v>
      </c>
      <c r="M232">
        <f t="shared" si="89"/>
        <v>154525</v>
      </c>
      <c r="P232">
        <f t="shared" si="90"/>
        <v>8.3358679825270995E-2</v>
      </c>
      <c r="Q232">
        <f t="shared" si="91"/>
        <v>0.52022002912150134</v>
      </c>
      <c r="R232">
        <f t="shared" si="92"/>
        <v>1.8165345413363534E-2</v>
      </c>
      <c r="S232">
        <f t="shared" si="94"/>
        <v>0.19033032535805944</v>
      </c>
      <c r="T232">
        <f t="shared" si="95"/>
        <v>0.19231724480503354</v>
      </c>
      <c r="U232">
        <f t="shared" si="96"/>
        <v>1.9887023137042482E-2</v>
      </c>
      <c r="V232">
        <f t="shared" si="97"/>
        <v>2.5141924546087668E-2</v>
      </c>
      <c r="W232">
        <f t="shared" si="98"/>
        <v>3.2009638913386415E-2</v>
      </c>
      <c r="X232">
        <f t="shared" si="99"/>
        <v>4.3850373816661896E-2</v>
      </c>
      <c r="Y232" s="1">
        <f t="shared" si="93"/>
        <v>39845</v>
      </c>
      <c r="Z232">
        <f t="shared" si="103"/>
        <v>7.8217030925909023E-2</v>
      </c>
      <c r="AA232">
        <f t="shared" si="104"/>
        <v>0.52064795584432044</v>
      </c>
      <c r="AB232">
        <f t="shared" si="105"/>
        <v>1.8710864384292477E-2</v>
      </c>
      <c r="AC232">
        <f t="shared" si="106"/>
        <v>0.19524806458064373</v>
      </c>
      <c r="AD232">
        <f t="shared" si="107"/>
        <v>0.20082374437908135</v>
      </c>
      <c r="AE232">
        <f t="shared" si="108"/>
        <v>1.8882287594752755E-2</v>
      </c>
      <c r="AF232">
        <f t="shared" si="109"/>
        <v>2.6535980367207126E-2</v>
      </c>
      <c r="AG232">
        <f t="shared" si="110"/>
        <v>3.1520797818752617E-2</v>
      </c>
      <c r="AH232">
        <f t="shared" si="111"/>
        <v>4.3945242060666932E-2</v>
      </c>
      <c r="AI232">
        <f t="shared" si="100"/>
        <v>142388.66666666666</v>
      </c>
      <c r="AJ232">
        <f t="shared" si="101"/>
        <v>80424.666666666672</v>
      </c>
      <c r="AK232">
        <f t="shared" si="102"/>
        <v>12082</v>
      </c>
    </row>
    <row r="233" spans="1:37" x14ac:dyDescent="0.25">
      <c r="A233" s="1">
        <v>39873</v>
      </c>
      <c r="B233" s="1">
        <v>39873</v>
      </c>
      <c r="C233">
        <v>2212</v>
      </c>
      <c r="D233">
        <v>2490</v>
      </c>
      <c r="E233">
        <v>2651</v>
      </c>
      <c r="F233">
        <v>3784</v>
      </c>
      <c r="G233">
        <v>2570</v>
      </c>
      <c r="H233">
        <v>3294</v>
      </c>
      <c r="I233">
        <v>80944</v>
      </c>
      <c r="J233">
        <v>140721</v>
      </c>
      <c r="K233">
        <v>13421</v>
      </c>
      <c r="L233">
        <v>2550</v>
      </c>
      <c r="M233">
        <f t="shared" si="89"/>
        <v>154142</v>
      </c>
      <c r="P233">
        <f t="shared" si="90"/>
        <v>8.7069066185724853E-2</v>
      </c>
      <c r="Q233">
        <f t="shared" si="91"/>
        <v>0.52512618235133834</v>
      </c>
      <c r="R233">
        <f t="shared" si="92"/>
        <v>1.6543187450532626E-2</v>
      </c>
      <c r="S233">
        <f t="shared" si="94"/>
        <v>0.17172579768651502</v>
      </c>
      <c r="T233">
        <f t="shared" si="95"/>
        <v>0.19330797298346403</v>
      </c>
      <c r="U233">
        <f t="shared" si="96"/>
        <v>1.8715935726186777E-2</v>
      </c>
      <c r="V233">
        <f t="shared" si="97"/>
        <v>2.6714862613312247E-2</v>
      </c>
      <c r="W233">
        <f t="shared" si="98"/>
        <v>3.1970343463495345E-2</v>
      </c>
      <c r="X233">
        <f t="shared" si="99"/>
        <v>4.0694801344139157E-2</v>
      </c>
      <c r="Y233" s="1">
        <f t="shared" si="93"/>
        <v>39873</v>
      </c>
      <c r="Z233">
        <f t="shared" si="103"/>
        <v>8.2914942257482041E-2</v>
      </c>
      <c r="AA233">
        <f t="shared" si="104"/>
        <v>0.52244418989547992</v>
      </c>
      <c r="AB233">
        <f t="shared" si="105"/>
        <v>1.7735546537390495E-2</v>
      </c>
      <c r="AC233">
        <f t="shared" si="106"/>
        <v>0.18669636141181015</v>
      </c>
      <c r="AD233">
        <f t="shared" si="107"/>
        <v>0.19440505074017911</v>
      </c>
      <c r="AE233">
        <f t="shared" si="108"/>
        <v>1.9293960826636897E-2</v>
      </c>
      <c r="AF233">
        <f t="shared" si="109"/>
        <v>2.6657682200605909E-2</v>
      </c>
      <c r="AG233">
        <f t="shared" si="110"/>
        <v>3.1723110987201437E-2</v>
      </c>
      <c r="AH233">
        <f t="shared" si="111"/>
        <v>4.3240457006515416E-2</v>
      </c>
      <c r="AI233">
        <f t="shared" si="100"/>
        <v>141506</v>
      </c>
      <c r="AJ233">
        <f t="shared" si="101"/>
        <v>80612.666666666672</v>
      </c>
      <c r="AK233">
        <f t="shared" si="102"/>
        <v>12793.666666666666</v>
      </c>
    </row>
    <row r="234" spans="1:37" x14ac:dyDescent="0.25">
      <c r="A234" s="1">
        <v>39904</v>
      </c>
      <c r="B234" s="1">
        <v>39904</v>
      </c>
      <c r="C234">
        <v>2496</v>
      </c>
      <c r="D234">
        <v>2423</v>
      </c>
      <c r="E234">
        <v>2483</v>
      </c>
      <c r="F234">
        <v>3676</v>
      </c>
      <c r="G234">
        <v>2814</v>
      </c>
      <c r="H234">
        <v>3571</v>
      </c>
      <c r="I234">
        <v>80792</v>
      </c>
      <c r="J234">
        <v>140652</v>
      </c>
      <c r="K234">
        <v>13826</v>
      </c>
      <c r="L234">
        <v>2292</v>
      </c>
      <c r="M234">
        <f t="shared" si="89"/>
        <v>154478</v>
      </c>
      <c r="P234">
        <f t="shared" si="90"/>
        <v>8.9501417677598102E-2</v>
      </c>
      <c r="Q234">
        <f t="shared" si="91"/>
        <v>0.52300003884048218</v>
      </c>
      <c r="R234">
        <f t="shared" si="92"/>
        <v>1.4837064177423323E-2</v>
      </c>
      <c r="S234">
        <f t="shared" si="94"/>
        <v>0.18597719991058789</v>
      </c>
      <c r="T234">
        <f t="shared" si="95"/>
        <v>0.18053796289397214</v>
      </c>
      <c r="U234">
        <f t="shared" si="96"/>
        <v>1.764484334250041E-2</v>
      </c>
      <c r="V234">
        <f t="shared" si="97"/>
        <v>2.6122611408389649E-2</v>
      </c>
      <c r="W234">
        <f t="shared" si="98"/>
        <v>3.4764775647361142E-2</v>
      </c>
      <c r="X234">
        <f t="shared" si="99"/>
        <v>4.4199920784236062E-2</v>
      </c>
      <c r="Y234" s="1">
        <f t="shared" si="93"/>
        <v>39904</v>
      </c>
      <c r="Z234">
        <f t="shared" si="103"/>
        <v>8.6643054562864655E-2</v>
      </c>
      <c r="AA234">
        <f t="shared" si="104"/>
        <v>0.52278208343777388</v>
      </c>
      <c r="AB234">
        <f t="shared" si="105"/>
        <v>1.6515199013773161E-2</v>
      </c>
      <c r="AC234">
        <f t="shared" si="106"/>
        <v>0.18267777431838747</v>
      </c>
      <c r="AD234">
        <f t="shared" si="107"/>
        <v>0.18872106022748991</v>
      </c>
      <c r="AE234">
        <f t="shared" si="108"/>
        <v>1.8749267401909891E-2</v>
      </c>
      <c r="AF234">
        <f t="shared" si="109"/>
        <v>2.5993132855929853E-2</v>
      </c>
      <c r="AG234">
        <f t="shared" si="110"/>
        <v>3.29149193414143E-2</v>
      </c>
      <c r="AH234">
        <f t="shared" si="111"/>
        <v>4.2915031981679036E-2</v>
      </c>
      <c r="AI234">
        <f t="shared" si="100"/>
        <v>141005.66666666666</v>
      </c>
      <c r="AJ234">
        <f t="shared" si="101"/>
        <v>80707.666666666672</v>
      </c>
      <c r="AK234">
        <f t="shared" si="102"/>
        <v>13376</v>
      </c>
    </row>
    <row r="235" spans="1:37" x14ac:dyDescent="0.25">
      <c r="A235" s="1">
        <v>39934</v>
      </c>
      <c r="B235" s="1">
        <v>39934</v>
      </c>
      <c r="C235">
        <v>2251</v>
      </c>
      <c r="D235">
        <v>2590</v>
      </c>
      <c r="E235">
        <v>2650</v>
      </c>
      <c r="F235">
        <v>3472</v>
      </c>
      <c r="G235">
        <v>2837</v>
      </c>
      <c r="H235">
        <v>3412</v>
      </c>
      <c r="I235">
        <v>80710</v>
      </c>
      <c r="J235">
        <v>140250</v>
      </c>
      <c r="K235">
        <v>14492</v>
      </c>
      <c r="L235">
        <v>2415</v>
      </c>
      <c r="M235">
        <f t="shared" si="89"/>
        <v>154742</v>
      </c>
      <c r="P235">
        <f t="shared" si="90"/>
        <v>9.365266055757325E-2</v>
      </c>
      <c r="Q235">
        <f t="shared" si="91"/>
        <v>0.5215778521668325</v>
      </c>
      <c r="R235">
        <f t="shared" si="92"/>
        <v>1.5606622636388311E-2</v>
      </c>
      <c r="S235">
        <f t="shared" si="94"/>
        <v>0.16280920005786201</v>
      </c>
      <c r="T235">
        <f t="shared" si="95"/>
        <v>0.18732822219007667</v>
      </c>
      <c r="U235">
        <f t="shared" si="96"/>
        <v>1.8840827005659359E-2</v>
      </c>
      <c r="V235">
        <f t="shared" si="97"/>
        <v>2.4685038250433694E-2</v>
      </c>
      <c r="W235">
        <f t="shared" si="98"/>
        <v>3.5114862857708685E-2</v>
      </c>
      <c r="X235">
        <f t="shared" si="99"/>
        <v>4.227481105191426E-2</v>
      </c>
      <c r="Y235" s="1">
        <f t="shared" si="93"/>
        <v>39934</v>
      </c>
      <c r="Z235">
        <f t="shared" si="103"/>
        <v>9.0074381473632073E-2</v>
      </c>
      <c r="AA235">
        <f t="shared" si="104"/>
        <v>0.52323469111955101</v>
      </c>
      <c r="AB235">
        <f t="shared" si="105"/>
        <v>1.5662291421448087E-2</v>
      </c>
      <c r="AC235">
        <f t="shared" si="106"/>
        <v>0.17350406588498832</v>
      </c>
      <c r="AD235">
        <f t="shared" si="107"/>
        <v>0.18705805268917097</v>
      </c>
      <c r="AE235">
        <f t="shared" si="108"/>
        <v>1.8400535358115516E-2</v>
      </c>
      <c r="AF235">
        <f t="shared" si="109"/>
        <v>2.5840837424045197E-2</v>
      </c>
      <c r="AG235">
        <f t="shared" si="110"/>
        <v>3.3949993989521726E-2</v>
      </c>
      <c r="AH235">
        <f t="shared" si="111"/>
        <v>4.2389844393429826E-2</v>
      </c>
      <c r="AI235">
        <f t="shared" si="100"/>
        <v>140541</v>
      </c>
      <c r="AJ235">
        <f t="shared" si="101"/>
        <v>80815.333333333328</v>
      </c>
      <c r="AK235">
        <f t="shared" si="102"/>
        <v>13913</v>
      </c>
    </row>
    <row r="236" spans="1:37" x14ac:dyDescent="0.25">
      <c r="A236" s="1">
        <v>39965</v>
      </c>
      <c r="B236" s="1">
        <v>39965</v>
      </c>
      <c r="C236">
        <v>2622</v>
      </c>
      <c r="D236">
        <v>2554</v>
      </c>
      <c r="E236">
        <v>2558</v>
      </c>
      <c r="F236">
        <v>3628</v>
      </c>
      <c r="G236">
        <v>2799</v>
      </c>
      <c r="H236">
        <v>3281</v>
      </c>
      <c r="I236">
        <v>80945</v>
      </c>
      <c r="J236">
        <v>140005</v>
      </c>
      <c r="K236">
        <v>14705</v>
      </c>
      <c r="L236">
        <v>2377</v>
      </c>
      <c r="M236">
        <f t="shared" si="89"/>
        <v>154710</v>
      </c>
      <c r="P236">
        <f t="shared" si="90"/>
        <v>9.5048800982483361E-2</v>
      </c>
      <c r="Q236">
        <f t="shared" si="91"/>
        <v>0.52320470557817855</v>
      </c>
      <c r="R236">
        <f t="shared" si="92"/>
        <v>1.5364229849395644E-2</v>
      </c>
      <c r="S236">
        <f t="shared" si="94"/>
        <v>0.18092740822522771</v>
      </c>
      <c r="T236">
        <f t="shared" si="95"/>
        <v>0.17623516422853988</v>
      </c>
      <c r="U236">
        <f t="shared" si="96"/>
        <v>1.8238859180035649E-2</v>
      </c>
      <c r="V236">
        <f t="shared" si="97"/>
        <v>2.5868092691622102E-2</v>
      </c>
      <c r="W236">
        <f t="shared" si="98"/>
        <v>3.4679717507124272E-2</v>
      </c>
      <c r="X236">
        <f t="shared" si="99"/>
        <v>4.0533695719315588E-2</v>
      </c>
      <c r="Y236" s="1">
        <f t="shared" si="93"/>
        <v>39965</v>
      </c>
      <c r="Z236">
        <f t="shared" si="103"/>
        <v>9.2734293072551585E-2</v>
      </c>
      <c r="AA236">
        <f t="shared" si="104"/>
        <v>0.52259419886183112</v>
      </c>
      <c r="AB236">
        <f t="shared" si="105"/>
        <v>1.5269305554402425E-2</v>
      </c>
      <c r="AC236">
        <f t="shared" si="106"/>
        <v>0.17657126939789256</v>
      </c>
      <c r="AD236">
        <f t="shared" si="107"/>
        <v>0.18136711643752956</v>
      </c>
      <c r="AE236">
        <f t="shared" si="108"/>
        <v>1.8241509842731807E-2</v>
      </c>
      <c r="AF236">
        <f t="shared" si="109"/>
        <v>2.5558580783481815E-2</v>
      </c>
      <c r="AG236">
        <f t="shared" si="110"/>
        <v>3.4853118670731369E-2</v>
      </c>
      <c r="AH236">
        <f t="shared" si="111"/>
        <v>4.2336142518488634E-2</v>
      </c>
      <c r="AI236">
        <f t="shared" si="100"/>
        <v>140302.33333333334</v>
      </c>
      <c r="AJ236">
        <f t="shared" si="101"/>
        <v>80815.666666666672</v>
      </c>
      <c r="AK236">
        <f t="shared" si="102"/>
        <v>14341</v>
      </c>
    </row>
    <row r="237" spans="1:37" x14ac:dyDescent="0.25">
      <c r="A237" s="1">
        <v>39995</v>
      </c>
      <c r="B237" s="1">
        <v>39995</v>
      </c>
      <c r="C237">
        <v>2577</v>
      </c>
      <c r="D237">
        <v>2770</v>
      </c>
      <c r="E237">
        <v>2471</v>
      </c>
      <c r="F237">
        <v>3498</v>
      </c>
      <c r="G237">
        <v>2772</v>
      </c>
      <c r="H237">
        <v>3368</v>
      </c>
      <c r="I237">
        <v>81365</v>
      </c>
      <c r="J237">
        <v>139898</v>
      </c>
      <c r="K237">
        <v>14607</v>
      </c>
      <c r="L237">
        <v>2179</v>
      </c>
      <c r="M237">
        <f t="shared" si="89"/>
        <v>154505</v>
      </c>
      <c r="P237">
        <f t="shared" si="90"/>
        <v>9.4540629753082431E-2</v>
      </c>
      <c r="Q237">
        <f t="shared" si="91"/>
        <v>0.52661726157729527</v>
      </c>
      <c r="R237">
        <f t="shared" si="92"/>
        <v>1.410310345943497E-2</v>
      </c>
      <c r="S237">
        <f t="shared" si="94"/>
        <v>0.17524651479088746</v>
      </c>
      <c r="T237">
        <f t="shared" si="95"/>
        <v>0.1883713022781367</v>
      </c>
      <c r="U237">
        <f t="shared" si="96"/>
        <v>1.7649369665369095E-2</v>
      </c>
      <c r="V237">
        <f t="shared" si="97"/>
        <v>2.4984821970643906E-2</v>
      </c>
      <c r="W237">
        <f t="shared" si="98"/>
        <v>3.4245475322750019E-2</v>
      </c>
      <c r="X237">
        <f t="shared" si="99"/>
        <v>4.1393719658329747E-2</v>
      </c>
      <c r="Y237" s="1">
        <f t="shared" si="93"/>
        <v>39995</v>
      </c>
      <c r="Z237">
        <f t="shared" si="103"/>
        <v>9.4414030431046347E-2</v>
      </c>
      <c r="AA237">
        <f t="shared" si="104"/>
        <v>0.52379993977410211</v>
      </c>
      <c r="AB237">
        <f t="shared" si="105"/>
        <v>1.5024651981739641E-2</v>
      </c>
      <c r="AC237">
        <f t="shared" si="106"/>
        <v>0.17299437435799239</v>
      </c>
      <c r="AD237">
        <f t="shared" si="107"/>
        <v>0.18397822956558441</v>
      </c>
      <c r="AE237">
        <f t="shared" si="108"/>
        <v>1.8243018617021368E-2</v>
      </c>
      <c r="AF237">
        <f t="shared" si="109"/>
        <v>2.5179317637566565E-2</v>
      </c>
      <c r="AG237">
        <f t="shared" si="110"/>
        <v>3.4680018562527663E-2</v>
      </c>
      <c r="AH237">
        <f t="shared" si="111"/>
        <v>4.1400742143186529E-2</v>
      </c>
      <c r="AI237">
        <f t="shared" si="100"/>
        <v>140051</v>
      </c>
      <c r="AJ237">
        <f t="shared" si="101"/>
        <v>81006.666666666672</v>
      </c>
      <c r="AK237">
        <f t="shared" si="102"/>
        <v>14601.333333333334</v>
      </c>
    </row>
    <row r="238" spans="1:37" x14ac:dyDescent="0.25">
      <c r="A238" s="1">
        <v>40026</v>
      </c>
      <c r="B238" s="1">
        <v>40026</v>
      </c>
      <c r="C238">
        <v>2399</v>
      </c>
      <c r="D238">
        <v>2877</v>
      </c>
      <c r="E238">
        <v>2566</v>
      </c>
      <c r="F238">
        <v>3765</v>
      </c>
      <c r="G238">
        <v>2915</v>
      </c>
      <c r="H238">
        <v>3425</v>
      </c>
      <c r="I238">
        <v>81787</v>
      </c>
      <c r="J238">
        <v>139481</v>
      </c>
      <c r="K238">
        <v>14819</v>
      </c>
      <c r="L238">
        <v>2282</v>
      </c>
      <c r="M238">
        <f t="shared" si="89"/>
        <v>154300</v>
      </c>
      <c r="P238">
        <f t="shared" si="90"/>
        <v>9.60401814646792E-2</v>
      </c>
      <c r="Q238">
        <f t="shared" si="91"/>
        <v>0.53005184705119901</v>
      </c>
      <c r="R238">
        <f t="shared" si="92"/>
        <v>1.4789371354504213E-2</v>
      </c>
      <c r="S238">
        <f t="shared" si="94"/>
        <v>0.16423632504963373</v>
      </c>
      <c r="T238">
        <f t="shared" si="95"/>
        <v>0.19696036147052784</v>
      </c>
      <c r="U238">
        <f t="shared" si="96"/>
        <v>1.8341934838239288E-2</v>
      </c>
      <c r="V238">
        <f t="shared" si="97"/>
        <v>2.6912464795779783E-2</v>
      </c>
      <c r="W238">
        <f t="shared" si="98"/>
        <v>3.5826215203097152E-2</v>
      </c>
      <c r="X238">
        <f t="shared" si="99"/>
        <v>4.1877070928142614E-2</v>
      </c>
      <c r="Y238" s="1">
        <f t="shared" si="93"/>
        <v>40026</v>
      </c>
      <c r="Z238">
        <f t="shared" si="103"/>
        <v>9.5209870733414984E-2</v>
      </c>
      <c r="AA238">
        <f t="shared" si="104"/>
        <v>0.52662460473555761</v>
      </c>
      <c r="AB238">
        <f t="shared" si="105"/>
        <v>1.4752234887778276E-2</v>
      </c>
      <c r="AC238">
        <f t="shared" si="106"/>
        <v>0.17347008268858297</v>
      </c>
      <c r="AD238">
        <f t="shared" si="107"/>
        <v>0.18718894265906816</v>
      </c>
      <c r="AE238">
        <f t="shared" si="108"/>
        <v>1.8076721227881343E-2</v>
      </c>
      <c r="AF238">
        <f t="shared" si="109"/>
        <v>2.5921793152681932E-2</v>
      </c>
      <c r="AG238">
        <f t="shared" si="110"/>
        <v>3.4917136010990481E-2</v>
      </c>
      <c r="AH238">
        <f t="shared" si="111"/>
        <v>4.1268162101929316E-2</v>
      </c>
      <c r="AI238">
        <f t="shared" si="100"/>
        <v>139794.66666666666</v>
      </c>
      <c r="AJ238">
        <f t="shared" si="101"/>
        <v>81365.666666666672</v>
      </c>
      <c r="AK238">
        <f t="shared" si="102"/>
        <v>14710.333333333334</v>
      </c>
    </row>
    <row r="239" spans="1:37" x14ac:dyDescent="0.25">
      <c r="A239" s="1">
        <v>40057</v>
      </c>
      <c r="B239" s="1">
        <v>40057</v>
      </c>
      <c r="C239">
        <v>2581</v>
      </c>
      <c r="D239">
        <v>2658</v>
      </c>
      <c r="E239">
        <v>2625</v>
      </c>
      <c r="F239">
        <v>3833</v>
      </c>
      <c r="G239">
        <v>2765</v>
      </c>
      <c r="H239">
        <v>3155</v>
      </c>
      <c r="I239">
        <v>82507</v>
      </c>
      <c r="J239">
        <v>138810</v>
      </c>
      <c r="K239">
        <v>15005</v>
      </c>
      <c r="L239">
        <v>2477</v>
      </c>
      <c r="M239">
        <f t="shared" si="89"/>
        <v>153815</v>
      </c>
      <c r="P239">
        <f t="shared" si="90"/>
        <v>9.7552254331502122E-2</v>
      </c>
      <c r="Q239">
        <f t="shared" si="91"/>
        <v>0.53640412183467157</v>
      </c>
      <c r="R239">
        <f t="shared" si="92"/>
        <v>1.610376101160485E-2</v>
      </c>
      <c r="S239">
        <f t="shared" si="94"/>
        <v>0.17416829745596868</v>
      </c>
      <c r="T239">
        <f t="shared" si="95"/>
        <v>0.17936432957689452</v>
      </c>
      <c r="U239">
        <f t="shared" si="96"/>
        <v>1.8819767566908754E-2</v>
      </c>
      <c r="V239">
        <f t="shared" si="97"/>
        <v>2.7480445365318573E-2</v>
      </c>
      <c r="W239">
        <f t="shared" si="98"/>
        <v>3.3807328793084478E-2</v>
      </c>
      <c r="X239">
        <f t="shared" si="99"/>
        <v>3.8239179705964341E-2</v>
      </c>
      <c r="Y239" s="1">
        <f t="shared" si="93"/>
        <v>40057</v>
      </c>
      <c r="Z239">
        <f t="shared" si="103"/>
        <v>9.6044355183087918E-2</v>
      </c>
      <c r="AA239">
        <f t="shared" si="104"/>
        <v>0.53102441015438862</v>
      </c>
      <c r="AB239">
        <f t="shared" si="105"/>
        <v>1.4998745275181344E-2</v>
      </c>
      <c r="AC239">
        <f t="shared" si="106"/>
        <v>0.17121704576549659</v>
      </c>
      <c r="AD239">
        <f t="shared" si="107"/>
        <v>0.18823199777518637</v>
      </c>
      <c r="AE239">
        <f t="shared" si="108"/>
        <v>1.8270357356839045E-2</v>
      </c>
      <c r="AF239">
        <f t="shared" si="109"/>
        <v>2.6459244043914087E-2</v>
      </c>
      <c r="AG239">
        <f t="shared" si="110"/>
        <v>3.4626339772977216E-2</v>
      </c>
      <c r="AH239">
        <f t="shared" si="111"/>
        <v>4.0503323430812234E-2</v>
      </c>
      <c r="AI239">
        <f t="shared" si="100"/>
        <v>139396.33333333334</v>
      </c>
      <c r="AJ239">
        <f t="shared" si="101"/>
        <v>81886.333333333328</v>
      </c>
      <c r="AK239">
        <f t="shared" si="102"/>
        <v>14810.333333333334</v>
      </c>
    </row>
    <row r="240" spans="1:37" x14ac:dyDescent="0.25">
      <c r="A240" s="1">
        <v>40087</v>
      </c>
      <c r="B240" s="1">
        <v>40087</v>
      </c>
      <c r="C240">
        <v>2314</v>
      </c>
      <c r="D240">
        <v>2778</v>
      </c>
      <c r="E240">
        <v>2521</v>
      </c>
      <c r="F240">
        <v>3587</v>
      </c>
      <c r="G240">
        <v>2939</v>
      </c>
      <c r="H240">
        <v>3360</v>
      </c>
      <c r="I240">
        <v>82746</v>
      </c>
      <c r="J240">
        <v>138421</v>
      </c>
      <c r="K240">
        <v>15382</v>
      </c>
      <c r="L240">
        <v>2409</v>
      </c>
      <c r="M240">
        <f t="shared" si="89"/>
        <v>153803</v>
      </c>
      <c r="P240">
        <f t="shared" si="90"/>
        <v>0.10001105310039467</v>
      </c>
      <c r="Q240">
        <f t="shared" si="91"/>
        <v>0.53799990897446737</v>
      </c>
      <c r="R240">
        <f t="shared" si="92"/>
        <v>1.566289344161037E-2</v>
      </c>
      <c r="S240">
        <f t="shared" si="94"/>
        <v>0.15421526157947352</v>
      </c>
      <c r="T240">
        <f t="shared" si="95"/>
        <v>0.18513828723758746</v>
      </c>
      <c r="U240">
        <f t="shared" si="96"/>
        <v>1.8161515740940853E-2</v>
      </c>
      <c r="V240">
        <f t="shared" si="97"/>
        <v>2.5841077732151864E-2</v>
      </c>
      <c r="W240">
        <f t="shared" si="98"/>
        <v>3.5621220017695465E-2</v>
      </c>
      <c r="X240">
        <f t="shared" si="99"/>
        <v>4.0606192444347766E-2</v>
      </c>
      <c r="Y240" s="1">
        <f t="shared" si="93"/>
        <v>40087</v>
      </c>
      <c r="Z240">
        <f t="shared" si="103"/>
        <v>9.7867829632191997E-2</v>
      </c>
      <c r="AA240">
        <f t="shared" si="104"/>
        <v>0.53481862595344598</v>
      </c>
      <c r="AB240">
        <f t="shared" si="105"/>
        <v>1.5518675269239812E-2</v>
      </c>
      <c r="AC240">
        <f t="shared" si="106"/>
        <v>0.16420662802835864</v>
      </c>
      <c r="AD240">
        <f t="shared" si="107"/>
        <v>0.18715432609500326</v>
      </c>
      <c r="AE240">
        <f t="shared" si="108"/>
        <v>1.8441072715362966E-2</v>
      </c>
      <c r="AF240">
        <f t="shared" si="109"/>
        <v>2.674466263108341E-2</v>
      </c>
      <c r="AG240">
        <f t="shared" si="110"/>
        <v>3.5084921337959034E-2</v>
      </c>
      <c r="AH240">
        <f t="shared" si="111"/>
        <v>4.0240814359484907E-2</v>
      </c>
      <c r="AI240">
        <f t="shared" si="100"/>
        <v>138904</v>
      </c>
      <c r="AJ240">
        <f t="shared" si="101"/>
        <v>82346.666666666672</v>
      </c>
      <c r="AK240">
        <f t="shared" si="102"/>
        <v>15068.666666666666</v>
      </c>
    </row>
    <row r="241" spans="1:37" x14ac:dyDescent="0.25">
      <c r="A241" s="1">
        <v>40118</v>
      </c>
      <c r="B241" s="1">
        <v>40118</v>
      </c>
      <c r="C241">
        <v>2585</v>
      </c>
      <c r="D241">
        <v>2785</v>
      </c>
      <c r="E241">
        <v>2283</v>
      </c>
      <c r="F241">
        <v>3409</v>
      </c>
      <c r="G241">
        <v>2906</v>
      </c>
      <c r="H241">
        <v>3296</v>
      </c>
      <c r="I241">
        <v>82856</v>
      </c>
      <c r="J241">
        <v>138665</v>
      </c>
      <c r="K241">
        <v>15223</v>
      </c>
      <c r="L241">
        <v>2390</v>
      </c>
      <c r="M241">
        <f t="shared" si="89"/>
        <v>153888</v>
      </c>
      <c r="P241">
        <f t="shared" si="90"/>
        <v>9.8922593054689131E-2</v>
      </c>
      <c r="Q241">
        <f t="shared" si="91"/>
        <v>0.53841755042628403</v>
      </c>
      <c r="R241">
        <f t="shared" si="92"/>
        <v>1.5530775629028904E-2</v>
      </c>
      <c r="S241">
        <f t="shared" si="94"/>
        <v>0.16805356910674815</v>
      </c>
      <c r="T241">
        <f t="shared" si="95"/>
        <v>0.18105577948251203</v>
      </c>
      <c r="U241">
        <f t="shared" si="96"/>
        <v>1.6493162164700443E-2</v>
      </c>
      <c r="V241">
        <f t="shared" si="97"/>
        <v>2.4627766018161985E-2</v>
      </c>
      <c r="W241">
        <f t="shared" si="98"/>
        <v>3.5119522393831724E-2</v>
      </c>
      <c r="X241">
        <f t="shared" si="99"/>
        <v>3.9779859032538382E-2</v>
      </c>
      <c r="Y241" s="1">
        <f t="shared" si="93"/>
        <v>40118</v>
      </c>
      <c r="Z241">
        <f t="shared" si="103"/>
        <v>9.8828633495528631E-2</v>
      </c>
      <c r="AA241">
        <f t="shared" si="104"/>
        <v>0.53760719374514099</v>
      </c>
      <c r="AB241">
        <f t="shared" si="105"/>
        <v>1.5765810027414708E-2</v>
      </c>
      <c r="AC241">
        <f t="shared" si="106"/>
        <v>0.16547904271406344</v>
      </c>
      <c r="AD241">
        <f t="shared" si="107"/>
        <v>0.18185279876566465</v>
      </c>
      <c r="AE241">
        <f t="shared" si="108"/>
        <v>1.7824815157516685E-2</v>
      </c>
      <c r="AF241">
        <f t="shared" si="109"/>
        <v>2.5983096371877474E-2</v>
      </c>
      <c r="AG241">
        <f t="shared" si="110"/>
        <v>3.4849357068203891E-2</v>
      </c>
      <c r="AH241">
        <f t="shared" si="111"/>
        <v>3.9541743727616825E-2</v>
      </c>
      <c r="AI241">
        <f t="shared" si="100"/>
        <v>138632</v>
      </c>
      <c r="AJ241">
        <f t="shared" si="101"/>
        <v>82703</v>
      </c>
      <c r="AK241">
        <f t="shared" si="102"/>
        <v>15203.333333333334</v>
      </c>
    </row>
    <row r="242" spans="1:37" x14ac:dyDescent="0.25">
      <c r="A242" s="1">
        <v>40148</v>
      </c>
      <c r="B242" s="1">
        <v>40148</v>
      </c>
      <c r="C242">
        <v>2354</v>
      </c>
      <c r="D242">
        <v>2944</v>
      </c>
      <c r="E242">
        <v>2379</v>
      </c>
      <c r="F242">
        <v>3858</v>
      </c>
      <c r="G242">
        <v>2779</v>
      </c>
      <c r="H242">
        <v>3228</v>
      </c>
      <c r="I242">
        <v>83804</v>
      </c>
      <c r="J242">
        <v>138025</v>
      </c>
      <c r="K242">
        <v>15095</v>
      </c>
      <c r="L242">
        <v>2451</v>
      </c>
      <c r="M242">
        <f t="shared" si="89"/>
        <v>153120</v>
      </c>
      <c r="P242">
        <f t="shared" si="90"/>
        <v>9.8582810867293633E-2</v>
      </c>
      <c r="Q242">
        <f t="shared" si="91"/>
        <v>0.54730929989550681</v>
      </c>
      <c r="R242">
        <f t="shared" si="92"/>
        <v>1.6007053291536049E-2</v>
      </c>
      <c r="S242">
        <f t="shared" si="94"/>
        <v>0.15463443473691124</v>
      </c>
      <c r="T242">
        <f t="shared" si="95"/>
        <v>0.19339157853248373</v>
      </c>
      <c r="U242">
        <f t="shared" si="96"/>
        <v>1.7156456207406339E-2</v>
      </c>
      <c r="V242">
        <f t="shared" si="97"/>
        <v>2.7822449789059966E-2</v>
      </c>
      <c r="W242">
        <f t="shared" si="98"/>
        <v>3.3540117794728201E-2</v>
      </c>
      <c r="X242">
        <f t="shared" si="99"/>
        <v>3.8518447806787266E-2</v>
      </c>
      <c r="Y242" s="1">
        <f t="shared" si="93"/>
        <v>40148</v>
      </c>
      <c r="Z242">
        <f t="shared" si="103"/>
        <v>9.9172152340792477E-2</v>
      </c>
      <c r="AA242">
        <f t="shared" si="104"/>
        <v>0.54124225309875273</v>
      </c>
      <c r="AB242">
        <f t="shared" si="105"/>
        <v>1.5733574120725107E-2</v>
      </c>
      <c r="AC242">
        <f t="shared" si="106"/>
        <v>0.1589677551410443</v>
      </c>
      <c r="AD242">
        <f t="shared" si="107"/>
        <v>0.18652854841752772</v>
      </c>
      <c r="AE242">
        <f t="shared" si="108"/>
        <v>1.7270378037682544E-2</v>
      </c>
      <c r="AF242">
        <f t="shared" si="109"/>
        <v>2.6097097846457942E-2</v>
      </c>
      <c r="AG242">
        <f t="shared" si="110"/>
        <v>3.4760286735418471E-2</v>
      </c>
      <c r="AH242">
        <f t="shared" si="111"/>
        <v>3.9634833094557807E-2</v>
      </c>
      <c r="AI242">
        <f t="shared" si="100"/>
        <v>138370.33333333334</v>
      </c>
      <c r="AJ242">
        <f t="shared" si="101"/>
        <v>83135.333333333328</v>
      </c>
      <c r="AK242">
        <f t="shared" si="102"/>
        <v>15233.333333333334</v>
      </c>
    </row>
    <row r="243" spans="1:37" x14ac:dyDescent="0.25">
      <c r="A243" s="1">
        <v>40179</v>
      </c>
      <c r="B243" s="1">
        <v>40179</v>
      </c>
      <c r="C243">
        <v>2534</v>
      </c>
      <c r="D243">
        <v>2845</v>
      </c>
      <c r="E243">
        <v>2240</v>
      </c>
      <c r="F243">
        <v>3454</v>
      </c>
      <c r="G243">
        <v>3060</v>
      </c>
      <c r="H243">
        <v>3725</v>
      </c>
      <c r="I243">
        <v>83377</v>
      </c>
      <c r="J243">
        <v>138439</v>
      </c>
      <c r="K243">
        <v>15016</v>
      </c>
      <c r="L243">
        <v>2751</v>
      </c>
      <c r="M243">
        <f t="shared" si="89"/>
        <v>153455</v>
      </c>
      <c r="P243">
        <f t="shared" si="90"/>
        <v>9.7852790720406632E-2</v>
      </c>
      <c r="Q243">
        <f t="shared" si="91"/>
        <v>0.54333192141018538</v>
      </c>
      <c r="R243">
        <f t="shared" si="92"/>
        <v>1.7927079599882701E-2</v>
      </c>
      <c r="S243">
        <f t="shared" si="94"/>
        <v>0.16787015568068897</v>
      </c>
      <c r="T243">
        <f t="shared" si="95"/>
        <v>0.18847300430606162</v>
      </c>
      <c r="U243">
        <f t="shared" si="96"/>
        <v>1.6228944031878283E-2</v>
      </c>
      <c r="V243">
        <f t="shared" si="97"/>
        <v>2.5024452092012317E-2</v>
      </c>
      <c r="W243">
        <f t="shared" si="98"/>
        <v>3.651377022576488E-2</v>
      </c>
      <c r="X243">
        <f t="shared" si="99"/>
        <v>4.4676589467119228E-2</v>
      </c>
      <c r="Y243" s="1">
        <f t="shared" si="93"/>
        <v>40179</v>
      </c>
      <c r="Z243">
        <f t="shared" si="103"/>
        <v>9.8452731547463132E-2</v>
      </c>
      <c r="AA243">
        <f t="shared" si="104"/>
        <v>0.54301959057732541</v>
      </c>
      <c r="AB243">
        <f t="shared" si="105"/>
        <v>1.6488302840149221E-2</v>
      </c>
      <c r="AC243">
        <f t="shared" si="106"/>
        <v>0.16351938650811612</v>
      </c>
      <c r="AD243">
        <f t="shared" si="107"/>
        <v>0.18764012077368578</v>
      </c>
      <c r="AE243">
        <f t="shared" si="108"/>
        <v>1.6626187467995022E-2</v>
      </c>
      <c r="AF243">
        <f t="shared" si="109"/>
        <v>2.5824889299744757E-2</v>
      </c>
      <c r="AG243">
        <f t="shared" si="110"/>
        <v>3.50578034714416E-2</v>
      </c>
      <c r="AH243">
        <f t="shared" si="111"/>
        <v>4.099163210214829E-2</v>
      </c>
      <c r="AI243">
        <f t="shared" si="100"/>
        <v>138376.33333333334</v>
      </c>
      <c r="AJ243">
        <f t="shared" si="101"/>
        <v>83345.666666666672</v>
      </c>
      <c r="AK243">
        <f t="shared" si="102"/>
        <v>15111.333333333334</v>
      </c>
    </row>
    <row r="244" spans="1:37" x14ac:dyDescent="0.25">
      <c r="A244" s="1">
        <v>40210</v>
      </c>
      <c r="B244" s="1">
        <v>40210</v>
      </c>
      <c r="C244">
        <v>2487</v>
      </c>
      <c r="D244">
        <v>2786</v>
      </c>
      <c r="E244">
        <v>2329</v>
      </c>
      <c r="F244">
        <v>3569</v>
      </c>
      <c r="G244">
        <v>2994</v>
      </c>
      <c r="H244">
        <v>3555</v>
      </c>
      <c r="I244">
        <v>83296</v>
      </c>
      <c r="J244">
        <v>138624</v>
      </c>
      <c r="K244">
        <v>15078</v>
      </c>
      <c r="L244">
        <v>2577</v>
      </c>
      <c r="M244">
        <f t="shared" si="89"/>
        <v>153702</v>
      </c>
      <c r="P244">
        <f t="shared" si="90"/>
        <v>9.8098918686809547E-2</v>
      </c>
      <c r="Q244">
        <f t="shared" si="91"/>
        <v>0.54193179008731185</v>
      </c>
      <c r="R244">
        <f t="shared" si="92"/>
        <v>1.6766209938712574E-2</v>
      </c>
      <c r="S244">
        <f t="shared" si="94"/>
        <v>0.16562333510921684</v>
      </c>
      <c r="T244">
        <f t="shared" si="95"/>
        <v>0.18553542887586574</v>
      </c>
      <c r="U244">
        <f t="shared" si="96"/>
        <v>1.6823294013970053E-2</v>
      </c>
      <c r="V244">
        <f t="shared" si="97"/>
        <v>2.5780307572288157E-2</v>
      </c>
      <c r="W244">
        <f t="shared" si="98"/>
        <v>3.5909183587799993E-2</v>
      </c>
      <c r="X244">
        <f t="shared" si="99"/>
        <v>4.2679120245870152E-2</v>
      </c>
      <c r="Y244" s="1">
        <f t="shared" si="93"/>
        <v>40210</v>
      </c>
      <c r="Z244">
        <f t="shared" si="103"/>
        <v>9.8178173424836604E-2</v>
      </c>
      <c r="AA244">
        <f t="shared" si="104"/>
        <v>0.54419100379766805</v>
      </c>
      <c r="AB244">
        <f t="shared" si="105"/>
        <v>1.690011427671044E-2</v>
      </c>
      <c r="AC244">
        <f t="shared" si="106"/>
        <v>0.16270930850893903</v>
      </c>
      <c r="AD244">
        <f t="shared" si="107"/>
        <v>0.18913333723813705</v>
      </c>
      <c r="AE244">
        <f t="shared" si="108"/>
        <v>1.673623141775156E-2</v>
      </c>
      <c r="AF244">
        <f t="shared" si="109"/>
        <v>2.6209069817786812E-2</v>
      </c>
      <c r="AG244">
        <f t="shared" si="110"/>
        <v>3.5321023869431027E-2</v>
      </c>
      <c r="AH244">
        <f t="shared" si="111"/>
        <v>4.1958052506592215E-2</v>
      </c>
      <c r="AI244">
        <f t="shared" si="100"/>
        <v>138362.66666666666</v>
      </c>
      <c r="AJ244">
        <f t="shared" si="101"/>
        <v>83492.333333333328</v>
      </c>
      <c r="AK244">
        <f t="shared" si="102"/>
        <v>15063</v>
      </c>
    </row>
    <row r="245" spans="1:37" x14ac:dyDescent="0.25">
      <c r="A245" s="1">
        <v>40238</v>
      </c>
      <c r="B245" s="1">
        <v>40238</v>
      </c>
      <c r="C245">
        <v>2600</v>
      </c>
      <c r="D245">
        <v>2838</v>
      </c>
      <c r="E245">
        <v>2316</v>
      </c>
      <c r="F245">
        <v>3742</v>
      </c>
      <c r="G245">
        <v>3221</v>
      </c>
      <c r="H245">
        <v>3542</v>
      </c>
      <c r="I245">
        <v>83199</v>
      </c>
      <c r="J245">
        <v>138767</v>
      </c>
      <c r="K245">
        <v>15192</v>
      </c>
      <c r="L245">
        <v>2614</v>
      </c>
      <c r="M245">
        <f t="shared" si="89"/>
        <v>153959</v>
      </c>
      <c r="P245">
        <f t="shared" si="90"/>
        <v>9.8675621431679864E-2</v>
      </c>
      <c r="Q245">
        <f t="shared" si="91"/>
        <v>0.54039711871342366</v>
      </c>
      <c r="R245">
        <f t="shared" si="92"/>
        <v>1.6978546236335646E-2</v>
      </c>
      <c r="S245">
        <f t="shared" si="94"/>
        <v>0.17243666268735908</v>
      </c>
      <c r="T245">
        <f t="shared" si="95"/>
        <v>0.18822124950258656</v>
      </c>
      <c r="U245">
        <f t="shared" si="96"/>
        <v>1.6707063711911357E-2</v>
      </c>
      <c r="V245">
        <f t="shared" si="97"/>
        <v>2.699388273314866E-2</v>
      </c>
      <c r="W245">
        <f t="shared" si="98"/>
        <v>3.8669323857087975E-2</v>
      </c>
      <c r="X245">
        <f t="shared" si="99"/>
        <v>4.2572627074844646E-2</v>
      </c>
      <c r="Y245" s="1">
        <f t="shared" si="93"/>
        <v>40238</v>
      </c>
      <c r="Z245">
        <f t="shared" si="103"/>
        <v>9.8209110279632014E-2</v>
      </c>
      <c r="AA245">
        <f t="shared" si="104"/>
        <v>0.5418869434036403</v>
      </c>
      <c r="AB245">
        <f t="shared" si="105"/>
        <v>1.7223945258310308E-2</v>
      </c>
      <c r="AC245">
        <f t="shared" si="106"/>
        <v>0.16864338449242164</v>
      </c>
      <c r="AD245">
        <f t="shared" si="107"/>
        <v>0.18740989422817131</v>
      </c>
      <c r="AE245">
        <f t="shared" si="108"/>
        <v>1.658643391925323E-2</v>
      </c>
      <c r="AF245">
        <f t="shared" si="109"/>
        <v>2.593288079914971E-2</v>
      </c>
      <c r="AG245">
        <f t="shared" si="110"/>
        <v>3.7030759223550945E-2</v>
      </c>
      <c r="AH245">
        <f t="shared" si="111"/>
        <v>4.3309445595944678E-2</v>
      </c>
      <c r="AI245">
        <f t="shared" si="100"/>
        <v>138610</v>
      </c>
      <c r="AJ245">
        <f t="shared" si="101"/>
        <v>83290.666666666672</v>
      </c>
      <c r="AK245">
        <f t="shared" si="102"/>
        <v>15095.333333333334</v>
      </c>
    </row>
    <row r="246" spans="1:37" x14ac:dyDescent="0.25">
      <c r="A246" s="1">
        <v>40269</v>
      </c>
      <c r="B246" s="1">
        <v>40269</v>
      </c>
      <c r="C246">
        <v>2755</v>
      </c>
      <c r="D246">
        <v>2740</v>
      </c>
      <c r="E246">
        <v>2277</v>
      </c>
      <c r="F246">
        <v>3481</v>
      </c>
      <c r="G246">
        <v>3290</v>
      </c>
      <c r="H246">
        <v>3489</v>
      </c>
      <c r="I246">
        <v>82752</v>
      </c>
      <c r="J246">
        <v>139296</v>
      </c>
      <c r="K246">
        <v>15281</v>
      </c>
      <c r="L246">
        <v>3142</v>
      </c>
      <c r="M246">
        <f t="shared" si="89"/>
        <v>154577</v>
      </c>
      <c r="P246">
        <f t="shared" si="90"/>
        <v>9.885688038970869E-2</v>
      </c>
      <c r="Q246">
        <f t="shared" si="91"/>
        <v>0.53534484431707174</v>
      </c>
      <c r="R246">
        <f t="shared" si="92"/>
        <v>2.0326439250341253E-2</v>
      </c>
      <c r="S246">
        <f t="shared" si="94"/>
        <v>0.18134544497103738</v>
      </c>
      <c r="T246">
        <f t="shared" si="95"/>
        <v>0.18035808320168509</v>
      </c>
      <c r="U246">
        <f t="shared" si="96"/>
        <v>1.6408800363198743E-2</v>
      </c>
      <c r="V246">
        <f t="shared" si="97"/>
        <v>2.5085214784494873E-2</v>
      </c>
      <c r="W246">
        <f t="shared" si="98"/>
        <v>3.9543744516160051E-2</v>
      </c>
      <c r="X246">
        <f t="shared" si="99"/>
        <v>4.2162122969837589E-2</v>
      </c>
      <c r="Y246" s="1">
        <f t="shared" si="93"/>
        <v>40269</v>
      </c>
      <c r="Z246">
        <f t="shared" si="103"/>
        <v>9.8543806836066047E-2</v>
      </c>
      <c r="AA246">
        <f t="shared" si="104"/>
        <v>0.53922458437260234</v>
      </c>
      <c r="AB246">
        <f t="shared" si="105"/>
        <v>1.8023731808463159E-2</v>
      </c>
      <c r="AC246">
        <f t="shared" si="106"/>
        <v>0.17313514758920445</v>
      </c>
      <c r="AD246">
        <f t="shared" si="107"/>
        <v>0.18470492052671247</v>
      </c>
      <c r="AE246">
        <f t="shared" si="108"/>
        <v>1.6646386029693382E-2</v>
      </c>
      <c r="AF246">
        <f t="shared" si="109"/>
        <v>2.5953135029977231E-2</v>
      </c>
      <c r="AG246">
        <f t="shared" si="110"/>
        <v>3.8040750653682676E-2</v>
      </c>
      <c r="AH246">
        <f t="shared" si="111"/>
        <v>4.24712900968508E-2</v>
      </c>
      <c r="AI246">
        <f t="shared" si="100"/>
        <v>138895.66666666666</v>
      </c>
      <c r="AJ246">
        <f t="shared" si="101"/>
        <v>83082.333333333328</v>
      </c>
      <c r="AK246">
        <f t="shared" si="102"/>
        <v>15183.666666666666</v>
      </c>
    </row>
    <row r="247" spans="1:37" x14ac:dyDescent="0.25">
      <c r="A247" s="1">
        <v>40299</v>
      </c>
      <c r="B247" s="1">
        <v>40299</v>
      </c>
      <c r="C247">
        <v>2676</v>
      </c>
      <c r="D247">
        <v>3010</v>
      </c>
      <c r="E247">
        <v>2347</v>
      </c>
      <c r="F247">
        <v>3830</v>
      </c>
      <c r="G247">
        <v>2907</v>
      </c>
      <c r="H247">
        <v>3413</v>
      </c>
      <c r="I247">
        <v>83389</v>
      </c>
      <c r="J247">
        <v>139255</v>
      </c>
      <c r="K247">
        <v>14856</v>
      </c>
      <c r="L247">
        <v>2849</v>
      </c>
      <c r="M247">
        <f t="shared" si="89"/>
        <v>154111</v>
      </c>
      <c r="P247">
        <f t="shared" si="90"/>
        <v>9.6398050755624187E-2</v>
      </c>
      <c r="Q247">
        <f t="shared" si="91"/>
        <v>0.54109700151189732</v>
      </c>
      <c r="R247">
        <f t="shared" si="92"/>
        <v>1.8486675188662718E-2</v>
      </c>
      <c r="S247">
        <f t="shared" si="94"/>
        <v>0.17511942935671748</v>
      </c>
      <c r="T247">
        <f t="shared" si="95"/>
        <v>0.19697663765460377</v>
      </c>
      <c r="U247">
        <f t="shared" si="96"/>
        <v>1.684901217551114E-2</v>
      </c>
      <c r="V247">
        <f t="shared" si="97"/>
        <v>2.7495405467493683E-2</v>
      </c>
      <c r="W247">
        <f t="shared" si="98"/>
        <v>3.5129060324825989E-2</v>
      </c>
      <c r="X247">
        <f t="shared" si="99"/>
        <v>4.0928659655350225E-2</v>
      </c>
      <c r="Y247" s="1">
        <f t="shared" si="93"/>
        <v>40299</v>
      </c>
      <c r="Z247">
        <f t="shared" si="103"/>
        <v>9.7976850859004247E-2</v>
      </c>
      <c r="AA247">
        <f t="shared" si="104"/>
        <v>0.53894632151413091</v>
      </c>
      <c r="AB247">
        <f t="shared" si="105"/>
        <v>1.8597220225113207E-2</v>
      </c>
      <c r="AC247">
        <f t="shared" si="106"/>
        <v>0.17630051233837132</v>
      </c>
      <c r="AD247">
        <f t="shared" si="107"/>
        <v>0.18851865678629184</v>
      </c>
      <c r="AE247">
        <f t="shared" si="108"/>
        <v>1.6654958750207078E-2</v>
      </c>
      <c r="AF247">
        <f t="shared" si="109"/>
        <v>2.6524834328379071E-2</v>
      </c>
      <c r="AG247">
        <f t="shared" si="110"/>
        <v>3.7780709566024674E-2</v>
      </c>
      <c r="AH247">
        <f t="shared" si="111"/>
        <v>4.1887803233344151E-2</v>
      </c>
      <c r="AI247">
        <f t="shared" si="100"/>
        <v>139106</v>
      </c>
      <c r="AJ247">
        <f t="shared" si="101"/>
        <v>83113.333333333328</v>
      </c>
      <c r="AK247">
        <f t="shared" si="102"/>
        <v>15109.666666666666</v>
      </c>
    </row>
    <row r="248" spans="1:37" x14ac:dyDescent="0.25">
      <c r="A248" s="1">
        <v>40330</v>
      </c>
      <c r="B248" s="1">
        <v>40330</v>
      </c>
      <c r="C248">
        <v>2391</v>
      </c>
      <c r="D248">
        <v>3040</v>
      </c>
      <c r="E248">
        <v>2183</v>
      </c>
      <c r="F248">
        <v>3583</v>
      </c>
      <c r="G248">
        <v>2857</v>
      </c>
      <c r="H248">
        <v>3281</v>
      </c>
      <c r="I248">
        <v>84067</v>
      </c>
      <c r="J248">
        <v>139148</v>
      </c>
      <c r="K248">
        <v>14475</v>
      </c>
      <c r="L248">
        <v>2645</v>
      </c>
      <c r="M248">
        <f t="shared" si="89"/>
        <v>153623</v>
      </c>
      <c r="P248">
        <f t="shared" si="90"/>
        <v>9.4224172161720576E-2</v>
      </c>
      <c r="Q248">
        <f t="shared" si="91"/>
        <v>0.54722925603588002</v>
      </c>
      <c r="R248">
        <f t="shared" si="92"/>
        <v>1.7217473945958614E-2</v>
      </c>
      <c r="S248">
        <f t="shared" si="94"/>
        <v>0.16094507269789984</v>
      </c>
      <c r="T248">
        <f t="shared" si="95"/>
        <v>0.20463112547119008</v>
      </c>
      <c r="U248">
        <f t="shared" si="96"/>
        <v>1.5676277332950343E-2</v>
      </c>
      <c r="V248">
        <f t="shared" si="97"/>
        <v>2.5729776309647769E-2</v>
      </c>
      <c r="W248">
        <f t="shared" si="98"/>
        <v>3.4261113576131146E-2</v>
      </c>
      <c r="X248">
        <f t="shared" si="99"/>
        <v>3.902839401905623E-2</v>
      </c>
      <c r="Y248" s="1">
        <f t="shared" si="93"/>
        <v>40330</v>
      </c>
      <c r="Z248">
        <f t="shared" si="103"/>
        <v>9.649303443568448E-2</v>
      </c>
      <c r="AA248">
        <f t="shared" si="104"/>
        <v>0.5412237006216164</v>
      </c>
      <c r="AB248">
        <f t="shared" si="105"/>
        <v>1.8676862794987526E-2</v>
      </c>
      <c r="AC248">
        <f t="shared" si="106"/>
        <v>0.1724699823418849</v>
      </c>
      <c r="AD248">
        <f t="shared" si="107"/>
        <v>0.19398861544249299</v>
      </c>
      <c r="AE248">
        <f t="shared" si="108"/>
        <v>1.6311363290553407E-2</v>
      </c>
      <c r="AF248">
        <f t="shared" si="109"/>
        <v>2.6103465520545443E-2</v>
      </c>
      <c r="AG248">
        <f t="shared" si="110"/>
        <v>3.6311306139039067E-2</v>
      </c>
      <c r="AH248">
        <f t="shared" si="111"/>
        <v>4.0706392214748012E-2</v>
      </c>
      <c r="AI248">
        <f t="shared" si="100"/>
        <v>139233</v>
      </c>
      <c r="AJ248">
        <f t="shared" si="101"/>
        <v>83402.666666666672</v>
      </c>
      <c r="AK248">
        <f t="shared" si="102"/>
        <v>14870.666666666666</v>
      </c>
    </row>
    <row r="249" spans="1:37" x14ac:dyDescent="0.25">
      <c r="A249" s="1">
        <v>40360</v>
      </c>
      <c r="B249" s="1">
        <v>40360</v>
      </c>
      <c r="C249">
        <v>2505</v>
      </c>
      <c r="D249">
        <v>2851</v>
      </c>
      <c r="E249">
        <v>2319</v>
      </c>
      <c r="F249">
        <v>3574</v>
      </c>
      <c r="G249">
        <v>3098</v>
      </c>
      <c r="H249">
        <v>3437</v>
      </c>
      <c r="I249">
        <v>84181</v>
      </c>
      <c r="J249">
        <v>139167</v>
      </c>
      <c r="K249">
        <v>14542</v>
      </c>
      <c r="L249">
        <v>2922</v>
      </c>
      <c r="M249">
        <f t="shared" si="89"/>
        <v>153709</v>
      </c>
      <c r="P249">
        <f t="shared" si="90"/>
        <v>9.4607342445790416E-2</v>
      </c>
      <c r="Q249">
        <f t="shared" si="91"/>
        <v>0.54766474311849012</v>
      </c>
      <c r="R249">
        <f t="shared" si="92"/>
        <v>1.9009947368078643E-2</v>
      </c>
      <c r="S249">
        <f t="shared" si="94"/>
        <v>0.17305699481865286</v>
      </c>
      <c r="T249">
        <f t="shared" si="95"/>
        <v>0.19696027633851468</v>
      </c>
      <c r="U249">
        <f t="shared" si="96"/>
        <v>1.6665708454307645E-2</v>
      </c>
      <c r="V249">
        <f t="shared" si="97"/>
        <v>2.5684882283611692E-2</v>
      </c>
      <c r="W249">
        <f t="shared" si="98"/>
        <v>3.6851558875658698E-2</v>
      </c>
      <c r="X249">
        <f t="shared" si="99"/>
        <v>4.082869055962747E-2</v>
      </c>
      <c r="Y249" s="1">
        <f t="shared" si="93"/>
        <v>40360</v>
      </c>
      <c r="Z249">
        <f t="shared" si="103"/>
        <v>9.5076521787711712E-2</v>
      </c>
      <c r="AA249">
        <f t="shared" si="104"/>
        <v>0.54533033355542238</v>
      </c>
      <c r="AB249">
        <f t="shared" si="105"/>
        <v>1.823803216756666E-2</v>
      </c>
      <c r="AC249">
        <f t="shared" si="106"/>
        <v>0.16970716562442342</v>
      </c>
      <c r="AD249">
        <f t="shared" si="107"/>
        <v>0.19952267982143615</v>
      </c>
      <c r="AE249">
        <f t="shared" si="108"/>
        <v>1.6396999320923044E-2</v>
      </c>
      <c r="AF249">
        <f t="shared" si="109"/>
        <v>2.6303354686917715E-2</v>
      </c>
      <c r="AG249">
        <f t="shared" si="110"/>
        <v>3.5413910925538611E-2</v>
      </c>
      <c r="AH249">
        <f t="shared" si="111"/>
        <v>4.0261914744677975E-2</v>
      </c>
      <c r="AI249">
        <f t="shared" si="100"/>
        <v>139190</v>
      </c>
      <c r="AJ249">
        <f t="shared" si="101"/>
        <v>83879</v>
      </c>
      <c r="AK249">
        <f t="shared" si="102"/>
        <v>14624.333333333334</v>
      </c>
    </row>
    <row r="250" spans="1:37" x14ac:dyDescent="0.25">
      <c r="A250" s="1">
        <v>40391</v>
      </c>
      <c r="B250" s="1">
        <v>40391</v>
      </c>
      <c r="C250">
        <v>2468</v>
      </c>
      <c r="D250">
        <v>2882</v>
      </c>
      <c r="E250">
        <v>2411</v>
      </c>
      <c r="F250">
        <v>3532</v>
      </c>
      <c r="G250">
        <v>3048</v>
      </c>
      <c r="H250">
        <v>3638</v>
      </c>
      <c r="I250">
        <v>84021</v>
      </c>
      <c r="J250">
        <v>139405</v>
      </c>
      <c r="K250">
        <v>14673</v>
      </c>
      <c r="L250">
        <v>2905</v>
      </c>
      <c r="M250">
        <f t="shared" si="89"/>
        <v>154078</v>
      </c>
      <c r="P250">
        <f t="shared" si="90"/>
        <v>9.5230986902737569E-2</v>
      </c>
      <c r="Q250">
        <f t="shared" si="91"/>
        <v>0.54531471073092852</v>
      </c>
      <c r="R250">
        <f t="shared" si="92"/>
        <v>1.885408689105518E-2</v>
      </c>
      <c r="S250">
        <f t="shared" si="94"/>
        <v>0.16971530738550406</v>
      </c>
      <c r="T250">
        <f t="shared" si="95"/>
        <v>0.19818456883509833</v>
      </c>
      <c r="U250">
        <f t="shared" si="96"/>
        <v>1.7324509402372689E-2</v>
      </c>
      <c r="V250">
        <f t="shared" si="97"/>
        <v>2.5379579929149871E-2</v>
      </c>
      <c r="W250">
        <f t="shared" si="98"/>
        <v>3.6207695323172688E-2</v>
      </c>
      <c r="X250">
        <f t="shared" si="99"/>
        <v>4.3298699134740125E-2</v>
      </c>
      <c r="Y250" s="1">
        <f t="shared" si="93"/>
        <v>40391</v>
      </c>
      <c r="Z250">
        <f t="shared" si="103"/>
        <v>9.4687500503416192E-2</v>
      </c>
      <c r="AA250">
        <f t="shared" si="104"/>
        <v>0.54673623662843296</v>
      </c>
      <c r="AB250">
        <f t="shared" si="105"/>
        <v>1.8360502735030811E-2</v>
      </c>
      <c r="AC250">
        <f t="shared" si="106"/>
        <v>0.16790579163401889</v>
      </c>
      <c r="AD250">
        <f t="shared" si="107"/>
        <v>0.19992532354826772</v>
      </c>
      <c r="AE250">
        <f t="shared" si="108"/>
        <v>1.655549839654356E-2</v>
      </c>
      <c r="AF250">
        <f t="shared" si="109"/>
        <v>2.5598079507469774E-2</v>
      </c>
      <c r="AG250">
        <f t="shared" si="110"/>
        <v>3.5773455924987513E-2</v>
      </c>
      <c r="AH250">
        <f t="shared" si="111"/>
        <v>4.1051927904474615E-2</v>
      </c>
      <c r="AI250">
        <f t="shared" si="100"/>
        <v>139240</v>
      </c>
      <c r="AJ250">
        <f t="shared" si="101"/>
        <v>84089.666666666672</v>
      </c>
      <c r="AK250">
        <f t="shared" si="102"/>
        <v>14563.333333333334</v>
      </c>
    </row>
    <row r="251" spans="1:37" x14ac:dyDescent="0.25">
      <c r="A251" s="1">
        <v>40422</v>
      </c>
      <c r="B251" s="1">
        <v>40422</v>
      </c>
      <c r="C251">
        <v>2358</v>
      </c>
      <c r="D251">
        <v>2952</v>
      </c>
      <c r="E251">
        <v>2229</v>
      </c>
      <c r="F251">
        <v>3542</v>
      </c>
      <c r="G251">
        <v>2968</v>
      </c>
      <c r="H251">
        <v>3387</v>
      </c>
      <c r="I251">
        <v>84356</v>
      </c>
      <c r="J251">
        <v>139388</v>
      </c>
      <c r="K251">
        <v>14577</v>
      </c>
      <c r="L251">
        <v>2784</v>
      </c>
      <c r="M251">
        <f t="shared" si="89"/>
        <v>153965</v>
      </c>
      <c r="P251">
        <f t="shared" si="90"/>
        <v>9.4677361738057353E-2</v>
      </c>
      <c r="Q251">
        <f t="shared" si="91"/>
        <v>0.547890754392232</v>
      </c>
      <c r="R251">
        <f t="shared" si="92"/>
        <v>1.8082031630565387E-2</v>
      </c>
      <c r="S251">
        <f t="shared" si="94"/>
        <v>0.16070333265180944</v>
      </c>
      <c r="T251">
        <f t="shared" si="95"/>
        <v>0.20118585156409732</v>
      </c>
      <c r="U251">
        <f t="shared" si="96"/>
        <v>1.598938345109573E-2</v>
      </c>
      <c r="V251">
        <f t="shared" si="97"/>
        <v>2.5407983931709767E-2</v>
      </c>
      <c r="W251">
        <f t="shared" si="98"/>
        <v>3.532450220778139E-2</v>
      </c>
      <c r="X251">
        <f t="shared" si="99"/>
        <v>4.0151263691972118E-2</v>
      </c>
      <c r="Y251" s="1">
        <f t="shared" si="93"/>
        <v>40422</v>
      </c>
      <c r="Z251">
        <f t="shared" si="103"/>
        <v>9.4838563695528455E-2</v>
      </c>
      <c r="AA251">
        <f t="shared" si="104"/>
        <v>0.54695673608055018</v>
      </c>
      <c r="AB251">
        <f t="shared" si="105"/>
        <v>1.8648688629899737E-2</v>
      </c>
      <c r="AC251">
        <f t="shared" si="106"/>
        <v>0.16782521161865546</v>
      </c>
      <c r="AD251">
        <f t="shared" si="107"/>
        <v>0.19877689891257011</v>
      </c>
      <c r="AE251">
        <f t="shared" si="108"/>
        <v>1.6659867102592023E-2</v>
      </c>
      <c r="AF251">
        <f t="shared" si="109"/>
        <v>2.549081538149044E-2</v>
      </c>
      <c r="AG251">
        <f t="shared" si="110"/>
        <v>3.6127918802204256E-2</v>
      </c>
      <c r="AH251">
        <f t="shared" si="111"/>
        <v>4.1426217795446564E-2</v>
      </c>
      <c r="AI251">
        <f t="shared" si="100"/>
        <v>139320</v>
      </c>
      <c r="AJ251">
        <f t="shared" si="101"/>
        <v>84186</v>
      </c>
      <c r="AK251">
        <f t="shared" si="102"/>
        <v>14597.333333333334</v>
      </c>
    </row>
    <row r="252" spans="1:37" x14ac:dyDescent="0.25">
      <c r="A252" s="1">
        <v>40452</v>
      </c>
      <c r="B252" s="1">
        <v>40452</v>
      </c>
      <c r="C252">
        <v>2440</v>
      </c>
      <c r="D252">
        <v>2867</v>
      </c>
      <c r="E252">
        <v>2245</v>
      </c>
      <c r="F252">
        <v>3982</v>
      </c>
      <c r="G252">
        <v>3042</v>
      </c>
      <c r="H252">
        <v>3414</v>
      </c>
      <c r="I252">
        <v>84849</v>
      </c>
      <c r="J252">
        <v>139097</v>
      </c>
      <c r="K252">
        <v>14584</v>
      </c>
      <c r="L252">
        <v>3033</v>
      </c>
      <c r="M252">
        <f t="shared" si="89"/>
        <v>153681</v>
      </c>
      <c r="P252">
        <f t="shared" si="90"/>
        <v>9.4897872866522209E-2</v>
      </c>
      <c r="Q252">
        <f t="shared" si="91"/>
        <v>0.55211119136392917</v>
      </c>
      <c r="R252">
        <f t="shared" si="92"/>
        <v>1.9735686259199251E-2</v>
      </c>
      <c r="S252">
        <f t="shared" si="94"/>
        <v>0.16738697948823489</v>
      </c>
      <c r="T252">
        <f t="shared" si="95"/>
        <v>0.19667970089867601</v>
      </c>
      <c r="U252">
        <f t="shared" si="96"/>
        <v>1.6106121043418371E-2</v>
      </c>
      <c r="V252">
        <f t="shared" si="97"/>
        <v>2.8567738973225815E-2</v>
      </c>
      <c r="W252">
        <f t="shared" si="98"/>
        <v>3.6061453838494004E-2</v>
      </c>
      <c r="X252">
        <f t="shared" si="99"/>
        <v>4.0236184280309728E-2</v>
      </c>
      <c r="Y252" s="1">
        <f t="shared" si="93"/>
        <v>40452</v>
      </c>
      <c r="Z252">
        <f t="shared" si="103"/>
        <v>9.4935407169105715E-2</v>
      </c>
      <c r="AA252">
        <f t="shared" si="104"/>
        <v>0.54843888549569664</v>
      </c>
      <c r="AB252">
        <f t="shared" si="105"/>
        <v>1.8890601593606605E-2</v>
      </c>
      <c r="AC252">
        <f t="shared" si="106"/>
        <v>0.16593520650851612</v>
      </c>
      <c r="AD252">
        <f t="shared" si="107"/>
        <v>0.19868337376595724</v>
      </c>
      <c r="AE252">
        <f t="shared" si="108"/>
        <v>1.6473337965628929E-2</v>
      </c>
      <c r="AF252">
        <f t="shared" si="109"/>
        <v>2.645176761136182E-2</v>
      </c>
      <c r="AG252">
        <f t="shared" si="110"/>
        <v>3.5864550456482694E-2</v>
      </c>
      <c r="AH252">
        <f t="shared" si="111"/>
        <v>4.1228715702340657E-2</v>
      </c>
      <c r="AI252">
        <f t="shared" si="100"/>
        <v>139296.66666666666</v>
      </c>
      <c r="AJ252">
        <f t="shared" si="101"/>
        <v>84408.666666666672</v>
      </c>
      <c r="AK252">
        <f t="shared" si="102"/>
        <v>14611.333333333334</v>
      </c>
    </row>
    <row r="253" spans="1:37" x14ac:dyDescent="0.25">
      <c r="A253" s="1">
        <v>40483</v>
      </c>
      <c r="B253" s="1">
        <v>40483</v>
      </c>
      <c r="C253">
        <v>2444</v>
      </c>
      <c r="D253">
        <v>2814</v>
      </c>
      <c r="E253">
        <v>2575</v>
      </c>
      <c r="F253">
        <v>3582</v>
      </c>
      <c r="G253">
        <v>3173</v>
      </c>
      <c r="H253">
        <v>3608</v>
      </c>
      <c r="I253">
        <v>84575</v>
      </c>
      <c r="J253">
        <v>139046</v>
      </c>
      <c r="K253">
        <v>15094</v>
      </c>
      <c r="L253">
        <v>3051</v>
      </c>
      <c r="M253">
        <f t="shared" si="89"/>
        <v>154140</v>
      </c>
      <c r="P253">
        <f t="shared" si="90"/>
        <v>9.7923965226417539E-2</v>
      </c>
      <c r="Q253">
        <f t="shared" si="91"/>
        <v>0.54868950304917607</v>
      </c>
      <c r="R253">
        <f t="shared" si="92"/>
        <v>1.9793694044375244E-2</v>
      </c>
      <c r="S253">
        <f t="shared" si="94"/>
        <v>0.1675809105869446</v>
      </c>
      <c r="T253">
        <f t="shared" si="95"/>
        <v>0.19295117937465717</v>
      </c>
      <c r="U253">
        <f t="shared" si="96"/>
        <v>1.85122612277763E-2</v>
      </c>
      <c r="V253">
        <f t="shared" si="97"/>
        <v>2.5751813482677556E-2</v>
      </c>
      <c r="W253">
        <f t="shared" si="98"/>
        <v>3.7395844382373394E-2</v>
      </c>
      <c r="X253">
        <f t="shared" si="99"/>
        <v>4.2660360626662723E-2</v>
      </c>
      <c r="Y253" s="1">
        <f t="shared" si="93"/>
        <v>40483</v>
      </c>
      <c r="Z253">
        <f t="shared" si="103"/>
        <v>9.5833066610332363E-2</v>
      </c>
      <c r="AA253">
        <f t="shared" si="104"/>
        <v>0.54956381626844575</v>
      </c>
      <c r="AB253">
        <f t="shared" si="105"/>
        <v>1.9203803978046625E-2</v>
      </c>
      <c r="AC253">
        <f t="shared" si="106"/>
        <v>0.1652237409089963</v>
      </c>
      <c r="AD253">
        <f t="shared" si="107"/>
        <v>0.19693891061247681</v>
      </c>
      <c r="AE253">
        <f t="shared" si="108"/>
        <v>1.6869255240763468E-2</v>
      </c>
      <c r="AF253">
        <f t="shared" si="109"/>
        <v>2.6575845462537714E-2</v>
      </c>
      <c r="AG253">
        <f t="shared" si="110"/>
        <v>3.6260600142882932E-2</v>
      </c>
      <c r="AH253">
        <f t="shared" si="111"/>
        <v>4.101593619964819E-2</v>
      </c>
      <c r="AI253">
        <f t="shared" si="100"/>
        <v>139177</v>
      </c>
      <c r="AJ253">
        <f t="shared" si="101"/>
        <v>84593.333333333328</v>
      </c>
      <c r="AK253">
        <f t="shared" si="102"/>
        <v>14751.666666666666</v>
      </c>
    </row>
    <row r="254" spans="1:37" x14ac:dyDescent="0.25">
      <c r="A254" s="1">
        <v>40513</v>
      </c>
      <c r="B254" s="1">
        <v>40513</v>
      </c>
      <c r="C254">
        <v>2613</v>
      </c>
      <c r="D254">
        <v>3168</v>
      </c>
      <c r="E254">
        <v>2207</v>
      </c>
      <c r="F254">
        <v>3692</v>
      </c>
      <c r="G254">
        <v>2816</v>
      </c>
      <c r="H254">
        <v>3525</v>
      </c>
      <c r="I254">
        <v>85240</v>
      </c>
      <c r="J254">
        <v>139295</v>
      </c>
      <c r="K254">
        <v>14354</v>
      </c>
      <c r="L254">
        <v>2930</v>
      </c>
      <c r="M254">
        <f t="shared" si="89"/>
        <v>153649</v>
      </c>
      <c r="P254">
        <f t="shared" si="90"/>
        <v>9.3420718650951196E-2</v>
      </c>
      <c r="Q254">
        <f t="shared" si="91"/>
        <v>0.55477093895827501</v>
      </c>
      <c r="R254">
        <f t="shared" si="92"/>
        <v>1.906943748413592E-2</v>
      </c>
      <c r="S254">
        <f t="shared" si="94"/>
        <v>0.17311514509076453</v>
      </c>
      <c r="T254">
        <f t="shared" si="95"/>
        <v>0.20988472240625414</v>
      </c>
      <c r="U254">
        <f t="shared" si="96"/>
        <v>1.5872445090114064E-2</v>
      </c>
      <c r="V254">
        <f t="shared" si="97"/>
        <v>2.6552363965881794E-2</v>
      </c>
      <c r="W254">
        <f t="shared" si="98"/>
        <v>3.3295891220809934E-2</v>
      </c>
      <c r="X254">
        <f t="shared" si="99"/>
        <v>4.1353824495542001E-2</v>
      </c>
      <c r="Y254" s="1">
        <f t="shared" si="93"/>
        <v>40513</v>
      </c>
      <c r="Z254">
        <f t="shared" si="103"/>
        <v>9.5414185581296981E-2</v>
      </c>
      <c r="AA254">
        <f t="shared" si="104"/>
        <v>0.55185721112379349</v>
      </c>
      <c r="AB254">
        <f t="shared" si="105"/>
        <v>1.9532939262570138E-2</v>
      </c>
      <c r="AC254">
        <f t="shared" si="106"/>
        <v>0.16936101172198134</v>
      </c>
      <c r="AD254">
        <f t="shared" si="107"/>
        <v>0.19983853422652909</v>
      </c>
      <c r="AE254">
        <f t="shared" si="108"/>
        <v>1.6830275787102913E-2</v>
      </c>
      <c r="AF254">
        <f t="shared" si="109"/>
        <v>2.6957305473928387E-2</v>
      </c>
      <c r="AG254">
        <f t="shared" si="110"/>
        <v>3.5584396480559111E-2</v>
      </c>
      <c r="AH254">
        <f t="shared" si="111"/>
        <v>4.1416789800838155E-2</v>
      </c>
      <c r="AI254">
        <f t="shared" si="100"/>
        <v>139146</v>
      </c>
      <c r="AJ254">
        <f t="shared" si="101"/>
        <v>84888</v>
      </c>
      <c r="AK254">
        <f t="shared" si="102"/>
        <v>14677.333333333334</v>
      </c>
    </row>
    <row r="255" spans="1:37" x14ac:dyDescent="0.25">
      <c r="A255" s="1">
        <v>40544</v>
      </c>
      <c r="B255" s="1">
        <v>40544</v>
      </c>
      <c r="C255">
        <v>2393</v>
      </c>
      <c r="D255">
        <v>3048</v>
      </c>
      <c r="E255">
        <v>2163</v>
      </c>
      <c r="F255">
        <v>3685</v>
      </c>
      <c r="G255">
        <v>2926</v>
      </c>
      <c r="H255">
        <v>3612</v>
      </c>
      <c r="I255">
        <v>85460</v>
      </c>
      <c r="J255">
        <v>139253</v>
      </c>
      <c r="K255">
        <v>13992</v>
      </c>
      <c r="L255">
        <v>2868</v>
      </c>
      <c r="M255">
        <f t="shared" si="89"/>
        <v>153245</v>
      </c>
      <c r="P255">
        <f t="shared" si="90"/>
        <v>9.1304773402068579E-2</v>
      </c>
      <c r="Q255">
        <f t="shared" si="91"/>
        <v>0.55766909197689973</v>
      </c>
      <c r="R255">
        <f t="shared" si="92"/>
        <v>1.8715129368005481E-2</v>
      </c>
      <c r="S255">
        <f t="shared" si="94"/>
        <v>0.16671311132785285</v>
      </c>
      <c r="T255">
        <f t="shared" si="95"/>
        <v>0.21234499094329107</v>
      </c>
      <c r="U255">
        <f t="shared" si="96"/>
        <v>1.552819555619369E-2</v>
      </c>
      <c r="V255">
        <f t="shared" si="97"/>
        <v>2.6454646613302702E-2</v>
      </c>
      <c r="W255">
        <f t="shared" si="98"/>
        <v>3.4326607226654156E-2</v>
      </c>
      <c r="X255">
        <f t="shared" si="99"/>
        <v>4.226538731570325E-2</v>
      </c>
      <c r="Y255" s="1">
        <f t="shared" si="93"/>
        <v>40544</v>
      </c>
      <c r="Z255">
        <f t="shared" si="103"/>
        <v>9.4216485759812452E-2</v>
      </c>
      <c r="AA255">
        <f t="shared" si="104"/>
        <v>0.55370984466145023</v>
      </c>
      <c r="AB255">
        <f t="shared" si="105"/>
        <v>1.9192753632172214E-2</v>
      </c>
      <c r="AC255">
        <f t="shared" si="106"/>
        <v>0.16913638900185399</v>
      </c>
      <c r="AD255">
        <f t="shared" si="107"/>
        <v>0.20506029757473412</v>
      </c>
      <c r="AE255">
        <f t="shared" si="108"/>
        <v>1.663763395802802E-2</v>
      </c>
      <c r="AF255">
        <f t="shared" si="109"/>
        <v>2.6252941353954017E-2</v>
      </c>
      <c r="AG255">
        <f t="shared" si="110"/>
        <v>3.5006114276612495E-2</v>
      </c>
      <c r="AH255">
        <f t="shared" si="111"/>
        <v>4.2093190812635989E-2</v>
      </c>
      <c r="AI255">
        <f t="shared" si="100"/>
        <v>139198</v>
      </c>
      <c r="AJ255">
        <f t="shared" si="101"/>
        <v>85091.666666666672</v>
      </c>
      <c r="AK255">
        <f t="shared" si="102"/>
        <v>14480</v>
      </c>
    </row>
    <row r="256" spans="1:37" x14ac:dyDescent="0.25">
      <c r="A256" s="1">
        <v>40575</v>
      </c>
      <c r="B256" s="1">
        <v>40575</v>
      </c>
      <c r="C256">
        <v>2320</v>
      </c>
      <c r="D256">
        <v>2895</v>
      </c>
      <c r="E256">
        <v>2024</v>
      </c>
      <c r="F256">
        <v>3672</v>
      </c>
      <c r="G256">
        <v>2986</v>
      </c>
      <c r="H256">
        <v>3598</v>
      </c>
      <c r="I256">
        <v>85582</v>
      </c>
      <c r="J256">
        <v>139471</v>
      </c>
      <c r="K256">
        <v>13798</v>
      </c>
      <c r="L256">
        <v>3017</v>
      </c>
      <c r="M256">
        <f t="shared" si="89"/>
        <v>153269</v>
      </c>
      <c r="P256">
        <f t="shared" si="90"/>
        <v>9.0024727766214951E-2</v>
      </c>
      <c r="Q256">
        <f t="shared" si="91"/>
        <v>0.55837775414467372</v>
      </c>
      <c r="R256">
        <f t="shared" si="92"/>
        <v>1.968434582335632E-2</v>
      </c>
      <c r="S256">
        <f t="shared" si="94"/>
        <v>0.16580903373356204</v>
      </c>
      <c r="T256">
        <f t="shared" si="95"/>
        <v>0.20690394511149229</v>
      </c>
      <c r="U256">
        <f t="shared" si="96"/>
        <v>1.4534695841382232E-2</v>
      </c>
      <c r="V256">
        <f t="shared" si="97"/>
        <v>2.6369270320926657E-2</v>
      </c>
      <c r="W256">
        <f t="shared" si="98"/>
        <v>3.494032295810906E-2</v>
      </c>
      <c r="X256">
        <f t="shared" si="99"/>
        <v>4.2041550793391134E-2</v>
      </c>
      <c r="Y256" s="1">
        <f t="shared" si="93"/>
        <v>40575</v>
      </c>
      <c r="Z256">
        <f t="shared" si="103"/>
        <v>9.158340660641158E-2</v>
      </c>
      <c r="AA256">
        <f t="shared" si="104"/>
        <v>0.55693926169328278</v>
      </c>
      <c r="AB256">
        <f t="shared" si="105"/>
        <v>1.9156304225165909E-2</v>
      </c>
      <c r="AC256">
        <f t="shared" si="106"/>
        <v>0.1685457633840598</v>
      </c>
      <c r="AD256">
        <f t="shared" si="107"/>
        <v>0.20971121948701246</v>
      </c>
      <c r="AE256">
        <f t="shared" si="108"/>
        <v>1.5311778829229994E-2</v>
      </c>
      <c r="AF256">
        <f t="shared" si="109"/>
        <v>2.6458760300037052E-2</v>
      </c>
      <c r="AG256">
        <f t="shared" si="110"/>
        <v>3.4187607135191055E-2</v>
      </c>
      <c r="AH256">
        <f t="shared" si="111"/>
        <v>4.1886920868212128E-2</v>
      </c>
      <c r="AI256">
        <f t="shared" si="100"/>
        <v>139339.66666666666</v>
      </c>
      <c r="AJ256">
        <f t="shared" si="101"/>
        <v>85427.333333333328</v>
      </c>
      <c r="AK256">
        <f t="shared" si="102"/>
        <v>14048</v>
      </c>
    </row>
    <row r="257" spans="1:37" x14ac:dyDescent="0.25">
      <c r="A257" s="1">
        <v>40603</v>
      </c>
      <c r="B257" s="1">
        <v>40603</v>
      </c>
      <c r="C257">
        <v>2344</v>
      </c>
      <c r="D257">
        <v>2774</v>
      </c>
      <c r="E257">
        <v>2124</v>
      </c>
      <c r="F257">
        <v>3543</v>
      </c>
      <c r="G257">
        <v>2885</v>
      </c>
      <c r="H257">
        <v>3481</v>
      </c>
      <c r="I257">
        <v>85642</v>
      </c>
      <c r="J257">
        <v>139643</v>
      </c>
      <c r="K257">
        <v>13716</v>
      </c>
      <c r="L257">
        <v>3104</v>
      </c>
      <c r="M257">
        <f t="shared" si="89"/>
        <v>153359</v>
      </c>
      <c r="P257">
        <f t="shared" si="90"/>
        <v>8.9437202902992327E-2</v>
      </c>
      <c r="Q257">
        <f t="shared" si="91"/>
        <v>0.558441304390352</v>
      </c>
      <c r="R257">
        <f t="shared" si="92"/>
        <v>2.0240090245763211E-2</v>
      </c>
      <c r="S257">
        <f t="shared" si="94"/>
        <v>0.16987969270908829</v>
      </c>
      <c r="T257">
        <f t="shared" si="95"/>
        <v>0.20104362951152341</v>
      </c>
      <c r="U257">
        <f t="shared" si="96"/>
        <v>1.5228972331165618E-2</v>
      </c>
      <c r="V257">
        <f t="shared" si="97"/>
        <v>2.5403130399868072E-2</v>
      </c>
      <c r="W257">
        <f t="shared" si="98"/>
        <v>3.3710359655067655E-2</v>
      </c>
      <c r="X257">
        <f t="shared" si="99"/>
        <v>4.0645944746736412E-2</v>
      </c>
      <c r="Y257" s="1">
        <f t="shared" si="93"/>
        <v>40603</v>
      </c>
      <c r="Z257">
        <f t="shared" si="103"/>
        <v>9.0255568023758614E-2</v>
      </c>
      <c r="AA257">
        <f t="shared" si="104"/>
        <v>0.55816271683730856</v>
      </c>
      <c r="AB257">
        <f t="shared" si="105"/>
        <v>1.9546521812375005E-2</v>
      </c>
      <c r="AC257">
        <f t="shared" si="106"/>
        <v>0.16746727925683438</v>
      </c>
      <c r="AD257">
        <f t="shared" si="107"/>
        <v>0.20676418852210224</v>
      </c>
      <c r="AE257">
        <f t="shared" si="108"/>
        <v>1.5097287909580514E-2</v>
      </c>
      <c r="AF257">
        <f t="shared" si="109"/>
        <v>2.6075682444699145E-2</v>
      </c>
      <c r="AG257">
        <f t="shared" si="110"/>
        <v>3.4325763279943626E-2</v>
      </c>
      <c r="AH257">
        <f t="shared" si="111"/>
        <v>4.1650960951943601E-2</v>
      </c>
      <c r="AI257">
        <f t="shared" si="100"/>
        <v>139455.66666666666</v>
      </c>
      <c r="AJ257">
        <f t="shared" si="101"/>
        <v>85561.333333333328</v>
      </c>
      <c r="AK257">
        <f t="shared" si="102"/>
        <v>13835.333333333334</v>
      </c>
    </row>
    <row r="258" spans="1:37" x14ac:dyDescent="0.25">
      <c r="A258" s="1">
        <v>40634</v>
      </c>
      <c r="B258" s="1">
        <v>40634</v>
      </c>
      <c r="C258">
        <v>2256</v>
      </c>
      <c r="D258">
        <v>2841</v>
      </c>
      <c r="E258">
        <v>2276</v>
      </c>
      <c r="F258">
        <v>3575</v>
      </c>
      <c r="G258">
        <v>2966</v>
      </c>
      <c r="H258">
        <v>3528</v>
      </c>
      <c r="I258">
        <v>85668</v>
      </c>
      <c r="J258">
        <v>139606</v>
      </c>
      <c r="K258">
        <v>13872</v>
      </c>
      <c r="L258">
        <v>3025</v>
      </c>
      <c r="M258">
        <f t="shared" si="89"/>
        <v>153478</v>
      </c>
      <c r="P258">
        <f t="shared" si="90"/>
        <v>9.0384289605024828E-2</v>
      </c>
      <c r="Q258">
        <f t="shared" si="91"/>
        <v>0.55817771928224236</v>
      </c>
      <c r="R258">
        <f t="shared" si="92"/>
        <v>1.9709665228892739E-2</v>
      </c>
      <c r="S258">
        <f t="shared" si="94"/>
        <v>0.16447944006999124</v>
      </c>
      <c r="T258">
        <f t="shared" si="95"/>
        <v>0.20713035870516186</v>
      </c>
      <c r="U258">
        <f t="shared" si="96"/>
        <v>1.6298704553754931E-2</v>
      </c>
      <c r="V258">
        <f t="shared" si="97"/>
        <v>2.560099682762473E-2</v>
      </c>
      <c r="W258">
        <f t="shared" si="98"/>
        <v>3.4632540108825112E-2</v>
      </c>
      <c r="X258">
        <f t="shared" si="99"/>
        <v>4.1182238408740718E-2</v>
      </c>
      <c r="Y258" s="1">
        <f t="shared" si="93"/>
        <v>40634</v>
      </c>
      <c r="Z258">
        <f t="shared" si="103"/>
        <v>8.9948740091410698E-2</v>
      </c>
      <c r="AA258">
        <f t="shared" si="104"/>
        <v>0.55833225927242269</v>
      </c>
      <c r="AB258">
        <f t="shared" si="105"/>
        <v>1.987803376600409E-2</v>
      </c>
      <c r="AC258">
        <f t="shared" si="106"/>
        <v>0.16672272217088055</v>
      </c>
      <c r="AD258">
        <f t="shared" si="107"/>
        <v>0.20502597777605916</v>
      </c>
      <c r="AE258">
        <f t="shared" si="108"/>
        <v>1.5354124242100928E-2</v>
      </c>
      <c r="AF258">
        <f t="shared" si="109"/>
        <v>2.579113251613982E-2</v>
      </c>
      <c r="AG258">
        <f t="shared" si="110"/>
        <v>3.4427740907333942E-2</v>
      </c>
      <c r="AH258">
        <f t="shared" si="111"/>
        <v>4.1289911316289424E-2</v>
      </c>
      <c r="AI258">
        <f t="shared" si="100"/>
        <v>139573.33333333334</v>
      </c>
      <c r="AJ258">
        <f t="shared" si="101"/>
        <v>85630.666666666672</v>
      </c>
      <c r="AK258">
        <f t="shared" si="102"/>
        <v>13795.333333333334</v>
      </c>
    </row>
    <row r="259" spans="1:37" x14ac:dyDescent="0.25">
      <c r="A259" s="1">
        <v>40664</v>
      </c>
      <c r="B259" s="1">
        <v>40664</v>
      </c>
      <c r="C259">
        <v>2360</v>
      </c>
      <c r="D259">
        <v>2814</v>
      </c>
      <c r="E259">
        <v>2207</v>
      </c>
      <c r="F259">
        <v>3749</v>
      </c>
      <c r="G259">
        <v>2944</v>
      </c>
      <c r="H259">
        <v>3612</v>
      </c>
      <c r="I259">
        <v>85761</v>
      </c>
      <c r="J259">
        <v>139681</v>
      </c>
      <c r="K259">
        <v>13871</v>
      </c>
      <c r="L259">
        <v>2937</v>
      </c>
      <c r="M259">
        <f t="shared" si="89"/>
        <v>153552</v>
      </c>
      <c r="P259">
        <f t="shared" si="90"/>
        <v>9.0334219026779197E-2</v>
      </c>
      <c r="Q259">
        <f t="shared" si="91"/>
        <v>0.55851437949359173</v>
      </c>
      <c r="R259">
        <f t="shared" si="92"/>
        <v>1.9127070959674898E-2</v>
      </c>
      <c r="S259">
        <f t="shared" si="94"/>
        <v>0.1701268742791234</v>
      </c>
      <c r="T259">
        <f t="shared" si="95"/>
        <v>0.20285467128027682</v>
      </c>
      <c r="U259">
        <f t="shared" si="96"/>
        <v>1.5808776127100556E-2</v>
      </c>
      <c r="V259">
        <f t="shared" si="97"/>
        <v>2.6854146669913901E-2</v>
      </c>
      <c r="W259">
        <f t="shared" si="98"/>
        <v>3.4365223887565952E-2</v>
      </c>
      <c r="X259">
        <f t="shared" si="99"/>
        <v>4.2117046209815649E-2</v>
      </c>
      <c r="Y259" s="1">
        <f t="shared" si="93"/>
        <v>40664</v>
      </c>
      <c r="Z259">
        <f t="shared" si="103"/>
        <v>9.0051903844932113E-2</v>
      </c>
      <c r="AA259">
        <f t="shared" si="104"/>
        <v>0.55837780105539536</v>
      </c>
      <c r="AB259">
        <f t="shared" si="105"/>
        <v>1.9692275478110283E-2</v>
      </c>
      <c r="AC259">
        <f t="shared" si="106"/>
        <v>0.16816200235273429</v>
      </c>
      <c r="AD259">
        <f t="shared" si="107"/>
        <v>0.20367621983232068</v>
      </c>
      <c r="AE259">
        <f t="shared" si="108"/>
        <v>1.5778817670673701E-2</v>
      </c>
      <c r="AF259">
        <f t="shared" si="109"/>
        <v>2.5952757965802233E-2</v>
      </c>
      <c r="AG259">
        <f t="shared" si="110"/>
        <v>3.4236041217152909E-2</v>
      </c>
      <c r="AH259">
        <f t="shared" si="111"/>
        <v>4.1315076455097598E-2</v>
      </c>
      <c r="AI259">
        <f t="shared" si="100"/>
        <v>139643.33333333334</v>
      </c>
      <c r="AJ259">
        <f t="shared" si="101"/>
        <v>85690.333333333328</v>
      </c>
      <c r="AK259">
        <f t="shared" si="102"/>
        <v>13819.666666666666</v>
      </c>
    </row>
    <row r="260" spans="1:37" x14ac:dyDescent="0.25">
      <c r="A260" s="1">
        <v>40695</v>
      </c>
      <c r="B260" s="1">
        <v>40695</v>
      </c>
      <c r="C260">
        <v>2422</v>
      </c>
      <c r="D260">
        <v>2790</v>
      </c>
      <c r="E260">
        <v>2156</v>
      </c>
      <c r="F260">
        <v>3866</v>
      </c>
      <c r="G260">
        <v>3131</v>
      </c>
      <c r="H260">
        <v>3307</v>
      </c>
      <c r="I260">
        <v>86120</v>
      </c>
      <c r="J260">
        <v>139405</v>
      </c>
      <c r="K260">
        <v>13964</v>
      </c>
      <c r="L260">
        <v>3180</v>
      </c>
      <c r="M260">
        <f t="shared" ref="M260:M286" si="112">J260+K260</f>
        <v>153369</v>
      </c>
      <c r="P260">
        <f t="shared" ref="P260:P286" si="113">K260/M260</f>
        <v>9.1048386570949796E-2</v>
      </c>
      <c r="Q260">
        <f t="shared" ref="Q260:Q286" si="114">I260/M260</f>
        <v>0.56152155911559698</v>
      </c>
      <c r="R260">
        <f t="shared" ref="R260:R286" si="115">IF(ISNUMBER(L260),L260/M260,NA())</f>
        <v>2.0734307454570351E-2</v>
      </c>
      <c r="S260">
        <f t="shared" si="94"/>
        <v>0.1746088962583808</v>
      </c>
      <c r="T260">
        <f t="shared" si="95"/>
        <v>0.20113906711844856</v>
      </c>
      <c r="U260">
        <f t="shared" si="96"/>
        <v>1.5435170137670836E-2</v>
      </c>
      <c r="V260">
        <f t="shared" si="97"/>
        <v>2.7677350534432026E-2</v>
      </c>
      <c r="W260">
        <f t="shared" si="98"/>
        <v>3.6508436235584939E-2</v>
      </c>
      <c r="X260">
        <f t="shared" si="99"/>
        <v>3.8399907106363214E-2</v>
      </c>
      <c r="Y260" s="1">
        <f t="shared" ref="Y260:Y286" si="116">B260</f>
        <v>40695</v>
      </c>
      <c r="Z260">
        <f t="shared" si="103"/>
        <v>9.0588965067584612E-2</v>
      </c>
      <c r="AA260">
        <f t="shared" si="104"/>
        <v>0.55940455263047706</v>
      </c>
      <c r="AB260">
        <f t="shared" si="105"/>
        <v>1.9857014547712663E-2</v>
      </c>
      <c r="AC260">
        <f t="shared" si="106"/>
        <v>0.16973840353583181</v>
      </c>
      <c r="AD260">
        <f t="shared" si="107"/>
        <v>0.20370803236796242</v>
      </c>
      <c r="AE260">
        <f t="shared" si="108"/>
        <v>1.5847550272842108E-2</v>
      </c>
      <c r="AF260">
        <f t="shared" si="109"/>
        <v>2.6710831343990219E-2</v>
      </c>
      <c r="AG260">
        <f t="shared" si="110"/>
        <v>3.5168733410658674E-2</v>
      </c>
      <c r="AH260">
        <f t="shared" si="111"/>
        <v>4.0566397241639858E-2</v>
      </c>
      <c r="AI260">
        <f t="shared" si="100"/>
        <v>139564</v>
      </c>
      <c r="AJ260">
        <f t="shared" si="101"/>
        <v>85849.666666666672</v>
      </c>
      <c r="AK260">
        <f t="shared" si="102"/>
        <v>13902.333333333334</v>
      </c>
    </row>
    <row r="261" spans="1:37" x14ac:dyDescent="0.25">
      <c r="A261" s="1">
        <v>40725</v>
      </c>
      <c r="B261" s="1">
        <v>40725</v>
      </c>
      <c r="C261">
        <v>2375</v>
      </c>
      <c r="D261">
        <v>2955</v>
      </c>
      <c r="E261">
        <v>2135</v>
      </c>
      <c r="F261">
        <v>3816</v>
      </c>
      <c r="G261">
        <v>3038</v>
      </c>
      <c r="H261">
        <v>3710</v>
      </c>
      <c r="I261">
        <v>86346</v>
      </c>
      <c r="J261">
        <v>139509</v>
      </c>
      <c r="K261">
        <v>13817</v>
      </c>
      <c r="L261">
        <v>3286</v>
      </c>
      <c r="M261">
        <f t="shared" si="112"/>
        <v>153326</v>
      </c>
      <c r="P261">
        <f t="shared" si="113"/>
        <v>9.0115179421624517E-2</v>
      </c>
      <c r="Q261">
        <f t="shared" si="114"/>
        <v>0.56315302036184334</v>
      </c>
      <c r="R261">
        <f t="shared" si="115"/>
        <v>2.1431459765467044E-2</v>
      </c>
      <c r="S261">
        <f t="shared" ref="S261:S286" si="117">IF(ISNUMBER(C261),C261/$K260,NA())</f>
        <v>0.17008020624462905</v>
      </c>
      <c r="T261">
        <f t="shared" ref="T261:T286" si="118">IF(ISNUMBER(D261),D261/$K260,NA())</f>
        <v>0.21161558292752794</v>
      </c>
      <c r="U261">
        <f t="shared" ref="U261:U286" si="119">IF(ISNUMBER(E261),E261/$J260,NA())</f>
        <v>1.5315089128797388E-2</v>
      </c>
      <c r="V261">
        <f t="shared" ref="V261:V286" si="120">IF(ISNUMBER(F261),F261/$J260,NA())</f>
        <v>2.7373480147770884E-2</v>
      </c>
      <c r="W261">
        <f t="shared" ref="W261:W286" si="121">IF(ISNUMBER(G261),G261/$I260,NA())</f>
        <v>3.5276358569437991E-2</v>
      </c>
      <c r="X261">
        <f t="shared" ref="X261:X286" si="122">IF(ISNUMBER(H261),H261/$I261,NA())</f>
        <v>4.2966668982929147E-2</v>
      </c>
      <c r="Y261" s="1">
        <f t="shared" si="116"/>
        <v>40725</v>
      </c>
      <c r="Z261">
        <f t="shared" si="103"/>
        <v>9.0499261673117837E-2</v>
      </c>
      <c r="AA261">
        <f t="shared" si="104"/>
        <v>0.56106298632367735</v>
      </c>
      <c r="AB261">
        <f t="shared" si="105"/>
        <v>2.0430946059904097E-2</v>
      </c>
      <c r="AC261">
        <f t="shared" si="106"/>
        <v>0.1716053255940444</v>
      </c>
      <c r="AD261">
        <f t="shared" si="107"/>
        <v>0.20520310710875111</v>
      </c>
      <c r="AE261">
        <f t="shared" si="108"/>
        <v>1.5519678464522927E-2</v>
      </c>
      <c r="AF261">
        <f t="shared" si="109"/>
        <v>2.7301659117372271E-2</v>
      </c>
      <c r="AG261">
        <f t="shared" si="110"/>
        <v>3.5383339564196294E-2</v>
      </c>
      <c r="AH261">
        <f t="shared" si="111"/>
        <v>4.1161207433036001E-2</v>
      </c>
      <c r="AI261">
        <f t="shared" si="100"/>
        <v>139531.66666666666</v>
      </c>
      <c r="AJ261">
        <f t="shared" si="101"/>
        <v>86075.666666666672</v>
      </c>
      <c r="AK261">
        <f t="shared" si="102"/>
        <v>13884</v>
      </c>
    </row>
    <row r="262" spans="1:37" x14ac:dyDescent="0.25">
      <c r="A262" s="1">
        <v>40756</v>
      </c>
      <c r="B262" s="1">
        <v>40756</v>
      </c>
      <c r="C262">
        <v>2400</v>
      </c>
      <c r="D262">
        <v>2744</v>
      </c>
      <c r="E262">
        <v>2043</v>
      </c>
      <c r="F262">
        <v>3541</v>
      </c>
      <c r="G262">
        <v>3099</v>
      </c>
      <c r="H262">
        <v>3502</v>
      </c>
      <c r="I262">
        <v>86164</v>
      </c>
      <c r="J262">
        <v>139870</v>
      </c>
      <c r="K262">
        <v>13837</v>
      </c>
      <c r="L262">
        <v>3172</v>
      </c>
      <c r="M262">
        <f t="shared" si="112"/>
        <v>153707</v>
      </c>
      <c r="P262">
        <f t="shared" si="113"/>
        <v>9.0021924831009653E-2</v>
      </c>
      <c r="Q262">
        <f t="shared" si="114"/>
        <v>0.56057303831315419</v>
      </c>
      <c r="R262">
        <f t="shared" si="115"/>
        <v>2.0636665864274237E-2</v>
      </c>
      <c r="S262">
        <f t="shared" si="117"/>
        <v>0.17369906636751828</v>
      </c>
      <c r="T262">
        <f t="shared" si="118"/>
        <v>0.19859593254686256</v>
      </c>
      <c r="U262">
        <f t="shared" si="119"/>
        <v>1.4644216502161151E-2</v>
      </c>
      <c r="V262">
        <f t="shared" si="120"/>
        <v>2.5381875004479998E-2</v>
      </c>
      <c r="W262">
        <f t="shared" si="121"/>
        <v>3.5890487109999307E-2</v>
      </c>
      <c r="X262">
        <f t="shared" si="122"/>
        <v>4.0643424167865927E-2</v>
      </c>
      <c r="Y262" s="1">
        <f t="shared" si="116"/>
        <v>40756</v>
      </c>
      <c r="Z262">
        <f t="shared" si="103"/>
        <v>9.0395163607861331E-2</v>
      </c>
      <c r="AA262">
        <f t="shared" si="104"/>
        <v>0.56174920593019817</v>
      </c>
      <c r="AB262">
        <f t="shared" si="105"/>
        <v>2.0934144361437212E-2</v>
      </c>
      <c r="AC262">
        <f t="shared" si="106"/>
        <v>0.17279605629017605</v>
      </c>
      <c r="AD262">
        <f t="shared" si="107"/>
        <v>0.20378352753094633</v>
      </c>
      <c r="AE262">
        <f t="shared" si="108"/>
        <v>1.5131491922876458E-2</v>
      </c>
      <c r="AF262">
        <f t="shared" si="109"/>
        <v>2.6810901895560971E-2</v>
      </c>
      <c r="AG262">
        <f t="shared" si="110"/>
        <v>3.5891760638340743E-2</v>
      </c>
      <c r="AH262">
        <f t="shared" si="111"/>
        <v>4.0670000085719429E-2</v>
      </c>
      <c r="AI262">
        <f t="shared" si="100"/>
        <v>139594.66666666666</v>
      </c>
      <c r="AJ262">
        <f t="shared" si="101"/>
        <v>86210</v>
      </c>
      <c r="AK262">
        <f t="shared" si="102"/>
        <v>13872.666666666666</v>
      </c>
    </row>
    <row r="263" spans="1:37" x14ac:dyDescent="0.25">
      <c r="A263" s="1">
        <v>40787</v>
      </c>
      <c r="B263" s="1">
        <v>40787</v>
      </c>
      <c r="C263">
        <v>2396</v>
      </c>
      <c r="D263">
        <v>2978</v>
      </c>
      <c r="E263">
        <v>2384</v>
      </c>
      <c r="F263">
        <v>3484</v>
      </c>
      <c r="G263">
        <v>3053</v>
      </c>
      <c r="H263">
        <v>3752</v>
      </c>
      <c r="I263">
        <v>85997</v>
      </c>
      <c r="J263">
        <v>140164</v>
      </c>
      <c r="K263">
        <v>13910</v>
      </c>
      <c r="L263">
        <v>3465</v>
      </c>
      <c r="M263">
        <f t="shared" si="112"/>
        <v>154074</v>
      </c>
      <c r="P263">
        <f t="shared" si="113"/>
        <v>9.0281293404467985E-2</v>
      </c>
      <c r="Q263">
        <f t="shared" si="114"/>
        <v>0.55815387411243944</v>
      </c>
      <c r="R263">
        <f t="shared" si="115"/>
        <v>2.2489193504419955E-2</v>
      </c>
      <c r="S263">
        <f t="shared" si="117"/>
        <v>0.17315892173158923</v>
      </c>
      <c r="T263">
        <f t="shared" si="118"/>
        <v>0.21522006215220063</v>
      </c>
      <c r="U263">
        <f t="shared" si="119"/>
        <v>1.704439836991492E-2</v>
      </c>
      <c r="V263">
        <f t="shared" si="120"/>
        <v>2.4908843926503183E-2</v>
      </c>
      <c r="W263">
        <f t="shared" si="121"/>
        <v>3.5432431177754048E-2</v>
      </c>
      <c r="X263">
        <f t="shared" si="122"/>
        <v>4.362942893356745E-2</v>
      </c>
      <c r="Y263" s="1">
        <f t="shared" si="116"/>
        <v>40787</v>
      </c>
      <c r="Z263">
        <f t="shared" si="103"/>
        <v>9.0139465885700723E-2</v>
      </c>
      <c r="AA263">
        <f t="shared" si="104"/>
        <v>0.56062664426247899</v>
      </c>
      <c r="AB263">
        <f t="shared" si="105"/>
        <v>2.1519106378053748E-2</v>
      </c>
      <c r="AC263">
        <f t="shared" si="106"/>
        <v>0.17231273144791218</v>
      </c>
      <c r="AD263">
        <f t="shared" si="107"/>
        <v>0.20847719254219702</v>
      </c>
      <c r="AE263">
        <f t="shared" si="108"/>
        <v>1.5667901333624487E-2</v>
      </c>
      <c r="AF263">
        <f t="shared" si="109"/>
        <v>2.5888066359584686E-2</v>
      </c>
      <c r="AG263">
        <f t="shared" si="110"/>
        <v>3.5533092285730448E-2</v>
      </c>
      <c r="AH263">
        <f t="shared" si="111"/>
        <v>4.2413174028120837E-2</v>
      </c>
      <c r="AI263">
        <f t="shared" ref="AI263:AI286" si="123">AVERAGE(J261:J263)</f>
        <v>139847.66666666666</v>
      </c>
      <c r="AJ263">
        <f t="shared" ref="AJ263:AJ286" si="124">AVERAGE(I261:I263)</f>
        <v>86169</v>
      </c>
      <c r="AK263">
        <f t="shared" ref="AK263:AK286" si="125">AVERAGE(K261:K263)</f>
        <v>13854.666666666666</v>
      </c>
    </row>
    <row r="264" spans="1:37" x14ac:dyDescent="0.25">
      <c r="A264" s="1">
        <v>40817</v>
      </c>
      <c r="B264" s="1">
        <v>40817</v>
      </c>
      <c r="C264">
        <v>2448</v>
      </c>
      <c r="D264">
        <v>2682</v>
      </c>
      <c r="E264">
        <v>2170</v>
      </c>
      <c r="F264">
        <v>3740</v>
      </c>
      <c r="G264">
        <v>2728</v>
      </c>
      <c r="H264">
        <v>3571</v>
      </c>
      <c r="I264">
        <v>86259</v>
      </c>
      <c r="J264">
        <v>140314</v>
      </c>
      <c r="K264">
        <v>13696</v>
      </c>
      <c r="L264">
        <v>3308</v>
      </c>
      <c r="M264">
        <f t="shared" si="112"/>
        <v>154010</v>
      </c>
      <c r="P264">
        <f t="shared" si="113"/>
        <v>8.8929290305824291E-2</v>
      </c>
      <c r="Q264">
        <f t="shared" si="114"/>
        <v>0.56008700733718586</v>
      </c>
      <c r="R264">
        <f t="shared" si="115"/>
        <v>2.1479124732160248E-2</v>
      </c>
      <c r="S264">
        <f t="shared" si="117"/>
        <v>0.17598849748382459</v>
      </c>
      <c r="T264">
        <f t="shared" si="118"/>
        <v>0.19281092739036665</v>
      </c>
      <c r="U264">
        <f t="shared" si="119"/>
        <v>1.5481864102051882E-2</v>
      </c>
      <c r="V264">
        <f t="shared" si="120"/>
        <v>2.668302845238435E-2</v>
      </c>
      <c r="W264">
        <f t="shared" si="121"/>
        <v>3.172203681523774E-2</v>
      </c>
      <c r="X264">
        <f t="shared" si="122"/>
        <v>4.1398578699034301E-2</v>
      </c>
      <c r="Y264" s="1">
        <f t="shared" si="116"/>
        <v>40817</v>
      </c>
      <c r="Z264">
        <f t="shared" si="103"/>
        <v>8.9744169513767305E-2</v>
      </c>
      <c r="AA264">
        <f t="shared" si="104"/>
        <v>0.55960463992092657</v>
      </c>
      <c r="AB264">
        <f t="shared" si="105"/>
        <v>2.1534994700284815E-2</v>
      </c>
      <c r="AC264">
        <f t="shared" si="106"/>
        <v>0.17428216186097736</v>
      </c>
      <c r="AD264">
        <f t="shared" si="107"/>
        <v>0.20220897402980995</v>
      </c>
      <c r="AE264">
        <f t="shared" si="108"/>
        <v>1.5723492991375983E-2</v>
      </c>
      <c r="AF264">
        <f t="shared" si="109"/>
        <v>2.5657915794455841E-2</v>
      </c>
      <c r="AG264">
        <f t="shared" si="110"/>
        <v>3.4348318367663701E-2</v>
      </c>
      <c r="AH264">
        <f t="shared" si="111"/>
        <v>4.1890477266822553E-2</v>
      </c>
      <c r="AI264">
        <f t="shared" si="123"/>
        <v>140116</v>
      </c>
      <c r="AJ264">
        <f t="shared" si="124"/>
        <v>86140</v>
      </c>
      <c r="AK264">
        <f t="shared" si="125"/>
        <v>13814.333333333334</v>
      </c>
    </row>
    <row r="265" spans="1:37" x14ac:dyDescent="0.25">
      <c r="A265" s="1">
        <v>40848</v>
      </c>
      <c r="B265" s="1">
        <v>40848</v>
      </c>
      <c r="C265">
        <v>2483</v>
      </c>
      <c r="D265">
        <v>2769</v>
      </c>
      <c r="E265">
        <v>2104</v>
      </c>
      <c r="F265">
        <v>3601</v>
      </c>
      <c r="G265">
        <v>2761</v>
      </c>
      <c r="H265">
        <v>3650</v>
      </c>
      <c r="I265">
        <v>86345</v>
      </c>
      <c r="J265">
        <v>140771</v>
      </c>
      <c r="K265">
        <v>13325</v>
      </c>
      <c r="L265">
        <v>3118</v>
      </c>
      <c r="M265">
        <f t="shared" si="112"/>
        <v>154096</v>
      </c>
      <c r="P265">
        <f t="shared" si="113"/>
        <v>8.6472069359360401E-2</v>
      </c>
      <c r="Q265">
        <f t="shared" si="114"/>
        <v>0.56033251998754019</v>
      </c>
      <c r="R265">
        <f t="shared" si="115"/>
        <v>2.0234139757034576E-2</v>
      </c>
      <c r="S265">
        <f t="shared" si="117"/>
        <v>0.18129380841121495</v>
      </c>
      <c r="T265">
        <f t="shared" si="118"/>
        <v>0.20217581775700935</v>
      </c>
      <c r="U265">
        <f t="shared" si="119"/>
        <v>1.4994939920464101E-2</v>
      </c>
      <c r="V265">
        <f t="shared" si="120"/>
        <v>2.5663868181364652E-2</v>
      </c>
      <c r="W265">
        <f t="shared" si="121"/>
        <v>3.2008254211154781E-2</v>
      </c>
      <c r="X265">
        <f t="shared" si="122"/>
        <v>4.2272279807747989E-2</v>
      </c>
      <c r="Y265" s="1">
        <f t="shared" si="116"/>
        <v>40848</v>
      </c>
      <c r="Z265">
        <f t="shared" si="103"/>
        <v>8.8560884356550892E-2</v>
      </c>
      <c r="AA265">
        <f t="shared" si="104"/>
        <v>0.5595244671457219</v>
      </c>
      <c r="AB265">
        <f t="shared" si="105"/>
        <v>2.1400819331204926E-2</v>
      </c>
      <c r="AC265">
        <f t="shared" si="106"/>
        <v>0.17681374254220961</v>
      </c>
      <c r="AD265">
        <f t="shared" si="107"/>
        <v>0.2034022690998589</v>
      </c>
      <c r="AE265">
        <f t="shared" si="108"/>
        <v>1.5840400797476967E-2</v>
      </c>
      <c r="AF265">
        <f t="shared" si="109"/>
        <v>2.575191352008406E-2</v>
      </c>
      <c r="AG265">
        <f t="shared" si="110"/>
        <v>3.3054240734715523E-2</v>
      </c>
      <c r="AH265">
        <f t="shared" si="111"/>
        <v>4.2433429146783247E-2</v>
      </c>
      <c r="AI265">
        <f t="shared" si="123"/>
        <v>140416.33333333334</v>
      </c>
      <c r="AJ265">
        <f t="shared" si="124"/>
        <v>86200.333333333328</v>
      </c>
      <c r="AK265">
        <f t="shared" si="125"/>
        <v>13643.666666666666</v>
      </c>
    </row>
    <row r="266" spans="1:37" x14ac:dyDescent="0.25">
      <c r="A266" s="1">
        <v>40878</v>
      </c>
      <c r="B266" s="1">
        <v>40878</v>
      </c>
      <c r="C266">
        <v>2503</v>
      </c>
      <c r="D266">
        <v>2733</v>
      </c>
      <c r="E266">
        <v>2053</v>
      </c>
      <c r="F266">
        <v>3916</v>
      </c>
      <c r="G266">
        <v>2889</v>
      </c>
      <c r="H266">
        <v>3516</v>
      </c>
      <c r="I266">
        <v>86639</v>
      </c>
      <c r="J266">
        <v>140896</v>
      </c>
      <c r="K266">
        <v>13049</v>
      </c>
      <c r="L266">
        <v>3384</v>
      </c>
      <c r="M266">
        <f t="shared" si="112"/>
        <v>153945</v>
      </c>
      <c r="P266">
        <f t="shared" si="113"/>
        <v>8.4764039104875122E-2</v>
      </c>
      <c r="Q266">
        <f t="shared" si="114"/>
        <v>0.56279190620026631</v>
      </c>
      <c r="R266">
        <f t="shared" si="115"/>
        <v>2.1981876644256066E-2</v>
      </c>
      <c r="S266">
        <f t="shared" si="117"/>
        <v>0.18784240150093809</v>
      </c>
      <c r="T266">
        <f t="shared" si="118"/>
        <v>0.2051031894934334</v>
      </c>
      <c r="U266">
        <f t="shared" si="119"/>
        <v>1.4583969709670316E-2</v>
      </c>
      <c r="V266">
        <f t="shared" si="120"/>
        <v>2.7818229606950295E-2</v>
      </c>
      <c r="W266">
        <f t="shared" si="121"/>
        <v>3.34587990039956E-2</v>
      </c>
      <c r="X266">
        <f t="shared" si="122"/>
        <v>4.0582185851637254E-2</v>
      </c>
      <c r="Y266" s="1">
        <f t="shared" si="116"/>
        <v>40878</v>
      </c>
      <c r="Z266">
        <f t="shared" si="103"/>
        <v>8.6721799590019952E-2</v>
      </c>
      <c r="AA266">
        <f t="shared" si="104"/>
        <v>0.56107047784166408</v>
      </c>
      <c r="AB266">
        <f t="shared" si="105"/>
        <v>2.1231713711150294E-2</v>
      </c>
      <c r="AC266">
        <f t="shared" si="106"/>
        <v>0.18170823579865922</v>
      </c>
      <c r="AD266">
        <f t="shared" si="107"/>
        <v>0.20002997821360313</v>
      </c>
      <c r="AE266">
        <f t="shared" si="108"/>
        <v>1.5020257910728767E-2</v>
      </c>
      <c r="AF266">
        <f t="shared" si="109"/>
        <v>2.6721708746899765E-2</v>
      </c>
      <c r="AG266">
        <f t="shared" si="110"/>
        <v>3.2396363343462707E-2</v>
      </c>
      <c r="AH266">
        <f t="shared" si="111"/>
        <v>4.1417681452806519E-2</v>
      </c>
      <c r="AI266">
        <f t="shared" si="123"/>
        <v>140660.33333333334</v>
      </c>
      <c r="AJ266">
        <f t="shared" si="124"/>
        <v>86414.333333333328</v>
      </c>
      <c r="AK266">
        <f t="shared" si="125"/>
        <v>13356.666666666666</v>
      </c>
    </row>
    <row r="267" spans="1:37" x14ac:dyDescent="0.25">
      <c r="A267" s="1">
        <v>40909</v>
      </c>
      <c r="B267" s="1">
        <v>40909</v>
      </c>
      <c r="C267">
        <v>2407</v>
      </c>
      <c r="D267">
        <v>2842</v>
      </c>
      <c r="E267">
        <v>1983</v>
      </c>
      <c r="F267">
        <v>3978</v>
      </c>
      <c r="G267">
        <v>2885</v>
      </c>
      <c r="H267">
        <v>3462</v>
      </c>
      <c r="I267">
        <v>87913</v>
      </c>
      <c r="J267">
        <v>141608</v>
      </c>
      <c r="K267">
        <v>12748</v>
      </c>
      <c r="L267">
        <v>3415</v>
      </c>
      <c r="M267">
        <f t="shared" si="112"/>
        <v>154356</v>
      </c>
      <c r="P267">
        <f t="shared" si="113"/>
        <v>8.258830236595921E-2</v>
      </c>
      <c r="Q267">
        <f t="shared" si="114"/>
        <v>0.56954702117183653</v>
      </c>
      <c r="R267">
        <f t="shared" si="115"/>
        <v>2.2124180465935887E-2</v>
      </c>
      <c r="S267">
        <f t="shared" si="117"/>
        <v>0.18445857920147138</v>
      </c>
      <c r="T267">
        <f t="shared" si="118"/>
        <v>0.21779446700896621</v>
      </c>
      <c r="U267">
        <f t="shared" si="119"/>
        <v>1.4074210765387236E-2</v>
      </c>
      <c r="V267">
        <f t="shared" si="120"/>
        <v>2.8233590733590733E-2</v>
      </c>
      <c r="W267">
        <f t="shared" si="121"/>
        <v>3.3299091633098257E-2</v>
      </c>
      <c r="X267">
        <f t="shared" si="122"/>
        <v>3.9379841434145121E-2</v>
      </c>
      <c r="Y267" s="1">
        <f t="shared" si="116"/>
        <v>40909</v>
      </c>
      <c r="Z267">
        <f t="shared" si="103"/>
        <v>8.4608136943398249E-2</v>
      </c>
      <c r="AA267">
        <f t="shared" si="104"/>
        <v>0.56422381578654768</v>
      </c>
      <c r="AB267">
        <f t="shared" si="105"/>
        <v>2.144673228907551E-2</v>
      </c>
      <c r="AC267">
        <f t="shared" si="106"/>
        <v>0.18453159637120811</v>
      </c>
      <c r="AD267">
        <f t="shared" si="107"/>
        <v>0.20835782475313633</v>
      </c>
      <c r="AE267">
        <f t="shared" si="108"/>
        <v>1.4551040131840552E-2</v>
      </c>
      <c r="AF267">
        <f t="shared" si="109"/>
        <v>2.7238562840635226E-2</v>
      </c>
      <c r="AG267">
        <f t="shared" si="110"/>
        <v>3.2922048282749548E-2</v>
      </c>
      <c r="AH267">
        <f t="shared" si="111"/>
        <v>4.074476903117679E-2</v>
      </c>
      <c r="AI267">
        <f t="shared" si="123"/>
        <v>141091.66666666666</v>
      </c>
      <c r="AJ267">
        <f t="shared" si="124"/>
        <v>86965.666666666672</v>
      </c>
      <c r="AK267">
        <f t="shared" si="125"/>
        <v>13040.666666666666</v>
      </c>
    </row>
    <row r="268" spans="1:37" x14ac:dyDescent="0.25">
      <c r="A268" s="1">
        <v>40940</v>
      </c>
      <c r="B268" s="1">
        <v>40940</v>
      </c>
      <c r="C268">
        <v>2355</v>
      </c>
      <c r="D268">
        <v>2637</v>
      </c>
      <c r="E268">
        <v>1943</v>
      </c>
      <c r="F268">
        <v>3535</v>
      </c>
      <c r="G268">
        <v>3093</v>
      </c>
      <c r="H268">
        <v>3544</v>
      </c>
      <c r="I268">
        <v>87610</v>
      </c>
      <c r="J268">
        <v>142019</v>
      </c>
      <c r="K268">
        <v>12806</v>
      </c>
      <c r="L268">
        <v>3526</v>
      </c>
      <c r="M268">
        <f t="shared" si="112"/>
        <v>154825</v>
      </c>
      <c r="P268">
        <f t="shared" si="113"/>
        <v>8.2712740190537704E-2</v>
      </c>
      <c r="Q268">
        <f t="shared" si="114"/>
        <v>0.56586468593573391</v>
      </c>
      <c r="R268">
        <f t="shared" si="115"/>
        <v>2.2774099790085579E-2</v>
      </c>
      <c r="S268">
        <f t="shared" si="117"/>
        <v>0.18473486037025416</v>
      </c>
      <c r="T268">
        <f t="shared" si="118"/>
        <v>0.2068559774082209</v>
      </c>
      <c r="U268">
        <f t="shared" si="119"/>
        <v>1.3720976216032993E-2</v>
      </c>
      <c r="V268">
        <f t="shared" si="120"/>
        <v>2.4963278910796E-2</v>
      </c>
      <c r="W268">
        <f t="shared" si="121"/>
        <v>3.5182509981458943E-2</v>
      </c>
      <c r="X268">
        <f t="shared" si="122"/>
        <v>4.0452003195982196E-2</v>
      </c>
      <c r="Y268" s="1">
        <f t="shared" si="116"/>
        <v>40940</v>
      </c>
      <c r="Z268">
        <f t="shared" si="103"/>
        <v>8.3355027220457345E-2</v>
      </c>
      <c r="AA268">
        <f t="shared" si="104"/>
        <v>0.56606787110261225</v>
      </c>
      <c r="AB268">
        <f t="shared" si="105"/>
        <v>2.2293385633425849E-2</v>
      </c>
      <c r="AC268">
        <f t="shared" si="106"/>
        <v>0.18567861369088789</v>
      </c>
      <c r="AD268">
        <f t="shared" si="107"/>
        <v>0.20991787797020686</v>
      </c>
      <c r="AE268">
        <f t="shared" si="108"/>
        <v>1.412638556369685E-2</v>
      </c>
      <c r="AF268">
        <f t="shared" si="109"/>
        <v>2.7005033083779009E-2</v>
      </c>
      <c r="AG268">
        <f t="shared" si="110"/>
        <v>3.39801335395176E-2</v>
      </c>
      <c r="AH268">
        <f t="shared" si="111"/>
        <v>4.013801016058819E-2</v>
      </c>
      <c r="AI268">
        <f t="shared" si="123"/>
        <v>141507.66666666666</v>
      </c>
      <c r="AJ268">
        <f t="shared" si="124"/>
        <v>87387.333333333328</v>
      </c>
      <c r="AK268">
        <f t="shared" si="125"/>
        <v>12867.666666666666</v>
      </c>
    </row>
    <row r="269" spans="1:37" x14ac:dyDescent="0.25">
      <c r="A269" s="1">
        <v>40969</v>
      </c>
      <c r="B269" s="1">
        <v>40969</v>
      </c>
      <c r="C269">
        <v>2324</v>
      </c>
      <c r="D269">
        <v>2743</v>
      </c>
      <c r="E269">
        <v>2091</v>
      </c>
      <c r="F269">
        <v>3773</v>
      </c>
      <c r="G269">
        <v>2852</v>
      </c>
      <c r="H269">
        <v>3490</v>
      </c>
      <c r="I269">
        <v>87897</v>
      </c>
      <c r="J269">
        <v>142020</v>
      </c>
      <c r="K269">
        <v>12686</v>
      </c>
      <c r="L269">
        <v>3848</v>
      </c>
      <c r="M269">
        <f t="shared" si="112"/>
        <v>154706</v>
      </c>
      <c r="P269">
        <f t="shared" si="113"/>
        <v>8.2000698098328439E-2</v>
      </c>
      <c r="Q269">
        <f t="shared" si="114"/>
        <v>0.56815508125088876</v>
      </c>
      <c r="R269">
        <f t="shared" si="115"/>
        <v>2.4872984887463964E-2</v>
      </c>
      <c r="S269">
        <f t="shared" si="117"/>
        <v>0.1814774324535374</v>
      </c>
      <c r="T269">
        <f t="shared" si="118"/>
        <v>0.21419647040449788</v>
      </c>
      <c r="U269">
        <f t="shared" si="119"/>
        <v>1.4723382082679079E-2</v>
      </c>
      <c r="V269">
        <f t="shared" si="120"/>
        <v>2.656686781346158E-2</v>
      </c>
      <c r="W269">
        <f t="shared" si="121"/>
        <v>3.2553361488414562E-2</v>
      </c>
      <c r="X269">
        <f t="shared" si="122"/>
        <v>3.9705564467501737E-2</v>
      </c>
      <c r="Y269" s="1">
        <f t="shared" si="116"/>
        <v>40969</v>
      </c>
      <c r="Z269">
        <f t="shared" si="103"/>
        <v>8.2433913551608451E-2</v>
      </c>
      <c r="AA269">
        <f t="shared" si="104"/>
        <v>0.56785559611948644</v>
      </c>
      <c r="AB269">
        <f t="shared" si="105"/>
        <v>2.3257088381161809E-2</v>
      </c>
      <c r="AC269">
        <f t="shared" si="106"/>
        <v>0.18355695734175434</v>
      </c>
      <c r="AD269">
        <f t="shared" si="107"/>
        <v>0.21294897160722834</v>
      </c>
      <c r="AE269">
        <f t="shared" si="108"/>
        <v>1.4172856354699769E-2</v>
      </c>
      <c r="AF269">
        <f t="shared" si="109"/>
        <v>2.6587912485949439E-2</v>
      </c>
      <c r="AG269">
        <f t="shared" si="110"/>
        <v>3.3678321034323923E-2</v>
      </c>
      <c r="AH269">
        <f t="shared" si="111"/>
        <v>3.9845803032543016E-2</v>
      </c>
      <c r="AI269">
        <f t="shared" si="123"/>
        <v>141882.33333333334</v>
      </c>
      <c r="AJ269">
        <f t="shared" si="124"/>
        <v>87806.666666666672</v>
      </c>
      <c r="AK269">
        <f t="shared" si="125"/>
        <v>12746.666666666666</v>
      </c>
    </row>
    <row r="270" spans="1:37" x14ac:dyDescent="0.25">
      <c r="A270" s="1">
        <v>41000</v>
      </c>
      <c r="B270" s="1">
        <v>41000</v>
      </c>
      <c r="C270">
        <v>2271</v>
      </c>
      <c r="D270">
        <v>2669</v>
      </c>
      <c r="E270">
        <v>2004</v>
      </c>
      <c r="F270">
        <v>3966</v>
      </c>
      <c r="G270">
        <v>2753</v>
      </c>
      <c r="H270">
        <v>3565</v>
      </c>
      <c r="I270">
        <v>88333</v>
      </c>
      <c r="J270">
        <v>141934</v>
      </c>
      <c r="K270">
        <v>12518</v>
      </c>
      <c r="L270">
        <v>3523</v>
      </c>
      <c r="M270">
        <f t="shared" si="112"/>
        <v>154452</v>
      </c>
      <c r="P270">
        <f t="shared" si="113"/>
        <v>8.1047833631160485E-2</v>
      </c>
      <c r="Q270">
        <f t="shared" si="114"/>
        <v>0.57191230932587467</v>
      </c>
      <c r="R270">
        <f t="shared" si="115"/>
        <v>2.2809675497889311E-2</v>
      </c>
      <c r="S270">
        <f t="shared" si="117"/>
        <v>0.17901623837300962</v>
      </c>
      <c r="T270">
        <f t="shared" si="118"/>
        <v>0.21038940564401704</v>
      </c>
      <c r="U270">
        <f t="shared" si="119"/>
        <v>1.4110688635403464E-2</v>
      </c>
      <c r="V270">
        <f t="shared" si="120"/>
        <v>2.7925644275454162E-2</v>
      </c>
      <c r="W270">
        <f t="shared" si="121"/>
        <v>3.1320750423791482E-2</v>
      </c>
      <c r="X270">
        <f t="shared" si="122"/>
        <v>4.0358642862803253E-2</v>
      </c>
      <c r="Y270" s="1">
        <f t="shared" si="116"/>
        <v>41000</v>
      </c>
      <c r="Z270">
        <f t="shared" si="103"/>
        <v>8.1920423973342205E-2</v>
      </c>
      <c r="AA270">
        <f t="shared" si="104"/>
        <v>0.56864402550416571</v>
      </c>
      <c r="AB270">
        <f t="shared" si="105"/>
        <v>2.3485586725146283E-2</v>
      </c>
      <c r="AC270">
        <f t="shared" si="106"/>
        <v>0.18174284373226704</v>
      </c>
      <c r="AD270">
        <f t="shared" si="107"/>
        <v>0.21048061781891195</v>
      </c>
      <c r="AE270">
        <f t="shared" si="108"/>
        <v>1.4185015644705179E-2</v>
      </c>
      <c r="AF270">
        <f t="shared" si="109"/>
        <v>2.6485263666570582E-2</v>
      </c>
      <c r="AG270">
        <f t="shared" si="110"/>
        <v>3.3018873964554996E-2</v>
      </c>
      <c r="AH270">
        <f t="shared" si="111"/>
        <v>4.0172070175429064E-2</v>
      </c>
      <c r="AI270">
        <f t="shared" si="123"/>
        <v>141991</v>
      </c>
      <c r="AJ270">
        <f t="shared" si="124"/>
        <v>87946.666666666672</v>
      </c>
      <c r="AK270">
        <f t="shared" si="125"/>
        <v>12670</v>
      </c>
    </row>
    <row r="271" spans="1:37" x14ac:dyDescent="0.25">
      <c r="A271" s="1">
        <v>41030</v>
      </c>
      <c r="B271" s="1">
        <v>41030</v>
      </c>
      <c r="C271">
        <v>2263</v>
      </c>
      <c r="D271">
        <v>2610</v>
      </c>
      <c r="E271">
        <v>1950</v>
      </c>
      <c r="F271">
        <v>3672</v>
      </c>
      <c r="G271">
        <v>3092</v>
      </c>
      <c r="H271">
        <v>3693</v>
      </c>
      <c r="I271">
        <v>87968</v>
      </c>
      <c r="J271">
        <v>142302</v>
      </c>
      <c r="K271">
        <v>12695</v>
      </c>
      <c r="L271">
        <v>3774</v>
      </c>
      <c r="M271">
        <f t="shared" si="112"/>
        <v>154997</v>
      </c>
      <c r="P271">
        <f t="shared" si="113"/>
        <v>8.1904811060859242E-2</v>
      </c>
      <c r="Q271">
        <f t="shared" si="114"/>
        <v>0.56754646864132852</v>
      </c>
      <c r="R271">
        <f t="shared" si="115"/>
        <v>2.4348858365000614E-2</v>
      </c>
      <c r="S271">
        <f t="shared" si="117"/>
        <v>0.18077967726473879</v>
      </c>
      <c r="T271">
        <f t="shared" si="118"/>
        <v>0.20849976034510306</v>
      </c>
      <c r="U271">
        <f t="shared" si="119"/>
        <v>1.3738779996336326E-2</v>
      </c>
      <c r="V271">
        <f t="shared" si="120"/>
        <v>2.5871179562331786E-2</v>
      </c>
      <c r="W271">
        <f t="shared" si="121"/>
        <v>3.5003905675115757E-2</v>
      </c>
      <c r="X271">
        <f t="shared" si="122"/>
        <v>4.1981174972717354E-2</v>
      </c>
      <c r="Y271" s="1">
        <f t="shared" si="116"/>
        <v>41030</v>
      </c>
      <c r="Z271">
        <f t="shared" si="103"/>
        <v>8.1651114263449384E-2</v>
      </c>
      <c r="AA271">
        <f t="shared" si="104"/>
        <v>0.56920461973936398</v>
      </c>
      <c r="AB271">
        <f t="shared" si="105"/>
        <v>2.4010506250117965E-2</v>
      </c>
      <c r="AC271">
        <f t="shared" si="106"/>
        <v>0.18042444936376192</v>
      </c>
      <c r="AD271">
        <f t="shared" si="107"/>
        <v>0.21102854546453934</v>
      </c>
      <c r="AE271">
        <f t="shared" si="108"/>
        <v>1.4190950238139622E-2</v>
      </c>
      <c r="AF271">
        <f t="shared" si="109"/>
        <v>2.678789721708251E-2</v>
      </c>
      <c r="AG271">
        <f t="shared" si="110"/>
        <v>3.2959339195773936E-2</v>
      </c>
      <c r="AH271">
        <f t="shared" si="111"/>
        <v>4.0681794101007446E-2</v>
      </c>
      <c r="AI271">
        <f t="shared" si="123"/>
        <v>142085.33333333334</v>
      </c>
      <c r="AJ271">
        <f t="shared" si="124"/>
        <v>88066</v>
      </c>
      <c r="AK271">
        <f t="shared" si="125"/>
        <v>12633</v>
      </c>
    </row>
    <row r="272" spans="1:37" x14ac:dyDescent="0.25">
      <c r="A272" s="1">
        <v>41061</v>
      </c>
      <c r="B272" s="1">
        <v>41061</v>
      </c>
      <c r="C272">
        <v>2284</v>
      </c>
      <c r="D272">
        <v>2667</v>
      </c>
      <c r="E272">
        <v>2068</v>
      </c>
      <c r="F272">
        <v>3750</v>
      </c>
      <c r="G272">
        <v>2862</v>
      </c>
      <c r="H272">
        <v>3634</v>
      </c>
      <c r="I272">
        <v>88006</v>
      </c>
      <c r="J272">
        <v>142448</v>
      </c>
      <c r="K272">
        <v>12701</v>
      </c>
      <c r="L272">
        <v>3792</v>
      </c>
      <c r="M272">
        <f t="shared" si="112"/>
        <v>155149</v>
      </c>
      <c r="P272">
        <f t="shared" si="113"/>
        <v>8.1863241142385704E-2</v>
      </c>
      <c r="Q272">
        <f t="shared" si="114"/>
        <v>0.56723536729208701</v>
      </c>
      <c r="R272">
        <f t="shared" si="115"/>
        <v>2.4441021211867302E-2</v>
      </c>
      <c r="S272">
        <f t="shared" si="117"/>
        <v>0.17991335171327294</v>
      </c>
      <c r="T272">
        <f t="shared" si="118"/>
        <v>0.21008270972823948</v>
      </c>
      <c r="U272">
        <f t="shared" si="119"/>
        <v>1.4532473190819524E-2</v>
      </c>
      <c r="V272">
        <f t="shared" si="120"/>
        <v>2.6352405447569255E-2</v>
      </c>
      <c r="W272">
        <f t="shared" si="121"/>
        <v>3.2534558021098579E-2</v>
      </c>
      <c r="X272">
        <f t="shared" si="122"/>
        <v>4.1292639138240578E-2</v>
      </c>
      <c r="Y272" s="1">
        <f t="shared" si="116"/>
        <v>41061</v>
      </c>
      <c r="Z272">
        <f t="shared" si="103"/>
        <v>8.1605295278135148E-2</v>
      </c>
      <c r="AA272">
        <f t="shared" si="104"/>
        <v>0.56889804841976332</v>
      </c>
      <c r="AB272">
        <f t="shared" si="105"/>
        <v>2.3866518358252414E-2</v>
      </c>
      <c r="AC272">
        <f t="shared" si="106"/>
        <v>0.17990308911700711</v>
      </c>
      <c r="AD272">
        <f t="shared" si="107"/>
        <v>0.20965729190578652</v>
      </c>
      <c r="AE272">
        <f t="shared" si="108"/>
        <v>1.4127313940853104E-2</v>
      </c>
      <c r="AF272">
        <f t="shared" si="109"/>
        <v>2.6716409761785066E-2</v>
      </c>
      <c r="AG272">
        <f t="shared" si="110"/>
        <v>3.2953071373335273E-2</v>
      </c>
      <c r="AH272">
        <f t="shared" si="111"/>
        <v>4.1210818991253728E-2</v>
      </c>
      <c r="AI272">
        <f t="shared" si="123"/>
        <v>142228</v>
      </c>
      <c r="AJ272">
        <f t="shared" si="124"/>
        <v>88102.333333333328</v>
      </c>
      <c r="AK272">
        <f t="shared" si="125"/>
        <v>12638</v>
      </c>
    </row>
    <row r="273" spans="1:37" x14ac:dyDescent="0.25">
      <c r="A273" s="1">
        <v>41091</v>
      </c>
      <c r="B273" s="1">
        <v>41091</v>
      </c>
      <c r="C273">
        <v>2280</v>
      </c>
      <c r="D273">
        <v>2693</v>
      </c>
      <c r="E273">
        <v>2160</v>
      </c>
      <c r="F273">
        <v>3896</v>
      </c>
      <c r="G273">
        <v>2852</v>
      </c>
      <c r="H273">
        <v>3629</v>
      </c>
      <c r="I273">
        <v>88359</v>
      </c>
      <c r="J273">
        <v>142250</v>
      </c>
      <c r="K273">
        <v>12745</v>
      </c>
      <c r="L273">
        <v>3499</v>
      </c>
      <c r="M273">
        <f t="shared" si="112"/>
        <v>154995</v>
      </c>
      <c r="P273">
        <f t="shared" si="113"/>
        <v>8.2228458982547825E-2</v>
      </c>
      <c r="Q273">
        <f t="shared" si="114"/>
        <v>0.57007645407916385</v>
      </c>
      <c r="R273">
        <f t="shared" si="115"/>
        <v>2.2574921771670056E-2</v>
      </c>
      <c r="S273">
        <f t="shared" si="117"/>
        <v>0.17951342413983151</v>
      </c>
      <c r="T273">
        <f t="shared" si="118"/>
        <v>0.21203054877568694</v>
      </c>
      <c r="U273">
        <f t="shared" si="119"/>
        <v>1.5163428057957992E-2</v>
      </c>
      <c r="V273">
        <f t="shared" si="120"/>
        <v>2.735033134898349E-2</v>
      </c>
      <c r="W273">
        <f t="shared" si="121"/>
        <v>3.2406881348998932E-2</v>
      </c>
      <c r="X273">
        <f t="shared" si="122"/>
        <v>4.1071085005488971E-2</v>
      </c>
      <c r="Y273" s="1">
        <f t="shared" si="116"/>
        <v>41091</v>
      </c>
      <c r="Z273">
        <f t="shared" si="103"/>
        <v>8.1998837061930924E-2</v>
      </c>
      <c r="AA273">
        <f t="shared" si="104"/>
        <v>0.56828609667085983</v>
      </c>
      <c r="AB273">
        <f t="shared" si="105"/>
        <v>2.3788267116179321E-2</v>
      </c>
      <c r="AC273">
        <f t="shared" si="106"/>
        <v>0.18006881770594774</v>
      </c>
      <c r="AD273">
        <f t="shared" si="107"/>
        <v>0.21020433961634319</v>
      </c>
      <c r="AE273">
        <f t="shared" si="108"/>
        <v>1.4478227081704613E-2</v>
      </c>
      <c r="AF273">
        <f t="shared" si="109"/>
        <v>2.6524638786294841E-2</v>
      </c>
      <c r="AG273">
        <f t="shared" si="110"/>
        <v>3.331511501507109E-2</v>
      </c>
      <c r="AH273">
        <f t="shared" si="111"/>
        <v>4.1448299705482305E-2</v>
      </c>
      <c r="AI273">
        <f t="shared" si="123"/>
        <v>142333.33333333334</v>
      </c>
      <c r="AJ273">
        <f t="shared" si="124"/>
        <v>88111</v>
      </c>
      <c r="AK273">
        <f t="shared" si="125"/>
        <v>12713.666666666666</v>
      </c>
    </row>
    <row r="274" spans="1:37" x14ac:dyDescent="0.25">
      <c r="A274" s="1">
        <v>41122</v>
      </c>
      <c r="B274" s="1">
        <v>41122</v>
      </c>
      <c r="C274">
        <v>2291</v>
      </c>
      <c r="D274">
        <v>2933</v>
      </c>
      <c r="E274">
        <v>2130</v>
      </c>
      <c r="F274">
        <v>4080</v>
      </c>
      <c r="G274">
        <v>2825</v>
      </c>
      <c r="H274">
        <v>3802</v>
      </c>
      <c r="I274">
        <v>88919</v>
      </c>
      <c r="J274">
        <v>142164</v>
      </c>
      <c r="K274">
        <v>12483</v>
      </c>
      <c r="L274">
        <v>3632</v>
      </c>
      <c r="M274">
        <f t="shared" si="112"/>
        <v>154647</v>
      </c>
      <c r="P274">
        <f t="shared" si="113"/>
        <v>8.0719315602630501E-2</v>
      </c>
      <c r="Q274">
        <f t="shared" si="114"/>
        <v>0.57498043932310361</v>
      </c>
      <c r="R274">
        <f t="shared" si="115"/>
        <v>2.3485744954638628E-2</v>
      </c>
      <c r="S274">
        <f t="shared" si="117"/>
        <v>0.17975676735974891</v>
      </c>
      <c r="T274">
        <f t="shared" si="118"/>
        <v>0.2301294625343272</v>
      </c>
      <c r="U274">
        <f t="shared" si="119"/>
        <v>1.4973637961335677E-2</v>
      </c>
      <c r="V274">
        <f t="shared" si="120"/>
        <v>2.8681898066783833E-2</v>
      </c>
      <c r="W274">
        <f t="shared" si="121"/>
        <v>3.1971842143980807E-2</v>
      </c>
      <c r="X274">
        <f t="shared" si="122"/>
        <v>4.2758015722174116E-2</v>
      </c>
      <c r="Y274" s="1">
        <f t="shared" si="116"/>
        <v>41122</v>
      </c>
      <c r="Z274">
        <f t="shared" si="103"/>
        <v>8.1603671909188005E-2</v>
      </c>
      <c r="AA274">
        <f t="shared" si="104"/>
        <v>0.57076408689811819</v>
      </c>
      <c r="AB274">
        <f t="shared" si="105"/>
        <v>2.3500562646058664E-2</v>
      </c>
      <c r="AC274">
        <f t="shared" si="106"/>
        <v>0.17972784773761777</v>
      </c>
      <c r="AD274">
        <f t="shared" si="107"/>
        <v>0.21741424034608456</v>
      </c>
      <c r="AE274">
        <f t="shared" si="108"/>
        <v>1.4889846403371064E-2</v>
      </c>
      <c r="AF274">
        <f t="shared" si="109"/>
        <v>2.7461544954445527E-2</v>
      </c>
      <c r="AG274">
        <f t="shared" si="110"/>
        <v>3.2304427171359444E-2</v>
      </c>
      <c r="AH274">
        <f t="shared" si="111"/>
        <v>4.170724662196789E-2</v>
      </c>
      <c r="AI274">
        <f t="shared" si="123"/>
        <v>142287.33333333334</v>
      </c>
      <c r="AJ274">
        <f t="shared" si="124"/>
        <v>88428</v>
      </c>
      <c r="AK274">
        <f t="shared" si="125"/>
        <v>12643</v>
      </c>
    </row>
    <row r="275" spans="1:37" x14ac:dyDescent="0.25">
      <c r="A275" s="1">
        <v>41153</v>
      </c>
      <c r="B275" s="1">
        <v>41153</v>
      </c>
      <c r="C275">
        <v>2392</v>
      </c>
      <c r="D275">
        <v>2783</v>
      </c>
      <c r="E275">
        <v>1897</v>
      </c>
      <c r="F275">
        <v>3466</v>
      </c>
      <c r="G275">
        <v>2865</v>
      </c>
      <c r="H275">
        <v>3746</v>
      </c>
      <c r="I275">
        <v>88716</v>
      </c>
      <c r="J275">
        <v>142974</v>
      </c>
      <c r="K275">
        <v>12082</v>
      </c>
      <c r="L275">
        <v>3603</v>
      </c>
      <c r="M275">
        <f t="shared" si="112"/>
        <v>155056</v>
      </c>
      <c r="P275">
        <f t="shared" si="113"/>
        <v>7.792023526983799E-2</v>
      </c>
      <c r="Q275">
        <f t="shared" si="114"/>
        <v>0.57215457641110312</v>
      </c>
      <c r="R275">
        <f t="shared" si="115"/>
        <v>2.3236766071612836E-2</v>
      </c>
      <c r="S275">
        <f t="shared" si="117"/>
        <v>0.19162060402146919</v>
      </c>
      <c r="T275">
        <f t="shared" si="118"/>
        <v>0.2229432027557478</v>
      </c>
      <c r="U275">
        <f t="shared" si="119"/>
        <v>1.3343743845136603E-2</v>
      </c>
      <c r="V275">
        <f t="shared" si="120"/>
        <v>2.4380293182521596E-2</v>
      </c>
      <c r="W275">
        <f t="shared" si="121"/>
        <v>3.2220335361396325E-2</v>
      </c>
      <c r="X275">
        <f t="shared" si="122"/>
        <v>4.2224626899319176E-2</v>
      </c>
      <c r="Y275" s="1">
        <f t="shared" si="116"/>
        <v>41153</v>
      </c>
      <c r="Z275">
        <f t="shared" si="103"/>
        <v>8.0289336618338772E-2</v>
      </c>
      <c r="AA275">
        <f t="shared" si="104"/>
        <v>0.5724038232711236</v>
      </c>
      <c r="AB275">
        <f t="shared" si="105"/>
        <v>2.3099144265973839E-2</v>
      </c>
      <c r="AC275">
        <f t="shared" si="106"/>
        <v>0.18363026517368319</v>
      </c>
      <c r="AD275">
        <f t="shared" si="107"/>
        <v>0.22170107135525399</v>
      </c>
      <c r="AE275">
        <f t="shared" si="108"/>
        <v>1.4493603288143425E-2</v>
      </c>
      <c r="AF275">
        <f t="shared" si="109"/>
        <v>2.680417419942964E-2</v>
      </c>
      <c r="AG275">
        <f t="shared" si="110"/>
        <v>3.2199686284792021E-2</v>
      </c>
      <c r="AH275">
        <f t="shared" si="111"/>
        <v>4.2017909208994085E-2</v>
      </c>
      <c r="AI275">
        <f t="shared" si="123"/>
        <v>142462.66666666666</v>
      </c>
      <c r="AJ275">
        <f t="shared" si="124"/>
        <v>88664.666666666672</v>
      </c>
      <c r="AK275">
        <f t="shared" si="125"/>
        <v>12436.666666666666</v>
      </c>
    </row>
    <row r="276" spans="1:37" x14ac:dyDescent="0.25">
      <c r="A276" s="1">
        <v>41183</v>
      </c>
      <c r="B276" s="1">
        <v>41183</v>
      </c>
      <c r="C276">
        <v>2253</v>
      </c>
      <c r="D276">
        <v>2702</v>
      </c>
      <c r="E276">
        <v>2017</v>
      </c>
      <c r="F276">
        <v>3673</v>
      </c>
      <c r="G276">
        <v>3099</v>
      </c>
      <c r="H276">
        <v>3715</v>
      </c>
      <c r="I276">
        <v>88407</v>
      </c>
      <c r="J276">
        <v>143328</v>
      </c>
      <c r="K276">
        <v>12248</v>
      </c>
      <c r="L276">
        <v>3646</v>
      </c>
      <c r="M276">
        <f t="shared" si="112"/>
        <v>155576</v>
      </c>
      <c r="P276">
        <f t="shared" si="113"/>
        <v>7.8726795906823674E-2</v>
      </c>
      <c r="Q276">
        <f t="shared" si="114"/>
        <v>0.56825602920758989</v>
      </c>
      <c r="R276">
        <f t="shared" si="115"/>
        <v>2.3435491335424486E-2</v>
      </c>
      <c r="S276">
        <f t="shared" si="117"/>
        <v>0.18647574904817082</v>
      </c>
      <c r="T276">
        <f t="shared" si="118"/>
        <v>0.22363847045191193</v>
      </c>
      <c r="U276">
        <f t="shared" si="119"/>
        <v>1.4107460097640131E-2</v>
      </c>
      <c r="V276">
        <f t="shared" si="120"/>
        <v>2.5689985591785917E-2</v>
      </c>
      <c r="W276">
        <f t="shared" si="121"/>
        <v>3.4931692141214665E-2</v>
      </c>
      <c r="X276">
        <f t="shared" si="122"/>
        <v>4.2021559378782221E-2</v>
      </c>
      <c r="Y276" s="1">
        <f t="shared" si="116"/>
        <v>41183</v>
      </c>
      <c r="Z276">
        <f t="shared" si="103"/>
        <v>7.9122115593097397E-2</v>
      </c>
      <c r="AA276">
        <f t="shared" si="104"/>
        <v>0.57179701498059898</v>
      </c>
      <c r="AB276">
        <f t="shared" si="105"/>
        <v>2.3386000787225317E-2</v>
      </c>
      <c r="AC276">
        <f t="shared" si="106"/>
        <v>0.1859510401431296</v>
      </c>
      <c r="AD276">
        <f t="shared" si="107"/>
        <v>0.22557037858066231</v>
      </c>
      <c r="AE276">
        <f t="shared" si="108"/>
        <v>1.4141613968037472E-2</v>
      </c>
      <c r="AF276">
        <f t="shared" si="109"/>
        <v>2.6250725613697113E-2</v>
      </c>
      <c r="AG276">
        <f t="shared" si="110"/>
        <v>3.3041289882197268E-2</v>
      </c>
      <c r="AH276">
        <f t="shared" si="111"/>
        <v>4.2334734000091835E-2</v>
      </c>
      <c r="AI276">
        <f t="shared" si="123"/>
        <v>142822</v>
      </c>
      <c r="AJ276">
        <f t="shared" si="124"/>
        <v>88680.666666666672</v>
      </c>
      <c r="AK276">
        <f t="shared" si="125"/>
        <v>12271</v>
      </c>
    </row>
    <row r="277" spans="1:37" x14ac:dyDescent="0.25">
      <c r="A277" s="1">
        <v>41214</v>
      </c>
      <c r="B277" s="1">
        <v>41214</v>
      </c>
      <c r="C277">
        <v>2157</v>
      </c>
      <c r="D277">
        <v>2890</v>
      </c>
      <c r="E277">
        <v>1908</v>
      </c>
      <c r="F277">
        <v>3939</v>
      </c>
      <c r="G277">
        <v>2910</v>
      </c>
      <c r="H277">
        <v>3628</v>
      </c>
      <c r="I277">
        <v>88855</v>
      </c>
      <c r="J277">
        <v>143277</v>
      </c>
      <c r="K277">
        <v>12042</v>
      </c>
      <c r="L277">
        <v>3789</v>
      </c>
      <c r="M277">
        <f t="shared" si="112"/>
        <v>155319</v>
      </c>
      <c r="P277">
        <f t="shared" si="113"/>
        <v>7.7530759276070532E-2</v>
      </c>
      <c r="Q277">
        <f t="shared" si="114"/>
        <v>0.57208068555682179</v>
      </c>
      <c r="R277">
        <f t="shared" si="115"/>
        <v>2.439495489927182E-2</v>
      </c>
      <c r="S277">
        <f t="shared" si="117"/>
        <v>0.17611038536903983</v>
      </c>
      <c r="T277">
        <f t="shared" si="118"/>
        <v>0.23595689092096669</v>
      </c>
      <c r="U277">
        <f t="shared" si="119"/>
        <v>1.3312123241795043E-2</v>
      </c>
      <c r="V277">
        <f t="shared" si="120"/>
        <v>2.7482417950435364E-2</v>
      </c>
      <c r="W277">
        <f t="shared" si="121"/>
        <v>3.2915945569920932E-2</v>
      </c>
      <c r="X277">
        <f t="shared" si="122"/>
        <v>4.0830566653536661E-2</v>
      </c>
      <c r="Y277" s="1">
        <f t="shared" si="116"/>
        <v>41214</v>
      </c>
      <c r="Z277">
        <f t="shared" si="103"/>
        <v>7.8059263484244065E-2</v>
      </c>
      <c r="AA277">
        <f t="shared" si="104"/>
        <v>0.57083043039183823</v>
      </c>
      <c r="AB277">
        <f t="shared" si="105"/>
        <v>2.3689070768769711E-2</v>
      </c>
      <c r="AC277">
        <f t="shared" si="106"/>
        <v>0.18473557947955996</v>
      </c>
      <c r="AD277">
        <f t="shared" si="107"/>
        <v>0.22751285470954216</v>
      </c>
      <c r="AE277">
        <f t="shared" si="108"/>
        <v>1.3587775728190593E-2</v>
      </c>
      <c r="AF277">
        <f t="shared" si="109"/>
        <v>2.5850898908247627E-2</v>
      </c>
      <c r="AG277">
        <f t="shared" si="110"/>
        <v>3.3355991024177307E-2</v>
      </c>
      <c r="AH277">
        <f t="shared" si="111"/>
        <v>4.1692250977212686E-2</v>
      </c>
      <c r="AI277">
        <f t="shared" si="123"/>
        <v>143193</v>
      </c>
      <c r="AJ277">
        <f t="shared" si="124"/>
        <v>88659.333333333328</v>
      </c>
      <c r="AK277">
        <f t="shared" si="125"/>
        <v>12124</v>
      </c>
    </row>
    <row r="278" spans="1:37" x14ac:dyDescent="0.25">
      <c r="A278" s="1">
        <v>41244</v>
      </c>
      <c r="B278" s="1">
        <v>41244</v>
      </c>
      <c r="C278">
        <v>2175</v>
      </c>
      <c r="D278">
        <v>2735</v>
      </c>
      <c r="E278">
        <v>2123</v>
      </c>
      <c r="F278">
        <v>3754</v>
      </c>
      <c r="G278">
        <v>2945</v>
      </c>
      <c r="H278">
        <v>3684</v>
      </c>
      <c r="I278">
        <v>88839</v>
      </c>
      <c r="J278">
        <v>143305</v>
      </c>
      <c r="K278">
        <v>12206</v>
      </c>
      <c r="L278">
        <v>3612</v>
      </c>
      <c r="M278">
        <f t="shared" si="112"/>
        <v>155511</v>
      </c>
      <c r="P278">
        <f t="shared" si="113"/>
        <v>7.848962452816842E-2</v>
      </c>
      <c r="Q278">
        <f t="shared" si="114"/>
        <v>0.5712714856183807</v>
      </c>
      <c r="R278">
        <f t="shared" si="115"/>
        <v>2.3226652776973975E-2</v>
      </c>
      <c r="S278">
        <f t="shared" si="117"/>
        <v>0.18061783756851021</v>
      </c>
      <c r="T278">
        <f t="shared" si="118"/>
        <v>0.22712174057465537</v>
      </c>
      <c r="U278">
        <f t="shared" si="119"/>
        <v>1.4817451510012075E-2</v>
      </c>
      <c r="V278">
        <f t="shared" si="120"/>
        <v>2.6200995274887107E-2</v>
      </c>
      <c r="W278">
        <f t="shared" si="121"/>
        <v>3.3143886106578133E-2</v>
      </c>
      <c r="X278">
        <f t="shared" si="122"/>
        <v>4.1468274068821129E-2</v>
      </c>
      <c r="Y278" s="1">
        <f t="shared" si="116"/>
        <v>41244</v>
      </c>
      <c r="Z278">
        <f t="shared" si="103"/>
        <v>7.8249059903687537E-2</v>
      </c>
      <c r="AA278">
        <f t="shared" si="104"/>
        <v>0.57053606679426416</v>
      </c>
      <c r="AB278">
        <f t="shared" si="105"/>
        <v>2.3685699670556757E-2</v>
      </c>
      <c r="AC278">
        <f t="shared" si="106"/>
        <v>0.18106799066190696</v>
      </c>
      <c r="AD278">
        <f t="shared" si="107"/>
        <v>0.22890570064917801</v>
      </c>
      <c r="AE278">
        <f t="shared" si="108"/>
        <v>1.4079011616482416E-2</v>
      </c>
      <c r="AF278">
        <f t="shared" si="109"/>
        <v>2.6457799605702798E-2</v>
      </c>
      <c r="AG278">
        <f t="shared" si="110"/>
        <v>3.3663841272571243E-2</v>
      </c>
      <c r="AH278">
        <f t="shared" si="111"/>
        <v>4.1440133367046668E-2</v>
      </c>
      <c r="AI278">
        <f t="shared" si="123"/>
        <v>143303.33333333334</v>
      </c>
      <c r="AJ278">
        <f t="shared" si="124"/>
        <v>88700.333333333328</v>
      </c>
      <c r="AK278">
        <f t="shared" si="125"/>
        <v>12165.333333333334</v>
      </c>
    </row>
    <row r="279" spans="1:37" x14ac:dyDescent="0.25">
      <c r="A279" s="1">
        <v>41275</v>
      </c>
      <c r="B279" s="1">
        <v>41275</v>
      </c>
      <c r="C279">
        <v>2249</v>
      </c>
      <c r="D279">
        <v>2563</v>
      </c>
      <c r="E279">
        <v>2104</v>
      </c>
      <c r="F279">
        <v>3745</v>
      </c>
      <c r="G279">
        <v>2811</v>
      </c>
      <c r="H279">
        <v>3566</v>
      </c>
      <c r="I279">
        <v>89009</v>
      </c>
      <c r="J279">
        <v>143322</v>
      </c>
      <c r="K279">
        <v>12332</v>
      </c>
      <c r="L279">
        <v>3611</v>
      </c>
      <c r="M279">
        <f t="shared" si="112"/>
        <v>155654</v>
      </c>
      <c r="P279">
        <f t="shared" si="113"/>
        <v>7.9227003482082059E-2</v>
      </c>
      <c r="Q279">
        <f t="shared" si="114"/>
        <v>0.57183882200264691</v>
      </c>
      <c r="R279">
        <f t="shared" si="115"/>
        <v>2.3198889845426396E-2</v>
      </c>
      <c r="S279">
        <f t="shared" si="117"/>
        <v>0.1842536457479928</v>
      </c>
      <c r="T279">
        <f t="shared" si="118"/>
        <v>0.20997869900049157</v>
      </c>
      <c r="U279">
        <f t="shared" si="119"/>
        <v>1.4681972017724434E-2</v>
      </c>
      <c r="V279">
        <f t="shared" si="120"/>
        <v>2.6133072816719585E-2</v>
      </c>
      <c r="W279">
        <f t="shared" si="121"/>
        <v>3.1641508796812212E-2</v>
      </c>
      <c r="X279">
        <f t="shared" si="122"/>
        <v>4.0063364378883033E-2</v>
      </c>
      <c r="Y279" s="1">
        <f t="shared" si="116"/>
        <v>41275</v>
      </c>
      <c r="Z279">
        <f t="shared" si="103"/>
        <v>7.8415795762106999E-2</v>
      </c>
      <c r="AA279">
        <f t="shared" si="104"/>
        <v>0.57173033105928317</v>
      </c>
      <c r="AB279">
        <f t="shared" si="105"/>
        <v>2.3606832507224063E-2</v>
      </c>
      <c r="AC279">
        <f t="shared" si="106"/>
        <v>0.1803272895618476</v>
      </c>
      <c r="AD279">
        <f t="shared" si="107"/>
        <v>0.22435244349870453</v>
      </c>
      <c r="AE279">
        <f t="shared" si="108"/>
        <v>1.4270515589843852E-2</v>
      </c>
      <c r="AF279">
        <f t="shared" si="109"/>
        <v>2.6605495347347352E-2</v>
      </c>
      <c r="AG279">
        <f t="shared" si="110"/>
        <v>3.2567113491103757E-2</v>
      </c>
      <c r="AH279">
        <f t="shared" si="111"/>
        <v>4.078740170041361E-2</v>
      </c>
      <c r="AI279">
        <f t="shared" si="123"/>
        <v>143301.33333333334</v>
      </c>
      <c r="AJ279">
        <f t="shared" si="124"/>
        <v>88901</v>
      </c>
      <c r="AK279">
        <f t="shared" si="125"/>
        <v>12193.333333333334</v>
      </c>
    </row>
    <row r="280" spans="1:37" x14ac:dyDescent="0.25">
      <c r="A280" s="1">
        <v>41306</v>
      </c>
      <c r="B280" s="1">
        <v>41306</v>
      </c>
      <c r="C280">
        <v>2311</v>
      </c>
      <c r="D280">
        <v>2762</v>
      </c>
      <c r="E280">
        <v>1884</v>
      </c>
      <c r="F280">
        <v>4015</v>
      </c>
      <c r="G280">
        <v>2881</v>
      </c>
      <c r="H280">
        <v>3716</v>
      </c>
      <c r="I280">
        <v>89304</v>
      </c>
      <c r="J280">
        <v>143492</v>
      </c>
      <c r="K280">
        <v>12032</v>
      </c>
      <c r="L280">
        <v>3899</v>
      </c>
      <c r="M280">
        <f t="shared" si="112"/>
        <v>155524</v>
      </c>
      <c r="P280">
        <f t="shared" si="113"/>
        <v>7.7364265322393974E-2</v>
      </c>
      <c r="Q280">
        <f t="shared" si="114"/>
        <v>0.57421362619274197</v>
      </c>
      <c r="R280">
        <f t="shared" si="115"/>
        <v>2.507008564594532E-2</v>
      </c>
      <c r="S280">
        <f t="shared" si="117"/>
        <v>0.18739863769056114</v>
      </c>
      <c r="T280">
        <f t="shared" si="118"/>
        <v>0.2239701589361012</v>
      </c>
      <c r="U280">
        <f t="shared" si="119"/>
        <v>1.3145225436429857E-2</v>
      </c>
      <c r="V280">
        <f t="shared" si="120"/>
        <v>2.8013842955024352E-2</v>
      </c>
      <c r="W280">
        <f t="shared" si="121"/>
        <v>3.23675133975216E-2</v>
      </c>
      <c r="X280">
        <f t="shared" si="122"/>
        <v>4.1610678133118334E-2</v>
      </c>
      <c r="Y280" s="1">
        <f t="shared" si="116"/>
        <v>41306</v>
      </c>
      <c r="Z280">
        <f t="shared" si="103"/>
        <v>7.836029777754816E-2</v>
      </c>
      <c r="AA280">
        <f t="shared" si="104"/>
        <v>0.57244131127125653</v>
      </c>
      <c r="AB280">
        <f t="shared" si="105"/>
        <v>2.3831876089448562E-2</v>
      </c>
      <c r="AC280">
        <f t="shared" si="106"/>
        <v>0.18409004033568807</v>
      </c>
      <c r="AD280">
        <f t="shared" si="107"/>
        <v>0.22035686617041605</v>
      </c>
      <c r="AE280">
        <f t="shared" si="108"/>
        <v>1.4214882988055455E-2</v>
      </c>
      <c r="AF280">
        <f t="shared" si="109"/>
        <v>2.6782637015543679E-2</v>
      </c>
      <c r="AG280">
        <f t="shared" si="110"/>
        <v>3.238430276697065E-2</v>
      </c>
      <c r="AH280">
        <f t="shared" si="111"/>
        <v>4.104743886027417E-2</v>
      </c>
      <c r="AI280">
        <f t="shared" si="123"/>
        <v>143373</v>
      </c>
      <c r="AJ280">
        <f t="shared" si="124"/>
        <v>89050.666666666672</v>
      </c>
      <c r="AK280">
        <f t="shared" si="125"/>
        <v>12190</v>
      </c>
    </row>
    <row r="281" spans="1:37" x14ac:dyDescent="0.25">
      <c r="A281" s="1">
        <v>41334</v>
      </c>
      <c r="B281" s="1">
        <v>41334</v>
      </c>
      <c r="C281">
        <v>2153</v>
      </c>
      <c r="D281">
        <v>2745</v>
      </c>
      <c r="E281">
        <v>1902</v>
      </c>
      <c r="F281">
        <v>4204</v>
      </c>
      <c r="G281">
        <v>2685</v>
      </c>
      <c r="H281">
        <v>3724</v>
      </c>
      <c r="I281">
        <v>89967</v>
      </c>
      <c r="J281">
        <v>143286</v>
      </c>
      <c r="K281">
        <v>11742</v>
      </c>
      <c r="L281">
        <v>3875</v>
      </c>
      <c r="M281">
        <f t="shared" si="112"/>
        <v>155028</v>
      </c>
      <c r="P281">
        <f t="shared" si="113"/>
        <v>7.5741156436256674E-2</v>
      </c>
      <c r="Q281">
        <f t="shared" si="114"/>
        <v>0.58032742472327581</v>
      </c>
      <c r="R281">
        <f t="shared" si="115"/>
        <v>2.4995484686637252E-2</v>
      </c>
      <c r="S281">
        <f t="shared" si="117"/>
        <v>0.17893949468085107</v>
      </c>
      <c r="T281">
        <f t="shared" si="118"/>
        <v>0.22814162234042554</v>
      </c>
      <c r="U281">
        <f t="shared" si="119"/>
        <v>1.3255094360661222E-2</v>
      </c>
      <c r="V281">
        <f t="shared" si="120"/>
        <v>2.929780057424804E-2</v>
      </c>
      <c r="W281">
        <f t="shared" si="121"/>
        <v>3.0065842515452836E-2</v>
      </c>
      <c r="X281">
        <f t="shared" si="122"/>
        <v>4.1392955194682494E-2</v>
      </c>
      <c r="Y281" s="1">
        <f t="shared" si="116"/>
        <v>41334</v>
      </c>
      <c r="Z281">
        <f t="shared" si="103"/>
        <v>7.7444141746910902E-2</v>
      </c>
      <c r="AA281">
        <f t="shared" si="104"/>
        <v>0.57545995763955482</v>
      </c>
      <c r="AB281">
        <f t="shared" si="105"/>
        <v>2.442148672600299E-2</v>
      </c>
      <c r="AC281">
        <f t="shared" si="106"/>
        <v>0.18353059270646832</v>
      </c>
      <c r="AD281">
        <f t="shared" si="107"/>
        <v>0.22069682675900612</v>
      </c>
      <c r="AE281">
        <f t="shared" si="108"/>
        <v>1.3694097271605171E-2</v>
      </c>
      <c r="AF281">
        <f t="shared" si="109"/>
        <v>2.7814905448663992E-2</v>
      </c>
      <c r="AG281">
        <f t="shared" si="110"/>
        <v>3.1358288236595554E-2</v>
      </c>
      <c r="AH281">
        <f t="shared" si="111"/>
        <v>4.1022332568894621E-2</v>
      </c>
      <c r="AI281">
        <f t="shared" si="123"/>
        <v>143366.66666666666</v>
      </c>
      <c r="AJ281">
        <f t="shared" si="124"/>
        <v>89426.666666666672</v>
      </c>
      <c r="AK281">
        <f t="shared" si="125"/>
        <v>12035.333333333334</v>
      </c>
    </row>
    <row r="282" spans="1:37" x14ac:dyDescent="0.25">
      <c r="A282" s="1">
        <v>41365</v>
      </c>
      <c r="B282" s="1">
        <v>41365</v>
      </c>
      <c r="C282">
        <v>2260</v>
      </c>
      <c r="D282">
        <v>2469</v>
      </c>
      <c r="E282">
        <v>2008</v>
      </c>
      <c r="F282">
        <v>3941</v>
      </c>
      <c r="G282">
        <v>2625</v>
      </c>
      <c r="H282">
        <v>3912</v>
      </c>
      <c r="I282">
        <v>89937</v>
      </c>
      <c r="J282">
        <v>143579</v>
      </c>
      <c r="K282">
        <v>11659</v>
      </c>
      <c r="L282">
        <v>3800</v>
      </c>
      <c r="M282">
        <f t="shared" si="112"/>
        <v>155238</v>
      </c>
      <c r="P282">
        <f t="shared" si="113"/>
        <v>7.5104033806155712E-2</v>
      </c>
      <c r="Q282">
        <f t="shared" si="114"/>
        <v>0.57934912843504816</v>
      </c>
      <c r="R282">
        <f t="shared" si="115"/>
        <v>2.4478542624872777E-2</v>
      </c>
      <c r="S282">
        <f t="shared" si="117"/>
        <v>0.19247146993697836</v>
      </c>
      <c r="T282">
        <f t="shared" si="118"/>
        <v>0.21027082268778743</v>
      </c>
      <c r="U282">
        <f t="shared" si="119"/>
        <v>1.4013930181594853E-2</v>
      </c>
      <c r="V282">
        <f t="shared" si="120"/>
        <v>2.7504431696048461E-2</v>
      </c>
      <c r="W282">
        <f t="shared" si="121"/>
        <v>2.9177365033845742E-2</v>
      </c>
      <c r="X282">
        <f t="shared" si="122"/>
        <v>4.3497114646919507E-2</v>
      </c>
      <c r="Y282" s="1">
        <f t="shared" si="116"/>
        <v>41365</v>
      </c>
      <c r="Z282">
        <f t="shared" si="103"/>
        <v>7.606981852160212E-2</v>
      </c>
      <c r="AA282">
        <f t="shared" si="104"/>
        <v>0.57796339311702194</v>
      </c>
      <c r="AB282">
        <f t="shared" si="105"/>
        <v>2.4848037652485121E-2</v>
      </c>
      <c r="AC282">
        <f t="shared" si="106"/>
        <v>0.18626986743613019</v>
      </c>
      <c r="AD282">
        <f t="shared" si="107"/>
        <v>0.22079420132143804</v>
      </c>
      <c r="AE282">
        <f t="shared" si="108"/>
        <v>1.3471416659561976E-2</v>
      </c>
      <c r="AF282">
        <f t="shared" si="109"/>
        <v>2.8272025075106951E-2</v>
      </c>
      <c r="AG282">
        <f t="shared" si="110"/>
        <v>3.0536906982273394E-2</v>
      </c>
      <c r="AH282">
        <f t="shared" si="111"/>
        <v>4.2166915991573441E-2</v>
      </c>
      <c r="AI282">
        <f t="shared" si="123"/>
        <v>143452.33333333334</v>
      </c>
      <c r="AJ282">
        <f t="shared" si="124"/>
        <v>89736</v>
      </c>
      <c r="AK282">
        <f t="shared" si="125"/>
        <v>11811</v>
      </c>
    </row>
    <row r="283" spans="1:37" x14ac:dyDescent="0.25">
      <c r="A283" s="1">
        <v>41395</v>
      </c>
      <c r="B283" s="1">
        <v>41395</v>
      </c>
      <c r="C283">
        <v>2251</v>
      </c>
      <c r="D283">
        <v>2416</v>
      </c>
      <c r="E283">
        <v>1961</v>
      </c>
      <c r="F283">
        <v>3825</v>
      </c>
      <c r="G283">
        <v>2777</v>
      </c>
      <c r="H283">
        <v>3806</v>
      </c>
      <c r="I283">
        <v>89705</v>
      </c>
      <c r="J283">
        <v>143898</v>
      </c>
      <c r="K283">
        <v>11760</v>
      </c>
      <c r="L283">
        <v>3907</v>
      </c>
      <c r="M283">
        <f t="shared" si="112"/>
        <v>155658</v>
      </c>
      <c r="P283">
        <f t="shared" si="113"/>
        <v>7.5550244767374625E-2</v>
      </c>
      <c r="Q283">
        <f t="shared" si="114"/>
        <v>0.57629546827018208</v>
      </c>
      <c r="R283">
        <f t="shared" si="115"/>
        <v>2.5099898495419444E-2</v>
      </c>
      <c r="S283">
        <f t="shared" si="117"/>
        <v>0.19306973153786774</v>
      </c>
      <c r="T283">
        <f t="shared" si="118"/>
        <v>0.20722188866969724</v>
      </c>
      <c r="U283">
        <f t="shared" si="119"/>
        <v>1.3657986195752861E-2</v>
      </c>
      <c r="V283">
        <f t="shared" si="120"/>
        <v>2.6640386128890716E-2</v>
      </c>
      <c r="W283">
        <f t="shared" si="121"/>
        <v>3.0877169574257537E-2</v>
      </c>
      <c r="X283">
        <f t="shared" si="122"/>
        <v>4.2427958307786631E-2</v>
      </c>
      <c r="Y283" s="1">
        <f t="shared" si="116"/>
        <v>41395</v>
      </c>
      <c r="Z283">
        <f t="shared" si="103"/>
        <v>7.5465145003262332E-2</v>
      </c>
      <c r="AA283">
        <f t="shared" si="104"/>
        <v>0.57865734047616868</v>
      </c>
      <c r="AB283">
        <f t="shared" si="105"/>
        <v>2.4857975268976495E-2</v>
      </c>
      <c r="AC283">
        <f t="shared" si="106"/>
        <v>0.18816023205189905</v>
      </c>
      <c r="AD283">
        <f t="shared" si="107"/>
        <v>0.21521144456597008</v>
      </c>
      <c r="AE283">
        <f t="shared" si="108"/>
        <v>1.3642336912669646E-2</v>
      </c>
      <c r="AF283">
        <f t="shared" si="109"/>
        <v>2.7814206133062406E-2</v>
      </c>
      <c r="AG283">
        <f t="shared" si="110"/>
        <v>3.0040125707852038E-2</v>
      </c>
      <c r="AH283">
        <f t="shared" si="111"/>
        <v>4.243934271646288E-2</v>
      </c>
      <c r="AI283">
        <f t="shared" si="123"/>
        <v>143587.66666666666</v>
      </c>
      <c r="AJ283">
        <f t="shared" si="124"/>
        <v>89869.666666666672</v>
      </c>
      <c r="AK283">
        <f t="shared" si="125"/>
        <v>11720.333333333334</v>
      </c>
    </row>
    <row r="284" spans="1:37" x14ac:dyDescent="0.25">
      <c r="A284" s="1">
        <v>41426</v>
      </c>
      <c r="B284" s="1">
        <v>41426</v>
      </c>
      <c r="C284">
        <v>2330</v>
      </c>
      <c r="D284">
        <v>2481</v>
      </c>
      <c r="E284">
        <v>2114</v>
      </c>
      <c r="F284">
        <v>4003</v>
      </c>
      <c r="G284">
        <v>2686</v>
      </c>
      <c r="H284">
        <v>3907</v>
      </c>
      <c r="I284">
        <v>89717</v>
      </c>
      <c r="J284">
        <v>144058</v>
      </c>
      <c r="K284">
        <v>11777</v>
      </c>
      <c r="L284">
        <v>3869</v>
      </c>
      <c r="M284">
        <f t="shared" si="112"/>
        <v>155835</v>
      </c>
      <c r="P284">
        <f t="shared" si="113"/>
        <v>7.5573523277825905E-2</v>
      </c>
      <c r="Q284">
        <f t="shared" si="114"/>
        <v>0.5757179067603555</v>
      </c>
      <c r="R284">
        <f t="shared" si="115"/>
        <v>2.482754195142298E-2</v>
      </c>
      <c r="S284">
        <f t="shared" si="117"/>
        <v>0.19812925170068027</v>
      </c>
      <c r="T284">
        <f t="shared" si="118"/>
        <v>0.21096938775510204</v>
      </c>
      <c r="U284">
        <f t="shared" si="119"/>
        <v>1.4690961653393377E-2</v>
      </c>
      <c r="V284">
        <f t="shared" si="120"/>
        <v>2.7818315751435046E-2</v>
      </c>
      <c r="W284">
        <f t="shared" si="121"/>
        <v>2.994258959924196E-2</v>
      </c>
      <c r="X284">
        <f t="shared" si="122"/>
        <v>4.3548045520915769E-2</v>
      </c>
      <c r="Y284" s="1">
        <f t="shared" si="116"/>
        <v>41426</v>
      </c>
      <c r="Z284">
        <f t="shared" si="103"/>
        <v>7.5409267283785414E-2</v>
      </c>
      <c r="AA284">
        <f t="shared" si="104"/>
        <v>0.57712083448852858</v>
      </c>
      <c r="AB284">
        <f t="shared" si="105"/>
        <v>2.4801994357238399E-2</v>
      </c>
      <c r="AC284">
        <f t="shared" si="106"/>
        <v>0.19455681772517544</v>
      </c>
      <c r="AD284">
        <f t="shared" si="107"/>
        <v>0.20948736637086221</v>
      </c>
      <c r="AE284">
        <f t="shared" si="108"/>
        <v>1.4120959343580363E-2</v>
      </c>
      <c r="AF284">
        <f t="shared" si="109"/>
        <v>2.7321044525458072E-2</v>
      </c>
      <c r="AG284">
        <f t="shared" si="110"/>
        <v>2.9999041402448412E-2</v>
      </c>
      <c r="AH284">
        <f t="shared" si="111"/>
        <v>4.3157706158540636E-2</v>
      </c>
      <c r="AI284">
        <f t="shared" si="123"/>
        <v>143845</v>
      </c>
      <c r="AJ284">
        <f t="shared" si="124"/>
        <v>89786.333333333328</v>
      </c>
      <c r="AK284">
        <f t="shared" si="125"/>
        <v>11732</v>
      </c>
    </row>
    <row r="285" spans="1:37" x14ac:dyDescent="0.25">
      <c r="A285" s="1">
        <v>41456</v>
      </c>
      <c r="B285" s="1">
        <v>41456</v>
      </c>
      <c r="C285">
        <v>2337</v>
      </c>
      <c r="D285">
        <v>2619</v>
      </c>
      <c r="E285">
        <v>1957</v>
      </c>
      <c r="F285">
        <v>3854</v>
      </c>
      <c r="G285">
        <v>2719</v>
      </c>
      <c r="H285">
        <v>3774</v>
      </c>
      <c r="I285">
        <v>89958</v>
      </c>
      <c r="J285">
        <v>144285</v>
      </c>
      <c r="K285">
        <v>11514</v>
      </c>
      <c r="M285">
        <f t="shared" si="112"/>
        <v>155799</v>
      </c>
      <c r="P285">
        <f t="shared" si="113"/>
        <v>7.3902913369148712E-2</v>
      </c>
      <c r="Q285">
        <f t="shared" si="114"/>
        <v>0.57739780101284344</v>
      </c>
      <c r="R285" t="e">
        <f t="shared" si="115"/>
        <v>#N/A</v>
      </c>
      <c r="S285">
        <f t="shared" si="117"/>
        <v>0.19843763267385581</v>
      </c>
      <c r="T285">
        <f t="shared" si="118"/>
        <v>0.22238261017236988</v>
      </c>
      <c r="U285">
        <f t="shared" si="119"/>
        <v>1.358480611975732E-2</v>
      </c>
      <c r="V285">
        <f t="shared" si="120"/>
        <v>2.6753113329353456E-2</v>
      </c>
      <c r="W285">
        <f t="shared" si="121"/>
        <v>3.0306407927148702E-2</v>
      </c>
      <c r="X285">
        <f t="shared" si="122"/>
        <v>4.1952911358634028E-2</v>
      </c>
      <c r="Y285" s="1">
        <f t="shared" si="116"/>
        <v>41456</v>
      </c>
      <c r="Z285">
        <f t="shared" si="103"/>
        <v>7.5008893804783081E-2</v>
      </c>
      <c r="AA285">
        <f t="shared" si="104"/>
        <v>0.57647039201446038</v>
      </c>
      <c r="AB285" t="e">
        <f t="shared" si="105"/>
        <v>#N/A</v>
      </c>
      <c r="AC285">
        <f t="shared" si="106"/>
        <v>0.19654553863746793</v>
      </c>
      <c r="AD285">
        <f t="shared" si="107"/>
        <v>0.21352462886572302</v>
      </c>
      <c r="AE285">
        <f t="shared" si="108"/>
        <v>1.397791798963452E-2</v>
      </c>
      <c r="AF285">
        <f t="shared" si="109"/>
        <v>2.7070605069893072E-2</v>
      </c>
      <c r="AG285">
        <f t="shared" si="110"/>
        <v>3.0375389033549399E-2</v>
      </c>
      <c r="AH285">
        <f t="shared" si="111"/>
        <v>4.264297172911214E-2</v>
      </c>
      <c r="AI285">
        <f t="shared" si="123"/>
        <v>144080.33333333334</v>
      </c>
      <c r="AJ285">
        <f t="shared" si="124"/>
        <v>89793.333333333328</v>
      </c>
      <c r="AK285">
        <f t="shared" si="125"/>
        <v>11683.666666666666</v>
      </c>
    </row>
    <row r="286" spans="1:37" x14ac:dyDescent="0.25">
      <c r="A286" s="1">
        <v>41487</v>
      </c>
      <c r="B286" s="1">
        <v>41487</v>
      </c>
      <c r="C286">
        <v>2243</v>
      </c>
      <c r="D286">
        <v>2658</v>
      </c>
      <c r="E286">
        <v>2007</v>
      </c>
      <c r="F286">
        <v>4068</v>
      </c>
      <c r="G286">
        <v>2652</v>
      </c>
      <c r="H286">
        <v>3711</v>
      </c>
      <c r="I286">
        <v>90473</v>
      </c>
      <c r="J286">
        <v>144170</v>
      </c>
      <c r="K286">
        <v>11316</v>
      </c>
      <c r="M286">
        <f t="shared" si="112"/>
        <v>155486</v>
      </c>
      <c r="P286">
        <f t="shared" si="113"/>
        <v>7.2778256563291871E-2</v>
      </c>
      <c r="Q286">
        <f t="shared" si="114"/>
        <v>0.58187232291010127</v>
      </c>
      <c r="R286" t="e">
        <f t="shared" si="115"/>
        <v>#N/A</v>
      </c>
      <c r="S286">
        <f t="shared" si="117"/>
        <v>0.19480632273753692</v>
      </c>
      <c r="T286">
        <f t="shared" si="118"/>
        <v>0.23084940072954663</v>
      </c>
      <c r="U286">
        <f t="shared" si="119"/>
        <v>1.3909969851335897E-2</v>
      </c>
      <c r="V286">
        <f t="shared" si="120"/>
        <v>2.8194198981183076E-2</v>
      </c>
      <c r="W286">
        <f t="shared" si="121"/>
        <v>2.9480424197959047E-2</v>
      </c>
      <c r="X286">
        <f t="shared" si="122"/>
        <v>4.1017762205298819E-2</v>
      </c>
      <c r="Y286" s="1">
        <f t="shared" si="116"/>
        <v>41487</v>
      </c>
      <c r="Z286">
        <f t="shared" si="103"/>
        <v>7.4084897736755501E-2</v>
      </c>
      <c r="AA286">
        <f t="shared" si="104"/>
        <v>0.5783293435611</v>
      </c>
      <c r="AB286" t="e">
        <f t="shared" si="105"/>
        <v>#N/A</v>
      </c>
      <c r="AC286">
        <f t="shared" si="106"/>
        <v>0.19712440237069098</v>
      </c>
      <c r="AD286">
        <f t="shared" si="107"/>
        <v>0.22140046621900619</v>
      </c>
      <c r="AE286">
        <f t="shared" si="108"/>
        <v>1.4061912541495532E-2</v>
      </c>
      <c r="AF286">
        <f t="shared" si="109"/>
        <v>2.7588542687323858E-2</v>
      </c>
      <c r="AG286">
        <f t="shared" si="110"/>
        <v>2.9909807241449902E-2</v>
      </c>
      <c r="AH286">
        <f t="shared" si="111"/>
        <v>4.2172906361616212E-2</v>
      </c>
      <c r="AI286">
        <f t="shared" si="123"/>
        <v>144171</v>
      </c>
      <c r="AJ286">
        <f t="shared" si="124"/>
        <v>90049.333333333328</v>
      </c>
      <c r="AK286">
        <f t="shared" si="125"/>
        <v>11535.666666666666</v>
      </c>
    </row>
    <row r="287" spans="1:37" x14ac:dyDescent="0.25">
      <c r="A287" s="1"/>
      <c r="B287" s="1"/>
      <c r="C287" s="1"/>
    </row>
  </sheetData>
  <mergeCells count="1">
    <mergeCell ref="Z1:A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zoomScaleNormal="100" workbookViewId="0">
      <pane xSplit="1" ySplit="2" topLeftCell="B84" activePane="bottomRight" state="frozen"/>
      <selection pane="topRight" activeCell="B1" sqref="B1"/>
      <selection pane="bottomLeft" activeCell="A3" sqref="A3"/>
      <selection pane="bottomRight" activeCell="E102" sqref="E102"/>
    </sheetView>
  </sheetViews>
  <sheetFormatPr defaultColWidth="9.140625" defaultRowHeight="15" x14ac:dyDescent="0.25"/>
  <cols>
    <col min="1" max="1" width="10.7109375" style="4" bestFit="1" customWidth="1"/>
    <col min="2" max="10" width="12" style="4" bestFit="1" customWidth="1"/>
    <col min="11" max="16384" width="9.140625" style="4"/>
  </cols>
  <sheetData>
    <row r="1" spans="1:10" x14ac:dyDescent="0.2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</row>
    <row r="2" spans="1:10" x14ac:dyDescent="0.25">
      <c r="A2" s="4" t="s">
        <v>21</v>
      </c>
      <c r="B2" s="4" t="s">
        <v>11</v>
      </c>
      <c r="C2" s="4" t="s">
        <v>12</v>
      </c>
      <c r="D2" s="4" t="s">
        <v>20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x14ac:dyDescent="0.25">
      <c r="A3" s="3">
        <f>DATE(1990,3,1)</f>
        <v>32933</v>
      </c>
      <c r="B3" s="4">
        <f>VLOOKUP($A3,'Raw data -- monthly'!$Y$3:$AH$286,'Raw data -- quarterly'!B$1,FALSE)</f>
        <v>5.3004606512745557E-2</v>
      </c>
      <c r="C3" s="4">
        <f>VLOOKUP($A3,'Raw data -- monthly'!$Y$3:$AH$286,'Raw data -- quarterly'!C$1,FALSE)</f>
        <v>0.49878922558434674</v>
      </c>
      <c r="D3" s="4" t="e">
        <f>VLOOKUP($A3,'Raw data -- monthly'!$Y$3:$AH$286,'Raw data -- quarterly'!D$1,FALSE)</f>
        <v>#N/A</v>
      </c>
      <c r="E3" s="4" t="e">
        <f>VLOOKUP($A3,'Raw data -- monthly'!$Y$3:$AH$286,'Raw data -- quarterly'!E$1,FALSE)</f>
        <v>#N/A</v>
      </c>
      <c r="F3" s="4" t="e">
        <f>VLOOKUP($A3,'Raw data -- monthly'!$Y$3:$AH$286,'Raw data -- quarterly'!F$1,FALSE)</f>
        <v>#N/A</v>
      </c>
      <c r="G3" s="4" t="e">
        <f>VLOOKUP($A3,'Raw data -- monthly'!$Y$3:$AH$286,'Raw data -- quarterly'!G$1,FALSE)</f>
        <v>#N/A</v>
      </c>
      <c r="H3" s="4" t="e">
        <f>VLOOKUP($A3,'Raw data -- monthly'!$Y$3:$AH$286,'Raw data -- quarterly'!H$1,FALSE)</f>
        <v>#N/A</v>
      </c>
      <c r="I3" s="4" t="e">
        <f>VLOOKUP($A3,'Raw data -- monthly'!$Y$3:$AH$286,'Raw data -- quarterly'!I$1,FALSE)</f>
        <v>#N/A</v>
      </c>
      <c r="J3" s="4" t="e">
        <f>VLOOKUP($A3,'Raw data -- monthly'!$Y$3:$AH$286,'Raw data -- quarterly'!J$1,FALSE)</f>
        <v>#N/A</v>
      </c>
    </row>
    <row r="4" spans="1:10" x14ac:dyDescent="0.25">
      <c r="A4" s="3">
        <f>DATE(YEAR(A3),MONTH(A3)+3,1)</f>
        <v>33025</v>
      </c>
      <c r="B4" s="4">
        <f>VLOOKUP($A4,'Raw data -- monthly'!$Y$3:$AH$286,'Raw data -- quarterly'!B$1,FALSE)</f>
        <v>5.337599557468118E-2</v>
      </c>
      <c r="C4" s="4">
        <f>VLOOKUP($A4,'Raw data -- monthly'!$Y$3:$AH$286,'Raw data -- quarterly'!C$1,FALSE)</f>
        <v>0.50285658274454237</v>
      </c>
      <c r="D4" s="4" t="e">
        <f>VLOOKUP($A4,'Raw data -- monthly'!$Y$3:$AH$286,'Raw data -- quarterly'!D$1,FALSE)</f>
        <v>#N/A</v>
      </c>
      <c r="E4" s="4">
        <f>VLOOKUP($A4,'Raw data -- monthly'!$Y$3:$AH$286,'Raw data -- quarterly'!E$1,FALSE)</f>
        <v>0.28184916348486971</v>
      </c>
      <c r="F4" s="4">
        <f>VLOOKUP($A4,'Raw data -- monthly'!$Y$3:$AH$286,'Raw data -- quarterly'!F$1,FALSE)</f>
        <v>0.20368828362201449</v>
      </c>
      <c r="G4" s="4">
        <f>VLOOKUP($A4,'Raw data -- monthly'!$Y$3:$AH$286,'Raw data -- quarterly'!G$1,FALSE)</f>
        <v>1.4892585346788981E-2</v>
      </c>
      <c r="H4" s="4">
        <f>VLOOKUP($A4,'Raw data -- monthly'!$Y$3:$AH$286,'Raw data -- quarterly'!H$1,FALSE)</f>
        <v>2.8018612355289425E-2</v>
      </c>
      <c r="I4" s="4">
        <f>VLOOKUP($A4,'Raw data -- monthly'!$Y$3:$AH$286,'Raw data -- quarterly'!I$1,FALSE)</f>
        <v>2.3214891398246489E-2</v>
      </c>
      <c r="J4" s="4">
        <f>VLOOKUP($A4,'Raw data -- monthly'!$Y$3:$AH$286,'Raw data -- quarterly'!J$1,FALSE)</f>
        <v>4.8797701466735767E-2</v>
      </c>
    </row>
    <row r="5" spans="1:10" x14ac:dyDescent="0.25">
      <c r="A5" s="3">
        <f t="shared" ref="A5:A68" si="0">DATE(YEAR(A4),MONTH(A4)+3,1)</f>
        <v>33117</v>
      </c>
      <c r="B5" s="4">
        <f>VLOOKUP($A5,'Raw data -- monthly'!$Y$3:$AH$286,'Raw data -- quarterly'!B$1,FALSE)</f>
        <v>5.6877369667566006E-2</v>
      </c>
      <c r="C5" s="4">
        <f>VLOOKUP($A5,'Raw data -- monthly'!$Y$3:$AH$286,'Raw data -- quarterly'!C$1,FALSE)</f>
        <v>0.50433565573293093</v>
      </c>
      <c r="D5" s="4" t="e">
        <f>VLOOKUP($A5,'Raw data -- monthly'!$Y$3:$AH$286,'Raw data -- quarterly'!D$1,FALSE)</f>
        <v>#N/A</v>
      </c>
      <c r="E5" s="4">
        <f>VLOOKUP($A5,'Raw data -- monthly'!$Y$3:$AH$286,'Raw data -- quarterly'!E$1,FALSE)</f>
        <v>0.26718245609836727</v>
      </c>
      <c r="F5" s="4">
        <f>VLOOKUP($A5,'Raw data -- monthly'!$Y$3:$AH$286,'Raw data -- quarterly'!F$1,FALSE)</f>
        <v>0.19951282183883437</v>
      </c>
      <c r="G5" s="4">
        <f>VLOOKUP($A5,'Raw data -- monthly'!$Y$3:$AH$286,'Raw data -- quarterly'!G$1,FALSE)</f>
        <v>1.5619604928668783E-2</v>
      </c>
      <c r="H5" s="4">
        <f>VLOOKUP($A5,'Raw data -- monthly'!$Y$3:$AH$286,'Raw data -- quarterly'!H$1,FALSE)</f>
        <v>2.7367034724870166E-2</v>
      </c>
      <c r="I5" s="4">
        <f>VLOOKUP($A5,'Raw data -- monthly'!$Y$3:$AH$286,'Raw data -- quarterly'!I$1,FALSE)</f>
        <v>2.513470718663938E-2</v>
      </c>
      <c r="J5" s="4">
        <f>VLOOKUP($A5,'Raw data -- monthly'!$Y$3:$AH$286,'Raw data -- quarterly'!J$1,FALSE)</f>
        <v>4.7935817957478623E-2</v>
      </c>
    </row>
    <row r="6" spans="1:10" x14ac:dyDescent="0.25">
      <c r="A6" s="3">
        <f t="shared" si="0"/>
        <v>33208</v>
      </c>
      <c r="B6" s="4">
        <f>VLOOKUP($A6,'Raw data -- monthly'!$Y$3:$AH$286,'Raw data -- quarterly'!B$1,FALSE)</f>
        <v>6.1140451818954465E-2</v>
      </c>
      <c r="C6" s="4">
        <f>VLOOKUP($A6,'Raw data -- monthly'!$Y$3:$AH$286,'Raw data -- quarterly'!C$1,FALSE)</f>
        <v>0.50605078709948492</v>
      </c>
      <c r="D6" s="4" t="e">
        <f>VLOOKUP($A6,'Raw data -- monthly'!$Y$3:$AH$286,'Raw data -- quarterly'!D$1,FALSE)</f>
        <v>#N/A</v>
      </c>
      <c r="E6" s="4">
        <f>VLOOKUP($A6,'Raw data -- monthly'!$Y$3:$AH$286,'Raw data -- quarterly'!E$1,FALSE)</f>
        <v>0.26433147145469443</v>
      </c>
      <c r="F6" s="4">
        <f>VLOOKUP($A6,'Raw data -- monthly'!$Y$3:$AH$286,'Raw data -- quarterly'!F$1,FALSE)</f>
        <v>0.19291766432215143</v>
      </c>
      <c r="G6" s="4">
        <f>VLOOKUP($A6,'Raw data -- monthly'!$Y$3:$AH$286,'Raw data -- quarterly'!G$1,FALSE)</f>
        <v>1.6349001801623141E-2</v>
      </c>
      <c r="H6" s="4">
        <f>VLOOKUP($A6,'Raw data -- monthly'!$Y$3:$AH$286,'Raw data -- quarterly'!H$1,FALSE)</f>
        <v>2.7377110817222116E-2</v>
      </c>
      <c r="I6" s="4">
        <f>VLOOKUP($A6,'Raw data -- monthly'!$Y$3:$AH$286,'Raw data -- quarterly'!I$1,FALSE)</f>
        <v>2.6015303750173756E-2</v>
      </c>
      <c r="J6" s="4">
        <f>VLOOKUP($A6,'Raw data -- monthly'!$Y$3:$AH$286,'Raw data -- quarterly'!J$1,FALSE)</f>
        <v>4.7473720355437836E-2</v>
      </c>
    </row>
    <row r="7" spans="1:10" x14ac:dyDescent="0.25">
      <c r="A7" s="3">
        <f t="shared" si="0"/>
        <v>33298</v>
      </c>
      <c r="B7" s="4">
        <f>VLOOKUP($A7,'Raw data -- monthly'!$Y$3:$AH$286,'Raw data -- quarterly'!B$1,FALSE)</f>
        <v>6.5744350270834515E-2</v>
      </c>
      <c r="C7" s="4">
        <f>VLOOKUP($A7,'Raw data -- monthly'!$Y$3:$AH$286,'Raw data -- quarterly'!C$1,FALSE)</f>
        <v>0.50924288913452176</v>
      </c>
      <c r="D7" s="4" t="e">
        <f>VLOOKUP($A7,'Raw data -- monthly'!$Y$3:$AH$286,'Raw data -- quarterly'!D$1,FALSE)</f>
        <v>#N/A</v>
      </c>
      <c r="E7" s="4">
        <f>VLOOKUP($A7,'Raw data -- monthly'!$Y$3:$AH$286,'Raw data -- quarterly'!E$1,FALSE)</f>
        <v>0.25434973278063805</v>
      </c>
      <c r="F7" s="4">
        <f>VLOOKUP($A7,'Raw data -- monthly'!$Y$3:$AH$286,'Raw data -- quarterly'!F$1,FALSE)</f>
        <v>0.19093996424373261</v>
      </c>
      <c r="G7" s="4">
        <f>VLOOKUP($A7,'Raw data -- monthly'!$Y$3:$AH$286,'Raw data -- quarterly'!G$1,FALSE)</f>
        <v>1.7495650507017287E-2</v>
      </c>
      <c r="H7" s="4">
        <f>VLOOKUP($A7,'Raw data -- monthly'!$Y$3:$AH$286,'Raw data -- quarterly'!H$1,FALSE)</f>
        <v>2.6390825105797211E-2</v>
      </c>
      <c r="I7" s="4">
        <f>VLOOKUP($A7,'Raw data -- monthly'!$Y$3:$AH$286,'Raw data -- quarterly'!I$1,FALSE)</f>
        <v>2.6983475297423093E-2</v>
      </c>
      <c r="J7" s="4">
        <f>VLOOKUP($A7,'Raw data -- monthly'!$Y$3:$AH$286,'Raw data -- quarterly'!J$1,FALSE)</f>
        <v>4.5041686361827545E-2</v>
      </c>
    </row>
    <row r="8" spans="1:10" x14ac:dyDescent="0.25">
      <c r="A8" s="3">
        <f t="shared" si="0"/>
        <v>33390</v>
      </c>
      <c r="B8" s="4">
        <f>VLOOKUP($A8,'Raw data -- monthly'!$Y$3:$AH$286,'Raw data -- quarterly'!B$1,FALSE)</f>
        <v>6.8242054022026225E-2</v>
      </c>
      <c r="C8" s="4">
        <f>VLOOKUP($A8,'Raw data -- monthly'!$Y$3:$AH$286,'Raw data -- quarterly'!C$1,FALSE)</f>
        <v>0.5089315920360159</v>
      </c>
      <c r="D8" s="4" t="e">
        <f>VLOOKUP($A8,'Raw data -- monthly'!$Y$3:$AH$286,'Raw data -- quarterly'!D$1,FALSE)</f>
        <v>#N/A</v>
      </c>
      <c r="E8" s="4">
        <f>VLOOKUP($A8,'Raw data -- monthly'!$Y$3:$AH$286,'Raw data -- quarterly'!E$1,FALSE)</f>
        <v>0.25295888245971287</v>
      </c>
      <c r="F8" s="4">
        <f>VLOOKUP($A8,'Raw data -- monthly'!$Y$3:$AH$286,'Raw data -- quarterly'!F$1,FALSE)</f>
        <v>0.18318264143120064</v>
      </c>
      <c r="G8" s="4">
        <f>VLOOKUP($A8,'Raw data -- monthly'!$Y$3:$AH$286,'Raw data -- quarterly'!G$1,FALSE)</f>
        <v>1.6821953818956754E-2</v>
      </c>
      <c r="H8" s="4">
        <f>VLOOKUP($A8,'Raw data -- monthly'!$Y$3:$AH$286,'Raw data -- quarterly'!H$1,FALSE)</f>
        <v>2.6849627196015958E-2</v>
      </c>
      <c r="I8" s="4">
        <f>VLOOKUP($A8,'Raw data -- monthly'!$Y$3:$AH$286,'Raw data -- quarterly'!I$1,FALSE)</f>
        <v>2.7664492958463183E-2</v>
      </c>
      <c r="J8" s="4">
        <f>VLOOKUP($A8,'Raw data -- monthly'!$Y$3:$AH$286,'Raw data -- quarterly'!J$1,FALSE)</f>
        <v>4.5107042782730922E-2</v>
      </c>
    </row>
    <row r="9" spans="1:10" x14ac:dyDescent="0.25">
      <c r="A9" s="3">
        <f t="shared" si="0"/>
        <v>33482</v>
      </c>
      <c r="B9" s="4">
        <f>VLOOKUP($A9,'Raw data -- monthly'!$Y$3:$AH$286,'Raw data -- quarterly'!B$1,FALSE)</f>
        <v>6.8540875368525267E-2</v>
      </c>
      <c r="C9" s="4">
        <f>VLOOKUP($A9,'Raw data -- monthly'!$Y$3:$AH$286,'Raw data -- quarterly'!C$1,FALSE)</f>
        <v>0.51302076040375422</v>
      </c>
      <c r="D9" s="4" t="e">
        <f>VLOOKUP($A9,'Raw data -- monthly'!$Y$3:$AH$286,'Raw data -- quarterly'!D$1,FALSE)</f>
        <v>#N/A</v>
      </c>
      <c r="E9" s="4">
        <f>VLOOKUP($A9,'Raw data -- monthly'!$Y$3:$AH$286,'Raw data -- quarterly'!E$1,FALSE)</f>
        <v>0.24870609131373178</v>
      </c>
      <c r="F9" s="4">
        <f>VLOOKUP($A9,'Raw data -- monthly'!$Y$3:$AH$286,'Raw data -- quarterly'!F$1,FALSE)</f>
        <v>0.18743829228791251</v>
      </c>
      <c r="G9" s="4">
        <f>VLOOKUP($A9,'Raw data -- monthly'!$Y$3:$AH$286,'Raw data -- quarterly'!G$1,FALSE)</f>
        <v>1.6867474064175356E-2</v>
      </c>
      <c r="H9" s="4">
        <f>VLOOKUP($A9,'Raw data -- monthly'!$Y$3:$AH$286,'Raw data -- quarterly'!H$1,FALSE)</f>
        <v>2.6073450164540921E-2</v>
      </c>
      <c r="I9" s="4">
        <f>VLOOKUP($A9,'Raw data -- monthly'!$Y$3:$AH$286,'Raw data -- quarterly'!I$1,FALSE)</f>
        <v>2.7421862050452116E-2</v>
      </c>
      <c r="J9" s="4">
        <f>VLOOKUP($A9,'Raw data -- monthly'!$Y$3:$AH$286,'Raw data -- quarterly'!J$1,FALSE)</f>
        <v>4.5298373570029332E-2</v>
      </c>
    </row>
    <row r="10" spans="1:10" x14ac:dyDescent="0.25">
      <c r="A10" s="3">
        <f t="shared" si="0"/>
        <v>33573</v>
      </c>
      <c r="B10" s="4">
        <f>VLOOKUP($A10,'Raw data -- monthly'!$Y$3:$AH$286,'Raw data -- quarterly'!B$1,FALSE)</f>
        <v>7.0974988762214086E-2</v>
      </c>
      <c r="C10" s="4">
        <f>VLOOKUP($A10,'Raw data -- monthly'!$Y$3:$AH$286,'Raw data -- quarterly'!C$1,FALSE)</f>
        <v>0.51300368859227452</v>
      </c>
      <c r="D10" s="4" t="e">
        <f>VLOOKUP($A10,'Raw data -- monthly'!$Y$3:$AH$286,'Raw data -- quarterly'!D$1,FALSE)</f>
        <v>#N/A</v>
      </c>
      <c r="E10" s="4">
        <f>VLOOKUP($A10,'Raw data -- monthly'!$Y$3:$AH$286,'Raw data -- quarterly'!E$1,FALSE)</f>
        <v>0.2329313593690561</v>
      </c>
      <c r="F10" s="4">
        <f>VLOOKUP($A10,'Raw data -- monthly'!$Y$3:$AH$286,'Raw data -- quarterly'!F$1,FALSE)</f>
        <v>0.18658573640542042</v>
      </c>
      <c r="G10" s="4">
        <f>VLOOKUP($A10,'Raw data -- monthly'!$Y$3:$AH$286,'Raw data -- quarterly'!G$1,FALSE)</f>
        <v>1.6772245784994998E-2</v>
      </c>
      <c r="H10" s="4">
        <f>VLOOKUP($A10,'Raw data -- monthly'!$Y$3:$AH$286,'Raw data -- quarterly'!H$1,FALSE)</f>
        <v>2.5734061783397513E-2</v>
      </c>
      <c r="I10" s="4">
        <f>VLOOKUP($A10,'Raw data -- monthly'!$Y$3:$AH$286,'Raw data -- quarterly'!I$1,FALSE)</f>
        <v>2.8735358682032513E-2</v>
      </c>
      <c r="J10" s="4">
        <f>VLOOKUP($A10,'Raw data -- monthly'!$Y$3:$AH$286,'Raw data -- quarterly'!J$1,FALSE)</f>
        <v>4.2008425117923409E-2</v>
      </c>
    </row>
    <row r="11" spans="1:10" x14ac:dyDescent="0.25">
      <c r="A11" s="3">
        <f t="shared" si="0"/>
        <v>33664</v>
      </c>
      <c r="B11" s="4">
        <f>VLOOKUP($A11,'Raw data -- monthly'!$Y$3:$AH$286,'Raw data -- quarterly'!B$1,FALSE)</f>
        <v>7.379999831448035E-2</v>
      </c>
      <c r="C11" s="4">
        <f>VLOOKUP($A11,'Raw data -- monthly'!$Y$3:$AH$286,'Raw data -- quarterly'!C$1,FALSE)</f>
        <v>0.50815748308242226</v>
      </c>
      <c r="D11" s="4" t="e">
        <f>VLOOKUP($A11,'Raw data -- monthly'!$Y$3:$AH$286,'Raw data -- quarterly'!D$1,FALSE)</f>
        <v>#N/A</v>
      </c>
      <c r="E11" s="4">
        <f>VLOOKUP($A11,'Raw data -- monthly'!$Y$3:$AH$286,'Raw data -- quarterly'!E$1,FALSE)</f>
        <v>0.23591936342234945</v>
      </c>
      <c r="F11" s="4">
        <f>VLOOKUP($A11,'Raw data -- monthly'!$Y$3:$AH$286,'Raw data -- quarterly'!F$1,FALSE)</f>
        <v>0.17115794232066472</v>
      </c>
      <c r="G11" s="4">
        <f>VLOOKUP($A11,'Raw data -- monthly'!$Y$3:$AH$286,'Raw data -- quarterly'!G$1,FALSE)</f>
        <v>1.6869696141333223E-2</v>
      </c>
      <c r="H11" s="4">
        <f>VLOOKUP($A11,'Raw data -- monthly'!$Y$3:$AH$286,'Raw data -- quarterly'!H$1,FALSE)</f>
        <v>2.508779415853454E-2</v>
      </c>
      <c r="I11" s="4">
        <f>VLOOKUP($A11,'Raw data -- monthly'!$Y$3:$AH$286,'Raw data -- quarterly'!I$1,FALSE)</f>
        <v>2.8801532921056961E-2</v>
      </c>
      <c r="J11" s="4">
        <f>VLOOKUP($A11,'Raw data -- monthly'!$Y$3:$AH$286,'Raw data -- quarterly'!J$1,FALSE)</f>
        <v>4.5132554731198295E-2</v>
      </c>
    </row>
    <row r="12" spans="1:10" x14ac:dyDescent="0.25">
      <c r="A12" s="3">
        <f t="shared" si="0"/>
        <v>33756</v>
      </c>
      <c r="B12" s="4">
        <f>VLOOKUP($A12,'Raw data -- monthly'!$Y$3:$AH$286,'Raw data -- quarterly'!B$1,FALSE)</f>
        <v>7.5952565390984758E-2</v>
      </c>
      <c r="C12" s="4">
        <f>VLOOKUP($A12,'Raw data -- monthly'!$Y$3:$AH$286,'Raw data -- quarterly'!C$1,FALSE)</f>
        <v>0.50232298599679137</v>
      </c>
      <c r="D12" s="4" t="e">
        <f>VLOOKUP($A12,'Raw data -- monthly'!$Y$3:$AH$286,'Raw data -- quarterly'!D$1,FALSE)</f>
        <v>#N/A</v>
      </c>
      <c r="E12" s="4">
        <f>VLOOKUP($A12,'Raw data -- monthly'!$Y$3:$AH$286,'Raw data -- quarterly'!E$1,FALSE)</f>
        <v>0.22920055446352761</v>
      </c>
      <c r="F12" s="4">
        <f>VLOOKUP($A12,'Raw data -- monthly'!$Y$3:$AH$286,'Raw data -- quarterly'!F$1,FALSE)</f>
        <v>0.17478450762827691</v>
      </c>
      <c r="G12" s="4">
        <f>VLOOKUP($A12,'Raw data -- monthly'!$Y$3:$AH$286,'Raw data -- quarterly'!G$1,FALSE)</f>
        <v>1.6903543628638124E-2</v>
      </c>
      <c r="H12" s="4">
        <f>VLOOKUP($A12,'Raw data -- monthly'!$Y$3:$AH$286,'Raw data -- quarterly'!H$1,FALSE)</f>
        <v>2.5391767182498668E-2</v>
      </c>
      <c r="I12" s="4">
        <f>VLOOKUP($A12,'Raw data -- monthly'!$Y$3:$AH$286,'Raw data -- quarterly'!I$1,FALSE)</f>
        <v>3.1205701598464763E-2</v>
      </c>
      <c r="J12" s="4">
        <f>VLOOKUP($A12,'Raw data -- monthly'!$Y$3:$AH$286,'Raw data -- quarterly'!J$1,FALSE)</f>
        <v>4.4266583422164607E-2</v>
      </c>
    </row>
    <row r="13" spans="1:10" x14ac:dyDescent="0.25">
      <c r="A13" s="3">
        <f t="shared" si="0"/>
        <v>33848</v>
      </c>
      <c r="B13" s="4">
        <f>VLOOKUP($A13,'Raw data -- monthly'!$Y$3:$AH$286,'Raw data -- quarterly'!B$1,FALSE)</f>
        <v>7.6276259824107226E-2</v>
      </c>
      <c r="C13" s="4">
        <f>VLOOKUP($A13,'Raw data -- monthly'!$Y$3:$AH$286,'Raw data -- quarterly'!C$1,FALSE)</f>
        <v>0.50144596318312962</v>
      </c>
      <c r="D13" s="4" t="e">
        <f>VLOOKUP($A13,'Raw data -- monthly'!$Y$3:$AH$286,'Raw data -- quarterly'!D$1,FALSE)</f>
        <v>#N/A</v>
      </c>
      <c r="E13" s="4">
        <f>VLOOKUP($A13,'Raw data -- monthly'!$Y$3:$AH$286,'Raw data -- quarterly'!E$1,FALSE)</f>
        <v>0.22676415376674239</v>
      </c>
      <c r="F13" s="4">
        <f>VLOOKUP($A13,'Raw data -- monthly'!$Y$3:$AH$286,'Raw data -- quarterly'!F$1,FALSE)</f>
        <v>0.18070403781108044</v>
      </c>
      <c r="G13" s="4">
        <f>VLOOKUP($A13,'Raw data -- monthly'!$Y$3:$AH$286,'Raw data -- quarterly'!G$1,FALSE)</f>
        <v>1.6790724356915341E-2</v>
      </c>
      <c r="H13" s="4">
        <f>VLOOKUP($A13,'Raw data -- monthly'!$Y$3:$AH$286,'Raw data -- quarterly'!H$1,FALSE)</f>
        <v>2.5858937632051559E-2</v>
      </c>
      <c r="I13" s="4">
        <f>VLOOKUP($A13,'Raw data -- monthly'!$Y$3:$AH$286,'Raw data -- quarterly'!I$1,FALSE)</f>
        <v>2.9916409633088448E-2</v>
      </c>
      <c r="J13" s="4">
        <f>VLOOKUP($A13,'Raw data -- monthly'!$Y$3:$AH$286,'Raw data -- quarterly'!J$1,FALSE)</f>
        <v>4.4202951736896222E-2</v>
      </c>
    </row>
    <row r="14" spans="1:10" x14ac:dyDescent="0.25">
      <c r="A14" s="3">
        <f t="shared" si="0"/>
        <v>33939</v>
      </c>
      <c r="B14" s="4">
        <f>VLOOKUP($A14,'Raw data -- monthly'!$Y$3:$AH$286,'Raw data -- quarterly'!B$1,FALSE)</f>
        <v>7.4073084685516766E-2</v>
      </c>
      <c r="C14" s="4">
        <f>VLOOKUP($A14,'Raw data -- monthly'!$Y$3:$AH$286,'Raw data -- quarterly'!C$1,FALSE)</f>
        <v>0.50861409822567583</v>
      </c>
      <c r="D14" s="4" t="e">
        <f>VLOOKUP($A14,'Raw data -- monthly'!$Y$3:$AH$286,'Raw data -- quarterly'!D$1,FALSE)</f>
        <v>#N/A</v>
      </c>
      <c r="E14" s="4">
        <f>VLOOKUP($A14,'Raw data -- monthly'!$Y$3:$AH$286,'Raw data -- quarterly'!E$1,FALSE)</f>
        <v>0.23533786752870864</v>
      </c>
      <c r="F14" s="4">
        <f>VLOOKUP($A14,'Raw data -- monthly'!$Y$3:$AH$286,'Raw data -- quarterly'!F$1,FALSE)</f>
        <v>0.18530872473392254</v>
      </c>
      <c r="G14" s="4">
        <f>VLOOKUP($A14,'Raw data -- monthly'!$Y$3:$AH$286,'Raw data -- quarterly'!G$1,FALSE)</f>
        <v>1.6663569454335558E-2</v>
      </c>
      <c r="H14" s="4">
        <f>VLOOKUP($A14,'Raw data -- monthly'!$Y$3:$AH$286,'Raw data -- quarterly'!H$1,FALSE)</f>
        <v>2.6570298205744563E-2</v>
      </c>
      <c r="I14" s="4">
        <f>VLOOKUP($A14,'Raw data -- monthly'!$Y$3:$AH$286,'Raw data -- quarterly'!I$1,FALSE)</f>
        <v>3.0099484872550555E-2</v>
      </c>
      <c r="J14" s="4">
        <f>VLOOKUP($A14,'Raw data -- monthly'!$Y$3:$AH$286,'Raw data -- quarterly'!J$1,FALSE)</f>
        <v>4.4214178250267154E-2</v>
      </c>
    </row>
    <row r="15" spans="1:10" x14ac:dyDescent="0.25">
      <c r="A15" s="3">
        <f t="shared" si="0"/>
        <v>34029</v>
      </c>
      <c r="B15" s="4">
        <f>VLOOKUP($A15,'Raw data -- monthly'!$Y$3:$AH$286,'Raw data -- quarterly'!B$1,FALSE)</f>
        <v>7.1510670899310472E-2</v>
      </c>
      <c r="C15" s="4">
        <f>VLOOKUP($A15,'Raw data -- monthly'!$Y$3:$AH$286,'Raw data -- quarterly'!C$1,FALSE)</f>
        <v>0.5107250215341933</v>
      </c>
      <c r="D15" s="4" t="e">
        <f>VLOOKUP($A15,'Raw data -- monthly'!$Y$3:$AH$286,'Raw data -- quarterly'!D$1,FALSE)</f>
        <v>#N/A</v>
      </c>
      <c r="E15" s="4">
        <f>VLOOKUP($A15,'Raw data -- monthly'!$Y$3:$AH$286,'Raw data -- quarterly'!E$1,FALSE)</f>
        <v>0.23034156237261935</v>
      </c>
      <c r="F15" s="4">
        <f>VLOOKUP($A15,'Raw data -- monthly'!$Y$3:$AH$286,'Raw data -- quarterly'!F$1,FALSE)</f>
        <v>0.18978993418191778</v>
      </c>
      <c r="G15" s="4">
        <f>VLOOKUP($A15,'Raw data -- monthly'!$Y$3:$AH$286,'Raw data -- quarterly'!G$1,FALSE)</f>
        <v>1.581343814534791E-2</v>
      </c>
      <c r="H15" s="4">
        <f>VLOOKUP($A15,'Raw data -- monthly'!$Y$3:$AH$286,'Raw data -- quarterly'!H$1,FALSE)</f>
        <v>2.6526595398555192E-2</v>
      </c>
      <c r="I15" s="4">
        <f>VLOOKUP($A15,'Raw data -- monthly'!$Y$3:$AH$286,'Raw data -- quarterly'!I$1,FALSE)</f>
        <v>2.8339426997330622E-2</v>
      </c>
      <c r="J15" s="4">
        <f>VLOOKUP($A15,'Raw data -- monthly'!$Y$3:$AH$286,'Raw data -- quarterly'!J$1,FALSE)</f>
        <v>4.5848450020185581E-2</v>
      </c>
    </row>
    <row r="16" spans="1:10" x14ac:dyDescent="0.25">
      <c r="A16" s="3">
        <f t="shared" si="0"/>
        <v>34121</v>
      </c>
      <c r="B16" s="4">
        <f>VLOOKUP($A16,'Raw data -- monthly'!$Y$3:$AH$286,'Raw data -- quarterly'!B$1,FALSE)</f>
        <v>7.0702377509311132E-2</v>
      </c>
      <c r="C16" s="4">
        <f>VLOOKUP($A16,'Raw data -- monthly'!$Y$3:$AH$286,'Raw data -- quarterly'!C$1,FALSE)</f>
        <v>0.507181335645433</v>
      </c>
      <c r="D16" s="4" t="e">
        <f>VLOOKUP($A16,'Raw data -- monthly'!$Y$3:$AH$286,'Raw data -- quarterly'!D$1,FALSE)</f>
        <v>#N/A</v>
      </c>
      <c r="E16" s="4">
        <f>VLOOKUP($A16,'Raw data -- monthly'!$Y$3:$AH$286,'Raw data -- quarterly'!E$1,FALSE)</f>
        <v>0.23705531823418527</v>
      </c>
      <c r="F16" s="4">
        <f>VLOOKUP($A16,'Raw data -- monthly'!$Y$3:$AH$286,'Raw data -- quarterly'!F$1,FALSE)</f>
        <v>0.17431826224022498</v>
      </c>
      <c r="G16" s="4">
        <f>VLOOKUP($A16,'Raw data -- monthly'!$Y$3:$AH$286,'Raw data -- quarterly'!G$1,FALSE)</f>
        <v>1.5763353240351427E-2</v>
      </c>
      <c r="H16" s="4">
        <f>VLOOKUP($A16,'Raw data -- monthly'!$Y$3:$AH$286,'Raw data -- quarterly'!H$1,FALSE)</f>
        <v>2.5741216144721555E-2</v>
      </c>
      <c r="I16" s="4">
        <f>VLOOKUP($A16,'Raw data -- monthly'!$Y$3:$AH$286,'Raw data -- quarterly'!I$1,FALSE)</f>
        <v>2.8241824588035605E-2</v>
      </c>
      <c r="J16" s="4">
        <f>VLOOKUP($A16,'Raw data -- monthly'!$Y$3:$AH$286,'Raw data -- quarterly'!J$1,FALSE)</f>
        <v>4.5747734691646162E-2</v>
      </c>
    </row>
    <row r="17" spans="1:10" x14ac:dyDescent="0.25">
      <c r="A17" s="3">
        <f t="shared" si="0"/>
        <v>34213</v>
      </c>
      <c r="B17" s="4">
        <f>VLOOKUP($A17,'Raw data -- monthly'!$Y$3:$AH$286,'Raw data -- quarterly'!B$1,FALSE)</f>
        <v>6.8009529947637745E-2</v>
      </c>
      <c r="C17" s="4">
        <f>VLOOKUP($A17,'Raw data -- monthly'!$Y$3:$AH$286,'Raw data -- quarterly'!C$1,FALSE)</f>
        <v>0.50715696002990507</v>
      </c>
      <c r="D17" s="4" t="e">
        <f>VLOOKUP($A17,'Raw data -- monthly'!$Y$3:$AH$286,'Raw data -- quarterly'!D$1,FALSE)</f>
        <v>#N/A</v>
      </c>
      <c r="E17" s="4">
        <f>VLOOKUP($A17,'Raw data -- monthly'!$Y$3:$AH$286,'Raw data -- quarterly'!E$1,FALSE)</f>
        <v>0.23764774772836819</v>
      </c>
      <c r="F17" s="4">
        <f>VLOOKUP($A17,'Raw data -- monthly'!$Y$3:$AH$286,'Raw data -- quarterly'!F$1,FALSE)</f>
        <v>0.19143777267744524</v>
      </c>
      <c r="G17" s="4">
        <f>VLOOKUP($A17,'Raw data -- monthly'!$Y$3:$AH$286,'Raw data -- quarterly'!G$1,FALSE)</f>
        <v>1.5442324412967752E-2</v>
      </c>
      <c r="H17" s="4">
        <f>VLOOKUP($A17,'Raw data -- monthly'!$Y$3:$AH$286,'Raw data -- quarterly'!H$1,FALSE)</f>
        <v>2.6453711539221089E-2</v>
      </c>
      <c r="I17" s="4">
        <f>VLOOKUP($A17,'Raw data -- monthly'!$Y$3:$AH$286,'Raw data -- quarterly'!I$1,FALSE)</f>
        <v>2.7619818009977714E-2</v>
      </c>
      <c r="J17" s="4">
        <f>VLOOKUP($A17,'Raw data -- monthly'!$Y$3:$AH$286,'Raw data -- quarterly'!J$1,FALSE)</f>
        <v>4.4767372354014741E-2</v>
      </c>
    </row>
    <row r="18" spans="1:10" x14ac:dyDescent="0.25">
      <c r="A18" s="3">
        <f t="shared" si="0"/>
        <v>34304</v>
      </c>
      <c r="B18" s="4">
        <f>VLOOKUP($A18,'Raw data -- monthly'!$Y$3:$AH$286,'Raw data -- quarterly'!B$1,FALSE)</f>
        <v>6.6206963922621667E-2</v>
      </c>
      <c r="C18" s="4">
        <f>VLOOKUP($A18,'Raw data -- monthly'!$Y$3:$AH$286,'Raw data -- quarterly'!C$1,FALSE)</f>
        <v>0.50777393070547061</v>
      </c>
      <c r="D18" s="4" t="e">
        <f>VLOOKUP($A18,'Raw data -- monthly'!$Y$3:$AH$286,'Raw data -- quarterly'!D$1,FALSE)</f>
        <v>#N/A</v>
      </c>
      <c r="E18" s="4">
        <f>VLOOKUP($A18,'Raw data -- monthly'!$Y$3:$AH$286,'Raw data -- quarterly'!E$1,FALSE)</f>
        <v>0.2496228746334542</v>
      </c>
      <c r="F18" s="4">
        <f>VLOOKUP($A18,'Raw data -- monthly'!$Y$3:$AH$286,'Raw data -- quarterly'!F$1,FALSE)</f>
        <v>0.19240897955906741</v>
      </c>
      <c r="G18" s="4">
        <f>VLOOKUP($A18,'Raw data -- monthly'!$Y$3:$AH$286,'Raw data -- quarterly'!G$1,FALSE)</f>
        <v>1.5420948085832798E-2</v>
      </c>
      <c r="H18" s="4">
        <f>VLOOKUP($A18,'Raw data -- monthly'!$Y$3:$AH$286,'Raw data -- quarterly'!H$1,FALSE)</f>
        <v>2.5587412471793834E-2</v>
      </c>
      <c r="I18" s="4">
        <f>VLOOKUP($A18,'Raw data -- monthly'!$Y$3:$AH$286,'Raw data -- quarterly'!I$1,FALSE)</f>
        <v>2.8334708927121074E-2</v>
      </c>
      <c r="J18" s="4">
        <f>VLOOKUP($A18,'Raw data -- monthly'!$Y$3:$AH$286,'Raw data -- quarterly'!J$1,FALSE)</f>
        <v>4.5917430314946994E-2</v>
      </c>
    </row>
    <row r="19" spans="1:10" x14ac:dyDescent="0.25">
      <c r="A19" s="3">
        <f t="shared" si="0"/>
        <v>34394</v>
      </c>
      <c r="B19" s="4">
        <f>VLOOKUP($A19,'Raw data -- monthly'!$Y$3:$AH$286,'Raw data -- quarterly'!B$1,FALSE)</f>
        <v>6.5573565226174593E-2</v>
      </c>
      <c r="C19" s="4">
        <f>VLOOKUP($A19,'Raw data -- monthly'!$Y$3:$AH$286,'Raw data -- quarterly'!C$1,FALSE)</f>
        <v>0.50193822438659674</v>
      </c>
      <c r="D19" s="4" t="e">
        <f>VLOOKUP($A19,'Raw data -- monthly'!$Y$3:$AH$286,'Raw data -- quarterly'!D$1,FALSE)</f>
        <v>#N/A</v>
      </c>
      <c r="E19" s="4">
        <f>VLOOKUP($A19,'Raw data -- monthly'!$Y$3:$AH$286,'Raw data -- quarterly'!E$1,FALSE)</f>
        <v>0.25585933725424531</v>
      </c>
      <c r="F19" s="4">
        <f>VLOOKUP($A19,'Raw data -- monthly'!$Y$3:$AH$286,'Raw data -- quarterly'!F$1,FALSE)</f>
        <v>0.208438769429967</v>
      </c>
      <c r="G19" s="4">
        <f>VLOOKUP($A19,'Raw data -- monthly'!$Y$3:$AH$286,'Raw data -- quarterly'!G$1,FALSE)</f>
        <v>1.5414039021001085E-2</v>
      </c>
      <c r="H19" s="4">
        <f>VLOOKUP($A19,'Raw data -- monthly'!$Y$3:$AH$286,'Raw data -- quarterly'!H$1,FALSE)</f>
        <v>2.79017276500142E-2</v>
      </c>
      <c r="I19" s="4">
        <f>VLOOKUP($A19,'Raw data -- monthly'!$Y$3:$AH$286,'Raw data -- quarterly'!I$1,FALSE)</f>
        <v>3.1643092054617988E-2</v>
      </c>
      <c r="J19" s="4">
        <f>VLOOKUP($A19,'Raw data -- monthly'!$Y$3:$AH$286,'Raw data -- quarterly'!J$1,FALSE)</f>
        <v>4.8329133316249551E-2</v>
      </c>
    </row>
    <row r="20" spans="1:10" x14ac:dyDescent="0.25">
      <c r="A20" s="3">
        <f t="shared" si="0"/>
        <v>34486</v>
      </c>
      <c r="B20" s="4">
        <f>VLOOKUP($A20,'Raw data -- monthly'!$Y$3:$AH$286,'Raw data -- quarterly'!B$1,FALSE)</f>
        <v>6.1672269203552545E-2</v>
      </c>
      <c r="C20" s="4">
        <f>VLOOKUP($A20,'Raw data -- monthly'!$Y$3:$AH$286,'Raw data -- quarterly'!C$1,FALSE)</f>
        <v>0.5041455272118327</v>
      </c>
      <c r="D20" s="4" t="e">
        <f>VLOOKUP($A20,'Raw data -- monthly'!$Y$3:$AH$286,'Raw data -- quarterly'!D$1,FALSE)</f>
        <v>#N/A</v>
      </c>
      <c r="E20" s="4">
        <f>VLOOKUP($A20,'Raw data -- monthly'!$Y$3:$AH$286,'Raw data -- quarterly'!E$1,FALSE)</f>
        <v>0.26239663747319536</v>
      </c>
      <c r="F20" s="4">
        <f>VLOOKUP($A20,'Raw data -- monthly'!$Y$3:$AH$286,'Raw data -- quarterly'!F$1,FALSE)</f>
        <v>0.23369498469599073</v>
      </c>
      <c r="G20" s="4">
        <f>VLOOKUP($A20,'Raw data -- monthly'!$Y$3:$AH$286,'Raw data -- quarterly'!G$1,FALSE)</f>
        <v>1.5116646729270973E-2</v>
      </c>
      <c r="H20" s="4">
        <f>VLOOKUP($A20,'Raw data -- monthly'!$Y$3:$AH$286,'Raw data -- quarterly'!H$1,FALSE)</f>
        <v>2.6324408452308112E-2</v>
      </c>
      <c r="I20" s="4">
        <f>VLOOKUP($A20,'Raw data -- monthly'!$Y$3:$AH$286,'Raw data -- quarterly'!I$1,FALSE)</f>
        <v>3.0914487061706467E-2</v>
      </c>
      <c r="J20" s="4">
        <f>VLOOKUP($A20,'Raw data -- monthly'!$Y$3:$AH$286,'Raw data -- quarterly'!J$1,FALSE)</f>
        <v>4.6239822440548271E-2</v>
      </c>
    </row>
    <row r="21" spans="1:10" x14ac:dyDescent="0.25">
      <c r="A21" s="3">
        <f t="shared" si="0"/>
        <v>34578</v>
      </c>
      <c r="B21" s="4">
        <f>VLOOKUP($A21,'Raw data -- monthly'!$Y$3:$AH$286,'Raw data -- quarterly'!B$1,FALSE)</f>
        <v>6.003249586894574E-2</v>
      </c>
      <c r="C21" s="4">
        <f>VLOOKUP($A21,'Raw data -- monthly'!$Y$3:$AH$286,'Raw data -- quarterly'!C$1,FALSE)</f>
        <v>0.50287455476396425</v>
      </c>
      <c r="D21" s="4" t="e">
        <f>VLOOKUP($A21,'Raw data -- monthly'!$Y$3:$AH$286,'Raw data -- quarterly'!D$1,FALSE)</f>
        <v>#N/A</v>
      </c>
      <c r="E21" s="4">
        <f>VLOOKUP($A21,'Raw data -- monthly'!$Y$3:$AH$286,'Raw data -- quarterly'!E$1,FALSE)</f>
        <v>0.27383510272034178</v>
      </c>
      <c r="F21" s="4">
        <f>VLOOKUP($A21,'Raw data -- monthly'!$Y$3:$AH$286,'Raw data -- quarterly'!F$1,FALSE)</f>
        <v>0.22607999362313436</v>
      </c>
      <c r="G21" s="4">
        <f>VLOOKUP($A21,'Raw data -- monthly'!$Y$3:$AH$286,'Raw data -- quarterly'!G$1,FALSE)</f>
        <v>1.5030309667942054E-2</v>
      </c>
      <c r="H21" s="4">
        <f>VLOOKUP($A21,'Raw data -- monthly'!$Y$3:$AH$286,'Raw data -- quarterly'!H$1,FALSE)</f>
        <v>2.6174939673203012E-2</v>
      </c>
      <c r="I21" s="4">
        <f>VLOOKUP($A21,'Raw data -- monthly'!$Y$3:$AH$286,'Raw data -- quarterly'!I$1,FALSE)</f>
        <v>3.0712837057270289E-2</v>
      </c>
      <c r="J21" s="4">
        <f>VLOOKUP($A21,'Raw data -- monthly'!$Y$3:$AH$286,'Raw data -- quarterly'!J$1,FALSE)</f>
        <v>4.7728129520749202E-2</v>
      </c>
    </row>
    <row r="22" spans="1:10" x14ac:dyDescent="0.25">
      <c r="A22" s="3">
        <f t="shared" si="0"/>
        <v>34669</v>
      </c>
      <c r="B22" s="4">
        <f>VLOOKUP($A22,'Raw data -- monthly'!$Y$3:$AH$286,'Raw data -- quarterly'!B$1,FALSE)</f>
        <v>5.621366179690776E-2</v>
      </c>
      <c r="C22" s="4">
        <f>VLOOKUP($A22,'Raw data -- monthly'!$Y$3:$AH$286,'Raw data -- quarterly'!C$1,FALSE)</f>
        <v>0.49854138618881788</v>
      </c>
      <c r="D22" s="4" t="e">
        <f>VLOOKUP($A22,'Raw data -- monthly'!$Y$3:$AH$286,'Raw data -- quarterly'!D$1,FALSE)</f>
        <v>#N/A</v>
      </c>
      <c r="E22" s="4">
        <f>VLOOKUP($A22,'Raw data -- monthly'!$Y$3:$AH$286,'Raw data -- quarterly'!E$1,FALSE)</f>
        <v>0.27997622207360368</v>
      </c>
      <c r="F22" s="4">
        <f>VLOOKUP($A22,'Raw data -- monthly'!$Y$3:$AH$286,'Raw data -- quarterly'!F$1,FALSE)</f>
        <v>0.23094844692150521</v>
      </c>
      <c r="G22" s="4">
        <f>VLOOKUP($A22,'Raw data -- monthly'!$Y$3:$AH$286,'Raw data -- quarterly'!G$1,FALSE)</f>
        <v>1.4136319791482809E-2</v>
      </c>
      <c r="H22" s="4">
        <f>VLOOKUP($A22,'Raw data -- monthly'!$Y$3:$AH$286,'Raw data -- quarterly'!H$1,FALSE)</f>
        <v>2.7020313230669963E-2</v>
      </c>
      <c r="I22" s="4">
        <f>VLOOKUP($A22,'Raw data -- monthly'!$Y$3:$AH$286,'Raw data -- quarterly'!I$1,FALSE)</f>
        <v>2.9264635211334173E-2</v>
      </c>
      <c r="J22" s="4">
        <f>VLOOKUP($A22,'Raw data -- monthly'!$Y$3:$AH$286,'Raw data -- quarterly'!J$1,FALSE)</f>
        <v>4.8986395907433748E-2</v>
      </c>
    </row>
    <row r="23" spans="1:10" x14ac:dyDescent="0.25">
      <c r="A23" s="3">
        <f t="shared" si="0"/>
        <v>34759</v>
      </c>
      <c r="B23" s="4">
        <f>VLOOKUP($A23,'Raw data -- monthly'!$Y$3:$AH$286,'Raw data -- quarterly'!B$1,FALSE)</f>
        <v>5.4799934049540387E-2</v>
      </c>
      <c r="C23" s="4">
        <f>VLOOKUP($A23,'Raw data -- monthly'!$Y$3:$AH$286,'Raw data -- quarterly'!C$1,FALSE)</f>
        <v>0.49811859492292121</v>
      </c>
      <c r="D23" s="4" t="e">
        <f>VLOOKUP($A23,'Raw data -- monthly'!$Y$3:$AH$286,'Raw data -- quarterly'!D$1,FALSE)</f>
        <v>#N/A</v>
      </c>
      <c r="E23" s="4">
        <f>VLOOKUP($A23,'Raw data -- monthly'!$Y$3:$AH$286,'Raw data -- quarterly'!E$1,FALSE)</f>
        <v>0.28410493695569594</v>
      </c>
      <c r="F23" s="4">
        <f>VLOOKUP($A23,'Raw data -- monthly'!$Y$3:$AH$286,'Raw data -- quarterly'!F$1,FALSE)</f>
        <v>0.22666116978680093</v>
      </c>
      <c r="G23" s="4">
        <f>VLOOKUP($A23,'Raw data -- monthly'!$Y$3:$AH$286,'Raw data -- quarterly'!G$1,FALSE)</f>
        <v>1.4688144906753289E-2</v>
      </c>
      <c r="H23" s="4">
        <f>VLOOKUP($A23,'Raw data -- monthly'!$Y$3:$AH$286,'Raw data -- quarterly'!H$1,FALSE)</f>
        <v>2.5948493333726536E-2</v>
      </c>
      <c r="I23" s="4">
        <f>VLOOKUP($A23,'Raw data -- monthly'!$Y$3:$AH$286,'Raw data -- quarterly'!I$1,FALSE)</f>
        <v>2.774445275478411E-2</v>
      </c>
      <c r="J23" s="4">
        <f>VLOOKUP($A23,'Raw data -- monthly'!$Y$3:$AH$286,'Raw data -- quarterly'!J$1,FALSE)</f>
        <v>4.6488717096125648E-2</v>
      </c>
    </row>
    <row r="24" spans="1:10" x14ac:dyDescent="0.25">
      <c r="A24" s="3">
        <f t="shared" si="0"/>
        <v>34851</v>
      </c>
      <c r="B24" s="4">
        <f>VLOOKUP($A24,'Raw data -- monthly'!$Y$3:$AH$286,'Raw data -- quarterly'!B$1,FALSE)</f>
        <v>5.6765778342929722E-2</v>
      </c>
      <c r="C24" s="4">
        <f>VLOOKUP($A24,'Raw data -- monthly'!$Y$3:$AH$286,'Raw data -- quarterly'!C$1,FALSE)</f>
        <v>0.50077287862176789</v>
      </c>
      <c r="D24" s="4" t="e">
        <f>VLOOKUP($A24,'Raw data -- monthly'!$Y$3:$AH$286,'Raw data -- quarterly'!D$1,FALSE)</f>
        <v>#N/A</v>
      </c>
      <c r="E24" s="4">
        <f>VLOOKUP($A24,'Raw data -- monthly'!$Y$3:$AH$286,'Raw data -- quarterly'!E$1,FALSE)</f>
        <v>0.27544048139242938</v>
      </c>
      <c r="F24" s="4">
        <f>VLOOKUP($A24,'Raw data -- monthly'!$Y$3:$AH$286,'Raw data -- quarterly'!F$1,FALSE)</f>
        <v>0.22749334519735778</v>
      </c>
      <c r="G24" s="4">
        <f>VLOOKUP($A24,'Raw data -- monthly'!$Y$3:$AH$286,'Raw data -- quarterly'!G$1,FALSE)</f>
        <v>1.4768444347384224E-2</v>
      </c>
      <c r="H24" s="4">
        <f>VLOOKUP($A24,'Raw data -- monthly'!$Y$3:$AH$286,'Raw data -- quarterly'!H$1,FALSE)</f>
        <v>2.7679242185635361E-2</v>
      </c>
      <c r="I24" s="4">
        <f>VLOOKUP($A24,'Raw data -- monthly'!$Y$3:$AH$286,'Raw data -- quarterly'!I$1,FALSE)</f>
        <v>2.9598723073074984E-2</v>
      </c>
      <c r="J24" s="4">
        <f>VLOOKUP($A24,'Raw data -- monthly'!$Y$3:$AH$286,'Raw data -- quarterly'!J$1,FALSE)</f>
        <v>4.5552311070542965E-2</v>
      </c>
    </row>
    <row r="25" spans="1:10" x14ac:dyDescent="0.25">
      <c r="A25" s="3">
        <f t="shared" si="0"/>
        <v>34943</v>
      </c>
      <c r="B25" s="4">
        <f>VLOOKUP($A25,'Raw data -- monthly'!$Y$3:$AH$286,'Raw data -- quarterly'!B$1,FALSE)</f>
        <v>5.6606150226606672E-2</v>
      </c>
      <c r="C25" s="4">
        <f>VLOOKUP($A25,'Raw data -- monthly'!$Y$3:$AH$286,'Raw data -- quarterly'!C$1,FALSE)</f>
        <v>0.5012236810310321</v>
      </c>
      <c r="D25" s="4" t="e">
        <f>VLOOKUP($A25,'Raw data -- monthly'!$Y$3:$AH$286,'Raw data -- quarterly'!D$1,FALSE)</f>
        <v>#N/A</v>
      </c>
      <c r="E25" s="4">
        <f>VLOOKUP($A25,'Raw data -- monthly'!$Y$3:$AH$286,'Raw data -- quarterly'!E$1,FALSE)</f>
        <v>0.28092573599041304</v>
      </c>
      <c r="F25" s="4">
        <f>VLOOKUP($A25,'Raw data -- monthly'!$Y$3:$AH$286,'Raw data -- quarterly'!F$1,FALSE)</f>
        <v>0.22902529673234159</v>
      </c>
      <c r="G25" s="4">
        <f>VLOOKUP($A25,'Raw data -- monthly'!$Y$3:$AH$286,'Raw data -- quarterly'!G$1,FALSE)</f>
        <v>1.5032129067474033E-2</v>
      </c>
      <c r="H25" s="4">
        <f>VLOOKUP($A25,'Raw data -- monthly'!$Y$3:$AH$286,'Raw data -- quarterly'!H$1,FALSE)</f>
        <v>2.656371203756976E-2</v>
      </c>
      <c r="I25" s="4">
        <f>VLOOKUP($A25,'Raw data -- monthly'!$Y$3:$AH$286,'Raw data -- quarterly'!I$1,FALSE)</f>
        <v>2.9094855161656261E-2</v>
      </c>
      <c r="J25" s="4">
        <f>VLOOKUP($A25,'Raw data -- monthly'!$Y$3:$AH$286,'Raw data -- quarterly'!J$1,FALSE)</f>
        <v>4.7944416506655506E-2</v>
      </c>
    </row>
    <row r="26" spans="1:10" x14ac:dyDescent="0.25">
      <c r="A26" s="3">
        <f t="shared" si="0"/>
        <v>35034</v>
      </c>
      <c r="B26" s="4">
        <f>VLOOKUP($A26,'Raw data -- monthly'!$Y$3:$AH$286,'Raw data -- quarterly'!B$1,FALSE)</f>
        <v>5.5743581263231791E-2</v>
      </c>
      <c r="C26" s="4">
        <f>VLOOKUP($A26,'Raw data -- monthly'!$Y$3:$AH$286,'Raw data -- quarterly'!C$1,FALSE)</f>
        <v>0.50325251148339667</v>
      </c>
      <c r="D26" s="4" t="e">
        <f>VLOOKUP($A26,'Raw data -- monthly'!$Y$3:$AH$286,'Raw data -- quarterly'!D$1,FALSE)</f>
        <v>#N/A</v>
      </c>
      <c r="E26" s="4">
        <f>VLOOKUP($A26,'Raw data -- monthly'!$Y$3:$AH$286,'Raw data -- quarterly'!E$1,FALSE)</f>
        <v>0.27099946131958202</v>
      </c>
      <c r="F26" s="4">
        <f>VLOOKUP($A26,'Raw data -- monthly'!$Y$3:$AH$286,'Raw data -- quarterly'!F$1,FALSE)</f>
        <v>0.23489816272747835</v>
      </c>
      <c r="G26" s="4">
        <f>VLOOKUP($A26,'Raw data -- monthly'!$Y$3:$AH$286,'Raw data -- quarterly'!G$1,FALSE)</f>
        <v>1.413859771838206E-2</v>
      </c>
      <c r="H26" s="4">
        <f>VLOOKUP($A26,'Raw data -- monthly'!$Y$3:$AH$286,'Raw data -- quarterly'!H$1,FALSE)</f>
        <v>2.6804959346833471E-2</v>
      </c>
      <c r="I26" s="4">
        <f>VLOOKUP($A26,'Raw data -- monthly'!$Y$3:$AH$286,'Raw data -- quarterly'!I$1,FALSE)</f>
        <v>2.9026137441482681E-2</v>
      </c>
      <c r="J26" s="4">
        <f>VLOOKUP($A26,'Raw data -- monthly'!$Y$3:$AH$286,'Raw data -- quarterly'!J$1,FALSE)</f>
        <v>4.4980872215329398E-2</v>
      </c>
    </row>
    <row r="27" spans="1:10" x14ac:dyDescent="0.25">
      <c r="A27" s="3">
        <f t="shared" si="0"/>
        <v>35125</v>
      </c>
      <c r="B27" s="4">
        <f>VLOOKUP($A27,'Raw data -- monthly'!$Y$3:$AH$286,'Raw data -- quarterly'!B$1,FALSE)</f>
        <v>5.5479800333740163E-2</v>
      </c>
      <c r="C27" s="4">
        <f>VLOOKUP($A27,'Raw data -- monthly'!$Y$3:$AH$286,'Raw data -- quarterly'!C$1,FALSE)</f>
        <v>0.50302750960416809</v>
      </c>
      <c r="D27" s="4" t="e">
        <f>VLOOKUP($A27,'Raw data -- monthly'!$Y$3:$AH$286,'Raw data -- quarterly'!D$1,FALSE)</f>
        <v>#N/A</v>
      </c>
      <c r="E27" s="4">
        <f>VLOOKUP($A27,'Raw data -- monthly'!$Y$3:$AH$286,'Raw data -- quarterly'!E$1,FALSE)</f>
        <v>0.27450086661003481</v>
      </c>
      <c r="F27" s="4">
        <f>VLOOKUP($A27,'Raw data -- monthly'!$Y$3:$AH$286,'Raw data -- quarterly'!F$1,FALSE)</f>
        <v>0.23078890003067731</v>
      </c>
      <c r="G27" s="4">
        <f>VLOOKUP($A27,'Raw data -- monthly'!$Y$3:$AH$286,'Raw data -- quarterly'!G$1,FALSE)</f>
        <v>1.4090934824926205E-2</v>
      </c>
      <c r="H27" s="4">
        <f>VLOOKUP($A27,'Raw data -- monthly'!$Y$3:$AH$286,'Raw data -- quarterly'!H$1,FALSE)</f>
        <v>2.5698671252153221E-2</v>
      </c>
      <c r="I27" s="4">
        <f>VLOOKUP($A27,'Raw data -- monthly'!$Y$3:$AH$286,'Raw data -- quarterly'!I$1,FALSE)</f>
        <v>2.8745131490728843E-2</v>
      </c>
      <c r="J27" s="4">
        <f>VLOOKUP($A27,'Raw data -- monthly'!$Y$3:$AH$286,'Raw data -- quarterly'!J$1,FALSE)</f>
        <v>4.7010884055155633E-2</v>
      </c>
    </row>
    <row r="28" spans="1:10" x14ac:dyDescent="0.25">
      <c r="A28" s="3">
        <f t="shared" si="0"/>
        <v>35217</v>
      </c>
      <c r="B28" s="4">
        <f>VLOOKUP($A28,'Raw data -- monthly'!$Y$3:$AH$286,'Raw data -- quarterly'!B$1,FALSE)</f>
        <v>5.4727414281718338E-2</v>
      </c>
      <c r="C28" s="4">
        <f>VLOOKUP($A28,'Raw data -- monthly'!$Y$3:$AH$286,'Raw data -- quarterly'!C$1,FALSE)</f>
        <v>0.49919824448262978</v>
      </c>
      <c r="D28" s="4" t="e">
        <f>VLOOKUP($A28,'Raw data -- monthly'!$Y$3:$AH$286,'Raw data -- quarterly'!D$1,FALSE)</f>
        <v>#N/A</v>
      </c>
      <c r="E28" s="4">
        <f>VLOOKUP($A28,'Raw data -- monthly'!$Y$3:$AH$286,'Raw data -- quarterly'!E$1,FALSE)</f>
        <v>0.27061461211884047</v>
      </c>
      <c r="F28" s="4">
        <f>VLOOKUP($A28,'Raw data -- monthly'!$Y$3:$AH$286,'Raw data -- quarterly'!F$1,FALSE)</f>
        <v>0.23617754492329937</v>
      </c>
      <c r="G28" s="4">
        <f>VLOOKUP($A28,'Raw data -- monthly'!$Y$3:$AH$286,'Raw data -- quarterly'!G$1,FALSE)</f>
        <v>1.3993687294820053E-2</v>
      </c>
      <c r="H28" s="4">
        <f>VLOOKUP($A28,'Raw data -- monthly'!$Y$3:$AH$286,'Raw data -- quarterly'!H$1,FALSE)</f>
        <v>2.5350227686326308E-2</v>
      </c>
      <c r="I28" s="4">
        <f>VLOOKUP($A28,'Raw data -- monthly'!$Y$3:$AH$286,'Raw data -- quarterly'!I$1,FALSE)</f>
        <v>2.8247900008812291E-2</v>
      </c>
      <c r="J28" s="4">
        <f>VLOOKUP($A28,'Raw data -- monthly'!$Y$3:$AH$286,'Raw data -- quarterly'!J$1,FALSE)</f>
        <v>4.6589588121889493E-2</v>
      </c>
    </row>
    <row r="29" spans="1:10" x14ac:dyDescent="0.25">
      <c r="A29" s="3">
        <f t="shared" si="0"/>
        <v>35309</v>
      </c>
      <c r="B29" s="4">
        <f>VLOOKUP($A29,'Raw data -- monthly'!$Y$3:$AH$286,'Raw data -- quarterly'!B$1,FALSE)</f>
        <v>5.2619380637179462E-2</v>
      </c>
      <c r="C29" s="4">
        <f>VLOOKUP($A29,'Raw data -- monthly'!$Y$3:$AH$286,'Raw data -- quarterly'!C$1,FALSE)</f>
        <v>0.49570641417976519</v>
      </c>
      <c r="D29" s="4" t="e">
        <f>VLOOKUP($A29,'Raw data -- monthly'!$Y$3:$AH$286,'Raw data -- quarterly'!D$1,FALSE)</f>
        <v>#N/A</v>
      </c>
      <c r="E29" s="4">
        <f>VLOOKUP($A29,'Raw data -- monthly'!$Y$3:$AH$286,'Raw data -- quarterly'!E$1,FALSE)</f>
        <v>0.28645214070745867</v>
      </c>
      <c r="F29" s="4">
        <f>VLOOKUP($A29,'Raw data -- monthly'!$Y$3:$AH$286,'Raw data -- quarterly'!F$1,FALSE)</f>
        <v>0.23056814931440259</v>
      </c>
      <c r="G29" s="4">
        <f>VLOOKUP($A29,'Raw data -- monthly'!$Y$3:$AH$286,'Raw data -- quarterly'!G$1,FALSE)</f>
        <v>1.3634664463406223E-2</v>
      </c>
      <c r="H29" s="4">
        <f>VLOOKUP($A29,'Raw data -- monthly'!$Y$3:$AH$286,'Raw data -- quarterly'!H$1,FALSE)</f>
        <v>2.5838918769868668E-2</v>
      </c>
      <c r="I29" s="4">
        <f>VLOOKUP($A29,'Raw data -- monthly'!$Y$3:$AH$286,'Raw data -- quarterly'!I$1,FALSE)</f>
        <v>2.8236764355975368E-2</v>
      </c>
      <c r="J29" s="4">
        <f>VLOOKUP($A29,'Raw data -- monthly'!$Y$3:$AH$286,'Raw data -- quarterly'!J$1,FALSE)</f>
        <v>4.7686816592859775E-2</v>
      </c>
    </row>
    <row r="30" spans="1:10" x14ac:dyDescent="0.25">
      <c r="A30" s="3">
        <f>DATE(YEAR(A29),MONTH(A29)+3,1)</f>
        <v>35400</v>
      </c>
      <c r="B30" s="4">
        <f>VLOOKUP($A30,'Raw data -- monthly'!$Y$3:$AH$286,'Raw data -- quarterly'!B$1,FALSE)</f>
        <v>5.3130063489889502E-2</v>
      </c>
      <c r="C30" s="4">
        <f>VLOOKUP($A30,'Raw data -- monthly'!$Y$3:$AH$286,'Raw data -- quarterly'!C$1,FALSE)</f>
        <v>0.49212535705847699</v>
      </c>
      <c r="D30" s="4" t="e">
        <f>VLOOKUP($A30,'Raw data -- monthly'!$Y$3:$AH$286,'Raw data -- quarterly'!D$1,FALSE)</f>
        <v>#N/A</v>
      </c>
      <c r="E30" s="4">
        <f>VLOOKUP($A30,'Raw data -- monthly'!$Y$3:$AH$286,'Raw data -- quarterly'!E$1,FALSE)</f>
        <v>0.27859173792651099</v>
      </c>
      <c r="F30" s="4">
        <f>VLOOKUP($A30,'Raw data -- monthly'!$Y$3:$AH$286,'Raw data -- quarterly'!F$1,FALSE)</f>
        <v>0.21996764594963233</v>
      </c>
      <c r="G30" s="4">
        <f>VLOOKUP($A30,'Raw data -- monthly'!$Y$3:$AH$286,'Raw data -- quarterly'!G$1,FALSE)</f>
        <v>1.3358141594943593E-2</v>
      </c>
      <c r="H30" s="4">
        <f>VLOOKUP($A30,'Raw data -- monthly'!$Y$3:$AH$286,'Raw data -- quarterly'!H$1,FALSE)</f>
        <v>2.4953359599745688E-2</v>
      </c>
      <c r="I30" s="4">
        <f>VLOOKUP($A30,'Raw data -- monthly'!$Y$3:$AH$286,'Raw data -- quarterly'!I$1,FALSE)</f>
        <v>2.8487206382962271E-2</v>
      </c>
      <c r="J30" s="4">
        <f>VLOOKUP($A30,'Raw data -- monthly'!$Y$3:$AH$286,'Raw data -- quarterly'!J$1,FALSE)</f>
        <v>4.3868960575403654E-2</v>
      </c>
    </row>
    <row r="31" spans="1:10" x14ac:dyDescent="0.25">
      <c r="A31" s="3">
        <f t="shared" si="0"/>
        <v>35490</v>
      </c>
      <c r="B31" s="4">
        <f>VLOOKUP($A31,'Raw data -- monthly'!$Y$3:$AH$286,'Raw data -- quarterly'!B$1,FALSE)</f>
        <v>5.226919847700201E-2</v>
      </c>
      <c r="C31" s="4">
        <f>VLOOKUP($A31,'Raw data -- monthly'!$Y$3:$AH$286,'Raw data -- quarterly'!C$1,FALSE)</f>
        <v>0.49279087572640518</v>
      </c>
      <c r="D31" s="4" t="e">
        <f>VLOOKUP($A31,'Raw data -- monthly'!$Y$3:$AH$286,'Raw data -- quarterly'!D$1,FALSE)</f>
        <v>#N/A</v>
      </c>
      <c r="E31" s="4">
        <f>VLOOKUP($A31,'Raw data -- monthly'!$Y$3:$AH$286,'Raw data -- quarterly'!E$1,FALSE)</f>
        <v>0.29359068562991325</v>
      </c>
      <c r="F31" s="4">
        <f>VLOOKUP($A31,'Raw data -- monthly'!$Y$3:$AH$286,'Raw data -- quarterly'!F$1,FALSE)</f>
        <v>0.2242618642775509</v>
      </c>
      <c r="G31" s="4">
        <f>VLOOKUP($A31,'Raw data -- monthly'!$Y$3:$AH$286,'Raw data -- quarterly'!G$1,FALSE)</f>
        <v>1.3791802245201582E-2</v>
      </c>
      <c r="H31" s="4">
        <f>VLOOKUP($A31,'Raw data -- monthly'!$Y$3:$AH$286,'Raw data -- quarterly'!H$1,FALSE)</f>
        <v>2.6242289597381868E-2</v>
      </c>
      <c r="I31" s="4">
        <f>VLOOKUP($A31,'Raw data -- monthly'!$Y$3:$AH$286,'Raw data -- quarterly'!I$1,FALSE)</f>
        <v>2.7483267550177676E-2</v>
      </c>
      <c r="J31" s="4">
        <f>VLOOKUP($A31,'Raw data -- monthly'!$Y$3:$AH$286,'Raw data -- quarterly'!J$1,FALSE)</f>
        <v>4.7915391810217312E-2</v>
      </c>
    </row>
    <row r="32" spans="1:10" x14ac:dyDescent="0.25">
      <c r="A32" s="3">
        <f t="shared" si="0"/>
        <v>35582</v>
      </c>
      <c r="B32" s="4">
        <f>VLOOKUP($A32,'Raw data -- monthly'!$Y$3:$AH$286,'Raw data -- quarterly'!B$1,FALSE)</f>
        <v>4.9779022951932088E-2</v>
      </c>
      <c r="C32" s="4">
        <f>VLOOKUP($A32,'Raw data -- monthly'!$Y$3:$AH$286,'Raw data -- quarterly'!C$1,FALSE)</f>
        <v>0.49017248850337292</v>
      </c>
      <c r="D32" s="4" t="e">
        <f>VLOOKUP($A32,'Raw data -- monthly'!$Y$3:$AH$286,'Raw data -- quarterly'!D$1,FALSE)</f>
        <v>#N/A</v>
      </c>
      <c r="E32" s="4">
        <f>VLOOKUP($A32,'Raw data -- monthly'!$Y$3:$AH$286,'Raw data -- quarterly'!E$1,FALSE)</f>
        <v>0.29324102971391136</v>
      </c>
      <c r="F32" s="4">
        <f>VLOOKUP($A32,'Raw data -- monthly'!$Y$3:$AH$286,'Raw data -- quarterly'!F$1,FALSE)</f>
        <v>0.23257936413978561</v>
      </c>
      <c r="G32" s="4">
        <f>VLOOKUP($A32,'Raw data -- monthly'!$Y$3:$AH$286,'Raw data -- quarterly'!G$1,FALSE)</f>
        <v>1.3490849886799097E-2</v>
      </c>
      <c r="H32" s="4">
        <f>VLOOKUP($A32,'Raw data -- monthly'!$Y$3:$AH$286,'Raw data -- quarterly'!H$1,FALSE)</f>
        <v>2.5840091782915187E-2</v>
      </c>
      <c r="I32" s="4">
        <f>VLOOKUP($A32,'Raw data -- monthly'!$Y$3:$AH$286,'Raw data -- quarterly'!I$1,FALSE)</f>
        <v>2.6490838559674105E-2</v>
      </c>
      <c r="J32" s="4">
        <f>VLOOKUP($A32,'Raw data -- monthly'!$Y$3:$AH$286,'Raw data -- quarterly'!J$1,FALSE)</f>
        <v>4.7272913528417219E-2</v>
      </c>
    </row>
    <row r="33" spans="1:10" x14ac:dyDescent="0.25">
      <c r="A33" s="3">
        <f t="shared" si="0"/>
        <v>35674</v>
      </c>
      <c r="B33" s="4">
        <f>VLOOKUP($A33,'Raw data -- monthly'!$Y$3:$AH$286,'Raw data -- quarterly'!B$1,FALSE)</f>
        <v>4.8610236045905697E-2</v>
      </c>
      <c r="C33" s="4">
        <f>VLOOKUP($A33,'Raw data -- monthly'!$Y$3:$AH$286,'Raw data -- quarterly'!C$1,FALSE)</f>
        <v>0.48888384824646858</v>
      </c>
      <c r="D33" s="4" t="e">
        <f>VLOOKUP($A33,'Raw data -- monthly'!$Y$3:$AH$286,'Raw data -- quarterly'!D$1,FALSE)</f>
        <v>#N/A</v>
      </c>
      <c r="E33" s="4">
        <f>VLOOKUP($A33,'Raw data -- monthly'!$Y$3:$AH$286,'Raw data -- quarterly'!E$1,FALSE)</f>
        <v>0.28613298905450363</v>
      </c>
      <c r="F33" s="4">
        <f>VLOOKUP($A33,'Raw data -- monthly'!$Y$3:$AH$286,'Raw data -- quarterly'!F$1,FALSE)</f>
        <v>0.23683021951474773</v>
      </c>
      <c r="G33" s="4">
        <f>VLOOKUP($A33,'Raw data -- monthly'!$Y$3:$AH$286,'Raw data -- quarterly'!G$1,FALSE)</f>
        <v>1.266587538738456E-2</v>
      </c>
      <c r="H33" s="4">
        <f>VLOOKUP($A33,'Raw data -- monthly'!$Y$3:$AH$286,'Raw data -- quarterly'!H$1,FALSE)</f>
        <v>2.5196371992046756E-2</v>
      </c>
      <c r="I33" s="4">
        <f>VLOOKUP($A33,'Raw data -- monthly'!$Y$3:$AH$286,'Raw data -- quarterly'!I$1,FALSE)</f>
        <v>2.6795204240232805E-2</v>
      </c>
      <c r="J33" s="4">
        <f>VLOOKUP($A33,'Raw data -- monthly'!$Y$3:$AH$286,'Raw data -- quarterly'!J$1,FALSE)</f>
        <v>4.64836806914374E-2</v>
      </c>
    </row>
    <row r="34" spans="1:10" x14ac:dyDescent="0.25">
      <c r="A34" s="3">
        <f t="shared" si="0"/>
        <v>35765</v>
      </c>
      <c r="B34" s="4">
        <f>VLOOKUP($A34,'Raw data -- monthly'!$Y$3:$AH$286,'Raw data -- quarterly'!B$1,FALSE)</f>
        <v>4.6836528612886508E-2</v>
      </c>
      <c r="C34" s="4">
        <f>VLOOKUP($A34,'Raw data -- monthly'!$Y$3:$AH$286,'Raw data -- quarterly'!C$1,FALSE)</f>
        <v>0.48949086049426893</v>
      </c>
      <c r="D34" s="4" t="e">
        <f>VLOOKUP($A34,'Raw data -- monthly'!$Y$3:$AH$286,'Raw data -- quarterly'!D$1,FALSE)</f>
        <v>#N/A</v>
      </c>
      <c r="E34" s="4">
        <f>VLOOKUP($A34,'Raw data -- monthly'!$Y$3:$AH$286,'Raw data -- quarterly'!E$1,FALSE)</f>
        <v>0.30146422146715018</v>
      </c>
      <c r="F34" s="4">
        <f>VLOOKUP($A34,'Raw data -- monthly'!$Y$3:$AH$286,'Raw data -- quarterly'!F$1,FALSE)</f>
        <v>0.23561850340418708</v>
      </c>
      <c r="G34" s="4">
        <f>VLOOKUP($A34,'Raw data -- monthly'!$Y$3:$AH$286,'Raw data -- quarterly'!G$1,FALSE)</f>
        <v>1.3218364501560257E-2</v>
      </c>
      <c r="H34" s="4">
        <f>VLOOKUP($A34,'Raw data -- monthly'!$Y$3:$AH$286,'Raw data -- quarterly'!H$1,FALSE)</f>
        <v>2.6041383553190037E-2</v>
      </c>
      <c r="I34" s="4">
        <f>VLOOKUP($A34,'Raw data -- monthly'!$Y$3:$AH$286,'Raw data -- quarterly'!I$1,FALSE)</f>
        <v>2.4964060503863902E-2</v>
      </c>
      <c r="J34" s="4">
        <f>VLOOKUP($A34,'Raw data -- monthly'!$Y$3:$AH$286,'Raw data -- quarterly'!J$1,FALSE)</f>
        <v>4.9222351668667459E-2</v>
      </c>
    </row>
    <row r="35" spans="1:10" x14ac:dyDescent="0.25">
      <c r="A35" s="3">
        <f t="shared" si="0"/>
        <v>35855</v>
      </c>
      <c r="B35" s="4">
        <f>VLOOKUP($A35,'Raw data -- monthly'!$Y$3:$AH$286,'Raw data -- quarterly'!B$1,FALSE)</f>
        <v>4.641214843633467E-2</v>
      </c>
      <c r="C35" s="4">
        <f>VLOOKUP($A35,'Raw data -- monthly'!$Y$3:$AH$286,'Raw data -- quarterly'!C$1,FALSE)</f>
        <v>0.49032787272350981</v>
      </c>
      <c r="D35" s="4" t="e">
        <f>VLOOKUP($A35,'Raw data -- monthly'!$Y$3:$AH$286,'Raw data -- quarterly'!D$1,FALSE)</f>
        <v>#N/A</v>
      </c>
      <c r="E35" s="4">
        <f>VLOOKUP($A35,'Raw data -- monthly'!$Y$3:$AH$286,'Raw data -- quarterly'!E$1,FALSE)</f>
        <v>0.29903816675367262</v>
      </c>
      <c r="F35" s="4">
        <f>VLOOKUP($A35,'Raw data -- monthly'!$Y$3:$AH$286,'Raw data -- quarterly'!F$1,FALSE)</f>
        <v>0.24783922693713922</v>
      </c>
      <c r="G35" s="4">
        <f>VLOOKUP($A35,'Raw data -- monthly'!$Y$3:$AH$286,'Raw data -- quarterly'!G$1,FALSE)</f>
        <v>1.3298816285358535E-2</v>
      </c>
      <c r="H35" s="4">
        <f>VLOOKUP($A35,'Raw data -- monthly'!$Y$3:$AH$286,'Raw data -- quarterly'!H$1,FALSE)</f>
        <v>2.6164437317676953E-2</v>
      </c>
      <c r="I35" s="4">
        <f>VLOOKUP($A35,'Raw data -- monthly'!$Y$3:$AH$286,'Raw data -- quarterly'!I$1,FALSE)</f>
        <v>2.5542831109698797E-2</v>
      </c>
      <c r="J35" s="4">
        <f>VLOOKUP($A35,'Raw data -- monthly'!$Y$3:$AH$286,'Raw data -- quarterly'!J$1,FALSE)</f>
        <v>4.8081127581994121E-2</v>
      </c>
    </row>
    <row r="36" spans="1:10" x14ac:dyDescent="0.25">
      <c r="A36" s="3">
        <f t="shared" si="0"/>
        <v>35947</v>
      </c>
      <c r="B36" s="4">
        <f>VLOOKUP($A36,'Raw data -- monthly'!$Y$3:$AH$286,'Raw data -- quarterly'!B$1,FALSE)</f>
        <v>4.4176446221064002E-2</v>
      </c>
      <c r="C36" s="4">
        <f>VLOOKUP($A36,'Raw data -- monthly'!$Y$3:$AH$286,'Raw data -- quarterly'!C$1,FALSE)</f>
        <v>0.49210916838753943</v>
      </c>
      <c r="D36" s="4" t="e">
        <f>VLOOKUP($A36,'Raw data -- monthly'!$Y$3:$AH$286,'Raw data -- quarterly'!D$1,FALSE)</f>
        <v>#N/A</v>
      </c>
      <c r="E36" s="4">
        <f>VLOOKUP($A36,'Raw data -- monthly'!$Y$3:$AH$286,'Raw data -- quarterly'!E$1,FALSE)</f>
        <v>0.30991095580960321</v>
      </c>
      <c r="F36" s="4">
        <f>VLOOKUP($A36,'Raw data -- monthly'!$Y$3:$AH$286,'Raw data -- quarterly'!F$1,FALSE)</f>
        <v>0.23582890378074661</v>
      </c>
      <c r="G36" s="4">
        <f>VLOOKUP($A36,'Raw data -- monthly'!$Y$3:$AH$286,'Raw data -- quarterly'!G$1,FALSE)</f>
        <v>1.2464393560837351E-2</v>
      </c>
      <c r="H36" s="4">
        <f>VLOOKUP($A36,'Raw data -- monthly'!$Y$3:$AH$286,'Raw data -- quarterly'!H$1,FALSE)</f>
        <v>2.6693441135577034E-2</v>
      </c>
      <c r="I36" s="4">
        <f>VLOOKUP($A36,'Raw data -- monthly'!$Y$3:$AH$286,'Raw data -- quarterly'!I$1,FALSE)</f>
        <v>2.4146866438311782E-2</v>
      </c>
      <c r="J36" s="4">
        <f>VLOOKUP($A36,'Raw data -- monthly'!$Y$3:$AH$286,'Raw data -- quarterly'!J$1,FALSE)</f>
        <v>4.8412759675649543E-2</v>
      </c>
    </row>
    <row r="37" spans="1:10" x14ac:dyDescent="0.25">
      <c r="A37" s="3">
        <f t="shared" si="0"/>
        <v>36039</v>
      </c>
      <c r="B37" s="4">
        <f>VLOOKUP($A37,'Raw data -- monthly'!$Y$3:$AH$286,'Raw data -- quarterly'!B$1,FALSE)</f>
        <v>4.5321428425783461E-2</v>
      </c>
      <c r="C37" s="4">
        <f>VLOOKUP($A37,'Raw data -- monthly'!$Y$3:$AH$286,'Raw data -- quarterly'!C$1,FALSE)</f>
        <v>0.4910145053231359</v>
      </c>
      <c r="D37" s="4" t="e">
        <f>VLOOKUP($A37,'Raw data -- monthly'!$Y$3:$AH$286,'Raw data -- quarterly'!D$1,FALSE)</f>
        <v>#N/A</v>
      </c>
      <c r="E37" s="4">
        <f>VLOOKUP($A37,'Raw data -- monthly'!$Y$3:$AH$286,'Raw data -- quarterly'!E$1,FALSE)</f>
        <v>0.30917558755309038</v>
      </c>
      <c r="F37" s="4">
        <f>VLOOKUP($A37,'Raw data -- monthly'!$Y$3:$AH$286,'Raw data -- quarterly'!F$1,FALSE)</f>
        <v>0.23490861921194939</v>
      </c>
      <c r="G37" s="4">
        <f>VLOOKUP($A37,'Raw data -- monthly'!$Y$3:$AH$286,'Raw data -- quarterly'!G$1,FALSE)</f>
        <v>1.3150967113570618E-2</v>
      </c>
      <c r="H37" s="4">
        <f>VLOOKUP($A37,'Raw data -- monthly'!$Y$3:$AH$286,'Raw data -- quarterly'!H$1,FALSE)</f>
        <v>2.7941582158783267E-2</v>
      </c>
      <c r="I37" s="4">
        <f>VLOOKUP($A37,'Raw data -- monthly'!$Y$3:$AH$286,'Raw data -- quarterly'!I$1,FALSE)</f>
        <v>2.4661729157077431E-2</v>
      </c>
      <c r="J37" s="4">
        <f>VLOOKUP($A37,'Raw data -- monthly'!$Y$3:$AH$286,'Raw data -- quarterly'!J$1,FALSE)</f>
        <v>5.3394270434828438E-2</v>
      </c>
    </row>
    <row r="38" spans="1:10" x14ac:dyDescent="0.25">
      <c r="A38" s="3">
        <f t="shared" si="0"/>
        <v>36130</v>
      </c>
      <c r="B38" s="4">
        <f>VLOOKUP($A38,'Raw data -- monthly'!$Y$3:$AH$286,'Raw data -- quarterly'!B$1,FALSE)</f>
        <v>4.4335730969668842E-2</v>
      </c>
      <c r="C38" s="4">
        <f>VLOOKUP($A38,'Raw data -- monthly'!$Y$3:$AH$286,'Raw data -- quarterly'!C$1,FALSE)</f>
        <v>0.48880976205406523</v>
      </c>
      <c r="D38" s="4" t="e">
        <f>VLOOKUP($A38,'Raw data -- monthly'!$Y$3:$AH$286,'Raw data -- quarterly'!D$1,FALSE)</f>
        <v>#N/A</v>
      </c>
      <c r="E38" s="4">
        <f>VLOOKUP($A38,'Raw data -- monthly'!$Y$3:$AH$286,'Raw data -- quarterly'!E$1,FALSE)</f>
        <v>0.30734848924313268</v>
      </c>
      <c r="F38" s="4">
        <f>VLOOKUP($A38,'Raw data -- monthly'!$Y$3:$AH$286,'Raw data -- quarterly'!F$1,FALSE)</f>
        <v>0.25072760576623998</v>
      </c>
      <c r="G38" s="4">
        <f>VLOOKUP($A38,'Raw data -- monthly'!$Y$3:$AH$286,'Raw data -- quarterly'!G$1,FALSE)</f>
        <v>1.2814355281980995E-2</v>
      </c>
      <c r="H38" s="4">
        <f>VLOOKUP($A38,'Raw data -- monthly'!$Y$3:$AH$286,'Raw data -- quarterly'!H$1,FALSE)</f>
        <v>2.7926123994780071E-2</v>
      </c>
      <c r="I38" s="4">
        <f>VLOOKUP($A38,'Raw data -- monthly'!$Y$3:$AH$286,'Raw data -- quarterly'!I$1,FALSE)</f>
        <v>2.4747408703264081E-2</v>
      </c>
      <c r="J38" s="4">
        <f>VLOOKUP($A38,'Raw data -- monthly'!$Y$3:$AH$286,'Raw data -- quarterly'!J$1,FALSE)</f>
        <v>5.2389515488827816E-2</v>
      </c>
    </row>
    <row r="39" spans="1:10" x14ac:dyDescent="0.25">
      <c r="A39" s="3">
        <f t="shared" si="0"/>
        <v>36220</v>
      </c>
      <c r="B39" s="4">
        <f>VLOOKUP($A39,'Raw data -- monthly'!$Y$3:$AH$286,'Raw data -- quarterly'!B$1,FALSE)</f>
        <v>4.2883878200448845E-2</v>
      </c>
      <c r="C39" s="4">
        <f>VLOOKUP($A39,'Raw data -- monthly'!$Y$3:$AH$286,'Raw data -- quarterly'!C$1,FALSE)</f>
        <v>0.48938993495916266</v>
      </c>
      <c r="D39" s="4" t="e">
        <f>VLOOKUP($A39,'Raw data -- monthly'!$Y$3:$AH$286,'Raw data -- quarterly'!D$1,FALSE)</f>
        <v>#N/A</v>
      </c>
      <c r="E39" s="4">
        <f>VLOOKUP($A39,'Raw data -- monthly'!$Y$3:$AH$286,'Raw data -- quarterly'!E$1,FALSE)</f>
        <v>0.3186998425697623</v>
      </c>
      <c r="F39" s="4">
        <f>VLOOKUP($A39,'Raw data -- monthly'!$Y$3:$AH$286,'Raw data -- quarterly'!F$1,FALSE)</f>
        <v>0.24289878169777435</v>
      </c>
      <c r="G39" s="4">
        <f>VLOOKUP($A39,'Raw data -- monthly'!$Y$3:$AH$286,'Raw data -- quarterly'!G$1,FALSE)</f>
        <v>1.2303514811397418E-2</v>
      </c>
      <c r="H39" s="4">
        <f>VLOOKUP($A39,'Raw data -- monthly'!$Y$3:$AH$286,'Raw data -- quarterly'!H$1,FALSE)</f>
        <v>2.792299616644545E-2</v>
      </c>
      <c r="I39" s="4">
        <f>VLOOKUP($A39,'Raw data -- monthly'!$Y$3:$AH$286,'Raw data -- quarterly'!I$1,FALSE)</f>
        <v>2.4359394676089875E-2</v>
      </c>
      <c r="J39" s="4">
        <f>VLOOKUP($A39,'Raw data -- monthly'!$Y$3:$AH$286,'Raw data -- quarterly'!J$1,FALSE)</f>
        <v>5.082294242787605E-2</v>
      </c>
    </row>
    <row r="40" spans="1:10" x14ac:dyDescent="0.25">
      <c r="A40" s="3">
        <f>DATE(YEAR(A39),MONTH(A39)+3,1)</f>
        <v>36312</v>
      </c>
      <c r="B40" s="4">
        <f>VLOOKUP($A40,'Raw data -- monthly'!$Y$3:$AH$286,'Raw data -- quarterly'!B$1,FALSE)</f>
        <v>4.2528203954871023E-2</v>
      </c>
      <c r="C40" s="4">
        <f>VLOOKUP($A40,'Raw data -- monthly'!$Y$3:$AH$286,'Raw data -- quarterly'!C$1,FALSE)</f>
        <v>0.49090241950414271</v>
      </c>
      <c r="D40" s="4" t="e">
        <f>VLOOKUP($A40,'Raw data -- monthly'!$Y$3:$AH$286,'Raw data -- quarterly'!D$1,FALSE)</f>
        <v>#N/A</v>
      </c>
      <c r="E40" s="4">
        <f>VLOOKUP($A40,'Raw data -- monthly'!$Y$3:$AH$286,'Raw data -- quarterly'!E$1,FALSE)</f>
        <v>0.30429305177582644</v>
      </c>
      <c r="F40" s="4">
        <f>VLOOKUP($A40,'Raw data -- monthly'!$Y$3:$AH$286,'Raw data -- quarterly'!F$1,FALSE)</f>
        <v>0.243403335739065</v>
      </c>
      <c r="G40" s="4">
        <f>VLOOKUP($A40,'Raw data -- monthly'!$Y$3:$AH$286,'Raw data -- quarterly'!G$1,FALSE)</f>
        <v>1.2597402454095909E-2</v>
      </c>
      <c r="H40" s="4">
        <f>VLOOKUP($A40,'Raw data -- monthly'!$Y$3:$AH$286,'Raw data -- quarterly'!H$1,FALSE)</f>
        <v>2.7952475255944475E-2</v>
      </c>
      <c r="I40" s="4">
        <f>VLOOKUP($A40,'Raw data -- monthly'!$Y$3:$AH$286,'Raw data -- quarterly'!I$1,FALSE)</f>
        <v>2.2927723968068216E-2</v>
      </c>
      <c r="J40" s="4">
        <f>VLOOKUP($A40,'Raw data -- monthly'!$Y$3:$AH$286,'Raw data -- quarterly'!J$1,FALSE)</f>
        <v>5.4031215565627629E-2</v>
      </c>
    </row>
    <row r="41" spans="1:10" x14ac:dyDescent="0.25">
      <c r="A41" s="3">
        <f t="shared" si="0"/>
        <v>36404</v>
      </c>
      <c r="B41" s="4">
        <f>VLOOKUP($A41,'Raw data -- monthly'!$Y$3:$AH$286,'Raw data -- quarterly'!B$1,FALSE)</f>
        <v>4.248133837612942E-2</v>
      </c>
      <c r="C41" s="4">
        <f>VLOOKUP($A41,'Raw data -- monthly'!$Y$3:$AH$286,'Raw data -- quarterly'!C$1,FALSE)</f>
        <v>0.49138560354189703</v>
      </c>
      <c r="D41" s="4" t="e">
        <f>VLOOKUP($A41,'Raw data -- monthly'!$Y$3:$AH$286,'Raw data -- quarterly'!D$1,FALSE)</f>
        <v>#N/A</v>
      </c>
      <c r="E41" s="4">
        <f>VLOOKUP($A41,'Raw data -- monthly'!$Y$3:$AH$286,'Raw data -- quarterly'!E$1,FALSE)</f>
        <v>0.31789270466350844</v>
      </c>
      <c r="F41" s="4">
        <f>VLOOKUP($A41,'Raw data -- monthly'!$Y$3:$AH$286,'Raw data -- quarterly'!F$1,FALSE)</f>
        <v>0.22812150286305252</v>
      </c>
      <c r="G41" s="4">
        <f>VLOOKUP($A41,'Raw data -- monthly'!$Y$3:$AH$286,'Raw data -- quarterly'!G$1,FALSE)</f>
        <v>1.1841365078213718E-2</v>
      </c>
      <c r="H41" s="4">
        <f>VLOOKUP($A41,'Raw data -- monthly'!$Y$3:$AH$286,'Raw data -- quarterly'!H$1,FALSE)</f>
        <v>2.8575293135697798E-2</v>
      </c>
      <c r="I41" s="4">
        <f>VLOOKUP($A41,'Raw data -- monthly'!$Y$3:$AH$286,'Raw data -- quarterly'!I$1,FALSE)</f>
        <v>2.3842333404511761E-2</v>
      </c>
      <c r="J41" s="4">
        <f>VLOOKUP($A41,'Raw data -- monthly'!$Y$3:$AH$286,'Raw data -- quarterly'!J$1,FALSE)</f>
        <v>5.1931636380696221E-2</v>
      </c>
    </row>
    <row r="42" spans="1:10" x14ac:dyDescent="0.25">
      <c r="A42" s="3">
        <f t="shared" si="0"/>
        <v>36495</v>
      </c>
      <c r="B42" s="4">
        <f>VLOOKUP($A42,'Raw data -- monthly'!$Y$3:$AH$286,'Raw data -- quarterly'!B$1,FALSE)</f>
        <v>4.0829400962083311E-2</v>
      </c>
      <c r="C42" s="4">
        <f>VLOOKUP($A42,'Raw data -- monthly'!$Y$3:$AH$286,'Raw data -- quarterly'!C$1,FALSE)</f>
        <v>0.49052886055997941</v>
      </c>
      <c r="D42" s="4" t="e">
        <f>VLOOKUP($A42,'Raw data -- monthly'!$Y$3:$AH$286,'Raw data -- quarterly'!D$1,FALSE)</f>
        <v>#N/A</v>
      </c>
      <c r="E42" s="4">
        <f>VLOOKUP($A42,'Raw data -- monthly'!$Y$3:$AH$286,'Raw data -- quarterly'!E$1,FALSE)</f>
        <v>0.33130091714817039</v>
      </c>
      <c r="F42" s="4">
        <f>VLOOKUP($A42,'Raw data -- monthly'!$Y$3:$AH$286,'Raw data -- quarterly'!F$1,FALSE)</f>
        <v>0.24480501054203638</v>
      </c>
      <c r="G42" s="4">
        <f>VLOOKUP($A42,'Raw data -- monthly'!$Y$3:$AH$286,'Raw data -- quarterly'!G$1,FALSE)</f>
        <v>1.2054457338541233E-2</v>
      </c>
      <c r="H42" s="4">
        <f>VLOOKUP($A42,'Raw data -- monthly'!$Y$3:$AH$286,'Raw data -- quarterly'!H$1,FALSE)</f>
        <v>2.7434513831367635E-2</v>
      </c>
      <c r="I42" s="4">
        <f>VLOOKUP($A42,'Raw data -- monthly'!$Y$3:$AH$286,'Raw data -- quarterly'!I$1,FALSE)</f>
        <v>2.3572944059199435E-2</v>
      </c>
      <c r="J42" s="4">
        <f>VLOOKUP($A42,'Raw data -- monthly'!$Y$3:$AH$286,'Raw data -- quarterly'!J$1,FALSE)</f>
        <v>5.2191880013941004E-2</v>
      </c>
    </row>
    <row r="43" spans="1:10" x14ac:dyDescent="0.25">
      <c r="A43" s="3">
        <f t="shared" si="0"/>
        <v>36586</v>
      </c>
      <c r="B43" s="4">
        <f>VLOOKUP($A43,'Raw data -- monthly'!$Y$3:$AH$286,'Raw data -- quarterly'!B$1,FALSE)</f>
        <v>4.0497811053418348E-2</v>
      </c>
      <c r="C43" s="4">
        <f>VLOOKUP($A43,'Raw data -- monthly'!$Y$3:$AH$286,'Raw data -- quarterly'!C$1,FALSE)</f>
        <v>0.48600635849904478</v>
      </c>
      <c r="D43" s="4" t="e">
        <f>VLOOKUP($A43,'Raw data -- monthly'!$Y$3:$AH$286,'Raw data -- quarterly'!D$1,FALSE)</f>
        <v>#N/A</v>
      </c>
      <c r="E43" s="4">
        <f>VLOOKUP($A43,'Raw data -- monthly'!$Y$3:$AH$286,'Raw data -- quarterly'!E$1,FALSE)</f>
        <v>0.33012352058111744</v>
      </c>
      <c r="F43" s="4">
        <f>VLOOKUP($A43,'Raw data -- monthly'!$Y$3:$AH$286,'Raw data -- quarterly'!F$1,FALSE)</f>
        <v>0.23809073471530551</v>
      </c>
      <c r="G43" s="4">
        <f>VLOOKUP($A43,'Raw data -- monthly'!$Y$3:$AH$286,'Raw data -- quarterly'!G$1,FALSE)</f>
        <v>1.2111878075742608E-2</v>
      </c>
      <c r="H43" s="4">
        <f>VLOOKUP($A43,'Raw data -- monthly'!$Y$3:$AH$286,'Raw data -- quarterly'!H$1,FALSE)</f>
        <v>2.7292880173988732E-2</v>
      </c>
      <c r="I43" s="4">
        <f>VLOOKUP($A43,'Raw data -- monthly'!$Y$3:$AH$286,'Raw data -- quarterly'!I$1,FALSE)</f>
        <v>2.3184244271772889E-2</v>
      </c>
      <c r="J43" s="4">
        <f>VLOOKUP($A43,'Raw data -- monthly'!$Y$3:$AH$286,'Raw data -- quarterly'!J$1,FALSE)</f>
        <v>5.2283572176296554E-2</v>
      </c>
    </row>
    <row r="44" spans="1:10" x14ac:dyDescent="0.25">
      <c r="A44" s="3">
        <f t="shared" si="0"/>
        <v>36678</v>
      </c>
      <c r="B44" s="4">
        <f>VLOOKUP($A44,'Raw data -- monthly'!$Y$3:$AH$286,'Raw data -- quarterly'!B$1,FALSE)</f>
        <v>3.9488387046744948E-2</v>
      </c>
      <c r="C44" s="4">
        <f>VLOOKUP($A44,'Raw data -- monthly'!$Y$3:$AH$286,'Raw data -- quarterly'!C$1,FALSE)</f>
        <v>0.48861885360253005</v>
      </c>
      <c r="D44" s="4" t="e">
        <f>VLOOKUP($A44,'Raw data -- monthly'!$Y$3:$AH$286,'Raw data -- quarterly'!D$1,FALSE)</f>
        <v>#N/A</v>
      </c>
      <c r="E44" s="4">
        <f>VLOOKUP($A44,'Raw data -- monthly'!$Y$3:$AH$286,'Raw data -- quarterly'!E$1,FALSE)</f>
        <v>0.32084944102549651</v>
      </c>
      <c r="F44" s="4">
        <f>VLOOKUP($A44,'Raw data -- monthly'!$Y$3:$AH$286,'Raw data -- quarterly'!F$1,FALSE)</f>
        <v>0.25146396284118</v>
      </c>
      <c r="G44" s="4">
        <f>VLOOKUP($A44,'Raw data -- monthly'!$Y$3:$AH$286,'Raw data -- quarterly'!G$1,FALSE)</f>
        <v>1.1730791846733445E-2</v>
      </c>
      <c r="H44" s="4">
        <f>VLOOKUP($A44,'Raw data -- monthly'!$Y$3:$AH$286,'Raw data -- quarterly'!H$1,FALSE)</f>
        <v>2.7359890884546142E-2</v>
      </c>
      <c r="I44" s="4">
        <f>VLOOKUP($A44,'Raw data -- monthly'!$Y$3:$AH$286,'Raw data -- quarterly'!I$1,FALSE)</f>
        <v>2.2843494673321901E-2</v>
      </c>
      <c r="J44" s="4">
        <f>VLOOKUP($A44,'Raw data -- monthly'!$Y$3:$AH$286,'Raw data -- quarterly'!J$1,FALSE)</f>
        <v>5.041706649535771E-2</v>
      </c>
    </row>
    <row r="45" spans="1:10" x14ac:dyDescent="0.25">
      <c r="A45" s="3">
        <f t="shared" si="0"/>
        <v>36770</v>
      </c>
      <c r="B45" s="4">
        <f>VLOOKUP($A45,'Raw data -- monthly'!$Y$3:$AH$286,'Raw data -- quarterly'!B$1,FALSE)</f>
        <v>4.0310270676021172E-2</v>
      </c>
      <c r="C45" s="4">
        <f>VLOOKUP($A45,'Raw data -- monthly'!$Y$3:$AH$286,'Raw data -- quarterly'!C$1,FALSE)</f>
        <v>0.49482927005927085</v>
      </c>
      <c r="D45" s="4" t="e">
        <f>VLOOKUP($A45,'Raw data -- monthly'!$Y$3:$AH$286,'Raw data -- quarterly'!D$1,FALSE)</f>
        <v>#N/A</v>
      </c>
      <c r="E45" s="4">
        <f>VLOOKUP($A45,'Raw data -- monthly'!$Y$3:$AH$286,'Raw data -- quarterly'!E$1,FALSE)</f>
        <v>0.32429091595553089</v>
      </c>
      <c r="F45" s="4">
        <f>VLOOKUP($A45,'Raw data -- monthly'!$Y$3:$AH$286,'Raw data -- quarterly'!F$1,FALSE)</f>
        <v>0.2437669794214592</v>
      </c>
      <c r="G45" s="4">
        <f>VLOOKUP($A45,'Raw data -- monthly'!$Y$3:$AH$286,'Raw data -- quarterly'!G$1,FALSE)</f>
        <v>1.2464068825062893E-2</v>
      </c>
      <c r="H45" s="4">
        <f>VLOOKUP($A45,'Raw data -- monthly'!$Y$3:$AH$286,'Raw data -- quarterly'!H$1,FALSE)</f>
        <v>2.8053579365648926E-2</v>
      </c>
      <c r="I45" s="4">
        <f>VLOOKUP($A45,'Raw data -- monthly'!$Y$3:$AH$286,'Raw data -- quarterly'!I$1,FALSE)</f>
        <v>2.1672554422338161E-2</v>
      </c>
      <c r="J45" s="4">
        <f>VLOOKUP($A45,'Raw data -- monthly'!$Y$3:$AH$286,'Raw data -- quarterly'!J$1,FALSE)</f>
        <v>5.0553273149703176E-2</v>
      </c>
    </row>
    <row r="46" spans="1:10" x14ac:dyDescent="0.25">
      <c r="A46" s="3">
        <f t="shared" si="0"/>
        <v>36861</v>
      </c>
      <c r="B46" s="4">
        <f>VLOOKUP($A46,'Raw data -- monthly'!$Y$3:$AH$286,'Raw data -- quarterly'!B$1,FALSE)</f>
        <v>3.9192194632782999E-2</v>
      </c>
      <c r="C46" s="4">
        <f>VLOOKUP($A46,'Raw data -- monthly'!$Y$3:$AH$286,'Raw data -- quarterly'!C$1,FALSE)</f>
        <v>0.49401823104932235</v>
      </c>
      <c r="D46" s="4" t="e">
        <f>VLOOKUP($A46,'Raw data -- monthly'!$Y$3:$AH$286,'Raw data -- quarterly'!D$1,FALSE)</f>
        <v>#N/A</v>
      </c>
      <c r="E46" s="4">
        <f>VLOOKUP($A46,'Raw data -- monthly'!$Y$3:$AH$286,'Raw data -- quarterly'!E$1,FALSE)</f>
        <v>0.31507462718544743</v>
      </c>
      <c r="F46" s="4">
        <f>VLOOKUP($A46,'Raw data -- monthly'!$Y$3:$AH$286,'Raw data -- quarterly'!F$1,FALSE)</f>
        <v>0.2267997597620898</v>
      </c>
      <c r="G46" s="4">
        <f>VLOOKUP($A46,'Raw data -- monthly'!$Y$3:$AH$286,'Raw data -- quarterly'!G$1,FALSE)</f>
        <v>1.0856039383091367E-2</v>
      </c>
      <c r="H46" s="4">
        <f>VLOOKUP($A46,'Raw data -- monthly'!$Y$3:$AH$286,'Raw data -- quarterly'!H$1,FALSE)</f>
        <v>2.8133291659483538E-2</v>
      </c>
      <c r="I46" s="4">
        <f>VLOOKUP($A46,'Raw data -- monthly'!$Y$3:$AH$286,'Raw data -- quarterly'!I$1,FALSE)</f>
        <v>2.1607096614177281E-2</v>
      </c>
      <c r="J46" s="4">
        <f>VLOOKUP($A46,'Raw data -- monthly'!$Y$3:$AH$286,'Raw data -- quarterly'!J$1,FALSE)</f>
        <v>5.3293855721776993E-2</v>
      </c>
    </row>
    <row r="47" spans="1:10" s="12" customFormat="1" x14ac:dyDescent="0.25">
      <c r="A47" s="11">
        <f t="shared" si="0"/>
        <v>36951</v>
      </c>
      <c r="B47" s="12">
        <f>VLOOKUP($A47,'Raw data -- monthly'!$Y$3:$AH$286,'Raw data -- quarterly'!B$1,FALSE)</f>
        <v>4.2308442600205054E-2</v>
      </c>
      <c r="C47" s="12">
        <f>VLOOKUP($A47,'Raw data -- monthly'!$Y$3:$AH$286,'Raw data -- quarterly'!C$1,FALSE)</f>
        <v>0.48879318879577549</v>
      </c>
      <c r="D47" s="12">
        <f>VLOOKUP($A47,'Raw data -- monthly'!$Y$3:$AH$286,'Raw data -- quarterly'!D$1,FALSE)</f>
        <v>3.3984909995759184E-2</v>
      </c>
      <c r="E47" s="12">
        <f>VLOOKUP($A47,'Raw data -- monthly'!$Y$3:$AH$286,'Raw data -- quarterly'!E$1,FALSE)</f>
        <v>0.31045816746208721</v>
      </c>
      <c r="F47" s="12">
        <f>VLOOKUP($A47,'Raw data -- monthly'!$Y$3:$AH$286,'Raw data -- quarterly'!F$1,FALSE)</f>
        <v>0.23481312470823454</v>
      </c>
      <c r="G47" s="12">
        <f>VLOOKUP($A47,'Raw data -- monthly'!$Y$3:$AH$286,'Raw data -- quarterly'!G$1,FALSE)</f>
        <v>1.2757829471036592E-2</v>
      </c>
      <c r="H47" s="12">
        <f>VLOOKUP($A47,'Raw data -- monthly'!$Y$3:$AH$286,'Raw data -- quarterly'!H$1,FALSE)</f>
        <v>2.8812698596064664E-2</v>
      </c>
      <c r="I47" s="12">
        <f>VLOOKUP($A47,'Raw data -- monthly'!$Y$3:$AH$286,'Raw data -- quarterly'!I$1,FALSE)</f>
        <v>2.3028986887352786E-2</v>
      </c>
      <c r="J47" s="12">
        <f>VLOOKUP($A47,'Raw data -- monthly'!$Y$3:$AH$286,'Raw data -- quarterly'!J$1,FALSE)</f>
        <v>5.5270960969700501E-2</v>
      </c>
    </row>
    <row r="48" spans="1:10" x14ac:dyDescent="0.25">
      <c r="A48" s="3">
        <f t="shared" si="0"/>
        <v>37043</v>
      </c>
      <c r="B48" s="4">
        <f>VLOOKUP($A48,'Raw data -- monthly'!$Y$3:$AH$286,'Raw data -- quarterly'!B$1,FALSE)</f>
        <v>4.4116879762990724E-2</v>
      </c>
      <c r="C48" s="4">
        <f>VLOOKUP($A48,'Raw data -- monthly'!$Y$3:$AH$286,'Raw data -- quarterly'!C$1,FALSE)</f>
        <v>0.49730663828034727</v>
      </c>
      <c r="D48" s="4">
        <f>VLOOKUP($A48,'Raw data -- monthly'!$Y$3:$AH$286,'Raw data -- quarterly'!D$1,FALSE)</f>
        <v>3.1242070057245299E-2</v>
      </c>
      <c r="E48" s="4">
        <f>VLOOKUP($A48,'Raw data -- monthly'!$Y$3:$AH$286,'Raw data -- quarterly'!E$1,FALSE)</f>
        <v>0.31128254593778887</v>
      </c>
      <c r="F48" s="4">
        <f>VLOOKUP($A48,'Raw data -- monthly'!$Y$3:$AH$286,'Raw data -- quarterly'!F$1,FALSE)</f>
        <v>0.23802169564774323</v>
      </c>
      <c r="G48" s="4">
        <f>VLOOKUP($A48,'Raw data -- monthly'!$Y$3:$AH$286,'Raw data -- quarterly'!G$1,FALSE)</f>
        <v>1.3378141421118504E-2</v>
      </c>
      <c r="H48" s="4">
        <f>VLOOKUP($A48,'Raw data -- monthly'!$Y$3:$AH$286,'Raw data -- quarterly'!H$1,FALSE)</f>
        <v>2.9874573685950839E-2</v>
      </c>
      <c r="I48" s="4">
        <f>VLOOKUP($A48,'Raw data -- monthly'!$Y$3:$AH$286,'Raw data -- quarterly'!I$1,FALSE)</f>
        <v>2.3403366682107057E-2</v>
      </c>
      <c r="J48" s="4">
        <f>VLOOKUP($A48,'Raw data -- monthly'!$Y$3:$AH$286,'Raw data -- quarterly'!J$1,FALSE)</f>
        <v>5.106402952699008E-2</v>
      </c>
    </row>
    <row r="49" spans="1:10" x14ac:dyDescent="0.25">
      <c r="A49" s="3">
        <f t="shared" si="0"/>
        <v>37135</v>
      </c>
      <c r="B49" s="4">
        <f>VLOOKUP($A49,'Raw data -- monthly'!$Y$3:$AH$286,'Raw data -- quarterly'!B$1,FALSE)</f>
        <v>4.8191410997929118E-2</v>
      </c>
      <c r="C49" s="4">
        <f>VLOOKUP($A49,'Raw data -- monthly'!$Y$3:$AH$286,'Raw data -- quarterly'!C$1,FALSE)</f>
        <v>0.49971579407101419</v>
      </c>
      <c r="D49" s="4">
        <f>VLOOKUP($A49,'Raw data -- monthly'!$Y$3:$AH$286,'Raw data -- quarterly'!D$1,FALSE)</f>
        <v>2.872045462639462E-2</v>
      </c>
      <c r="E49" s="4">
        <f>VLOOKUP($A49,'Raw data -- monthly'!$Y$3:$AH$286,'Raw data -- quarterly'!E$1,FALSE)</f>
        <v>0.29427166386317644</v>
      </c>
      <c r="F49" s="4">
        <f>VLOOKUP($A49,'Raw data -- monthly'!$Y$3:$AH$286,'Raw data -- quarterly'!F$1,FALSE)</f>
        <v>0.22184420399581484</v>
      </c>
      <c r="G49" s="4">
        <f>VLOOKUP($A49,'Raw data -- monthly'!$Y$3:$AH$286,'Raw data -- quarterly'!G$1,FALSE)</f>
        <v>1.3656566287204618E-2</v>
      </c>
      <c r="H49" s="4">
        <f>VLOOKUP($A49,'Raw data -- monthly'!$Y$3:$AH$286,'Raw data -- quarterly'!H$1,FALSE)</f>
        <v>3.0201415415696431E-2</v>
      </c>
      <c r="I49" s="4">
        <f>VLOOKUP($A49,'Raw data -- monthly'!$Y$3:$AH$286,'Raw data -- quarterly'!I$1,FALSE)</f>
        <v>2.4982760402308724E-2</v>
      </c>
      <c r="J49" s="4">
        <f>VLOOKUP($A49,'Raw data -- monthly'!$Y$3:$AH$286,'Raw data -- quarterly'!J$1,FALSE)</f>
        <v>5.4760479894744953E-2</v>
      </c>
    </row>
    <row r="50" spans="1:10" x14ac:dyDescent="0.25">
      <c r="A50" s="3">
        <f t="shared" si="0"/>
        <v>37226</v>
      </c>
      <c r="B50" s="4">
        <f>VLOOKUP($A50,'Raw data -- monthly'!$Y$3:$AH$286,'Raw data -- quarterly'!B$1,FALSE)</f>
        <v>5.5369403355283474E-2</v>
      </c>
      <c r="C50" s="4">
        <f>VLOOKUP($A50,'Raw data -- monthly'!$Y$3:$AH$286,'Raw data -- quarterly'!C$1,FALSE)</f>
        <v>0.49858528453717588</v>
      </c>
      <c r="D50" s="4">
        <f>VLOOKUP($A50,'Raw data -- monthly'!$Y$3:$AH$286,'Raw data -- quarterly'!D$1,FALSE)</f>
        <v>2.4686175601690234E-2</v>
      </c>
      <c r="E50" s="4">
        <f>VLOOKUP($A50,'Raw data -- monthly'!$Y$3:$AH$286,'Raw data -- quarterly'!E$1,FALSE)</f>
        <v>0.26994933624105372</v>
      </c>
      <c r="F50" s="4">
        <f>VLOOKUP($A50,'Raw data -- monthly'!$Y$3:$AH$286,'Raw data -- quarterly'!F$1,FALSE)</f>
        <v>0.21323369602850342</v>
      </c>
      <c r="G50" s="4">
        <f>VLOOKUP($A50,'Raw data -- monthly'!$Y$3:$AH$286,'Raw data -- quarterly'!G$1,FALSE)</f>
        <v>1.4945956724267824E-2</v>
      </c>
      <c r="H50" s="4">
        <f>VLOOKUP($A50,'Raw data -- monthly'!$Y$3:$AH$286,'Raw data -- quarterly'!H$1,FALSE)</f>
        <v>2.8064900652832844E-2</v>
      </c>
      <c r="I50" s="4">
        <f>VLOOKUP($A50,'Raw data -- monthly'!$Y$3:$AH$286,'Raw data -- quarterly'!I$1,FALSE)</f>
        <v>2.7589629020967229E-2</v>
      </c>
      <c r="J50" s="4">
        <f>VLOOKUP($A50,'Raw data -- monthly'!$Y$3:$AH$286,'Raw data -- quarterly'!J$1,FALSE)</f>
        <v>4.8440995522931497E-2</v>
      </c>
    </row>
    <row r="51" spans="1:10" x14ac:dyDescent="0.25">
      <c r="A51" s="3">
        <f t="shared" si="0"/>
        <v>37316</v>
      </c>
      <c r="B51" s="4">
        <f>VLOOKUP($A51,'Raw data -- monthly'!$Y$3:$AH$286,'Raw data -- quarterly'!B$1,FALSE)</f>
        <v>5.7043804125865773E-2</v>
      </c>
      <c r="C51" s="4">
        <f>VLOOKUP($A51,'Raw data -- monthly'!$Y$3:$AH$286,'Raw data -- quarterly'!C$1,FALSE)</f>
        <v>0.5010836690279642</v>
      </c>
      <c r="D51" s="4">
        <f>VLOOKUP($A51,'Raw data -- monthly'!$Y$3:$AH$286,'Raw data -- quarterly'!D$1,FALSE)</f>
        <v>2.4254258755499372E-2</v>
      </c>
      <c r="E51" s="4">
        <f>VLOOKUP($A51,'Raw data -- monthly'!$Y$3:$AH$286,'Raw data -- quarterly'!E$1,FALSE)</f>
        <v>0.2691995865133206</v>
      </c>
      <c r="F51" s="4">
        <f>VLOOKUP($A51,'Raw data -- monthly'!$Y$3:$AH$286,'Raw data -- quarterly'!F$1,FALSE)</f>
        <v>0.20515859422568594</v>
      </c>
      <c r="G51" s="4">
        <f>VLOOKUP($A51,'Raw data -- monthly'!$Y$3:$AH$286,'Raw data -- quarterly'!G$1,FALSE)</f>
        <v>1.4611550539466847E-2</v>
      </c>
      <c r="H51" s="4">
        <f>VLOOKUP($A51,'Raw data -- monthly'!$Y$3:$AH$286,'Raw data -- quarterly'!H$1,FALSE)</f>
        <v>2.7699440506971335E-2</v>
      </c>
      <c r="I51" s="4">
        <f>VLOOKUP($A51,'Raw data -- monthly'!$Y$3:$AH$286,'Raw data -- quarterly'!I$1,FALSE)</f>
        <v>2.6440811761235722E-2</v>
      </c>
      <c r="J51" s="4">
        <f>VLOOKUP($A51,'Raw data -- monthly'!$Y$3:$AH$286,'Raw data -- quarterly'!J$1,FALSE)</f>
        <v>4.9245694396210286E-2</v>
      </c>
    </row>
    <row r="52" spans="1:10" x14ac:dyDescent="0.25">
      <c r="A52" s="3">
        <f t="shared" si="0"/>
        <v>37408</v>
      </c>
      <c r="B52" s="4">
        <f>VLOOKUP($A52,'Raw data -- monthly'!$Y$3:$AH$286,'Raw data -- quarterly'!B$1,FALSE)</f>
        <v>5.8441518378437779E-2</v>
      </c>
      <c r="C52" s="4">
        <f>VLOOKUP($A52,'Raw data -- monthly'!$Y$3:$AH$286,'Raw data -- quarterly'!C$1,FALSE)</f>
        <v>0.49978049260422019</v>
      </c>
      <c r="D52" s="4">
        <f>VLOOKUP($A52,'Raw data -- monthly'!$Y$3:$AH$286,'Raw data -- quarterly'!D$1,FALSE)</f>
        <v>2.3260251026514328E-2</v>
      </c>
      <c r="E52" s="4">
        <f>VLOOKUP($A52,'Raw data -- monthly'!$Y$3:$AH$286,'Raw data -- quarterly'!E$1,FALSE)</f>
        <v>0.24551781236523337</v>
      </c>
      <c r="F52" s="4">
        <f>VLOOKUP($A52,'Raw data -- monthly'!$Y$3:$AH$286,'Raw data -- quarterly'!F$1,FALSE)</f>
        <v>0.20747299015438839</v>
      </c>
      <c r="G52" s="4">
        <f>VLOOKUP($A52,'Raw data -- monthly'!$Y$3:$AH$286,'Raw data -- quarterly'!G$1,FALSE)</f>
        <v>1.4171262158272496E-2</v>
      </c>
      <c r="H52" s="4">
        <f>VLOOKUP($A52,'Raw data -- monthly'!$Y$3:$AH$286,'Raw data -- quarterly'!H$1,FALSE)</f>
        <v>2.838672423044164E-2</v>
      </c>
      <c r="I52" s="4">
        <f>VLOOKUP($A52,'Raw data -- monthly'!$Y$3:$AH$286,'Raw data -- quarterly'!I$1,FALSE)</f>
        <v>2.6248649330587237E-2</v>
      </c>
      <c r="J52" s="4">
        <f>VLOOKUP($A52,'Raw data -- monthly'!$Y$3:$AH$286,'Raw data -- quarterly'!J$1,FALSE)</f>
        <v>5.1828409992686654E-2</v>
      </c>
    </row>
    <row r="53" spans="1:10" x14ac:dyDescent="0.25">
      <c r="A53" s="3">
        <f t="shared" si="0"/>
        <v>37500</v>
      </c>
      <c r="B53" s="4">
        <f>VLOOKUP($A53,'Raw data -- monthly'!$Y$3:$AH$286,'Raw data -- quarterly'!B$1,FALSE)</f>
        <v>5.7297818148795365E-2</v>
      </c>
      <c r="C53" s="4">
        <f>VLOOKUP($A53,'Raw data -- monthly'!$Y$3:$AH$286,'Raw data -- quarterly'!C$1,FALSE)</f>
        <v>0.50128252539613805</v>
      </c>
      <c r="D53" s="4">
        <f>VLOOKUP($A53,'Raw data -- monthly'!$Y$3:$AH$286,'Raw data -- quarterly'!D$1,FALSE)</f>
        <v>2.3218202335193158E-2</v>
      </c>
      <c r="E53" s="4">
        <f>VLOOKUP($A53,'Raw data -- monthly'!$Y$3:$AH$286,'Raw data -- quarterly'!E$1,FALSE)</f>
        <v>0.25450272599271911</v>
      </c>
      <c r="F53" s="4">
        <f>VLOOKUP($A53,'Raw data -- monthly'!$Y$3:$AH$286,'Raw data -- quarterly'!F$1,FALSE)</f>
        <v>0.21529777584268658</v>
      </c>
      <c r="G53" s="4">
        <f>VLOOKUP($A53,'Raw data -- monthly'!$Y$3:$AH$286,'Raw data -- quarterly'!G$1,FALSE)</f>
        <v>1.4033267231403855E-2</v>
      </c>
      <c r="H53" s="4">
        <f>VLOOKUP($A53,'Raw data -- monthly'!$Y$3:$AH$286,'Raw data -- quarterly'!H$1,FALSE)</f>
        <v>2.6411596462747797E-2</v>
      </c>
      <c r="I53" s="4">
        <f>VLOOKUP($A53,'Raw data -- monthly'!$Y$3:$AH$286,'Raw data -- quarterly'!I$1,FALSE)</f>
        <v>2.6700568443605851E-2</v>
      </c>
      <c r="J53" s="4">
        <f>VLOOKUP($A53,'Raw data -- monthly'!$Y$3:$AH$286,'Raw data -- quarterly'!J$1,FALSE)</f>
        <v>4.9903681611119501E-2</v>
      </c>
    </row>
    <row r="54" spans="1:10" x14ac:dyDescent="0.25">
      <c r="A54" s="3">
        <f t="shared" si="0"/>
        <v>37591</v>
      </c>
      <c r="B54" s="4">
        <f>VLOOKUP($A54,'Raw data -- monthly'!$Y$3:$AH$286,'Raw data -- quarterly'!B$1,FALSE)</f>
        <v>5.8488858746386402E-2</v>
      </c>
      <c r="C54" s="4">
        <f>VLOOKUP($A54,'Raw data -- monthly'!$Y$3:$AH$286,'Raw data -- quarterly'!C$1,FALSE)</f>
        <v>0.50573655808714613</v>
      </c>
      <c r="D54" s="4">
        <f>VLOOKUP($A54,'Raw data -- monthly'!$Y$3:$AH$286,'Raw data -- quarterly'!D$1,FALSE)</f>
        <v>2.3261838039535975E-2</v>
      </c>
      <c r="E54" s="4">
        <f>VLOOKUP($A54,'Raw data -- monthly'!$Y$3:$AH$286,'Raw data -- quarterly'!E$1,FALSE)</f>
        <v>0.23841047235381851</v>
      </c>
      <c r="F54" s="4">
        <f>VLOOKUP($A54,'Raw data -- monthly'!$Y$3:$AH$286,'Raw data -- quarterly'!F$1,FALSE)</f>
        <v>0.21434301937207259</v>
      </c>
      <c r="G54" s="4">
        <f>VLOOKUP($A54,'Raw data -- monthly'!$Y$3:$AH$286,'Raw data -- quarterly'!G$1,FALSE)</f>
        <v>1.4518679823312156E-2</v>
      </c>
      <c r="H54" s="4">
        <f>VLOOKUP($A54,'Raw data -- monthly'!$Y$3:$AH$286,'Raw data -- quarterly'!H$1,FALSE)</f>
        <v>2.8469703530591906E-2</v>
      </c>
      <c r="I54" s="4">
        <f>VLOOKUP($A54,'Raw data -- monthly'!$Y$3:$AH$286,'Raw data -- quarterly'!I$1,FALSE)</f>
        <v>2.5936839957299396E-2</v>
      </c>
      <c r="J54" s="4">
        <f>VLOOKUP($A54,'Raw data -- monthly'!$Y$3:$AH$286,'Raw data -- quarterly'!J$1,FALSE)</f>
        <v>4.8452904110591187E-2</v>
      </c>
    </row>
    <row r="55" spans="1:10" x14ac:dyDescent="0.25">
      <c r="A55" s="3">
        <f t="shared" si="0"/>
        <v>37681</v>
      </c>
      <c r="B55" s="4">
        <f>VLOOKUP($A55,'Raw data -- monthly'!$Y$3:$AH$286,'Raw data -- quarterly'!B$1,FALSE)</f>
        <v>5.8727135704808198E-2</v>
      </c>
      <c r="C55" s="4">
        <f>VLOOKUP($A55,'Raw data -- monthly'!$Y$3:$AH$286,'Raw data -- quarterly'!C$1,FALSE)</f>
        <v>0.50739514783423412</v>
      </c>
      <c r="D55" s="4">
        <f>VLOOKUP($A55,'Raw data -- monthly'!$Y$3:$AH$286,'Raw data -- quarterly'!D$1,FALSE)</f>
        <v>2.2947007595833541E-2</v>
      </c>
      <c r="E55" s="4">
        <f>VLOOKUP($A55,'Raw data -- monthly'!$Y$3:$AH$286,'Raw data -- quarterly'!E$1,FALSE)</f>
        <v>0.23814778658167915</v>
      </c>
      <c r="F55" s="4">
        <f>VLOOKUP($A55,'Raw data -- monthly'!$Y$3:$AH$286,'Raw data -- quarterly'!F$1,FALSE)</f>
        <v>0.22490122143286936</v>
      </c>
      <c r="G55" s="4">
        <f>VLOOKUP($A55,'Raw data -- monthly'!$Y$3:$AH$286,'Raw data -- quarterly'!G$1,FALSE)</f>
        <v>1.4230796142722005E-2</v>
      </c>
      <c r="H55" s="4">
        <f>VLOOKUP($A55,'Raw data -- monthly'!$Y$3:$AH$286,'Raw data -- quarterly'!H$1,FALSE)</f>
        <v>2.724098010866732E-2</v>
      </c>
      <c r="I55" s="4">
        <f>VLOOKUP($A55,'Raw data -- monthly'!$Y$3:$AH$286,'Raw data -- quarterly'!I$1,FALSE)</f>
        <v>2.6713159172778351E-2</v>
      </c>
      <c r="J55" s="4">
        <f>VLOOKUP($A55,'Raw data -- monthly'!$Y$3:$AH$286,'Raw data -- quarterly'!J$1,FALSE)</f>
        <v>5.0157834842136984E-2</v>
      </c>
    </row>
    <row r="56" spans="1:10" x14ac:dyDescent="0.25">
      <c r="A56" s="3">
        <f t="shared" si="0"/>
        <v>37773</v>
      </c>
      <c r="B56" s="4">
        <f>VLOOKUP($A56,'Raw data -- monthly'!$Y$3:$AH$286,'Raw data -- quarterly'!B$1,FALSE)</f>
        <v>6.1504924746967476E-2</v>
      </c>
      <c r="C56" s="4">
        <f>VLOOKUP($A56,'Raw data -- monthly'!$Y$3:$AH$286,'Raw data -- quarterly'!C$1,FALSE)</f>
        <v>0.50517521885284045</v>
      </c>
      <c r="D56" s="4">
        <f>VLOOKUP($A56,'Raw data -- monthly'!$Y$3:$AH$286,'Raw data -- quarterly'!D$1,FALSE)</f>
        <v>2.1386633473477898E-2</v>
      </c>
      <c r="E56" s="4">
        <f>VLOOKUP($A56,'Raw data -- monthly'!$Y$3:$AH$286,'Raw data -- quarterly'!E$1,FALSE)</f>
        <v>0.23684513136134941</v>
      </c>
      <c r="F56" s="4">
        <f>VLOOKUP($A56,'Raw data -- monthly'!$Y$3:$AH$286,'Raw data -- quarterly'!F$1,FALSE)</f>
        <v>0.20855449324536535</v>
      </c>
      <c r="G56" s="4">
        <f>VLOOKUP($A56,'Raw data -- monthly'!$Y$3:$AH$286,'Raw data -- quarterly'!G$1,FALSE)</f>
        <v>1.4364590883476559E-2</v>
      </c>
      <c r="H56" s="4">
        <f>VLOOKUP($A56,'Raw data -- monthly'!$Y$3:$AH$286,'Raw data -- quarterly'!H$1,FALSE)</f>
        <v>2.6843571343708569E-2</v>
      </c>
      <c r="I56" s="4">
        <f>VLOOKUP($A56,'Raw data -- monthly'!$Y$3:$AH$286,'Raw data -- quarterly'!I$1,FALSE)</f>
        <v>2.8948374396327314E-2</v>
      </c>
      <c r="J56" s="4">
        <f>VLOOKUP($A56,'Raw data -- monthly'!$Y$3:$AH$286,'Raw data -- quarterly'!J$1,FALSE)</f>
        <v>4.9006086049894183E-2</v>
      </c>
    </row>
    <row r="57" spans="1:10" x14ac:dyDescent="0.25">
      <c r="A57" s="3">
        <f t="shared" si="0"/>
        <v>37865</v>
      </c>
      <c r="B57" s="4">
        <f>VLOOKUP($A57,'Raw data -- monthly'!$Y$3:$AH$286,'Raw data -- quarterly'!B$1,FALSE)</f>
        <v>6.1047638953544314E-2</v>
      </c>
      <c r="C57" s="4">
        <f>VLOOKUP($A57,'Raw data -- monthly'!$Y$3:$AH$286,'Raw data -- quarterly'!C$1,FALSE)</f>
        <v>0.51216937603660118</v>
      </c>
      <c r="D57" s="4">
        <f>VLOOKUP($A57,'Raw data -- monthly'!$Y$3:$AH$286,'Raw data -- quarterly'!D$1,FALSE)</f>
        <v>2.1251168279784145E-2</v>
      </c>
      <c r="E57" s="4">
        <f>VLOOKUP($A57,'Raw data -- monthly'!$Y$3:$AH$286,'Raw data -- quarterly'!E$1,FALSE)</f>
        <v>0.23204892668495355</v>
      </c>
      <c r="F57" s="4">
        <f>VLOOKUP($A57,'Raw data -- monthly'!$Y$3:$AH$286,'Raw data -- quarterly'!F$1,FALSE)</f>
        <v>0.21834569584807814</v>
      </c>
      <c r="G57" s="4">
        <f>VLOOKUP($A57,'Raw data -- monthly'!$Y$3:$AH$286,'Raw data -- quarterly'!G$1,FALSE)</f>
        <v>1.418118099252764E-2</v>
      </c>
      <c r="H57" s="4">
        <f>VLOOKUP($A57,'Raw data -- monthly'!$Y$3:$AH$286,'Raw data -- quarterly'!H$1,FALSE)</f>
        <v>2.8460008606087817E-2</v>
      </c>
      <c r="I57" s="4">
        <f>VLOOKUP($A57,'Raw data -- monthly'!$Y$3:$AH$286,'Raw data -- quarterly'!I$1,FALSE)</f>
        <v>2.6743320927909629E-2</v>
      </c>
      <c r="J57" s="4">
        <f>VLOOKUP($A57,'Raw data -- monthly'!$Y$3:$AH$286,'Raw data -- quarterly'!J$1,FALSE)</f>
        <v>4.861057889660747E-2</v>
      </c>
    </row>
    <row r="58" spans="1:10" x14ac:dyDescent="0.25">
      <c r="A58" s="3">
        <f>DATE(YEAR(A57),MONTH(A57)+3,1)</f>
        <v>37956</v>
      </c>
      <c r="B58" s="4">
        <f>VLOOKUP($A58,'Raw data -- monthly'!$Y$3:$AH$286,'Raw data -- quarterly'!B$1,FALSE)</f>
        <v>5.8179864963577105E-2</v>
      </c>
      <c r="C58" s="4">
        <f>VLOOKUP($A58,'Raw data -- monthly'!$Y$3:$AH$286,'Raw data -- quarterly'!C$1,FALSE)</f>
        <v>0.5139870348844241</v>
      </c>
      <c r="D58" s="4">
        <f>VLOOKUP($A58,'Raw data -- monthly'!$Y$3:$AH$286,'Raw data -- quarterly'!D$1,FALSE)</f>
        <v>2.1979846166643984E-2</v>
      </c>
      <c r="E58" s="4">
        <f>VLOOKUP($A58,'Raw data -- monthly'!$Y$3:$AH$286,'Raw data -- quarterly'!E$1,FALSE)</f>
        <v>0.24538653869078153</v>
      </c>
      <c r="F58" s="4">
        <f>VLOOKUP($A58,'Raw data -- monthly'!$Y$3:$AH$286,'Raw data -- quarterly'!F$1,FALSE)</f>
        <v>0.21858709998760847</v>
      </c>
      <c r="G58" s="4">
        <f>VLOOKUP($A58,'Raw data -- monthly'!$Y$3:$AH$286,'Raw data -- quarterly'!G$1,FALSE)</f>
        <v>1.3251810052099099E-2</v>
      </c>
      <c r="H58" s="4">
        <f>VLOOKUP($A58,'Raw data -- monthly'!$Y$3:$AH$286,'Raw data -- quarterly'!H$1,FALSE)</f>
        <v>2.7970833027312691E-2</v>
      </c>
      <c r="I58" s="4">
        <f>VLOOKUP($A58,'Raw data -- monthly'!$Y$3:$AH$286,'Raw data -- quarterly'!I$1,FALSE)</f>
        <v>2.6637358984460496E-2</v>
      </c>
      <c r="J58" s="4">
        <f>VLOOKUP($A58,'Raw data -- monthly'!$Y$3:$AH$286,'Raw data -- quarterly'!J$1,FALSE)</f>
        <v>4.9788500251601885E-2</v>
      </c>
    </row>
    <row r="59" spans="1:10" x14ac:dyDescent="0.25">
      <c r="A59" s="3">
        <f t="shared" si="0"/>
        <v>38047</v>
      </c>
      <c r="B59" s="4">
        <f>VLOOKUP($A59,'Raw data -- monthly'!$Y$3:$AH$286,'Raw data -- quarterly'!B$1,FALSE)</f>
        <v>5.6817327212168534E-2</v>
      </c>
      <c r="C59" s="4">
        <f>VLOOKUP($A59,'Raw data -- monthly'!$Y$3:$AH$286,'Raw data -- quarterly'!C$1,FALSE)</f>
        <v>0.51436032808136778</v>
      </c>
      <c r="D59" s="4">
        <f>VLOOKUP($A59,'Raw data -- monthly'!$Y$3:$AH$286,'Raw data -- quarterly'!D$1,FALSE)</f>
        <v>2.2999187272950142E-2</v>
      </c>
      <c r="E59" s="4">
        <f>VLOOKUP($A59,'Raw data -- monthly'!$Y$3:$AH$286,'Raw data -- quarterly'!E$1,FALSE)</f>
        <v>0.24006223144580952</v>
      </c>
      <c r="F59" s="4">
        <f>VLOOKUP($A59,'Raw data -- monthly'!$Y$3:$AH$286,'Raw data -- quarterly'!F$1,FALSE)</f>
        <v>0.22051336209131603</v>
      </c>
      <c r="G59" s="4">
        <f>VLOOKUP($A59,'Raw data -- monthly'!$Y$3:$AH$286,'Raw data -- quarterly'!G$1,FALSE)</f>
        <v>1.2979335719515763E-2</v>
      </c>
      <c r="H59" s="4">
        <f>VLOOKUP($A59,'Raw data -- monthly'!$Y$3:$AH$286,'Raw data -- quarterly'!H$1,FALSE)</f>
        <v>2.7496976919118413E-2</v>
      </c>
      <c r="I59" s="4">
        <f>VLOOKUP($A59,'Raw data -- monthly'!$Y$3:$AH$286,'Raw data -- quarterly'!I$1,FALSE)</f>
        <v>2.7322925155240305E-2</v>
      </c>
      <c r="J59" s="4">
        <f>VLOOKUP($A59,'Raw data -- monthly'!$Y$3:$AH$286,'Raw data -- quarterly'!J$1,FALSE)</f>
        <v>4.8648657541695874E-2</v>
      </c>
    </row>
    <row r="60" spans="1:10" x14ac:dyDescent="0.25">
      <c r="A60" s="3">
        <f t="shared" si="0"/>
        <v>38139</v>
      </c>
      <c r="B60" s="4">
        <f>VLOOKUP($A60,'Raw data -- monthly'!$Y$3:$AH$286,'Raw data -- quarterly'!B$1,FALSE)</f>
        <v>5.5888715236400023E-2</v>
      </c>
      <c r="C60" s="4">
        <f>VLOOKUP($A60,'Raw data -- monthly'!$Y$3:$AH$286,'Raw data -- quarterly'!C$1,FALSE)</f>
        <v>0.51554024071506377</v>
      </c>
      <c r="D60" s="4">
        <f>VLOOKUP($A60,'Raw data -- monthly'!$Y$3:$AH$286,'Raw data -- quarterly'!D$1,FALSE)</f>
        <v>2.3941828137179159E-2</v>
      </c>
      <c r="E60" s="4">
        <f>VLOOKUP($A60,'Raw data -- monthly'!$Y$3:$AH$286,'Raw data -- quarterly'!E$1,FALSE)</f>
        <v>0.251955962423073</v>
      </c>
      <c r="F60" s="4">
        <f>VLOOKUP($A60,'Raw data -- monthly'!$Y$3:$AH$286,'Raw data -- quarterly'!F$1,FALSE)</f>
        <v>0.21875863759585354</v>
      </c>
      <c r="G60" s="4">
        <f>VLOOKUP($A60,'Raw data -- monthly'!$Y$3:$AH$286,'Raw data -- quarterly'!G$1,FALSE)</f>
        <v>1.3017326811010943E-2</v>
      </c>
      <c r="H60" s="4">
        <f>VLOOKUP($A60,'Raw data -- monthly'!$Y$3:$AH$286,'Raw data -- quarterly'!H$1,FALSE)</f>
        <v>2.7153253709498244E-2</v>
      </c>
      <c r="I60" s="4">
        <f>VLOOKUP($A60,'Raw data -- monthly'!$Y$3:$AH$286,'Raw data -- quarterly'!I$1,FALSE)</f>
        <v>2.6465235163935272E-2</v>
      </c>
      <c r="J60" s="4">
        <f>VLOOKUP($A60,'Raw data -- monthly'!$Y$3:$AH$286,'Raw data -- quarterly'!J$1,FALSE)</f>
        <v>4.8376922439267493E-2</v>
      </c>
    </row>
    <row r="61" spans="1:10" x14ac:dyDescent="0.25">
      <c r="A61" s="3">
        <f t="shared" si="0"/>
        <v>38231</v>
      </c>
      <c r="B61" s="4">
        <f>VLOOKUP($A61,'Raw data -- monthly'!$Y$3:$AH$286,'Raw data -- quarterly'!B$1,FALSE)</f>
        <v>5.433590168905069E-2</v>
      </c>
      <c r="C61" s="4">
        <f>VLOOKUP($A61,'Raw data -- monthly'!$Y$3:$AH$286,'Raw data -- quarterly'!C$1,FALSE)</f>
        <v>0.51589310728168558</v>
      </c>
      <c r="D61" s="4">
        <f>VLOOKUP($A61,'Raw data -- monthly'!$Y$3:$AH$286,'Raw data -- quarterly'!D$1,FALSE)</f>
        <v>2.5264845535133484E-2</v>
      </c>
      <c r="E61" s="4">
        <f>VLOOKUP($A61,'Raw data -- monthly'!$Y$3:$AH$286,'Raw data -- quarterly'!E$1,FALSE)</f>
        <v>0.25750279251296648</v>
      </c>
      <c r="F61" s="4">
        <f>VLOOKUP($A61,'Raw data -- monthly'!$Y$3:$AH$286,'Raw data -- quarterly'!F$1,FALSE)</f>
        <v>0.233778386916911</v>
      </c>
      <c r="G61" s="4">
        <f>VLOOKUP($A61,'Raw data -- monthly'!$Y$3:$AH$286,'Raw data -- quarterly'!G$1,FALSE)</f>
        <v>1.3358487954349409E-2</v>
      </c>
      <c r="H61" s="4">
        <f>VLOOKUP($A61,'Raw data -- monthly'!$Y$3:$AH$286,'Raw data -- quarterly'!H$1,FALSE)</f>
        <v>2.8302093717761333E-2</v>
      </c>
      <c r="I61" s="4">
        <f>VLOOKUP($A61,'Raw data -- monthly'!$Y$3:$AH$286,'Raw data -- quarterly'!I$1,FALSE)</f>
        <v>2.6196806568364286E-2</v>
      </c>
      <c r="J61" s="4">
        <f>VLOOKUP($A61,'Raw data -- monthly'!$Y$3:$AH$286,'Raw data -- quarterly'!J$1,FALSE)</f>
        <v>4.915615521700073E-2</v>
      </c>
    </row>
    <row r="62" spans="1:10" x14ac:dyDescent="0.25">
      <c r="A62" s="3">
        <f t="shared" si="0"/>
        <v>38322</v>
      </c>
      <c r="B62" s="4">
        <f>VLOOKUP($A62,'Raw data -- monthly'!$Y$3:$AH$286,'Raw data -- quarterly'!B$1,FALSE)</f>
        <v>5.3888293630012261E-2</v>
      </c>
      <c r="C62" s="4">
        <f>VLOOKUP($A62,'Raw data -- monthly'!$Y$3:$AH$286,'Raw data -- quarterly'!C$1,FALSE)</f>
        <v>0.51628962076457829</v>
      </c>
      <c r="D62" s="4">
        <f>VLOOKUP($A62,'Raw data -- monthly'!$Y$3:$AH$286,'Raw data -- quarterly'!D$1,FALSE)</f>
        <v>2.4835886281557557E-2</v>
      </c>
      <c r="E62" s="4">
        <f>VLOOKUP($A62,'Raw data -- monthly'!$Y$3:$AH$286,'Raw data -- quarterly'!E$1,FALSE)</f>
        <v>0.26613188594451126</v>
      </c>
      <c r="F62" s="4">
        <f>VLOOKUP($A62,'Raw data -- monthly'!$Y$3:$AH$286,'Raw data -- quarterly'!F$1,FALSE)</f>
        <v>0.22228997374483681</v>
      </c>
      <c r="G62" s="4">
        <f>VLOOKUP($A62,'Raw data -- monthly'!$Y$3:$AH$286,'Raw data -- quarterly'!G$1,FALSE)</f>
        <v>1.3205621510021743E-2</v>
      </c>
      <c r="H62" s="4">
        <f>VLOOKUP($A62,'Raw data -- monthly'!$Y$3:$AH$286,'Raw data -- quarterly'!H$1,FALSE)</f>
        <v>2.8484034260374293E-2</v>
      </c>
      <c r="I62" s="4">
        <f>VLOOKUP($A62,'Raw data -- monthly'!$Y$3:$AH$286,'Raw data -- quarterly'!I$1,FALSE)</f>
        <v>2.6580681979664358E-2</v>
      </c>
      <c r="J62" s="4">
        <f>VLOOKUP($A62,'Raw data -- monthly'!$Y$3:$AH$286,'Raw data -- quarterly'!J$1,FALSE)</f>
        <v>5.033752508207414E-2</v>
      </c>
    </row>
    <row r="63" spans="1:10" x14ac:dyDescent="0.25">
      <c r="A63" s="3">
        <f t="shared" si="0"/>
        <v>38412</v>
      </c>
      <c r="B63" s="4">
        <f>VLOOKUP($A63,'Raw data -- monthly'!$Y$3:$AH$286,'Raw data -- quarterly'!B$1,FALSE)</f>
        <v>5.2836613982295867E-2</v>
      </c>
      <c r="C63" s="4">
        <f>VLOOKUP($A63,'Raw data -- monthly'!$Y$3:$AH$286,'Raw data -- quarterly'!C$1,FALSE)</f>
        <v>0.51784647441846621</v>
      </c>
      <c r="D63" s="4">
        <f>VLOOKUP($A63,'Raw data -- monthly'!$Y$3:$AH$286,'Raw data -- quarterly'!D$1,FALSE)</f>
        <v>2.54295633335333E-2</v>
      </c>
      <c r="E63" s="4">
        <f>VLOOKUP($A63,'Raw data -- monthly'!$Y$3:$AH$286,'Raw data -- quarterly'!E$1,FALSE)</f>
        <v>0.25962809700345429</v>
      </c>
      <c r="F63" s="4">
        <f>VLOOKUP($A63,'Raw data -- monthly'!$Y$3:$AH$286,'Raw data -- quarterly'!F$1,FALSE)</f>
        <v>0.22078295931215139</v>
      </c>
      <c r="G63" s="4">
        <f>VLOOKUP($A63,'Raw data -- monthly'!$Y$3:$AH$286,'Raw data -- quarterly'!G$1,FALSE)</f>
        <v>1.2827143485967946E-2</v>
      </c>
      <c r="H63" s="4">
        <f>VLOOKUP($A63,'Raw data -- monthly'!$Y$3:$AH$286,'Raw data -- quarterly'!H$1,FALSE)</f>
        <v>2.7843108424187638E-2</v>
      </c>
      <c r="I63" s="4">
        <f>VLOOKUP($A63,'Raw data -- monthly'!$Y$3:$AH$286,'Raw data -- quarterly'!I$1,FALSE)</f>
        <v>2.4926049441235509E-2</v>
      </c>
      <c r="J63" s="4">
        <f>VLOOKUP($A63,'Raw data -- monthly'!$Y$3:$AH$286,'Raw data -- quarterly'!J$1,FALSE)</f>
        <v>4.9333478522929387E-2</v>
      </c>
    </row>
    <row r="64" spans="1:10" x14ac:dyDescent="0.25">
      <c r="A64" s="3">
        <f t="shared" si="0"/>
        <v>38504</v>
      </c>
      <c r="B64" s="4">
        <f>VLOOKUP($A64,'Raw data -- monthly'!$Y$3:$AH$286,'Raw data -- quarterly'!B$1,FALSE)</f>
        <v>5.1063726243783497E-2</v>
      </c>
      <c r="C64" s="4">
        <f>VLOOKUP($A64,'Raw data -- monthly'!$Y$3:$AH$286,'Raw data -- quarterly'!C$1,FALSE)</f>
        <v>0.51315356840935589</v>
      </c>
      <c r="D64" s="4">
        <f>VLOOKUP($A64,'Raw data -- monthly'!$Y$3:$AH$286,'Raw data -- quarterly'!D$1,FALSE)</f>
        <v>2.6816065546348727E-2</v>
      </c>
      <c r="E64" s="4">
        <f>VLOOKUP($A64,'Raw data -- monthly'!$Y$3:$AH$286,'Raw data -- quarterly'!E$1,FALSE)</f>
        <v>0.26091078574503856</v>
      </c>
      <c r="F64" s="4">
        <f>VLOOKUP($A64,'Raw data -- monthly'!$Y$3:$AH$286,'Raw data -- quarterly'!F$1,FALSE)</f>
        <v>0.23038652416642891</v>
      </c>
      <c r="G64" s="4">
        <f>VLOOKUP($A64,'Raw data -- monthly'!$Y$3:$AH$286,'Raw data -- quarterly'!G$1,FALSE)</f>
        <v>1.240000314947527E-2</v>
      </c>
      <c r="H64" s="4">
        <f>VLOOKUP($A64,'Raw data -- monthly'!$Y$3:$AH$286,'Raw data -- quarterly'!H$1,FALSE)</f>
        <v>2.7437086311414241E-2</v>
      </c>
      <c r="I64" s="4">
        <f>VLOOKUP($A64,'Raw data -- monthly'!$Y$3:$AH$286,'Raw data -- quarterly'!I$1,FALSE)</f>
        <v>2.5128052586250216E-2</v>
      </c>
      <c r="J64" s="4">
        <f>VLOOKUP($A64,'Raw data -- monthly'!$Y$3:$AH$286,'Raw data -- quarterly'!J$1,FALSE)</f>
        <v>5.1099924128514801E-2</v>
      </c>
    </row>
    <row r="65" spans="1:10" x14ac:dyDescent="0.25">
      <c r="A65" s="3">
        <f t="shared" si="0"/>
        <v>38596</v>
      </c>
      <c r="B65" s="4">
        <f>VLOOKUP($A65,'Raw data -- monthly'!$Y$3:$AH$286,'Raw data -- quarterly'!B$1,FALSE)</f>
        <v>4.9656233811252781E-2</v>
      </c>
      <c r="C65" s="4">
        <f>VLOOKUP($A65,'Raw data -- monthly'!$Y$3:$AH$286,'Raw data -- quarterly'!C$1,FALSE)</f>
        <v>0.5122894388093393</v>
      </c>
      <c r="D65" s="4">
        <f>VLOOKUP($A65,'Raw data -- monthly'!$Y$3:$AH$286,'Raw data -- quarterly'!D$1,FALSE)</f>
        <v>2.7900349638332825E-2</v>
      </c>
      <c r="E65" s="4">
        <f>VLOOKUP($A65,'Raw data -- monthly'!$Y$3:$AH$286,'Raw data -- quarterly'!E$1,FALSE)</f>
        <v>0.2655456280938886</v>
      </c>
      <c r="F65" s="4">
        <f>VLOOKUP($A65,'Raw data -- monthly'!$Y$3:$AH$286,'Raw data -- quarterly'!F$1,FALSE)</f>
        <v>0.23869395310312122</v>
      </c>
      <c r="G65" s="4">
        <f>VLOOKUP($A65,'Raw data -- monthly'!$Y$3:$AH$286,'Raw data -- quarterly'!G$1,FALSE)</f>
        <v>1.2682226244374602E-2</v>
      </c>
      <c r="H65" s="4">
        <f>VLOOKUP($A65,'Raw data -- monthly'!$Y$3:$AH$286,'Raw data -- quarterly'!H$1,FALSE)</f>
        <v>2.7693338251720889E-2</v>
      </c>
      <c r="I65" s="4">
        <f>VLOOKUP($A65,'Raw data -- monthly'!$Y$3:$AH$286,'Raw data -- quarterly'!I$1,FALSE)</f>
        <v>2.5113343697283491E-2</v>
      </c>
      <c r="J65" s="4">
        <f>VLOOKUP($A65,'Raw data -- monthly'!$Y$3:$AH$286,'Raw data -- quarterly'!J$1,FALSE)</f>
        <v>5.1090164499654589E-2</v>
      </c>
    </row>
    <row r="66" spans="1:10" x14ac:dyDescent="0.25">
      <c r="A66" s="3">
        <f t="shared" si="0"/>
        <v>38687</v>
      </c>
      <c r="B66" s="4">
        <f>VLOOKUP($A66,'Raw data -- monthly'!$Y$3:$AH$286,'Raw data -- quarterly'!B$1,FALSE)</f>
        <v>4.9540375817642514E-2</v>
      </c>
      <c r="C66" s="4">
        <f>VLOOKUP($A66,'Raw data -- monthly'!$Y$3:$AH$286,'Raw data -- quarterly'!C$1,FALSE)</f>
        <v>0.51431573970462141</v>
      </c>
      <c r="D66" s="4">
        <f>VLOOKUP($A66,'Raw data -- monthly'!$Y$3:$AH$286,'Raw data -- quarterly'!D$1,FALSE)</f>
        <v>2.8740369012615768E-2</v>
      </c>
      <c r="E66" s="4">
        <f>VLOOKUP($A66,'Raw data -- monthly'!$Y$3:$AH$286,'Raw data -- quarterly'!E$1,FALSE)</f>
        <v>0.26471384853410829</v>
      </c>
      <c r="F66" s="4">
        <f>VLOOKUP($A66,'Raw data -- monthly'!$Y$3:$AH$286,'Raw data -- quarterly'!F$1,FALSE)</f>
        <v>0.24504732410478458</v>
      </c>
      <c r="G66" s="4">
        <f>VLOOKUP($A66,'Raw data -- monthly'!$Y$3:$AH$286,'Raw data -- quarterly'!G$1,FALSE)</f>
        <v>1.2055325539838428E-2</v>
      </c>
      <c r="H66" s="4">
        <f>VLOOKUP($A66,'Raw data -- monthly'!$Y$3:$AH$286,'Raw data -- quarterly'!H$1,FALSE)</f>
        <v>2.8485335280420344E-2</v>
      </c>
      <c r="I66" s="4">
        <f>VLOOKUP($A66,'Raw data -- monthly'!$Y$3:$AH$286,'Raw data -- quarterly'!I$1,FALSE)</f>
        <v>2.5888078003177859E-2</v>
      </c>
      <c r="J66" s="4">
        <f>VLOOKUP($A66,'Raw data -- monthly'!$Y$3:$AH$286,'Raw data -- quarterly'!J$1,FALSE)</f>
        <v>4.9994934493318967E-2</v>
      </c>
    </row>
    <row r="67" spans="1:10" x14ac:dyDescent="0.25">
      <c r="A67" s="3">
        <f t="shared" si="0"/>
        <v>38777</v>
      </c>
      <c r="B67" s="4">
        <f>VLOOKUP($A67,'Raw data -- monthly'!$Y$3:$AH$286,'Raw data -- quarterly'!B$1,FALSE)</f>
        <v>4.7202763953106075E-2</v>
      </c>
      <c r="C67" s="4">
        <f>VLOOKUP($A67,'Raw data -- monthly'!$Y$3:$AH$286,'Raw data -- quarterly'!C$1,FALSE)</f>
        <v>0.51281931343698661</v>
      </c>
      <c r="D67" s="4">
        <f>VLOOKUP($A67,'Raw data -- monthly'!$Y$3:$AH$286,'Raw data -- quarterly'!D$1,FALSE)</f>
        <v>2.8892336986104179E-2</v>
      </c>
      <c r="E67" s="4">
        <f>VLOOKUP($A67,'Raw data -- monthly'!$Y$3:$AH$286,'Raw data -- quarterly'!E$1,FALSE)</f>
        <v>0.26974072475078431</v>
      </c>
      <c r="F67" s="4">
        <f>VLOOKUP($A67,'Raw data -- monthly'!$Y$3:$AH$286,'Raw data -- quarterly'!F$1,FALSE)</f>
        <v>0.2422935659364864</v>
      </c>
      <c r="G67" s="4">
        <f>VLOOKUP($A67,'Raw data -- monthly'!$Y$3:$AH$286,'Raw data -- quarterly'!G$1,FALSE)</f>
        <v>1.1679471413711166E-2</v>
      </c>
      <c r="H67" s="4">
        <f>VLOOKUP($A67,'Raw data -- monthly'!$Y$3:$AH$286,'Raw data -- quarterly'!H$1,FALSE)</f>
        <v>2.7335865381688931E-2</v>
      </c>
      <c r="I67" s="4">
        <f>VLOOKUP($A67,'Raw data -- monthly'!$Y$3:$AH$286,'Raw data -- quarterly'!I$1,FALSE)</f>
        <v>2.4725397726619511E-2</v>
      </c>
      <c r="J67" s="4">
        <f>VLOOKUP($A67,'Raw data -- monthly'!$Y$3:$AH$286,'Raw data -- quarterly'!J$1,FALSE)</f>
        <v>5.1484596421336827E-2</v>
      </c>
    </row>
    <row r="68" spans="1:10" x14ac:dyDescent="0.25">
      <c r="A68" s="3">
        <f t="shared" si="0"/>
        <v>38869</v>
      </c>
      <c r="B68" s="4">
        <f>VLOOKUP($A68,'Raw data -- monthly'!$Y$3:$AH$286,'Raw data -- quarterly'!B$1,FALSE)</f>
        <v>4.6549785693897082E-2</v>
      </c>
      <c r="C68" s="4">
        <f>VLOOKUP($A68,'Raw data -- monthly'!$Y$3:$AH$286,'Raw data -- quarterly'!C$1,FALSE)</f>
        <v>0.51178545624574967</v>
      </c>
      <c r="D68" s="4">
        <f>VLOOKUP($A68,'Raw data -- monthly'!$Y$3:$AH$286,'Raw data -- quarterly'!D$1,FALSE)</f>
        <v>2.9247939162282622E-2</v>
      </c>
      <c r="E68" s="4">
        <f>VLOOKUP($A68,'Raw data -- monthly'!$Y$3:$AH$286,'Raw data -- quarterly'!E$1,FALSE)</f>
        <v>0.28323850308809462</v>
      </c>
      <c r="F68" s="4">
        <f>VLOOKUP($A68,'Raw data -- monthly'!$Y$3:$AH$286,'Raw data -- quarterly'!F$1,FALSE)</f>
        <v>0.24618641446940173</v>
      </c>
      <c r="G68" s="4">
        <f>VLOOKUP($A68,'Raw data -- monthly'!$Y$3:$AH$286,'Raw data -- quarterly'!G$1,FALSE)</f>
        <v>1.2484316929108124E-2</v>
      </c>
      <c r="H68" s="4">
        <f>VLOOKUP($A68,'Raw data -- monthly'!$Y$3:$AH$286,'Raw data -- quarterly'!H$1,FALSE)</f>
        <v>2.8955867376168804E-2</v>
      </c>
      <c r="I68" s="4">
        <f>VLOOKUP($A68,'Raw data -- monthly'!$Y$3:$AH$286,'Raw data -- quarterly'!I$1,FALSE)</f>
        <v>2.4503658257418764E-2</v>
      </c>
      <c r="J68" s="4">
        <f>VLOOKUP($A68,'Raw data -- monthly'!$Y$3:$AH$286,'Raw data -- quarterly'!J$1,FALSE)</f>
        <v>5.2910785071853102E-2</v>
      </c>
    </row>
    <row r="69" spans="1:10" x14ac:dyDescent="0.25">
      <c r="A69" s="3">
        <f t="shared" ref="A69:A71" si="1">DATE(YEAR(A68),MONTH(A68)+3,1)</f>
        <v>38961</v>
      </c>
      <c r="B69" s="4">
        <f>VLOOKUP($A69,'Raw data -- monthly'!$Y$3:$AH$286,'Raw data -- quarterly'!B$1,FALSE)</f>
        <v>4.6427768338602293E-2</v>
      </c>
      <c r="C69" s="4">
        <f>VLOOKUP($A69,'Raw data -- monthly'!$Y$3:$AH$286,'Raw data -- quarterly'!C$1,FALSE)</f>
        <v>0.51180126298989714</v>
      </c>
      <c r="D69" s="4">
        <f>VLOOKUP($A69,'Raw data -- monthly'!$Y$3:$AH$286,'Raw data -- quarterly'!D$1,FALSE)</f>
        <v>2.8886763522722892E-2</v>
      </c>
      <c r="E69" s="4">
        <f>VLOOKUP($A69,'Raw data -- monthly'!$Y$3:$AH$286,'Raw data -- quarterly'!E$1,FALSE)</f>
        <v>0.29001890629057453</v>
      </c>
      <c r="F69" s="4">
        <f>VLOOKUP($A69,'Raw data -- monthly'!$Y$3:$AH$286,'Raw data -- quarterly'!F$1,FALSE)</f>
        <v>0.24132224473046704</v>
      </c>
      <c r="G69" s="4">
        <f>VLOOKUP($A69,'Raw data -- monthly'!$Y$3:$AH$286,'Raw data -- quarterly'!G$1,FALSE)</f>
        <v>1.2433627662252242E-2</v>
      </c>
      <c r="H69" s="4">
        <f>VLOOKUP($A69,'Raw data -- monthly'!$Y$3:$AH$286,'Raw data -- quarterly'!H$1,FALSE)</f>
        <v>2.8819320432490841E-2</v>
      </c>
      <c r="I69" s="4">
        <f>VLOOKUP($A69,'Raw data -- monthly'!$Y$3:$AH$286,'Raw data -- quarterly'!I$1,FALSE)</f>
        <v>2.4373703704600427E-2</v>
      </c>
      <c r="J69" s="4">
        <f>VLOOKUP($A69,'Raw data -- monthly'!$Y$3:$AH$286,'Raw data -- quarterly'!J$1,FALSE)</f>
        <v>5.122493505229736E-2</v>
      </c>
    </row>
    <row r="70" spans="1:10" x14ac:dyDescent="0.25">
      <c r="A70" s="3">
        <f t="shared" si="1"/>
        <v>39052</v>
      </c>
      <c r="B70" s="4">
        <f>VLOOKUP($A70,'Raw data -- monthly'!$Y$3:$AH$286,'Raw data -- quarterly'!B$1,FALSE)</f>
        <v>4.453612082638455E-2</v>
      </c>
      <c r="C70" s="4">
        <f>VLOOKUP($A70,'Raw data -- monthly'!$Y$3:$AH$286,'Raw data -- quarterly'!C$1,FALSE)</f>
        <v>0.50857625394425876</v>
      </c>
      <c r="D70" s="4">
        <f>VLOOKUP($A70,'Raw data -- monthly'!$Y$3:$AH$286,'Raw data -- quarterly'!D$1,FALSE)</f>
        <v>3.0013827852673494E-2</v>
      </c>
      <c r="E70" s="4">
        <f>VLOOKUP($A70,'Raw data -- monthly'!$Y$3:$AH$286,'Raw data -- quarterly'!E$1,FALSE)</f>
        <v>0.28805355510680636</v>
      </c>
      <c r="F70" s="4">
        <f>VLOOKUP($A70,'Raw data -- monthly'!$Y$3:$AH$286,'Raw data -- quarterly'!F$1,FALSE)</f>
        <v>0.23600229088322591</v>
      </c>
      <c r="G70" s="4">
        <f>VLOOKUP($A70,'Raw data -- monthly'!$Y$3:$AH$286,'Raw data -- quarterly'!G$1,FALSE)</f>
        <v>1.2355486313480877E-2</v>
      </c>
      <c r="H70" s="4">
        <f>VLOOKUP($A70,'Raw data -- monthly'!$Y$3:$AH$286,'Raw data -- quarterly'!H$1,FALSE)</f>
        <v>2.8038588875936517E-2</v>
      </c>
      <c r="I70" s="4">
        <f>VLOOKUP($A70,'Raw data -- monthly'!$Y$3:$AH$286,'Raw data -- quarterly'!I$1,FALSE)</f>
        <v>2.2208050170412028E-2</v>
      </c>
      <c r="J70" s="4">
        <f>VLOOKUP($A70,'Raw data -- monthly'!$Y$3:$AH$286,'Raw data -- quarterly'!J$1,FALSE)</f>
        <v>5.4549470935003813E-2</v>
      </c>
    </row>
    <row r="71" spans="1:10" x14ac:dyDescent="0.25">
      <c r="A71" s="3">
        <f t="shared" si="1"/>
        <v>39142</v>
      </c>
      <c r="B71" s="4">
        <f>VLOOKUP($A71,'Raw data -- monthly'!$Y$3:$AH$286,'Raw data -- quarterly'!B$1,FALSE)</f>
        <v>4.5241373495960364E-2</v>
      </c>
      <c r="C71" s="4">
        <f>VLOOKUP($A71,'Raw data -- monthly'!$Y$3:$AH$286,'Raw data -- quarterly'!C$1,FALSE)</f>
        <v>0.50816836215428263</v>
      </c>
      <c r="D71" s="4">
        <f>VLOOKUP($A71,'Raw data -- monthly'!$Y$3:$AH$286,'Raw data -- quarterly'!D$1,FALSE)</f>
        <v>3.0036107104304252E-2</v>
      </c>
      <c r="E71" s="4">
        <f>VLOOKUP($A71,'Raw data -- monthly'!$Y$3:$AH$286,'Raw data -- quarterly'!E$1,FALSE)</f>
        <v>0.295896268594525</v>
      </c>
      <c r="F71" s="4">
        <f>VLOOKUP($A71,'Raw data -- monthly'!$Y$3:$AH$286,'Raw data -- quarterly'!F$1,FALSE)</f>
        <v>0.23610194499226086</v>
      </c>
      <c r="G71" s="4">
        <f>VLOOKUP($A71,'Raw data -- monthly'!$Y$3:$AH$286,'Raw data -- quarterly'!G$1,FALSE)</f>
        <v>1.2443786959700482E-2</v>
      </c>
      <c r="H71" s="4">
        <f>VLOOKUP($A71,'Raw data -- monthly'!$Y$3:$AH$286,'Raw data -- quarterly'!H$1,FALSE)</f>
        <v>2.9236104677211824E-2</v>
      </c>
      <c r="I71" s="4">
        <f>VLOOKUP($A71,'Raw data -- monthly'!$Y$3:$AH$286,'Raw data -- quarterly'!I$1,FALSE)</f>
        <v>2.365527403124516E-2</v>
      </c>
      <c r="J71" s="4">
        <f>VLOOKUP($A71,'Raw data -- monthly'!$Y$3:$AH$286,'Raw data -- quarterly'!J$1,FALSE)</f>
        <v>5.2320688596210828E-2</v>
      </c>
    </row>
    <row r="72" spans="1:10" x14ac:dyDescent="0.25">
      <c r="A72" s="3">
        <f>DATE(YEAR(A71),MONTH(A71)+3,1)</f>
        <v>39234</v>
      </c>
      <c r="B72" s="4">
        <f>VLOOKUP($A72,'Raw data -- monthly'!$Y$3:$AH$286,'Raw data -- quarterly'!B$1,FALSE)</f>
        <v>4.4952284138899345E-2</v>
      </c>
      <c r="C72" s="4">
        <f>VLOOKUP($A72,'Raw data -- monthly'!$Y$3:$AH$286,'Raw data -- quarterly'!C$1,FALSE)</f>
        <v>0.51577537379295169</v>
      </c>
      <c r="D72" s="4">
        <f>VLOOKUP($A72,'Raw data -- monthly'!$Y$3:$AH$286,'Raw data -- quarterly'!D$1,FALSE)</f>
        <v>2.983020911562792E-2</v>
      </c>
      <c r="E72" s="4">
        <f>VLOOKUP($A72,'Raw data -- monthly'!$Y$3:$AH$286,'Raw data -- quarterly'!E$1,FALSE)</f>
        <v>0.27442764386934332</v>
      </c>
      <c r="F72" s="4">
        <f>VLOOKUP($A72,'Raw data -- monthly'!$Y$3:$AH$286,'Raw data -- quarterly'!F$1,FALSE)</f>
        <v>0.22897292679034689</v>
      </c>
      <c r="G72" s="4">
        <f>VLOOKUP($A72,'Raw data -- monthly'!$Y$3:$AH$286,'Raw data -- quarterly'!G$1,FALSE)</f>
        <v>1.1989023108182119E-2</v>
      </c>
      <c r="H72" s="4">
        <f>VLOOKUP($A72,'Raw data -- monthly'!$Y$3:$AH$286,'Raw data -- quarterly'!H$1,FALSE)</f>
        <v>2.8543608605287249E-2</v>
      </c>
      <c r="I72" s="4">
        <f>VLOOKUP($A72,'Raw data -- monthly'!$Y$3:$AH$286,'Raw data -- quarterly'!I$1,FALSE)</f>
        <v>2.1967059180007537E-2</v>
      </c>
      <c r="J72" s="4">
        <f>VLOOKUP($A72,'Raw data -- monthly'!$Y$3:$AH$286,'Raw data -- quarterly'!J$1,FALSE)</f>
        <v>4.93880505961189E-2</v>
      </c>
    </row>
    <row r="73" spans="1:10" x14ac:dyDescent="0.25">
      <c r="A73" s="3">
        <f t="shared" ref="A73:A87" si="2">DATE(YEAR(A72),MONTH(A72)+3,1)</f>
        <v>39326</v>
      </c>
      <c r="B73" s="4">
        <f>VLOOKUP($A73,'Raw data -- monthly'!$Y$3:$AH$286,'Raw data -- quarterly'!B$1,FALSE)</f>
        <v>4.6570242960462443E-2</v>
      </c>
      <c r="C73" s="4">
        <f>VLOOKUP($A73,'Raw data -- monthly'!$Y$3:$AH$286,'Raw data -- quarterly'!C$1,FALSE)</f>
        <v>0.51699873663258156</v>
      </c>
      <c r="D73" s="4">
        <f>VLOOKUP($A73,'Raw data -- monthly'!$Y$3:$AH$286,'Raw data -- quarterly'!D$1,FALSE)</f>
        <v>2.9247462156771622E-2</v>
      </c>
      <c r="E73" s="4">
        <f>VLOOKUP($A73,'Raw data -- monthly'!$Y$3:$AH$286,'Raw data -- quarterly'!E$1,FALSE)</f>
        <v>0.27292599731485839</v>
      </c>
      <c r="F73" s="4">
        <f>VLOOKUP($A73,'Raw data -- monthly'!$Y$3:$AH$286,'Raw data -- quarterly'!F$1,FALSE)</f>
        <v>0.22554065315422664</v>
      </c>
      <c r="G73" s="4">
        <f>VLOOKUP($A73,'Raw data -- monthly'!$Y$3:$AH$286,'Raw data -- quarterly'!G$1,FALSE)</f>
        <v>1.2228856775586184E-2</v>
      </c>
      <c r="H73" s="4">
        <f>VLOOKUP($A73,'Raw data -- monthly'!$Y$3:$AH$286,'Raw data -- quarterly'!H$1,FALSE)</f>
        <v>2.7635141606579348E-2</v>
      </c>
      <c r="I73" s="4">
        <f>VLOOKUP($A73,'Raw data -- monthly'!$Y$3:$AH$286,'Raw data -- quarterly'!I$1,FALSE)</f>
        <v>2.2439296871161623E-2</v>
      </c>
      <c r="J73" s="4">
        <f>VLOOKUP($A73,'Raw data -- monthly'!$Y$3:$AH$286,'Raw data -- quarterly'!J$1,FALSE)</f>
        <v>4.9217476593657807E-2</v>
      </c>
    </row>
    <row r="74" spans="1:10" x14ac:dyDescent="0.25">
      <c r="A74" s="3">
        <f t="shared" si="2"/>
        <v>39417</v>
      </c>
      <c r="B74" s="4">
        <f>VLOOKUP($A74,'Raw data -- monthly'!$Y$3:$AH$286,'Raw data -- quarterly'!B$1,FALSE)</f>
        <v>4.7992287474356188E-2</v>
      </c>
      <c r="C74" s="4">
        <f>VLOOKUP($A74,'Raw data -- monthly'!$Y$3:$AH$286,'Raw data -- quarterly'!C$1,FALSE)</f>
        <v>0.51607195337368728</v>
      </c>
      <c r="D74" s="4">
        <f>VLOOKUP($A74,'Raw data -- monthly'!$Y$3:$AH$286,'Raw data -- quarterly'!D$1,FALSE)</f>
        <v>2.8044985088220026E-2</v>
      </c>
      <c r="E74" s="4">
        <f>VLOOKUP($A74,'Raw data -- monthly'!$Y$3:$AH$286,'Raw data -- quarterly'!E$1,FALSE)</f>
        <v>0.26857406470441852</v>
      </c>
      <c r="F74" s="4">
        <f>VLOOKUP($A74,'Raw data -- monthly'!$Y$3:$AH$286,'Raw data -- quarterly'!F$1,FALSE)</f>
        <v>0.22314389213564234</v>
      </c>
      <c r="G74" s="4">
        <f>VLOOKUP($A74,'Raw data -- monthly'!$Y$3:$AH$286,'Raw data -- quarterly'!G$1,FALSE)</f>
        <v>1.2326555465997752E-2</v>
      </c>
      <c r="H74" s="4">
        <f>VLOOKUP($A74,'Raw data -- monthly'!$Y$3:$AH$286,'Raw data -- quarterly'!H$1,FALSE)</f>
        <v>2.782277417399422E-2</v>
      </c>
      <c r="I74" s="4">
        <f>VLOOKUP($A74,'Raw data -- monthly'!$Y$3:$AH$286,'Raw data -- quarterly'!I$1,FALSE)</f>
        <v>2.3770578965666814E-2</v>
      </c>
      <c r="J74" s="4">
        <f>VLOOKUP($A74,'Raw data -- monthly'!$Y$3:$AH$286,'Raw data -- quarterly'!J$1,FALSE)</f>
        <v>4.8801790552418157E-2</v>
      </c>
    </row>
    <row r="75" spans="1:10" x14ac:dyDescent="0.25">
      <c r="A75" s="3">
        <f t="shared" si="2"/>
        <v>39508</v>
      </c>
      <c r="B75" s="4">
        <f>VLOOKUP($A75,'Raw data -- monthly'!$Y$3:$AH$286,'Raw data -- quarterly'!B$1,FALSE)</f>
        <v>4.9832172810359232E-2</v>
      </c>
      <c r="C75" s="4">
        <f>VLOOKUP($A75,'Raw data -- monthly'!$Y$3:$AH$286,'Raw data -- quarterly'!C$1,FALSE)</f>
        <v>0.51296518103100619</v>
      </c>
      <c r="D75" s="4">
        <f>VLOOKUP($A75,'Raw data -- monthly'!$Y$3:$AH$286,'Raw data -- quarterly'!D$1,FALSE)</f>
        <v>2.6542765360996628E-2</v>
      </c>
      <c r="E75" s="4">
        <f>VLOOKUP($A75,'Raw data -- monthly'!$Y$3:$AH$286,'Raw data -- quarterly'!E$1,FALSE)</f>
        <v>0.26266299448008334</v>
      </c>
      <c r="F75" s="4">
        <f>VLOOKUP($A75,'Raw data -- monthly'!$Y$3:$AH$286,'Raw data -- quarterly'!F$1,FALSE)</f>
        <v>0.22568337144288222</v>
      </c>
      <c r="G75" s="4">
        <f>VLOOKUP($A75,'Raw data -- monthly'!$Y$3:$AH$286,'Raw data -- quarterly'!G$1,FALSE)</f>
        <v>1.2766770945466412E-2</v>
      </c>
      <c r="H75" s="4">
        <f>VLOOKUP($A75,'Raw data -- monthly'!$Y$3:$AH$286,'Raw data -- quarterly'!H$1,FALSE)</f>
        <v>2.651495017515532E-2</v>
      </c>
      <c r="I75" s="4">
        <f>VLOOKUP($A75,'Raw data -- monthly'!$Y$3:$AH$286,'Raw data -- quarterly'!I$1,FALSE)</f>
        <v>2.394444757410269E-2</v>
      </c>
      <c r="J75" s="4">
        <f>VLOOKUP($A75,'Raw data -- monthly'!$Y$3:$AH$286,'Raw data -- quarterly'!J$1,FALSE)</f>
        <v>4.8312911824567449E-2</v>
      </c>
    </row>
    <row r="76" spans="1:10" x14ac:dyDescent="0.25">
      <c r="A76" s="3">
        <f t="shared" si="2"/>
        <v>39600</v>
      </c>
      <c r="B76" s="4">
        <f>VLOOKUP($A76,'Raw data -- monthly'!$Y$3:$AH$286,'Raw data -- quarterly'!B$1,FALSE)</f>
        <v>5.3213528370194885E-2</v>
      </c>
      <c r="C76" s="4">
        <f>VLOOKUP($A76,'Raw data -- monthly'!$Y$3:$AH$286,'Raw data -- quarterly'!C$1,FALSE)</f>
        <v>0.51439097215448359</v>
      </c>
      <c r="D76" s="4">
        <f>VLOOKUP($A76,'Raw data -- monthly'!$Y$3:$AH$286,'Raw data -- quarterly'!D$1,FALSE)</f>
        <v>2.5152555342716505E-2</v>
      </c>
      <c r="E76" s="4">
        <f>VLOOKUP($A76,'Raw data -- monthly'!$Y$3:$AH$286,'Raw data -- quarterly'!E$1,FALSE)</f>
        <v>0.25340594990686638</v>
      </c>
      <c r="F76" s="4">
        <f>VLOOKUP($A76,'Raw data -- monthly'!$Y$3:$AH$286,'Raw data -- quarterly'!F$1,FALSE)</f>
        <v>0.22612297717128382</v>
      </c>
      <c r="G76" s="4">
        <f>VLOOKUP($A76,'Raw data -- monthly'!$Y$3:$AH$286,'Raw data -- quarterly'!G$1,FALSE)</f>
        <v>1.3614785007292589E-2</v>
      </c>
      <c r="H76" s="4">
        <f>VLOOKUP($A76,'Raw data -- monthly'!$Y$3:$AH$286,'Raw data -- quarterly'!H$1,FALSE)</f>
        <v>2.6787224525104528E-2</v>
      </c>
      <c r="I76" s="4">
        <f>VLOOKUP($A76,'Raw data -- monthly'!$Y$3:$AH$286,'Raw data -- quarterly'!I$1,FALSE)</f>
        <v>2.5924753100892688E-2</v>
      </c>
      <c r="J76" s="4">
        <f>VLOOKUP($A76,'Raw data -- monthly'!$Y$3:$AH$286,'Raw data -- quarterly'!J$1,FALSE)</f>
        <v>4.6984587695871882E-2</v>
      </c>
    </row>
    <row r="77" spans="1:10" x14ac:dyDescent="0.25">
      <c r="A77" s="3">
        <f t="shared" si="2"/>
        <v>39692</v>
      </c>
      <c r="B77" s="4">
        <f>VLOOKUP($A77,'Raw data -- monthly'!$Y$3:$AH$286,'Raw data -- quarterly'!B$1,FALSE)</f>
        <v>6.0103319389037922E-2</v>
      </c>
      <c r="C77" s="4">
        <f>VLOOKUP($A77,'Raw data -- monthly'!$Y$3:$AH$286,'Raw data -- quarterly'!C$1,FALSE)</f>
        <v>0.51468898145435071</v>
      </c>
      <c r="D77" s="4">
        <f>VLOOKUP($A77,'Raw data -- monthly'!$Y$3:$AH$286,'Raw data -- quarterly'!D$1,FALSE)</f>
        <v>2.2990234362615741E-2</v>
      </c>
      <c r="E77" s="4">
        <f>VLOOKUP($A77,'Raw data -- monthly'!$Y$3:$AH$286,'Raw data -- quarterly'!E$1,FALSE)</f>
        <v>0.23859262033057449</v>
      </c>
      <c r="F77" s="4">
        <f>VLOOKUP($A77,'Raw data -- monthly'!$Y$3:$AH$286,'Raw data -- quarterly'!F$1,FALSE)</f>
        <v>0.21290848500197057</v>
      </c>
      <c r="G77" s="4">
        <f>VLOOKUP($A77,'Raw data -- monthly'!$Y$3:$AH$286,'Raw data -- quarterly'!G$1,FALSE)</f>
        <v>1.4652177138993699E-2</v>
      </c>
      <c r="H77" s="4">
        <f>VLOOKUP($A77,'Raw data -- monthly'!$Y$3:$AH$286,'Raw data -- quarterly'!H$1,FALSE)</f>
        <v>2.6746342815849533E-2</v>
      </c>
      <c r="I77" s="4">
        <f>VLOOKUP($A77,'Raw data -- monthly'!$Y$3:$AH$286,'Raw data -- quarterly'!I$1,FALSE)</f>
        <v>2.7806792097889724E-2</v>
      </c>
      <c r="J77" s="4">
        <f>VLOOKUP($A77,'Raw data -- monthly'!$Y$3:$AH$286,'Raw data -- quarterly'!J$1,FALSE)</f>
        <v>4.5695380937607007E-2</v>
      </c>
    </row>
    <row r="78" spans="1:10" x14ac:dyDescent="0.25">
      <c r="A78" s="3">
        <f t="shared" si="2"/>
        <v>39783</v>
      </c>
      <c r="B78" s="4">
        <f>VLOOKUP($A78,'Raw data -- monthly'!$Y$3:$AH$286,'Raw data -- quarterly'!B$1,FALSE)</f>
        <v>6.8722389430276434E-2</v>
      </c>
      <c r="C78" s="4">
        <f>VLOOKUP($A78,'Raw data -- monthly'!$Y$3:$AH$286,'Raw data -- quarterly'!C$1,FALSE)</f>
        <v>0.51771154372536188</v>
      </c>
      <c r="D78" s="4">
        <f>VLOOKUP($A78,'Raw data -- monthly'!$Y$3:$AH$286,'Raw data -- quarterly'!D$1,FALSE)</f>
        <v>2.057378907942788E-2</v>
      </c>
      <c r="E78" s="4">
        <f>VLOOKUP($A78,'Raw data -- monthly'!$Y$3:$AH$286,'Raw data -- quarterly'!E$1,FALSE)</f>
        <v>0.21031332701431502</v>
      </c>
      <c r="F78" s="4">
        <f>VLOOKUP($A78,'Raw data -- monthly'!$Y$3:$AH$286,'Raw data -- quarterly'!F$1,FALSE)</f>
        <v>0.21015917303846102</v>
      </c>
      <c r="G78" s="4">
        <f>VLOOKUP($A78,'Raw data -- monthly'!$Y$3:$AH$286,'Raw data -- quarterly'!G$1,FALSE)</f>
        <v>1.6786151913764338E-2</v>
      </c>
      <c r="H78" s="4">
        <f>VLOOKUP($A78,'Raw data -- monthly'!$Y$3:$AH$286,'Raw data -- quarterly'!H$1,FALSE)</f>
        <v>2.6188652043015719E-2</v>
      </c>
      <c r="I78" s="4">
        <f>VLOOKUP($A78,'Raw data -- monthly'!$Y$3:$AH$286,'Raw data -- quarterly'!I$1,FALSE)</f>
        <v>2.9456177156411661E-2</v>
      </c>
      <c r="J78" s="4">
        <f>VLOOKUP($A78,'Raw data -- monthly'!$Y$3:$AH$286,'Raw data -- quarterly'!J$1,FALSE)</f>
        <v>4.3442385700204228E-2</v>
      </c>
    </row>
    <row r="79" spans="1:10" x14ac:dyDescent="0.25">
      <c r="A79" s="3">
        <f t="shared" si="2"/>
        <v>39873</v>
      </c>
      <c r="B79" s="4">
        <f>VLOOKUP($A79,'Raw data -- monthly'!$Y$3:$AH$286,'Raw data -- quarterly'!B$1,FALSE)</f>
        <v>8.2914942257482041E-2</v>
      </c>
      <c r="C79" s="4">
        <f>VLOOKUP($A79,'Raw data -- monthly'!$Y$3:$AH$286,'Raw data -- quarterly'!C$1,FALSE)</f>
        <v>0.52244418989547992</v>
      </c>
      <c r="D79" s="4">
        <f>VLOOKUP($A79,'Raw data -- monthly'!$Y$3:$AH$286,'Raw data -- quarterly'!D$1,FALSE)</f>
        <v>1.7735546537390495E-2</v>
      </c>
      <c r="E79" s="4">
        <f>VLOOKUP($A79,'Raw data -- monthly'!$Y$3:$AH$286,'Raw data -- quarterly'!E$1,FALSE)</f>
        <v>0.18669636141181015</v>
      </c>
      <c r="F79" s="4">
        <f>VLOOKUP($A79,'Raw data -- monthly'!$Y$3:$AH$286,'Raw data -- quarterly'!F$1,FALSE)</f>
        <v>0.19440505074017911</v>
      </c>
      <c r="G79" s="4">
        <f>VLOOKUP($A79,'Raw data -- monthly'!$Y$3:$AH$286,'Raw data -- quarterly'!G$1,FALSE)</f>
        <v>1.9293960826636897E-2</v>
      </c>
      <c r="H79" s="4">
        <f>VLOOKUP($A79,'Raw data -- monthly'!$Y$3:$AH$286,'Raw data -- quarterly'!H$1,FALSE)</f>
        <v>2.6657682200605909E-2</v>
      </c>
      <c r="I79" s="4">
        <f>VLOOKUP($A79,'Raw data -- monthly'!$Y$3:$AH$286,'Raw data -- quarterly'!I$1,FALSE)</f>
        <v>3.1723110987201437E-2</v>
      </c>
      <c r="J79" s="4">
        <f>VLOOKUP($A79,'Raw data -- monthly'!$Y$3:$AH$286,'Raw data -- quarterly'!J$1,FALSE)</f>
        <v>4.3240457006515416E-2</v>
      </c>
    </row>
    <row r="80" spans="1:10" x14ac:dyDescent="0.25">
      <c r="A80" s="3">
        <f t="shared" si="2"/>
        <v>39965</v>
      </c>
      <c r="B80" s="4">
        <f>VLOOKUP($A80,'Raw data -- monthly'!$Y$3:$AH$286,'Raw data -- quarterly'!B$1,FALSE)</f>
        <v>9.2734293072551585E-2</v>
      </c>
      <c r="C80" s="4">
        <f>VLOOKUP($A80,'Raw data -- monthly'!$Y$3:$AH$286,'Raw data -- quarterly'!C$1,FALSE)</f>
        <v>0.52259419886183112</v>
      </c>
      <c r="D80" s="4">
        <f>VLOOKUP($A80,'Raw data -- monthly'!$Y$3:$AH$286,'Raw data -- quarterly'!D$1,FALSE)</f>
        <v>1.5269305554402425E-2</v>
      </c>
      <c r="E80" s="4">
        <f>VLOOKUP($A80,'Raw data -- monthly'!$Y$3:$AH$286,'Raw data -- quarterly'!E$1,FALSE)</f>
        <v>0.17657126939789256</v>
      </c>
      <c r="F80" s="4">
        <f>VLOOKUP($A80,'Raw data -- monthly'!$Y$3:$AH$286,'Raw data -- quarterly'!F$1,FALSE)</f>
        <v>0.18136711643752956</v>
      </c>
      <c r="G80" s="4">
        <f>VLOOKUP($A80,'Raw data -- monthly'!$Y$3:$AH$286,'Raw data -- quarterly'!G$1,FALSE)</f>
        <v>1.8241509842731807E-2</v>
      </c>
      <c r="H80" s="4">
        <f>VLOOKUP($A80,'Raw data -- monthly'!$Y$3:$AH$286,'Raw data -- quarterly'!H$1,FALSE)</f>
        <v>2.5558580783481815E-2</v>
      </c>
      <c r="I80" s="4">
        <f>VLOOKUP($A80,'Raw data -- monthly'!$Y$3:$AH$286,'Raw data -- quarterly'!I$1,FALSE)</f>
        <v>3.4853118670731369E-2</v>
      </c>
      <c r="J80" s="4">
        <f>VLOOKUP($A80,'Raw data -- monthly'!$Y$3:$AH$286,'Raw data -- quarterly'!J$1,FALSE)</f>
        <v>4.2336142518488634E-2</v>
      </c>
    </row>
    <row r="81" spans="1:10" x14ac:dyDescent="0.25">
      <c r="A81" s="3">
        <f t="shared" si="2"/>
        <v>40057</v>
      </c>
      <c r="B81" s="4">
        <f>VLOOKUP($A81,'Raw data -- monthly'!$Y$3:$AH$286,'Raw data -- quarterly'!B$1,FALSE)</f>
        <v>9.6044355183087918E-2</v>
      </c>
      <c r="C81" s="4">
        <f>VLOOKUP($A81,'Raw data -- monthly'!$Y$3:$AH$286,'Raw data -- quarterly'!C$1,FALSE)</f>
        <v>0.53102441015438862</v>
      </c>
      <c r="D81" s="4">
        <f>VLOOKUP($A81,'Raw data -- monthly'!$Y$3:$AH$286,'Raw data -- quarterly'!D$1,FALSE)</f>
        <v>1.4998745275181344E-2</v>
      </c>
      <c r="E81" s="4">
        <f>VLOOKUP($A81,'Raw data -- monthly'!$Y$3:$AH$286,'Raw data -- quarterly'!E$1,FALSE)</f>
        <v>0.17121704576549659</v>
      </c>
      <c r="F81" s="4">
        <f>VLOOKUP($A81,'Raw data -- monthly'!$Y$3:$AH$286,'Raw data -- quarterly'!F$1,FALSE)</f>
        <v>0.18823199777518637</v>
      </c>
      <c r="G81" s="4">
        <f>VLOOKUP($A81,'Raw data -- monthly'!$Y$3:$AH$286,'Raw data -- quarterly'!G$1,FALSE)</f>
        <v>1.8270357356839045E-2</v>
      </c>
      <c r="H81" s="4">
        <f>VLOOKUP($A81,'Raw data -- monthly'!$Y$3:$AH$286,'Raw data -- quarterly'!H$1,FALSE)</f>
        <v>2.6459244043914087E-2</v>
      </c>
      <c r="I81" s="4">
        <f>VLOOKUP($A81,'Raw data -- monthly'!$Y$3:$AH$286,'Raw data -- quarterly'!I$1,FALSE)</f>
        <v>3.4626339772977216E-2</v>
      </c>
      <c r="J81" s="4">
        <f>VLOOKUP($A81,'Raw data -- monthly'!$Y$3:$AH$286,'Raw data -- quarterly'!J$1,FALSE)</f>
        <v>4.0503323430812234E-2</v>
      </c>
    </row>
    <row r="82" spans="1:10" x14ac:dyDescent="0.25">
      <c r="A82" s="3">
        <f t="shared" si="2"/>
        <v>40148</v>
      </c>
      <c r="B82" s="4">
        <f>VLOOKUP($A82,'Raw data -- monthly'!$Y$3:$AH$286,'Raw data -- quarterly'!B$1,FALSE)</f>
        <v>9.9172152340792477E-2</v>
      </c>
      <c r="C82" s="4">
        <f>VLOOKUP($A82,'Raw data -- monthly'!$Y$3:$AH$286,'Raw data -- quarterly'!C$1,FALSE)</f>
        <v>0.54124225309875273</v>
      </c>
      <c r="D82" s="4">
        <f>VLOOKUP($A82,'Raw data -- monthly'!$Y$3:$AH$286,'Raw data -- quarterly'!D$1,FALSE)</f>
        <v>1.5733574120725107E-2</v>
      </c>
      <c r="E82" s="4">
        <f>VLOOKUP($A82,'Raw data -- monthly'!$Y$3:$AH$286,'Raw data -- quarterly'!E$1,FALSE)</f>
        <v>0.1589677551410443</v>
      </c>
      <c r="F82" s="4">
        <f>VLOOKUP($A82,'Raw data -- monthly'!$Y$3:$AH$286,'Raw data -- quarterly'!F$1,FALSE)</f>
        <v>0.18652854841752772</v>
      </c>
      <c r="G82" s="4">
        <f>VLOOKUP($A82,'Raw data -- monthly'!$Y$3:$AH$286,'Raw data -- quarterly'!G$1,FALSE)</f>
        <v>1.7270378037682544E-2</v>
      </c>
      <c r="H82" s="4">
        <f>VLOOKUP($A82,'Raw data -- monthly'!$Y$3:$AH$286,'Raw data -- quarterly'!H$1,FALSE)</f>
        <v>2.6097097846457942E-2</v>
      </c>
      <c r="I82" s="4">
        <f>VLOOKUP($A82,'Raw data -- monthly'!$Y$3:$AH$286,'Raw data -- quarterly'!I$1,FALSE)</f>
        <v>3.4760286735418471E-2</v>
      </c>
      <c r="J82" s="4">
        <f>VLOOKUP($A82,'Raw data -- monthly'!$Y$3:$AH$286,'Raw data -- quarterly'!J$1,FALSE)</f>
        <v>3.9634833094557807E-2</v>
      </c>
    </row>
    <row r="83" spans="1:10" x14ac:dyDescent="0.25">
      <c r="A83" s="3">
        <f t="shared" si="2"/>
        <v>40238</v>
      </c>
      <c r="B83" s="4">
        <f>VLOOKUP($A83,'Raw data -- monthly'!$Y$3:$AH$286,'Raw data -- quarterly'!B$1,FALSE)</f>
        <v>9.8209110279632014E-2</v>
      </c>
      <c r="C83" s="4">
        <f>VLOOKUP($A83,'Raw data -- monthly'!$Y$3:$AH$286,'Raw data -- quarterly'!C$1,FALSE)</f>
        <v>0.5418869434036403</v>
      </c>
      <c r="D83" s="4">
        <f>VLOOKUP($A83,'Raw data -- monthly'!$Y$3:$AH$286,'Raw data -- quarterly'!D$1,FALSE)</f>
        <v>1.7223945258310308E-2</v>
      </c>
      <c r="E83" s="4">
        <f>VLOOKUP($A83,'Raw data -- monthly'!$Y$3:$AH$286,'Raw data -- quarterly'!E$1,FALSE)</f>
        <v>0.16864338449242164</v>
      </c>
      <c r="F83" s="4">
        <f>VLOOKUP($A83,'Raw data -- monthly'!$Y$3:$AH$286,'Raw data -- quarterly'!F$1,FALSE)</f>
        <v>0.18740989422817131</v>
      </c>
      <c r="G83" s="4">
        <f>VLOOKUP($A83,'Raw data -- monthly'!$Y$3:$AH$286,'Raw data -- quarterly'!G$1,FALSE)</f>
        <v>1.658643391925323E-2</v>
      </c>
      <c r="H83" s="4">
        <f>VLOOKUP($A83,'Raw data -- monthly'!$Y$3:$AH$286,'Raw data -- quarterly'!H$1,FALSE)</f>
        <v>2.593288079914971E-2</v>
      </c>
      <c r="I83" s="4">
        <f>VLOOKUP($A83,'Raw data -- monthly'!$Y$3:$AH$286,'Raw data -- quarterly'!I$1,FALSE)</f>
        <v>3.7030759223550945E-2</v>
      </c>
      <c r="J83" s="4">
        <f>VLOOKUP($A83,'Raw data -- monthly'!$Y$3:$AH$286,'Raw data -- quarterly'!J$1,FALSE)</f>
        <v>4.3309445595944678E-2</v>
      </c>
    </row>
    <row r="84" spans="1:10" x14ac:dyDescent="0.25">
      <c r="A84" s="3">
        <f t="shared" si="2"/>
        <v>40330</v>
      </c>
      <c r="B84" s="4">
        <f>VLOOKUP($A84,'Raw data -- monthly'!$Y$3:$AH$286,'Raw data -- quarterly'!B$1,FALSE)</f>
        <v>9.649303443568448E-2</v>
      </c>
      <c r="C84" s="4">
        <f>VLOOKUP($A84,'Raw data -- monthly'!$Y$3:$AH$286,'Raw data -- quarterly'!C$1,FALSE)</f>
        <v>0.5412237006216164</v>
      </c>
      <c r="D84" s="4">
        <f>VLOOKUP($A84,'Raw data -- monthly'!$Y$3:$AH$286,'Raw data -- quarterly'!D$1,FALSE)</f>
        <v>1.8676862794987526E-2</v>
      </c>
      <c r="E84" s="4">
        <f>VLOOKUP($A84,'Raw data -- monthly'!$Y$3:$AH$286,'Raw data -- quarterly'!E$1,FALSE)</f>
        <v>0.1724699823418849</v>
      </c>
      <c r="F84" s="4">
        <f>VLOOKUP($A84,'Raw data -- monthly'!$Y$3:$AH$286,'Raw data -- quarterly'!F$1,FALSE)</f>
        <v>0.19398861544249299</v>
      </c>
      <c r="G84" s="4">
        <f>VLOOKUP($A84,'Raw data -- monthly'!$Y$3:$AH$286,'Raw data -- quarterly'!G$1,FALSE)</f>
        <v>1.6311363290553407E-2</v>
      </c>
      <c r="H84" s="4">
        <f>VLOOKUP($A84,'Raw data -- monthly'!$Y$3:$AH$286,'Raw data -- quarterly'!H$1,FALSE)</f>
        <v>2.6103465520545443E-2</v>
      </c>
      <c r="I84" s="4">
        <f>VLOOKUP($A84,'Raw data -- monthly'!$Y$3:$AH$286,'Raw data -- quarterly'!I$1,FALSE)</f>
        <v>3.6311306139039067E-2</v>
      </c>
      <c r="J84" s="4">
        <f>VLOOKUP($A84,'Raw data -- monthly'!$Y$3:$AH$286,'Raw data -- quarterly'!J$1,FALSE)</f>
        <v>4.0706392214748012E-2</v>
      </c>
    </row>
    <row r="85" spans="1:10" x14ac:dyDescent="0.25">
      <c r="A85" s="3">
        <f t="shared" si="2"/>
        <v>40422</v>
      </c>
      <c r="B85" s="4">
        <f>VLOOKUP($A85,'Raw data -- monthly'!$Y$3:$AH$286,'Raw data -- quarterly'!B$1,FALSE)</f>
        <v>9.4838563695528455E-2</v>
      </c>
      <c r="C85" s="4">
        <f>VLOOKUP($A85,'Raw data -- monthly'!$Y$3:$AH$286,'Raw data -- quarterly'!C$1,FALSE)</f>
        <v>0.54695673608055018</v>
      </c>
      <c r="D85" s="4">
        <f>VLOOKUP($A85,'Raw data -- monthly'!$Y$3:$AH$286,'Raw data -- quarterly'!D$1,FALSE)</f>
        <v>1.8648688629899737E-2</v>
      </c>
      <c r="E85" s="4">
        <f>VLOOKUP($A85,'Raw data -- monthly'!$Y$3:$AH$286,'Raw data -- quarterly'!E$1,FALSE)</f>
        <v>0.16782521161865546</v>
      </c>
      <c r="F85" s="4">
        <f>VLOOKUP($A85,'Raw data -- monthly'!$Y$3:$AH$286,'Raw data -- quarterly'!F$1,FALSE)</f>
        <v>0.19877689891257011</v>
      </c>
      <c r="G85" s="4">
        <f>VLOOKUP($A85,'Raw data -- monthly'!$Y$3:$AH$286,'Raw data -- quarterly'!G$1,FALSE)</f>
        <v>1.6659867102592023E-2</v>
      </c>
      <c r="H85" s="4">
        <f>VLOOKUP($A85,'Raw data -- monthly'!$Y$3:$AH$286,'Raw data -- quarterly'!H$1,FALSE)</f>
        <v>2.549081538149044E-2</v>
      </c>
      <c r="I85" s="4">
        <f>VLOOKUP($A85,'Raw data -- monthly'!$Y$3:$AH$286,'Raw data -- quarterly'!I$1,FALSE)</f>
        <v>3.6127918802204256E-2</v>
      </c>
      <c r="J85" s="4">
        <f>VLOOKUP($A85,'Raw data -- monthly'!$Y$3:$AH$286,'Raw data -- quarterly'!J$1,FALSE)</f>
        <v>4.1426217795446564E-2</v>
      </c>
    </row>
    <row r="86" spans="1:10" x14ac:dyDescent="0.25">
      <c r="A86" s="3">
        <f t="shared" si="2"/>
        <v>40513</v>
      </c>
      <c r="B86" s="4">
        <f>VLOOKUP($A86,'Raw data -- monthly'!$Y$3:$AH$286,'Raw data -- quarterly'!B$1,FALSE)</f>
        <v>9.5414185581296981E-2</v>
      </c>
      <c r="C86" s="4">
        <f>VLOOKUP($A86,'Raw data -- monthly'!$Y$3:$AH$286,'Raw data -- quarterly'!C$1,FALSE)</f>
        <v>0.55185721112379349</v>
      </c>
      <c r="D86" s="4">
        <f>VLOOKUP($A86,'Raw data -- monthly'!$Y$3:$AH$286,'Raw data -- quarterly'!D$1,FALSE)</f>
        <v>1.9532939262570138E-2</v>
      </c>
      <c r="E86" s="4">
        <f>VLOOKUP($A86,'Raw data -- monthly'!$Y$3:$AH$286,'Raw data -- quarterly'!E$1,FALSE)</f>
        <v>0.16936101172198134</v>
      </c>
      <c r="F86" s="4">
        <f>VLOOKUP($A86,'Raw data -- monthly'!$Y$3:$AH$286,'Raw data -- quarterly'!F$1,FALSE)</f>
        <v>0.19983853422652909</v>
      </c>
      <c r="G86" s="4">
        <f>VLOOKUP($A86,'Raw data -- monthly'!$Y$3:$AH$286,'Raw data -- quarterly'!G$1,FALSE)</f>
        <v>1.6830275787102913E-2</v>
      </c>
      <c r="H86" s="4">
        <f>VLOOKUP($A86,'Raw data -- monthly'!$Y$3:$AH$286,'Raw data -- quarterly'!H$1,FALSE)</f>
        <v>2.6957305473928387E-2</v>
      </c>
      <c r="I86" s="4">
        <f>VLOOKUP($A86,'Raw data -- monthly'!$Y$3:$AH$286,'Raw data -- quarterly'!I$1,FALSE)</f>
        <v>3.5584396480559111E-2</v>
      </c>
      <c r="J86" s="4">
        <f>VLOOKUP($A86,'Raw data -- monthly'!$Y$3:$AH$286,'Raw data -- quarterly'!J$1,FALSE)</f>
        <v>4.1416789800838155E-2</v>
      </c>
    </row>
    <row r="87" spans="1:10" x14ac:dyDescent="0.25">
      <c r="A87" s="3">
        <f t="shared" si="2"/>
        <v>40603</v>
      </c>
      <c r="B87" s="4">
        <f>VLOOKUP($A87,'Raw data -- monthly'!$Y$3:$AH$286,'Raw data -- quarterly'!B$1,FALSE)</f>
        <v>9.0255568023758614E-2</v>
      </c>
      <c r="C87" s="4">
        <f>VLOOKUP($A87,'Raw data -- monthly'!$Y$3:$AH$286,'Raw data -- quarterly'!C$1,FALSE)</f>
        <v>0.55816271683730856</v>
      </c>
      <c r="D87" s="4">
        <f>VLOOKUP($A87,'Raw data -- monthly'!$Y$3:$AH$286,'Raw data -- quarterly'!D$1,FALSE)</f>
        <v>1.9546521812375005E-2</v>
      </c>
      <c r="E87" s="4">
        <f>VLOOKUP($A87,'Raw data -- monthly'!$Y$3:$AH$286,'Raw data -- quarterly'!E$1,FALSE)</f>
        <v>0.16746727925683438</v>
      </c>
      <c r="F87" s="4">
        <f>VLOOKUP($A87,'Raw data -- monthly'!$Y$3:$AH$286,'Raw data -- quarterly'!F$1,FALSE)</f>
        <v>0.20676418852210224</v>
      </c>
      <c r="G87" s="4">
        <f>VLOOKUP($A87,'Raw data -- monthly'!$Y$3:$AH$286,'Raw data -- quarterly'!G$1,FALSE)</f>
        <v>1.5097287909580514E-2</v>
      </c>
      <c r="H87" s="4">
        <f>VLOOKUP($A87,'Raw data -- monthly'!$Y$3:$AH$286,'Raw data -- quarterly'!H$1,FALSE)</f>
        <v>2.6075682444699145E-2</v>
      </c>
      <c r="I87" s="4">
        <f>VLOOKUP($A87,'Raw data -- monthly'!$Y$3:$AH$286,'Raw data -- quarterly'!I$1,FALSE)</f>
        <v>3.4325763279943626E-2</v>
      </c>
      <c r="J87" s="4">
        <f>VLOOKUP($A87,'Raw data -- monthly'!$Y$3:$AH$286,'Raw data -- quarterly'!J$1,FALSE)</f>
        <v>4.1650960951943601E-2</v>
      </c>
    </row>
    <row r="88" spans="1:10" x14ac:dyDescent="0.25">
      <c r="A88" s="3">
        <f>DATE(YEAR(A87),MONTH(A87)+3,1)</f>
        <v>40695</v>
      </c>
      <c r="B88" s="4">
        <f>VLOOKUP($A88,'Raw data -- monthly'!$Y$3:$AH$286,'Raw data -- quarterly'!B$1,FALSE)</f>
        <v>9.0588965067584612E-2</v>
      </c>
      <c r="C88" s="4">
        <f>VLOOKUP($A88,'Raw data -- monthly'!$Y$3:$AH$286,'Raw data -- quarterly'!C$1,FALSE)</f>
        <v>0.55940455263047706</v>
      </c>
      <c r="D88" s="4">
        <f>VLOOKUP($A88,'Raw data -- monthly'!$Y$3:$AH$286,'Raw data -- quarterly'!D$1,FALSE)</f>
        <v>1.9857014547712663E-2</v>
      </c>
      <c r="E88" s="4">
        <f>VLOOKUP($A88,'Raw data -- monthly'!$Y$3:$AH$286,'Raw data -- quarterly'!E$1,FALSE)</f>
        <v>0.16973840353583181</v>
      </c>
      <c r="F88" s="4">
        <f>VLOOKUP($A88,'Raw data -- monthly'!$Y$3:$AH$286,'Raw data -- quarterly'!F$1,FALSE)</f>
        <v>0.20370803236796242</v>
      </c>
      <c r="G88" s="4">
        <f>VLOOKUP($A88,'Raw data -- monthly'!$Y$3:$AH$286,'Raw data -- quarterly'!G$1,FALSE)</f>
        <v>1.5847550272842108E-2</v>
      </c>
      <c r="H88" s="4">
        <f>VLOOKUP($A88,'Raw data -- monthly'!$Y$3:$AH$286,'Raw data -- quarterly'!H$1,FALSE)</f>
        <v>2.6710831343990219E-2</v>
      </c>
      <c r="I88" s="4">
        <f>VLOOKUP($A88,'Raw data -- monthly'!$Y$3:$AH$286,'Raw data -- quarterly'!I$1,FALSE)</f>
        <v>3.5168733410658674E-2</v>
      </c>
      <c r="J88" s="4">
        <f>VLOOKUP($A88,'Raw data -- monthly'!$Y$3:$AH$286,'Raw data -- quarterly'!J$1,FALSE)</f>
        <v>4.0566397241639858E-2</v>
      </c>
    </row>
    <row r="89" spans="1:10" x14ac:dyDescent="0.25">
      <c r="A89" s="3">
        <f t="shared" ref="A89:A94" si="3">DATE(YEAR(A88),MONTH(A88)+3,1)</f>
        <v>40787</v>
      </c>
      <c r="B89" s="4">
        <f>VLOOKUP($A89,'Raw data -- monthly'!$Y$3:$AH$286,'Raw data -- quarterly'!B$1,FALSE)</f>
        <v>9.0139465885700723E-2</v>
      </c>
      <c r="C89" s="4">
        <f>VLOOKUP($A89,'Raw data -- monthly'!$Y$3:$AH$286,'Raw data -- quarterly'!C$1,FALSE)</f>
        <v>0.56062664426247899</v>
      </c>
      <c r="D89" s="4">
        <f>VLOOKUP($A89,'Raw data -- monthly'!$Y$3:$AH$286,'Raw data -- quarterly'!D$1,FALSE)</f>
        <v>2.1519106378053748E-2</v>
      </c>
      <c r="E89" s="4">
        <f>VLOOKUP($A89,'Raw data -- monthly'!$Y$3:$AH$286,'Raw data -- quarterly'!E$1,FALSE)</f>
        <v>0.17231273144791218</v>
      </c>
      <c r="F89" s="4">
        <f>VLOOKUP($A89,'Raw data -- monthly'!$Y$3:$AH$286,'Raw data -- quarterly'!F$1,FALSE)</f>
        <v>0.20847719254219702</v>
      </c>
      <c r="G89" s="4">
        <f>VLOOKUP($A89,'Raw data -- monthly'!$Y$3:$AH$286,'Raw data -- quarterly'!G$1,FALSE)</f>
        <v>1.5667901333624487E-2</v>
      </c>
      <c r="H89" s="4">
        <f>VLOOKUP($A89,'Raw data -- monthly'!$Y$3:$AH$286,'Raw data -- quarterly'!H$1,FALSE)</f>
        <v>2.5888066359584686E-2</v>
      </c>
      <c r="I89" s="4">
        <f>VLOOKUP($A89,'Raw data -- monthly'!$Y$3:$AH$286,'Raw data -- quarterly'!I$1,FALSE)</f>
        <v>3.5533092285730448E-2</v>
      </c>
      <c r="J89" s="4">
        <f>VLOOKUP($A89,'Raw data -- monthly'!$Y$3:$AH$286,'Raw data -- quarterly'!J$1,FALSE)</f>
        <v>4.2413174028120837E-2</v>
      </c>
    </row>
    <row r="90" spans="1:10" x14ac:dyDescent="0.25">
      <c r="A90" s="3">
        <f t="shared" si="3"/>
        <v>40878</v>
      </c>
      <c r="B90" s="4">
        <f>VLOOKUP($A90,'Raw data -- monthly'!$Y$3:$AH$286,'Raw data -- quarterly'!B$1,FALSE)</f>
        <v>8.6721799590019952E-2</v>
      </c>
      <c r="C90" s="4">
        <f>VLOOKUP($A90,'Raw data -- monthly'!$Y$3:$AH$286,'Raw data -- quarterly'!C$1,FALSE)</f>
        <v>0.56107047784166408</v>
      </c>
      <c r="D90" s="4">
        <f>VLOOKUP($A90,'Raw data -- monthly'!$Y$3:$AH$286,'Raw data -- quarterly'!D$1,FALSE)</f>
        <v>2.1231713711150294E-2</v>
      </c>
      <c r="E90" s="4">
        <f>VLOOKUP($A90,'Raw data -- monthly'!$Y$3:$AH$286,'Raw data -- quarterly'!E$1,FALSE)</f>
        <v>0.18170823579865922</v>
      </c>
      <c r="F90" s="4">
        <f>VLOOKUP($A90,'Raw data -- monthly'!$Y$3:$AH$286,'Raw data -- quarterly'!F$1,FALSE)</f>
        <v>0.20002997821360313</v>
      </c>
      <c r="G90" s="4">
        <f>VLOOKUP($A90,'Raw data -- monthly'!$Y$3:$AH$286,'Raw data -- quarterly'!G$1,FALSE)</f>
        <v>1.5020257910728767E-2</v>
      </c>
      <c r="H90" s="4">
        <f>VLOOKUP($A90,'Raw data -- monthly'!$Y$3:$AH$286,'Raw data -- quarterly'!H$1,FALSE)</f>
        <v>2.6721708746899765E-2</v>
      </c>
      <c r="I90" s="4">
        <f>VLOOKUP($A90,'Raw data -- monthly'!$Y$3:$AH$286,'Raw data -- quarterly'!I$1,FALSE)</f>
        <v>3.2396363343462707E-2</v>
      </c>
      <c r="J90" s="4">
        <f>VLOOKUP($A90,'Raw data -- monthly'!$Y$3:$AH$286,'Raw data -- quarterly'!J$1,FALSE)</f>
        <v>4.1417681452806519E-2</v>
      </c>
    </row>
    <row r="91" spans="1:10" x14ac:dyDescent="0.25">
      <c r="A91" s="3">
        <f t="shared" si="3"/>
        <v>40969</v>
      </c>
      <c r="B91" s="4">
        <f>VLOOKUP($A91,'Raw data -- monthly'!$Y$3:$AH$286,'Raw data -- quarterly'!B$1,FALSE)</f>
        <v>8.2433913551608451E-2</v>
      </c>
      <c r="C91" s="4">
        <f>VLOOKUP($A91,'Raw data -- monthly'!$Y$3:$AH$286,'Raw data -- quarterly'!C$1,FALSE)</f>
        <v>0.56785559611948644</v>
      </c>
      <c r="D91" s="4">
        <f>VLOOKUP($A91,'Raw data -- monthly'!$Y$3:$AH$286,'Raw data -- quarterly'!D$1,FALSE)</f>
        <v>2.3257088381161809E-2</v>
      </c>
      <c r="E91" s="4">
        <f>VLOOKUP($A91,'Raw data -- monthly'!$Y$3:$AH$286,'Raw data -- quarterly'!E$1,FALSE)</f>
        <v>0.18355695734175434</v>
      </c>
      <c r="F91" s="4">
        <f>VLOOKUP($A91,'Raw data -- monthly'!$Y$3:$AH$286,'Raw data -- quarterly'!F$1,FALSE)</f>
        <v>0.21294897160722834</v>
      </c>
      <c r="G91" s="4">
        <f>VLOOKUP($A91,'Raw data -- monthly'!$Y$3:$AH$286,'Raw data -- quarterly'!G$1,FALSE)</f>
        <v>1.4172856354699769E-2</v>
      </c>
      <c r="H91" s="4">
        <f>VLOOKUP($A91,'Raw data -- monthly'!$Y$3:$AH$286,'Raw data -- quarterly'!H$1,FALSE)</f>
        <v>2.6587912485949439E-2</v>
      </c>
      <c r="I91" s="4">
        <f>VLOOKUP($A91,'Raw data -- monthly'!$Y$3:$AH$286,'Raw data -- quarterly'!I$1,FALSE)</f>
        <v>3.3678321034323923E-2</v>
      </c>
      <c r="J91" s="4">
        <f>VLOOKUP($A91,'Raw data -- monthly'!$Y$3:$AH$286,'Raw data -- quarterly'!J$1,FALSE)</f>
        <v>3.9845803032543016E-2</v>
      </c>
    </row>
    <row r="92" spans="1:10" x14ac:dyDescent="0.25">
      <c r="A92" s="3">
        <f t="shared" si="3"/>
        <v>41061</v>
      </c>
      <c r="B92" s="4">
        <f>VLOOKUP($A92,'Raw data -- monthly'!$Y$3:$AH$286,'Raw data -- quarterly'!B$1,FALSE)</f>
        <v>8.1605295278135148E-2</v>
      </c>
      <c r="C92" s="4">
        <f>VLOOKUP($A92,'Raw data -- monthly'!$Y$3:$AH$286,'Raw data -- quarterly'!C$1,FALSE)</f>
        <v>0.56889804841976332</v>
      </c>
      <c r="D92" s="4">
        <f>VLOOKUP($A92,'Raw data -- monthly'!$Y$3:$AH$286,'Raw data -- quarterly'!D$1,FALSE)</f>
        <v>2.3866518358252414E-2</v>
      </c>
      <c r="E92" s="4">
        <f>VLOOKUP($A92,'Raw data -- monthly'!$Y$3:$AH$286,'Raw data -- quarterly'!E$1,FALSE)</f>
        <v>0.17990308911700711</v>
      </c>
      <c r="F92" s="4">
        <f>VLOOKUP($A92,'Raw data -- monthly'!$Y$3:$AH$286,'Raw data -- quarterly'!F$1,FALSE)</f>
        <v>0.20965729190578652</v>
      </c>
      <c r="G92" s="4">
        <f>VLOOKUP($A92,'Raw data -- monthly'!$Y$3:$AH$286,'Raw data -- quarterly'!G$1,FALSE)</f>
        <v>1.4127313940853104E-2</v>
      </c>
      <c r="H92" s="4">
        <f>VLOOKUP($A92,'Raw data -- monthly'!$Y$3:$AH$286,'Raw data -- quarterly'!H$1,FALSE)</f>
        <v>2.6716409761785066E-2</v>
      </c>
      <c r="I92" s="4">
        <f>VLOOKUP($A92,'Raw data -- monthly'!$Y$3:$AH$286,'Raw data -- quarterly'!I$1,FALSE)</f>
        <v>3.2953071373335273E-2</v>
      </c>
      <c r="J92" s="4">
        <f>VLOOKUP($A92,'Raw data -- monthly'!$Y$3:$AH$286,'Raw data -- quarterly'!J$1,FALSE)</f>
        <v>4.1210818991253728E-2</v>
      </c>
    </row>
    <row r="93" spans="1:10" x14ac:dyDescent="0.25">
      <c r="A93" s="3">
        <f t="shared" si="3"/>
        <v>41153</v>
      </c>
      <c r="B93" s="4">
        <f>VLOOKUP($A93,'Raw data -- monthly'!$Y$3:$AH$286,'Raw data -- quarterly'!B$1,FALSE)</f>
        <v>8.0289336618338772E-2</v>
      </c>
      <c r="C93" s="4">
        <f>VLOOKUP($A93,'Raw data -- monthly'!$Y$3:$AH$286,'Raw data -- quarterly'!C$1,FALSE)</f>
        <v>0.5724038232711236</v>
      </c>
      <c r="D93" s="4">
        <f>VLOOKUP($A93,'Raw data -- monthly'!$Y$3:$AH$286,'Raw data -- quarterly'!D$1,FALSE)</f>
        <v>2.3099144265973839E-2</v>
      </c>
      <c r="E93" s="4">
        <f>VLOOKUP($A93,'Raw data -- monthly'!$Y$3:$AH$286,'Raw data -- quarterly'!E$1,FALSE)</f>
        <v>0.18363026517368319</v>
      </c>
      <c r="F93" s="4">
        <f>VLOOKUP($A93,'Raw data -- monthly'!$Y$3:$AH$286,'Raw data -- quarterly'!F$1,FALSE)</f>
        <v>0.22170107135525399</v>
      </c>
      <c r="G93" s="4">
        <f>VLOOKUP($A93,'Raw data -- monthly'!$Y$3:$AH$286,'Raw data -- quarterly'!G$1,FALSE)</f>
        <v>1.4493603288143425E-2</v>
      </c>
      <c r="H93" s="4">
        <f>VLOOKUP($A93,'Raw data -- monthly'!$Y$3:$AH$286,'Raw data -- quarterly'!H$1,FALSE)</f>
        <v>2.680417419942964E-2</v>
      </c>
      <c r="I93" s="4">
        <f>VLOOKUP($A93,'Raw data -- monthly'!$Y$3:$AH$286,'Raw data -- quarterly'!I$1,FALSE)</f>
        <v>3.2199686284792021E-2</v>
      </c>
      <c r="J93" s="4">
        <f>VLOOKUP($A93,'Raw data -- monthly'!$Y$3:$AH$286,'Raw data -- quarterly'!J$1,FALSE)</f>
        <v>4.2017909208994085E-2</v>
      </c>
    </row>
    <row r="94" spans="1:10" x14ac:dyDescent="0.25">
      <c r="A94" s="3">
        <f t="shared" si="3"/>
        <v>41244</v>
      </c>
      <c r="B94" s="4">
        <f>VLOOKUP($A94,'Raw data -- monthly'!$Y$3:$AH$286,'Raw data -- quarterly'!B$1,FALSE)</f>
        <v>7.8249059903687537E-2</v>
      </c>
      <c r="C94" s="4">
        <f>VLOOKUP($A94,'Raw data -- monthly'!$Y$3:$AH$286,'Raw data -- quarterly'!C$1,FALSE)</f>
        <v>0.57053606679426416</v>
      </c>
      <c r="D94" s="4">
        <f>VLOOKUP($A94,'Raw data -- monthly'!$Y$3:$AH$286,'Raw data -- quarterly'!D$1,FALSE)</f>
        <v>2.3685699670556757E-2</v>
      </c>
      <c r="E94" s="4">
        <f>VLOOKUP($A94,'Raw data -- monthly'!$Y$3:$AH$286,'Raw data -- quarterly'!E$1,FALSE)</f>
        <v>0.18106799066190696</v>
      </c>
      <c r="F94" s="4">
        <f>VLOOKUP($A94,'Raw data -- monthly'!$Y$3:$AH$286,'Raw data -- quarterly'!F$1,FALSE)</f>
        <v>0.22890570064917801</v>
      </c>
      <c r="G94" s="4">
        <f>VLOOKUP($A94,'Raw data -- monthly'!$Y$3:$AH$286,'Raw data -- quarterly'!G$1,FALSE)</f>
        <v>1.4079011616482416E-2</v>
      </c>
      <c r="H94" s="4">
        <f>VLOOKUP($A94,'Raw data -- monthly'!$Y$3:$AH$286,'Raw data -- quarterly'!H$1,FALSE)</f>
        <v>2.6457799605702798E-2</v>
      </c>
      <c r="I94" s="4">
        <f>VLOOKUP($A94,'Raw data -- monthly'!$Y$3:$AH$286,'Raw data -- quarterly'!I$1,FALSE)</f>
        <v>3.3663841272571243E-2</v>
      </c>
      <c r="J94" s="4">
        <f>VLOOKUP($A94,'Raw data -- monthly'!$Y$3:$AH$286,'Raw data -- quarterly'!J$1,FALSE)</f>
        <v>4.1440133367046668E-2</v>
      </c>
    </row>
    <row r="95" spans="1:10" x14ac:dyDescent="0.25">
      <c r="A95" s="3">
        <f>DATE(YEAR(A94),MONTH(A94)+3,1)</f>
        <v>41334</v>
      </c>
      <c r="B95" s="4">
        <f>VLOOKUP($A95,'Raw data -- monthly'!$Y$3:$AH$286,'Raw data -- quarterly'!B$1,FALSE)</f>
        <v>7.7444141746910902E-2</v>
      </c>
      <c r="C95" s="4">
        <f>VLOOKUP($A95,'Raw data -- monthly'!$Y$3:$AH$286,'Raw data -- quarterly'!C$1,FALSE)</f>
        <v>0.57545995763955482</v>
      </c>
      <c r="D95" s="4">
        <f>VLOOKUP($A95,'Raw data -- monthly'!$Y$3:$AH$286,'Raw data -- quarterly'!D$1,FALSE)</f>
        <v>2.442148672600299E-2</v>
      </c>
      <c r="E95" s="4">
        <f>VLOOKUP($A95,'Raw data -- monthly'!$Y$3:$AH$286,'Raw data -- quarterly'!E$1,FALSE)</f>
        <v>0.18353059270646832</v>
      </c>
      <c r="F95" s="4">
        <f>VLOOKUP($A95,'Raw data -- monthly'!$Y$3:$AH$286,'Raw data -- quarterly'!F$1,FALSE)</f>
        <v>0.22069682675900612</v>
      </c>
      <c r="G95" s="4">
        <f>VLOOKUP($A95,'Raw data -- monthly'!$Y$3:$AH$286,'Raw data -- quarterly'!G$1,FALSE)</f>
        <v>1.3694097271605171E-2</v>
      </c>
      <c r="H95" s="4">
        <f>VLOOKUP($A95,'Raw data -- monthly'!$Y$3:$AH$286,'Raw data -- quarterly'!H$1,FALSE)</f>
        <v>2.7814905448663992E-2</v>
      </c>
      <c r="I95" s="4">
        <f>VLOOKUP($A95,'Raw data -- monthly'!$Y$3:$AH$286,'Raw data -- quarterly'!I$1,FALSE)</f>
        <v>3.1358288236595554E-2</v>
      </c>
      <c r="J95" s="4">
        <f>VLOOKUP($A95,'Raw data -- monthly'!$Y$3:$AH$286,'Raw data -- quarterly'!J$1,FALSE)</f>
        <v>4.1022332568894621E-2</v>
      </c>
    </row>
    <row r="96" spans="1:10" x14ac:dyDescent="0.25">
      <c r="A96" s="3">
        <f t="shared" ref="A96:A97" si="4">DATE(YEAR(A95),MONTH(A95)+3,1)</f>
        <v>41426</v>
      </c>
      <c r="B96" s="4">
        <f>VLOOKUP($A96,'Raw data -- monthly'!$Y$3:$AH$286,'Raw data -- quarterly'!B$1,FALSE)</f>
        <v>7.5409267283785414E-2</v>
      </c>
      <c r="C96" s="4">
        <f>VLOOKUP($A96,'Raw data -- monthly'!$Y$3:$AH$286,'Raw data -- quarterly'!C$1,FALSE)</f>
        <v>0.57712083448852858</v>
      </c>
      <c r="D96" s="4">
        <f>VLOOKUP($A96,'Raw data -- monthly'!$Y$3:$AH$286,'Raw data -- quarterly'!D$1,FALSE)</f>
        <v>2.4801994357238399E-2</v>
      </c>
      <c r="E96" s="4">
        <f>VLOOKUP($A96,'Raw data -- monthly'!$Y$3:$AH$286,'Raw data -- quarterly'!E$1,FALSE)</f>
        <v>0.19455681772517544</v>
      </c>
      <c r="F96" s="4">
        <f>VLOOKUP($A96,'Raw data -- monthly'!$Y$3:$AH$286,'Raw data -- quarterly'!F$1,FALSE)</f>
        <v>0.20948736637086221</v>
      </c>
      <c r="G96" s="4">
        <f>VLOOKUP($A96,'Raw data -- monthly'!$Y$3:$AH$286,'Raw data -- quarterly'!G$1,FALSE)</f>
        <v>1.4120959343580363E-2</v>
      </c>
      <c r="H96" s="4">
        <f>VLOOKUP($A96,'Raw data -- monthly'!$Y$3:$AH$286,'Raw data -- quarterly'!H$1,FALSE)</f>
        <v>2.7321044525458072E-2</v>
      </c>
      <c r="I96" s="4">
        <f>VLOOKUP($A96,'Raw data -- monthly'!$Y$3:$AH$286,'Raw data -- quarterly'!I$1,FALSE)</f>
        <v>2.9999041402448412E-2</v>
      </c>
      <c r="J96" s="4">
        <f>VLOOKUP($A96,'Raw data -- monthly'!$Y$3:$AH$286,'Raw data -- quarterly'!J$1,FALSE)</f>
        <v>4.3157706158540636E-2</v>
      </c>
    </row>
    <row r="97" spans="1:10" x14ac:dyDescent="0.25">
      <c r="A97" s="3">
        <f t="shared" si="4"/>
        <v>41518</v>
      </c>
      <c r="B97" s="4" t="e">
        <f>VLOOKUP($A97,'Raw data -- monthly'!$Y$3:$AH$286,'Raw data -- quarterly'!B$1,FALSE)</f>
        <v>#N/A</v>
      </c>
      <c r="C97" s="4" t="e">
        <f>VLOOKUP($A97,'Raw data -- monthly'!$Y$3:$AH$286,'Raw data -- quarterly'!C$1,FALSE)</f>
        <v>#N/A</v>
      </c>
      <c r="D97" s="4" t="e">
        <f>VLOOKUP($A97,'Raw data -- monthly'!$Y$3:$AH$286,'Raw data -- quarterly'!D$1,FALSE)</f>
        <v>#N/A</v>
      </c>
      <c r="E97" s="4" t="e">
        <f>VLOOKUP($A97,'Raw data -- monthly'!$Y$3:$AH$286,'Raw data -- quarterly'!E$1,FALSE)</f>
        <v>#N/A</v>
      </c>
      <c r="F97" s="4" t="e">
        <f>VLOOKUP($A97,'Raw data -- monthly'!$Y$3:$AH$286,'Raw data -- quarterly'!F$1,FALSE)</f>
        <v>#N/A</v>
      </c>
      <c r="G97" s="4" t="e">
        <f>VLOOKUP($A97,'Raw data -- monthly'!$Y$3:$AH$286,'Raw data -- quarterly'!G$1,FALSE)</f>
        <v>#N/A</v>
      </c>
      <c r="H97" s="4" t="e">
        <f>VLOOKUP($A97,'Raw data -- monthly'!$Y$3:$AH$286,'Raw data -- quarterly'!H$1,FALSE)</f>
        <v>#N/A</v>
      </c>
      <c r="I97" s="4" t="e">
        <f>VLOOKUP($A97,'Raw data -- monthly'!$Y$3:$AH$286,'Raw data -- quarterly'!I$1,FALSE)</f>
        <v>#N/A</v>
      </c>
      <c r="J97" s="4" t="e">
        <f>VLOOKUP($A97,'Raw data -- monthly'!$Y$3:$AH$286,'Raw data -- quarterly'!J$1,FALSE)</f>
        <v>#N/A</v>
      </c>
    </row>
    <row r="98" spans="1:10" x14ac:dyDescent="0.25">
      <c r="A98" s="3"/>
    </row>
    <row r="99" spans="1:10" x14ac:dyDescent="0.25">
      <c r="A99" s="3"/>
    </row>
    <row r="100" spans="1:10" x14ac:dyDescent="0.25">
      <c r="A100" s="3"/>
    </row>
    <row r="101" spans="1:10" x14ac:dyDescent="0.25">
      <c r="A101" s="3"/>
    </row>
    <row r="102" spans="1:10" x14ac:dyDescent="0.25">
      <c r="A102" s="3"/>
    </row>
    <row r="103" spans="1:10" x14ac:dyDescent="0.25">
      <c r="A103" s="3"/>
    </row>
    <row r="104" spans="1:10" x14ac:dyDescent="0.25">
      <c r="A104" s="3"/>
    </row>
    <row r="105" spans="1:10" x14ac:dyDescent="0.25">
      <c r="A105" s="3"/>
    </row>
    <row r="106" spans="1:10" x14ac:dyDescent="0.25">
      <c r="A106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41" sqref="M41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4.5703125" bestFit="1" customWidth="1"/>
    <col min="4" max="4" width="6.42578125" bestFit="1" customWidth="1"/>
    <col min="5" max="5" width="6.140625" bestFit="1" customWidth="1"/>
    <col min="6" max="6" width="6.42578125" bestFit="1" customWidth="1"/>
    <col min="7" max="7" width="7.85546875" bestFit="1" customWidth="1"/>
    <col min="8" max="8" width="6.140625" bestFit="1" customWidth="1"/>
    <col min="9" max="9" width="12.5703125" bestFit="1" customWidth="1"/>
    <col min="10" max="10" width="10.7109375" bestFit="1" customWidth="1"/>
    <col min="11" max="11" width="11.7109375" bestFit="1" customWidth="1"/>
    <col min="12" max="12" width="10.140625" bestFit="1" customWidth="1"/>
    <col min="13" max="13" width="4.5703125" bestFit="1" customWidth="1"/>
    <col min="14" max="14" width="6.7109375" bestFit="1" customWidth="1"/>
    <col min="15" max="15" width="5.140625" bestFit="1" customWidth="1"/>
    <col min="16" max="16" width="5.85546875" bestFit="1" customWidth="1"/>
  </cols>
  <sheetData>
    <row r="1" spans="1:16" x14ac:dyDescent="0.25">
      <c r="B1" s="5" t="s">
        <v>24</v>
      </c>
      <c r="C1" s="5" t="s">
        <v>35</v>
      </c>
      <c r="D1" s="5" t="s">
        <v>27</v>
      </c>
      <c r="E1" s="5" t="s">
        <v>25</v>
      </c>
      <c r="F1" s="5" t="s">
        <v>26</v>
      </c>
      <c r="G1" s="5" t="s">
        <v>33</v>
      </c>
      <c r="H1" s="5" t="s">
        <v>28</v>
      </c>
      <c r="I1" s="5" t="s">
        <v>29</v>
      </c>
      <c r="J1" s="5" t="s">
        <v>55</v>
      </c>
      <c r="K1" s="10" t="s">
        <v>56</v>
      </c>
      <c r="L1" s="5" t="s">
        <v>32</v>
      </c>
      <c r="M1" s="5" t="s">
        <v>34</v>
      </c>
      <c r="N1" s="5" t="s">
        <v>43</v>
      </c>
      <c r="O1" s="5" t="s">
        <v>44</v>
      </c>
      <c r="P1" s="5" t="s">
        <v>45</v>
      </c>
    </row>
    <row r="2" spans="1:16" x14ac:dyDescent="0.25">
      <c r="A2" s="2">
        <f>'Raw data -- quarterly'!A46</f>
        <v>36861</v>
      </c>
      <c r="B2" s="7">
        <v>0.5</v>
      </c>
      <c r="C2" s="7">
        <f>'Raw data -- quarterly'!E46</f>
        <v>0.31507462718544743</v>
      </c>
      <c r="D2" s="7">
        <f>'Raw data -- quarterly'!F46</f>
        <v>0.2267997597620898</v>
      </c>
      <c r="E2" s="7">
        <f>'Raw data -- quarterly'!J46</f>
        <v>5.3293855721776993E-2</v>
      </c>
      <c r="F2" s="7">
        <f>'Raw data -- quarterly'!I46</f>
        <v>2.1607096614177281E-2</v>
      </c>
      <c r="G2" s="7">
        <f>'Raw data -- quarterly'!G46</f>
        <v>1.0856039383091367E-2</v>
      </c>
      <c r="H2" s="7">
        <f>'Raw data -- quarterly'!H46</f>
        <v>2.8133291659483538E-2</v>
      </c>
      <c r="I2" s="7">
        <f>F2+E2</f>
        <v>7.4900952335954271E-2</v>
      </c>
      <c r="J2" s="7">
        <f>D2*E2/I2</f>
        <v>0.16137356465483055</v>
      </c>
      <c r="K2" s="6">
        <f>H2*F2/I2</f>
        <v>8.1157679842942688E-3</v>
      </c>
      <c r="L2" s="7">
        <f>G2/(G2+K2)</f>
        <v>0.57221956626831161</v>
      </c>
      <c r="M2" s="7">
        <f>C2/(C2+J2)</f>
        <v>0.66129882027356168</v>
      </c>
      <c r="N2" s="7">
        <f>1-L2</f>
        <v>0.42778043373168839</v>
      </c>
      <c r="O2" s="7">
        <f>1-M2</f>
        <v>0.33870117972643832</v>
      </c>
      <c r="P2" s="7">
        <f>F2/I2</f>
        <v>0.28847559263682887</v>
      </c>
    </row>
    <row r="3" spans="1:16" x14ac:dyDescent="0.25">
      <c r="A3" s="2">
        <f>'Raw data -- quarterly'!A47</f>
        <v>36951</v>
      </c>
      <c r="B3" s="7">
        <v>0.5</v>
      </c>
      <c r="C3" s="7">
        <f>'Raw data -- quarterly'!E47</f>
        <v>0.31045816746208721</v>
      </c>
      <c r="D3" s="7">
        <f>'Raw data -- quarterly'!F47</f>
        <v>0.23481312470823454</v>
      </c>
      <c r="E3" s="7">
        <f>'Raw data -- quarterly'!J47</f>
        <v>5.5270960969700501E-2</v>
      </c>
      <c r="F3" s="7">
        <f>'Raw data -- quarterly'!I47</f>
        <v>2.3028986887352786E-2</v>
      </c>
      <c r="G3" s="7">
        <f>'Raw data -- quarterly'!G47</f>
        <v>1.2757829471036592E-2</v>
      </c>
      <c r="H3" s="7">
        <f>'Raw data -- quarterly'!H47</f>
        <v>2.8812698596064664E-2</v>
      </c>
      <c r="I3" s="7">
        <f>F3+E3</f>
        <v>7.8299947857053284E-2</v>
      </c>
      <c r="J3" s="7">
        <f>D3*E3/I3</f>
        <v>0.16575166914051978</v>
      </c>
      <c r="K3" s="6">
        <f>H3*F3/I3</f>
        <v>8.4741724141295261E-3</v>
      </c>
      <c r="L3" s="7">
        <f t="shared" ref="L3:L52" si="0">G3/(G3+K3)</f>
        <v>0.60087737086863846</v>
      </c>
      <c r="M3" s="7">
        <f t="shared" ref="M3:M52" si="1">C3/(C3+J3)</f>
        <v>0.65193564601052523</v>
      </c>
      <c r="N3" s="7">
        <f t="shared" ref="N3:N52" si="2">1-L3</f>
        <v>0.39912262913136154</v>
      </c>
      <c r="O3" s="7">
        <f t="shared" ref="O3:O52" si="3">1-M3</f>
        <v>0.34806435398947477</v>
      </c>
      <c r="P3" s="7">
        <f t="shared" ref="P3:P52" si="4">F3/I3</f>
        <v>0.29411241664419996</v>
      </c>
    </row>
    <row r="4" spans="1:16" x14ac:dyDescent="0.25">
      <c r="A4" s="2">
        <f>'Raw data -- quarterly'!A48</f>
        <v>37043</v>
      </c>
      <c r="B4" s="7">
        <v>0.5</v>
      </c>
      <c r="C4" s="7">
        <f>'Raw data -- quarterly'!E48</f>
        <v>0.31128254593778887</v>
      </c>
      <c r="D4" s="7">
        <f>'Raw data -- quarterly'!F48</f>
        <v>0.23802169564774323</v>
      </c>
      <c r="E4" s="7">
        <f>'Raw data -- quarterly'!J48</f>
        <v>5.106402952699008E-2</v>
      </c>
      <c r="F4" s="7">
        <f>'Raw data -- quarterly'!I48</f>
        <v>2.3403366682107057E-2</v>
      </c>
      <c r="G4" s="7">
        <f>'Raw data -- quarterly'!G48</f>
        <v>1.3378141421118504E-2</v>
      </c>
      <c r="H4" s="7">
        <f>'Raw data -- quarterly'!H48</f>
        <v>2.9874573685950839E-2</v>
      </c>
      <c r="I4" s="7">
        <f t="shared" ref="I4:I52" si="5">F4+E4</f>
        <v>7.4467396209097134E-2</v>
      </c>
      <c r="J4" s="7">
        <f t="shared" ref="J4:J52" si="6">D4*E4/I4</f>
        <v>0.16321702534747415</v>
      </c>
      <c r="K4" s="6">
        <f t="shared" ref="K4:K52" si="7">H4*F4/I4</f>
        <v>9.3888820884880375E-3</v>
      </c>
      <c r="L4" s="7">
        <f t="shared" si="0"/>
        <v>0.5876104715872762</v>
      </c>
      <c r="M4" s="7">
        <f t="shared" si="1"/>
        <v>0.6560228180915465</v>
      </c>
      <c r="N4" s="7">
        <f t="shared" si="2"/>
        <v>0.4123895284127238</v>
      </c>
      <c r="O4" s="7">
        <f t="shared" si="3"/>
        <v>0.3439771819084535</v>
      </c>
      <c r="P4" s="7">
        <f t="shared" si="4"/>
        <v>0.31427668850395551</v>
      </c>
    </row>
    <row r="5" spans="1:16" x14ac:dyDescent="0.25">
      <c r="A5" s="2">
        <f>'Raw data -- quarterly'!A49</f>
        <v>37135</v>
      </c>
      <c r="B5" s="7">
        <v>0.5</v>
      </c>
      <c r="C5" s="7">
        <f>'Raw data -- quarterly'!E49</f>
        <v>0.29427166386317644</v>
      </c>
      <c r="D5" s="7">
        <f>'Raw data -- quarterly'!F49</f>
        <v>0.22184420399581484</v>
      </c>
      <c r="E5" s="7">
        <f>'Raw data -- quarterly'!J49</f>
        <v>5.4760479894744953E-2</v>
      </c>
      <c r="F5" s="7">
        <f>'Raw data -- quarterly'!I49</f>
        <v>2.4982760402308724E-2</v>
      </c>
      <c r="G5" s="7">
        <f>'Raw data -- quarterly'!G49</f>
        <v>1.3656566287204618E-2</v>
      </c>
      <c r="H5" s="7">
        <f>'Raw data -- quarterly'!H49</f>
        <v>3.0201415415696431E-2</v>
      </c>
      <c r="I5" s="7">
        <f t="shared" si="5"/>
        <v>7.974324029705368E-2</v>
      </c>
      <c r="J5" s="7">
        <f t="shared" si="6"/>
        <v>0.15234263151866637</v>
      </c>
      <c r="K5" s="6">
        <f t="shared" si="7"/>
        <v>9.4618016816256038E-3</v>
      </c>
      <c r="L5" s="7">
        <f t="shared" si="0"/>
        <v>0.5907236317726815</v>
      </c>
      <c r="M5" s="7">
        <f t="shared" si="1"/>
        <v>0.65889441270925353</v>
      </c>
      <c r="N5" s="7">
        <f t="shared" si="2"/>
        <v>0.4092763682273185</v>
      </c>
      <c r="O5" s="7">
        <f t="shared" si="3"/>
        <v>0.34110558729074647</v>
      </c>
      <c r="P5" s="7">
        <f t="shared" si="4"/>
        <v>0.31329000814670654</v>
      </c>
    </row>
    <row r="6" spans="1:16" x14ac:dyDescent="0.25">
      <c r="A6" s="2">
        <f>'Raw data -- quarterly'!A50</f>
        <v>37226</v>
      </c>
      <c r="B6" s="7">
        <v>0.5</v>
      </c>
      <c r="C6" s="7">
        <f>'Raw data -- quarterly'!E50</f>
        <v>0.26994933624105372</v>
      </c>
      <c r="D6" s="7">
        <f>'Raw data -- quarterly'!F50</f>
        <v>0.21323369602850342</v>
      </c>
      <c r="E6" s="7">
        <f>'Raw data -- quarterly'!J50</f>
        <v>4.8440995522931497E-2</v>
      </c>
      <c r="F6" s="7">
        <f>'Raw data -- quarterly'!I50</f>
        <v>2.7589629020967229E-2</v>
      </c>
      <c r="G6" s="7">
        <f>'Raw data -- quarterly'!G50</f>
        <v>1.4945956724267824E-2</v>
      </c>
      <c r="H6" s="7">
        <f>'Raw data -- quarterly'!H50</f>
        <v>2.8064900652832844E-2</v>
      </c>
      <c r="I6" s="7">
        <f t="shared" si="5"/>
        <v>7.6030624543898723E-2</v>
      </c>
      <c r="J6" s="7">
        <f t="shared" si="6"/>
        <v>0.13585647331741887</v>
      </c>
      <c r="K6" s="6">
        <f t="shared" si="7"/>
        <v>1.0184056781947018E-2</v>
      </c>
      <c r="L6" s="7">
        <f t="shared" si="0"/>
        <v>0.59474527224474338</v>
      </c>
      <c r="M6" s="7">
        <f t="shared" si="1"/>
        <v>0.66521801778729028</v>
      </c>
      <c r="N6" s="7">
        <f t="shared" si="2"/>
        <v>0.40525472775525662</v>
      </c>
      <c r="O6" s="7">
        <f t="shared" si="3"/>
        <v>0.33478198221270972</v>
      </c>
      <c r="P6" s="7">
        <f t="shared" si="4"/>
        <v>0.36287521227761943</v>
      </c>
    </row>
    <row r="7" spans="1:16" x14ac:dyDescent="0.25">
      <c r="A7" s="2">
        <f>'Raw data -- quarterly'!A51</f>
        <v>37316</v>
      </c>
      <c r="B7" s="7">
        <v>0.5</v>
      </c>
      <c r="C7" s="7">
        <f>'Raw data -- quarterly'!E51</f>
        <v>0.2691995865133206</v>
      </c>
      <c r="D7" s="7">
        <f>'Raw data -- quarterly'!F51</f>
        <v>0.20515859422568594</v>
      </c>
      <c r="E7" s="7">
        <f>'Raw data -- quarterly'!J51</f>
        <v>4.9245694396210286E-2</v>
      </c>
      <c r="F7" s="7">
        <f>'Raw data -- quarterly'!I51</f>
        <v>2.6440811761235722E-2</v>
      </c>
      <c r="G7" s="7">
        <f>'Raw data -- quarterly'!G51</f>
        <v>1.4611550539466847E-2</v>
      </c>
      <c r="H7" s="7">
        <f>'Raw data -- quarterly'!H51</f>
        <v>2.7699440506971335E-2</v>
      </c>
      <c r="I7" s="7">
        <f t="shared" si="5"/>
        <v>7.5686506157446015E-2</v>
      </c>
      <c r="J7" s="7">
        <f t="shared" si="6"/>
        <v>0.13348716894101598</v>
      </c>
      <c r="K7" s="6">
        <f t="shared" si="7"/>
        <v>9.6767010332438758E-3</v>
      </c>
      <c r="L7" s="7">
        <f t="shared" si="0"/>
        <v>0.60158922908571077</v>
      </c>
      <c r="M7" s="7">
        <f t="shared" si="1"/>
        <v>0.66850866800819575</v>
      </c>
      <c r="N7" s="7">
        <f t="shared" si="2"/>
        <v>0.39841077091428923</v>
      </c>
      <c r="O7" s="7">
        <f t="shared" si="3"/>
        <v>0.33149133199180425</v>
      </c>
      <c r="P7" s="7">
        <f t="shared" si="4"/>
        <v>0.34934644368749851</v>
      </c>
    </row>
    <row r="8" spans="1:16" x14ac:dyDescent="0.25">
      <c r="A8" s="2">
        <f>'Raw data -- quarterly'!A52</f>
        <v>37408</v>
      </c>
      <c r="B8" s="7">
        <v>0.5</v>
      </c>
      <c r="C8" s="7">
        <f>'Raw data -- quarterly'!E52</f>
        <v>0.24551781236523337</v>
      </c>
      <c r="D8" s="7">
        <f>'Raw data -- quarterly'!F52</f>
        <v>0.20747299015438839</v>
      </c>
      <c r="E8" s="7">
        <f>'Raw data -- quarterly'!J52</f>
        <v>5.1828409992686654E-2</v>
      </c>
      <c r="F8" s="7">
        <f>'Raw data -- quarterly'!I52</f>
        <v>2.6248649330587237E-2</v>
      </c>
      <c r="G8" s="7">
        <f>'Raw data -- quarterly'!G52</f>
        <v>1.4171262158272496E-2</v>
      </c>
      <c r="H8" s="7">
        <f>'Raw data -- quarterly'!H52</f>
        <v>2.838672423044164E-2</v>
      </c>
      <c r="I8" s="7">
        <f t="shared" si="5"/>
        <v>7.8077059323273884E-2</v>
      </c>
      <c r="J8" s="7">
        <f t="shared" si="6"/>
        <v>0.13772285085184988</v>
      </c>
      <c r="K8" s="6">
        <f t="shared" si="7"/>
        <v>9.5433047354389362E-3</v>
      </c>
      <c r="L8" s="7">
        <f t="shared" si="0"/>
        <v>0.59757625858351204</v>
      </c>
      <c r="M8" s="7">
        <f t="shared" si="1"/>
        <v>0.64063612223257738</v>
      </c>
      <c r="N8" s="7">
        <f t="shared" si="2"/>
        <v>0.40242374141648796</v>
      </c>
      <c r="O8" s="7">
        <f t="shared" si="3"/>
        <v>0.35936387776742262</v>
      </c>
      <c r="P8" s="7">
        <f t="shared" si="4"/>
        <v>0.33618901067861828</v>
      </c>
    </row>
    <row r="9" spans="1:16" x14ac:dyDescent="0.25">
      <c r="A9" s="2">
        <f>'Raw data -- quarterly'!A53</f>
        <v>37500</v>
      </c>
      <c r="B9" s="7">
        <v>0.5</v>
      </c>
      <c r="C9" s="7">
        <f>'Raw data -- quarterly'!E53</f>
        <v>0.25450272599271911</v>
      </c>
      <c r="D9" s="7">
        <f>'Raw data -- quarterly'!F53</f>
        <v>0.21529777584268658</v>
      </c>
      <c r="E9" s="7">
        <f>'Raw data -- quarterly'!J53</f>
        <v>4.9903681611119501E-2</v>
      </c>
      <c r="F9" s="7">
        <f>'Raw data -- quarterly'!I53</f>
        <v>2.6700568443605851E-2</v>
      </c>
      <c r="G9" s="7">
        <f>'Raw data -- quarterly'!G53</f>
        <v>1.4033267231403855E-2</v>
      </c>
      <c r="H9" s="7">
        <f>'Raw data -- quarterly'!H53</f>
        <v>2.6411596462747797E-2</v>
      </c>
      <c r="I9" s="7">
        <f t="shared" si="5"/>
        <v>7.6604250054725348E-2</v>
      </c>
      <c r="J9" s="7">
        <f t="shared" si="6"/>
        <v>0.14025529457647698</v>
      </c>
      <c r="K9" s="6">
        <f t="shared" si="7"/>
        <v>9.2058161075228104E-3</v>
      </c>
      <c r="L9" s="7">
        <f t="shared" si="0"/>
        <v>0.60386492129392244</v>
      </c>
      <c r="M9" s="7">
        <f t="shared" si="1"/>
        <v>0.64470564936402097</v>
      </c>
      <c r="N9" s="7">
        <f t="shared" si="2"/>
        <v>0.39613507870607756</v>
      </c>
      <c r="O9" s="7">
        <f t="shared" si="3"/>
        <v>0.35529435063597903</v>
      </c>
      <c r="P9" s="7">
        <f t="shared" si="4"/>
        <v>0.34855205063075767</v>
      </c>
    </row>
    <row r="10" spans="1:16" x14ac:dyDescent="0.25">
      <c r="A10" s="2">
        <f>'Raw data -- quarterly'!A54</f>
        <v>37591</v>
      </c>
      <c r="B10" s="7">
        <v>0.5</v>
      </c>
      <c r="C10" s="7">
        <f>'Raw data -- quarterly'!E54</f>
        <v>0.23841047235381851</v>
      </c>
      <c r="D10" s="7">
        <f>'Raw data -- quarterly'!F54</f>
        <v>0.21434301937207259</v>
      </c>
      <c r="E10" s="7">
        <f>'Raw data -- quarterly'!J54</f>
        <v>4.8452904110591187E-2</v>
      </c>
      <c r="F10" s="7">
        <f>'Raw data -- quarterly'!I54</f>
        <v>2.5936839957299396E-2</v>
      </c>
      <c r="G10" s="7">
        <f>'Raw data -- quarterly'!G54</f>
        <v>1.4518679823312156E-2</v>
      </c>
      <c r="H10" s="7">
        <f>'Raw data -- quarterly'!H54</f>
        <v>2.8469703530591906E-2</v>
      </c>
      <c r="I10" s="7">
        <f t="shared" si="5"/>
        <v>7.438974406789059E-2</v>
      </c>
      <c r="J10" s="7">
        <f t="shared" si="6"/>
        <v>0.13960986012979729</v>
      </c>
      <c r="K10" s="6">
        <f t="shared" si="7"/>
        <v>9.9262896163592428E-3</v>
      </c>
      <c r="L10" s="7">
        <f t="shared" si="0"/>
        <v>0.59393323682172383</v>
      </c>
      <c r="M10" s="7">
        <f t="shared" si="1"/>
        <v>0.63068161119124921</v>
      </c>
      <c r="N10" s="7">
        <f t="shared" si="2"/>
        <v>0.40606676317827617</v>
      </c>
      <c r="O10" s="7">
        <f t="shared" si="3"/>
        <v>0.36931838880875079</v>
      </c>
      <c r="P10" s="7">
        <f t="shared" si="4"/>
        <v>0.34866150276883007</v>
      </c>
    </row>
    <row r="11" spans="1:16" x14ac:dyDescent="0.25">
      <c r="A11" s="2">
        <f>'Raw data -- quarterly'!A55</f>
        <v>37681</v>
      </c>
      <c r="B11" s="7">
        <v>0.5</v>
      </c>
      <c r="C11" s="7">
        <f>'Raw data -- quarterly'!E55</f>
        <v>0.23814778658167915</v>
      </c>
      <c r="D11" s="7">
        <f>'Raw data -- quarterly'!F55</f>
        <v>0.22490122143286936</v>
      </c>
      <c r="E11" s="7">
        <f>'Raw data -- quarterly'!J55</f>
        <v>5.0157834842136984E-2</v>
      </c>
      <c r="F11" s="7">
        <f>'Raw data -- quarterly'!I55</f>
        <v>2.6713159172778351E-2</v>
      </c>
      <c r="G11" s="7">
        <f>'Raw data -- quarterly'!G55</f>
        <v>1.4230796142722005E-2</v>
      </c>
      <c r="H11" s="7">
        <f>'Raw data -- quarterly'!H55</f>
        <v>2.724098010866732E-2</v>
      </c>
      <c r="I11" s="7">
        <f t="shared" si="5"/>
        <v>7.6870994014915331E-2</v>
      </c>
      <c r="J11" s="7">
        <f t="shared" si="6"/>
        <v>0.14674661704304182</v>
      </c>
      <c r="K11" s="6">
        <f t="shared" si="7"/>
        <v>9.4664137883285898E-3</v>
      </c>
      <c r="L11" s="7">
        <f t="shared" si="0"/>
        <v>0.60052623005526518</v>
      </c>
      <c r="M11" s="7">
        <f t="shared" si="1"/>
        <v>0.61873538388434868</v>
      </c>
      <c r="N11" s="7">
        <f t="shared" si="2"/>
        <v>0.39947376994473482</v>
      </c>
      <c r="O11" s="7">
        <f t="shared" si="3"/>
        <v>0.38126461611565132</v>
      </c>
      <c r="P11" s="7">
        <f t="shared" si="4"/>
        <v>0.34750635808865926</v>
      </c>
    </row>
    <row r="12" spans="1:16" x14ac:dyDescent="0.25">
      <c r="A12" s="2">
        <f>'Raw data -- quarterly'!A56</f>
        <v>37773</v>
      </c>
      <c r="B12" s="7">
        <v>0.5</v>
      </c>
      <c r="C12" s="7">
        <f>'Raw data -- quarterly'!E56</f>
        <v>0.23684513136134941</v>
      </c>
      <c r="D12" s="7">
        <f>'Raw data -- quarterly'!F56</f>
        <v>0.20855449324536535</v>
      </c>
      <c r="E12" s="7">
        <f>'Raw data -- quarterly'!J56</f>
        <v>4.9006086049894183E-2</v>
      </c>
      <c r="F12" s="7">
        <f>'Raw data -- quarterly'!I56</f>
        <v>2.8948374396327314E-2</v>
      </c>
      <c r="G12" s="7">
        <f>'Raw data -- quarterly'!G56</f>
        <v>1.4364590883476559E-2</v>
      </c>
      <c r="H12" s="7">
        <f>'Raw data -- quarterly'!H56</f>
        <v>2.6843571343708569E-2</v>
      </c>
      <c r="I12" s="7">
        <f t="shared" si="5"/>
        <v>7.7954460446221494E-2</v>
      </c>
      <c r="J12" s="7">
        <f t="shared" si="6"/>
        <v>0.13110782094534837</v>
      </c>
      <c r="K12" s="6">
        <f t="shared" si="7"/>
        <v>9.9683552287336014E-3</v>
      </c>
      <c r="L12" s="7">
        <f t="shared" si="0"/>
        <v>0.59033504686341598</v>
      </c>
      <c r="M12" s="7">
        <f t="shared" si="1"/>
        <v>0.64368319339895719</v>
      </c>
      <c r="N12" s="7">
        <f t="shared" si="2"/>
        <v>0.40966495313658402</v>
      </c>
      <c r="O12" s="7">
        <f t="shared" si="3"/>
        <v>0.35631680660104281</v>
      </c>
      <c r="P12" s="7">
        <f t="shared" si="4"/>
        <v>0.37134981411740964</v>
      </c>
    </row>
    <row r="13" spans="1:16" x14ac:dyDescent="0.25">
      <c r="A13" s="2">
        <f>'Raw data -- quarterly'!A57</f>
        <v>37865</v>
      </c>
      <c r="B13" s="7">
        <v>0.5</v>
      </c>
      <c r="C13" s="7">
        <f>'Raw data -- quarterly'!E57</f>
        <v>0.23204892668495355</v>
      </c>
      <c r="D13" s="7">
        <f>'Raw data -- quarterly'!F57</f>
        <v>0.21834569584807814</v>
      </c>
      <c r="E13" s="7">
        <f>'Raw data -- quarterly'!J57</f>
        <v>4.861057889660747E-2</v>
      </c>
      <c r="F13" s="7">
        <f>'Raw data -- quarterly'!I57</f>
        <v>2.6743320927909629E-2</v>
      </c>
      <c r="G13" s="7">
        <f>'Raw data -- quarterly'!G57</f>
        <v>1.418118099252764E-2</v>
      </c>
      <c r="H13" s="7">
        <f>'Raw data -- quarterly'!H57</f>
        <v>2.8460008606087817E-2</v>
      </c>
      <c r="I13" s="7">
        <f t="shared" si="5"/>
        <v>7.5353899824517095E-2</v>
      </c>
      <c r="J13" s="7">
        <f t="shared" si="6"/>
        <v>0.1408541654708669</v>
      </c>
      <c r="K13" s="6">
        <f t="shared" si="7"/>
        <v>1.010054085503403E-2</v>
      </c>
      <c r="L13" s="7">
        <f t="shared" si="0"/>
        <v>0.58402699287784199</v>
      </c>
      <c r="M13" s="7">
        <f t="shared" si="1"/>
        <v>0.62227675652523173</v>
      </c>
      <c r="N13" s="7">
        <f t="shared" si="2"/>
        <v>0.41597300712215801</v>
      </c>
      <c r="O13" s="7">
        <f t="shared" si="3"/>
        <v>0.37772324347476827</v>
      </c>
      <c r="P13" s="7">
        <f t="shared" si="4"/>
        <v>0.3549029445083669</v>
      </c>
    </row>
    <row r="14" spans="1:16" x14ac:dyDescent="0.25">
      <c r="A14" s="2">
        <f>'Raw data -- quarterly'!A58</f>
        <v>37956</v>
      </c>
      <c r="B14" s="7">
        <v>0.5</v>
      </c>
      <c r="C14" s="7">
        <f>'Raw data -- quarterly'!E58</f>
        <v>0.24538653869078153</v>
      </c>
      <c r="D14" s="7">
        <f>'Raw data -- quarterly'!F58</f>
        <v>0.21858709998760847</v>
      </c>
      <c r="E14" s="7">
        <f>'Raw data -- quarterly'!J58</f>
        <v>4.9788500251601885E-2</v>
      </c>
      <c r="F14" s="7">
        <f>'Raw data -- quarterly'!I58</f>
        <v>2.6637358984460496E-2</v>
      </c>
      <c r="G14" s="7">
        <f>'Raw data -- quarterly'!G58</f>
        <v>1.3251810052099099E-2</v>
      </c>
      <c r="H14" s="7">
        <f>'Raw data -- quarterly'!H58</f>
        <v>2.7970833027312691E-2</v>
      </c>
      <c r="I14" s="7">
        <f t="shared" si="5"/>
        <v>7.6425859236062377E-2</v>
      </c>
      <c r="J14" s="7">
        <f t="shared" si="6"/>
        <v>0.14240106675300093</v>
      </c>
      <c r="K14" s="6">
        <f t="shared" si="7"/>
        <v>9.7489138871383885E-3</v>
      </c>
      <c r="L14" s="7">
        <f t="shared" si="0"/>
        <v>0.57614751983925683</v>
      </c>
      <c r="M14" s="7">
        <f t="shared" si="1"/>
        <v>0.63278592519727972</v>
      </c>
      <c r="N14" s="7">
        <f t="shared" si="2"/>
        <v>0.42385248016074317</v>
      </c>
      <c r="O14" s="7">
        <f t="shared" si="3"/>
        <v>0.36721407480272028</v>
      </c>
      <c r="P14" s="7">
        <f t="shared" si="4"/>
        <v>0.34853856077932543</v>
      </c>
    </row>
    <row r="15" spans="1:16" x14ac:dyDescent="0.25">
      <c r="A15" s="2">
        <f>'Raw data -- quarterly'!A59</f>
        <v>38047</v>
      </c>
      <c r="B15" s="7">
        <v>0.5</v>
      </c>
      <c r="C15" s="7">
        <f>'Raw data -- quarterly'!E59</f>
        <v>0.24006223144580952</v>
      </c>
      <c r="D15" s="7">
        <f>'Raw data -- quarterly'!F59</f>
        <v>0.22051336209131603</v>
      </c>
      <c r="E15" s="7">
        <f>'Raw data -- quarterly'!J59</f>
        <v>4.8648657541695874E-2</v>
      </c>
      <c r="F15" s="7">
        <f>'Raw data -- quarterly'!I59</f>
        <v>2.7322925155240305E-2</v>
      </c>
      <c r="G15" s="7">
        <f>'Raw data -- quarterly'!G59</f>
        <v>1.2979335719515763E-2</v>
      </c>
      <c r="H15" s="7">
        <f>'Raw data -- quarterly'!H59</f>
        <v>2.7496976919118413E-2</v>
      </c>
      <c r="I15" s="7">
        <f t="shared" si="5"/>
        <v>7.5971582696936185E-2</v>
      </c>
      <c r="J15" s="7">
        <f t="shared" si="6"/>
        <v>0.14120647030012506</v>
      </c>
      <c r="K15" s="6">
        <f t="shared" si="7"/>
        <v>9.8891956134901111E-3</v>
      </c>
      <c r="L15" s="7">
        <f t="shared" si="0"/>
        <v>0.56756315176142702</v>
      </c>
      <c r="M15" s="7">
        <f t="shared" si="1"/>
        <v>0.62964054050725471</v>
      </c>
      <c r="N15" s="7">
        <f t="shared" si="2"/>
        <v>0.43243684823857298</v>
      </c>
      <c r="O15" s="7">
        <f t="shared" si="3"/>
        <v>0.37035945949274529</v>
      </c>
      <c r="P15" s="7">
        <f t="shared" si="4"/>
        <v>0.35964664925089412</v>
      </c>
    </row>
    <row r="16" spans="1:16" x14ac:dyDescent="0.25">
      <c r="A16" s="2">
        <f>'Raw data -- quarterly'!A60</f>
        <v>38139</v>
      </c>
      <c r="B16" s="7">
        <v>0.5</v>
      </c>
      <c r="C16" s="7">
        <f>'Raw data -- quarterly'!E60</f>
        <v>0.251955962423073</v>
      </c>
      <c r="D16" s="7">
        <f>'Raw data -- quarterly'!F60</f>
        <v>0.21875863759585354</v>
      </c>
      <c r="E16" s="7">
        <f>'Raw data -- quarterly'!J60</f>
        <v>4.8376922439267493E-2</v>
      </c>
      <c r="F16" s="7">
        <f>'Raw data -- quarterly'!I60</f>
        <v>2.6465235163935272E-2</v>
      </c>
      <c r="G16" s="7">
        <f>'Raw data -- quarterly'!G60</f>
        <v>1.3017326811010943E-2</v>
      </c>
      <c r="H16" s="7">
        <f>'Raw data -- quarterly'!H60</f>
        <v>2.7153253709498244E-2</v>
      </c>
      <c r="I16" s="7">
        <f t="shared" si="5"/>
        <v>7.4842157603202758E-2</v>
      </c>
      <c r="J16" s="7">
        <f t="shared" si="6"/>
        <v>0.1414025194196373</v>
      </c>
      <c r="K16" s="6">
        <f t="shared" si="7"/>
        <v>9.6017708187653393E-3</v>
      </c>
      <c r="L16" s="7">
        <f t="shared" si="0"/>
        <v>0.57550159710503412</v>
      </c>
      <c r="M16" s="7">
        <f t="shared" si="1"/>
        <v>0.64052505298162354</v>
      </c>
      <c r="N16" s="7">
        <f t="shared" si="2"/>
        <v>0.42449840289496588</v>
      </c>
      <c r="O16" s="7">
        <f t="shared" si="3"/>
        <v>0.35947494701837646</v>
      </c>
      <c r="P16" s="7">
        <f t="shared" si="4"/>
        <v>0.3536140059490045</v>
      </c>
    </row>
    <row r="17" spans="1:16" x14ac:dyDescent="0.25">
      <c r="A17" s="2">
        <f>'Raw data -- quarterly'!A61</f>
        <v>38231</v>
      </c>
      <c r="B17" s="7">
        <v>0.5</v>
      </c>
      <c r="C17" s="7">
        <f>'Raw data -- quarterly'!E61</f>
        <v>0.25750279251296648</v>
      </c>
      <c r="D17" s="7">
        <f>'Raw data -- quarterly'!F61</f>
        <v>0.233778386916911</v>
      </c>
      <c r="E17" s="7">
        <f>'Raw data -- quarterly'!J61</f>
        <v>4.915615521700073E-2</v>
      </c>
      <c r="F17" s="7">
        <f>'Raw data -- quarterly'!I61</f>
        <v>2.6196806568364286E-2</v>
      </c>
      <c r="G17" s="7">
        <f>'Raw data -- quarterly'!G61</f>
        <v>1.3358487954349409E-2</v>
      </c>
      <c r="H17" s="7">
        <f>'Raw data -- quarterly'!H61</f>
        <v>2.8302093717761333E-2</v>
      </c>
      <c r="I17" s="7">
        <f t="shared" si="5"/>
        <v>7.5352961785365019E-2</v>
      </c>
      <c r="J17" s="7">
        <f t="shared" si="6"/>
        <v>0.15250424669969145</v>
      </c>
      <c r="K17" s="6">
        <f t="shared" si="7"/>
        <v>9.8393541147829243E-3</v>
      </c>
      <c r="L17" s="7">
        <f t="shared" si="0"/>
        <v>0.57585045688902969</v>
      </c>
      <c r="M17" s="7">
        <f t="shared" si="1"/>
        <v>0.62804480871219337</v>
      </c>
      <c r="N17" s="7">
        <f t="shared" si="2"/>
        <v>0.42414954311097031</v>
      </c>
      <c r="O17" s="7">
        <f t="shared" si="3"/>
        <v>0.37195519128780663</v>
      </c>
      <c r="P17" s="7">
        <f t="shared" si="4"/>
        <v>0.34765463689381093</v>
      </c>
    </row>
    <row r="18" spans="1:16" x14ac:dyDescent="0.25">
      <c r="A18" s="2">
        <f>'Raw data -- quarterly'!A62</f>
        <v>38322</v>
      </c>
      <c r="B18" s="7">
        <v>0.5</v>
      </c>
      <c r="C18" s="7">
        <f>'Raw data -- quarterly'!E62</f>
        <v>0.26613188594451126</v>
      </c>
      <c r="D18" s="7">
        <f>'Raw data -- quarterly'!F62</f>
        <v>0.22228997374483681</v>
      </c>
      <c r="E18" s="7">
        <f>'Raw data -- quarterly'!J62</f>
        <v>5.033752508207414E-2</v>
      </c>
      <c r="F18" s="7">
        <f>'Raw data -- quarterly'!I62</f>
        <v>2.6580681979664358E-2</v>
      </c>
      <c r="G18" s="7">
        <f>'Raw data -- quarterly'!G62</f>
        <v>1.3205621510021743E-2</v>
      </c>
      <c r="H18" s="7">
        <f>'Raw data -- quarterly'!H62</f>
        <v>2.8484034260374293E-2</v>
      </c>
      <c r="I18" s="7">
        <f t="shared" si="5"/>
        <v>7.6918207061738492E-2</v>
      </c>
      <c r="J18" s="7">
        <f t="shared" si="6"/>
        <v>0.14547306231271145</v>
      </c>
      <c r="K18" s="6">
        <f t="shared" si="7"/>
        <v>9.8432488885910434E-3</v>
      </c>
      <c r="L18" s="7">
        <f t="shared" si="0"/>
        <v>0.57294007392295165</v>
      </c>
      <c r="M18" s="7">
        <f t="shared" si="1"/>
        <v>0.64657115292549516</v>
      </c>
      <c r="N18" s="7">
        <f t="shared" si="2"/>
        <v>0.42705992607704835</v>
      </c>
      <c r="O18" s="7">
        <f t="shared" si="3"/>
        <v>0.35342884707450484</v>
      </c>
      <c r="P18" s="7">
        <f t="shared" si="4"/>
        <v>0.34557074319646247</v>
      </c>
    </row>
    <row r="19" spans="1:16" x14ac:dyDescent="0.25">
      <c r="A19" s="2">
        <f>'Raw data -- quarterly'!A63</f>
        <v>38412</v>
      </c>
      <c r="B19" s="7">
        <v>0.5</v>
      </c>
      <c r="C19" s="7">
        <f>'Raw data -- quarterly'!E63</f>
        <v>0.25962809700345429</v>
      </c>
      <c r="D19" s="7">
        <f>'Raw data -- quarterly'!F63</f>
        <v>0.22078295931215139</v>
      </c>
      <c r="E19" s="7">
        <f>'Raw data -- quarterly'!J63</f>
        <v>4.9333478522929387E-2</v>
      </c>
      <c r="F19" s="7">
        <f>'Raw data -- quarterly'!I63</f>
        <v>2.4926049441235509E-2</v>
      </c>
      <c r="G19" s="7">
        <f>'Raw data -- quarterly'!G63</f>
        <v>1.2827143485967946E-2</v>
      </c>
      <c r="H19" s="7">
        <f>'Raw data -- quarterly'!H63</f>
        <v>2.7843108424187638E-2</v>
      </c>
      <c r="I19" s="7">
        <f t="shared" si="5"/>
        <v>7.4259527964164893E-2</v>
      </c>
      <c r="J19" s="7">
        <f t="shared" si="6"/>
        <v>0.14667466492260653</v>
      </c>
      <c r="K19" s="6">
        <f t="shared" si="7"/>
        <v>9.3458538749921979E-3</v>
      </c>
      <c r="L19" s="7">
        <f t="shared" si="0"/>
        <v>0.57850290951428229</v>
      </c>
      <c r="M19" s="7">
        <f t="shared" si="1"/>
        <v>0.63900155581689477</v>
      </c>
      <c r="N19" s="7">
        <f t="shared" si="2"/>
        <v>0.42149709048571771</v>
      </c>
      <c r="O19" s="7">
        <f t="shared" si="3"/>
        <v>0.36099844418310523</v>
      </c>
      <c r="P19" s="7">
        <f t="shared" si="4"/>
        <v>0.33566129659838356</v>
      </c>
    </row>
    <row r="20" spans="1:16" x14ac:dyDescent="0.25">
      <c r="A20" s="2">
        <f>'Raw data -- quarterly'!A64</f>
        <v>38504</v>
      </c>
      <c r="B20" s="7">
        <v>0.5</v>
      </c>
      <c r="C20" s="7">
        <f>'Raw data -- quarterly'!E64</f>
        <v>0.26091078574503856</v>
      </c>
      <c r="D20" s="7">
        <f>'Raw data -- quarterly'!F64</f>
        <v>0.23038652416642891</v>
      </c>
      <c r="E20" s="7">
        <f>'Raw data -- quarterly'!J64</f>
        <v>5.1099924128514801E-2</v>
      </c>
      <c r="F20" s="7">
        <f>'Raw data -- quarterly'!I64</f>
        <v>2.5128052586250216E-2</v>
      </c>
      <c r="G20" s="7">
        <f>'Raw data -- quarterly'!G64</f>
        <v>1.240000314947527E-2</v>
      </c>
      <c r="H20" s="7">
        <f>'Raw data -- quarterly'!H64</f>
        <v>2.7437086311414241E-2</v>
      </c>
      <c r="I20" s="7">
        <f t="shared" si="5"/>
        <v>7.6227976714765014E-2</v>
      </c>
      <c r="J20" s="7">
        <f t="shared" si="6"/>
        <v>0.15444111745466851</v>
      </c>
      <c r="K20" s="6">
        <f t="shared" si="7"/>
        <v>9.0444555576556646E-3</v>
      </c>
      <c r="L20" s="7">
        <f t="shared" si="0"/>
        <v>0.57823810424983546</v>
      </c>
      <c r="M20" s="7">
        <f t="shared" si="1"/>
        <v>0.62816802748485057</v>
      </c>
      <c r="N20" s="7">
        <f t="shared" si="2"/>
        <v>0.42176189575016454</v>
      </c>
      <c r="O20" s="7">
        <f t="shared" si="3"/>
        <v>0.37183197251514943</v>
      </c>
      <c r="P20" s="7">
        <f t="shared" si="4"/>
        <v>0.32964344154477637</v>
      </c>
    </row>
    <row r="21" spans="1:16" x14ac:dyDescent="0.25">
      <c r="A21" s="2">
        <f>'Raw data -- quarterly'!A65</f>
        <v>38596</v>
      </c>
      <c r="B21" s="7">
        <v>0.5</v>
      </c>
      <c r="C21" s="7">
        <f>'Raw data -- quarterly'!E65</f>
        <v>0.2655456280938886</v>
      </c>
      <c r="D21" s="7">
        <f>'Raw data -- quarterly'!F65</f>
        <v>0.23869395310312122</v>
      </c>
      <c r="E21" s="7">
        <f>'Raw data -- quarterly'!J65</f>
        <v>5.1090164499654589E-2</v>
      </c>
      <c r="F21" s="7">
        <f>'Raw data -- quarterly'!I65</f>
        <v>2.5113343697283491E-2</v>
      </c>
      <c r="G21" s="7">
        <f>'Raw data -- quarterly'!G65</f>
        <v>1.2682226244374602E-2</v>
      </c>
      <c r="H21" s="7">
        <f>'Raw data -- quarterly'!H65</f>
        <v>2.7693338251720889E-2</v>
      </c>
      <c r="I21" s="7">
        <f t="shared" si="5"/>
        <v>7.620350819693808E-2</v>
      </c>
      <c r="J21" s="7">
        <f t="shared" si="6"/>
        <v>0.16003086495171756</v>
      </c>
      <c r="K21" s="6">
        <f t="shared" si="7"/>
        <v>9.1265131763125212E-3</v>
      </c>
      <c r="L21" s="7">
        <f t="shared" si="0"/>
        <v>0.58152037124826284</v>
      </c>
      <c r="M21" s="7">
        <f t="shared" si="1"/>
        <v>0.62396686009025371</v>
      </c>
      <c r="N21" s="7">
        <f t="shared" si="2"/>
        <v>0.41847962875173716</v>
      </c>
      <c r="O21" s="7">
        <f t="shared" si="3"/>
        <v>0.37603313990974629</v>
      </c>
      <c r="P21" s="7">
        <f t="shared" si="4"/>
        <v>0.32955626704719831</v>
      </c>
    </row>
    <row r="22" spans="1:16" x14ac:dyDescent="0.25">
      <c r="A22" s="2">
        <f>'Raw data -- quarterly'!A66</f>
        <v>38687</v>
      </c>
      <c r="B22" s="7">
        <v>0.5</v>
      </c>
      <c r="C22" s="7">
        <f>'Raw data -- quarterly'!E66</f>
        <v>0.26471384853410829</v>
      </c>
      <c r="D22" s="7">
        <f>'Raw data -- quarterly'!F66</f>
        <v>0.24504732410478458</v>
      </c>
      <c r="E22" s="7">
        <f>'Raw data -- quarterly'!J66</f>
        <v>4.9994934493318967E-2</v>
      </c>
      <c r="F22" s="7">
        <f>'Raw data -- quarterly'!I66</f>
        <v>2.5888078003177859E-2</v>
      </c>
      <c r="G22" s="7">
        <f>'Raw data -- quarterly'!G66</f>
        <v>1.2055325539838428E-2</v>
      </c>
      <c r="H22" s="7">
        <f>'Raw data -- quarterly'!H66</f>
        <v>2.8485335280420344E-2</v>
      </c>
      <c r="I22" s="7">
        <f t="shared" si="5"/>
        <v>7.5883012496496829E-2</v>
      </c>
      <c r="J22" s="7">
        <f t="shared" si="6"/>
        <v>0.16144752973463442</v>
      </c>
      <c r="K22" s="6">
        <f t="shared" si="7"/>
        <v>9.71799296608368E-3</v>
      </c>
      <c r="L22" s="7">
        <f t="shared" si="0"/>
        <v>0.55367423833714224</v>
      </c>
      <c r="M22" s="7">
        <f t="shared" si="1"/>
        <v>0.62115870192060541</v>
      </c>
      <c r="N22" s="7">
        <f t="shared" si="2"/>
        <v>0.44632576166285776</v>
      </c>
      <c r="O22" s="7">
        <f t="shared" si="3"/>
        <v>0.37884129807939459</v>
      </c>
      <c r="P22" s="7">
        <f t="shared" si="4"/>
        <v>0.34115775259150383</v>
      </c>
    </row>
    <row r="23" spans="1:16" x14ac:dyDescent="0.25">
      <c r="A23" s="2">
        <f>'Raw data -- quarterly'!A67</f>
        <v>38777</v>
      </c>
      <c r="B23" s="7">
        <v>0.5</v>
      </c>
      <c r="C23" s="7">
        <f>'Raw data -- quarterly'!E67</f>
        <v>0.26974072475078431</v>
      </c>
      <c r="D23" s="7">
        <f>'Raw data -- quarterly'!F67</f>
        <v>0.2422935659364864</v>
      </c>
      <c r="E23" s="7">
        <f>'Raw data -- quarterly'!J67</f>
        <v>5.1484596421336827E-2</v>
      </c>
      <c r="F23" s="7">
        <f>'Raw data -- quarterly'!I67</f>
        <v>2.4725397726619511E-2</v>
      </c>
      <c r="G23" s="7">
        <f>'Raw data -- quarterly'!G67</f>
        <v>1.1679471413711166E-2</v>
      </c>
      <c r="H23" s="7">
        <f>'Raw data -- quarterly'!H67</f>
        <v>2.7335865381688931E-2</v>
      </c>
      <c r="I23" s="7">
        <f t="shared" si="5"/>
        <v>7.6209994147956345E-2</v>
      </c>
      <c r="J23" s="7">
        <f t="shared" si="6"/>
        <v>0.16368439070482571</v>
      </c>
      <c r="K23" s="6">
        <f t="shared" si="7"/>
        <v>8.86878619162987E-3</v>
      </c>
      <c r="L23" s="7">
        <f t="shared" si="0"/>
        <v>0.56839230060437651</v>
      </c>
      <c r="M23" s="7">
        <f t="shared" si="1"/>
        <v>0.62234677948285688</v>
      </c>
      <c r="N23" s="7">
        <f t="shared" si="2"/>
        <v>0.43160769939562349</v>
      </c>
      <c r="O23" s="7">
        <f t="shared" si="3"/>
        <v>0.37765322051714312</v>
      </c>
      <c r="P23" s="7">
        <f t="shared" si="4"/>
        <v>0.32443773291225936</v>
      </c>
    </row>
    <row r="24" spans="1:16" x14ac:dyDescent="0.25">
      <c r="A24" s="2">
        <f>'Raw data -- quarterly'!A68</f>
        <v>38869</v>
      </c>
      <c r="B24" s="7">
        <v>0.5</v>
      </c>
      <c r="C24" s="7">
        <f>'Raw data -- quarterly'!E68</f>
        <v>0.28323850308809462</v>
      </c>
      <c r="D24" s="7">
        <f>'Raw data -- quarterly'!F68</f>
        <v>0.24618641446940173</v>
      </c>
      <c r="E24" s="7">
        <f>'Raw data -- quarterly'!J68</f>
        <v>5.2910785071853102E-2</v>
      </c>
      <c r="F24" s="7">
        <f>'Raw data -- quarterly'!I68</f>
        <v>2.4503658257418764E-2</v>
      </c>
      <c r="G24" s="7">
        <f>'Raw data -- quarterly'!G68</f>
        <v>1.2484316929108124E-2</v>
      </c>
      <c r="H24" s="7">
        <f>'Raw data -- quarterly'!H68</f>
        <v>2.8955867376168804E-2</v>
      </c>
      <c r="I24" s="7">
        <f t="shared" si="5"/>
        <v>7.7414443329271859E-2</v>
      </c>
      <c r="J24" s="7">
        <f t="shared" si="6"/>
        <v>0.16826209559108612</v>
      </c>
      <c r="K24" s="6">
        <f t="shared" si="7"/>
        <v>9.1652752150514615E-3</v>
      </c>
      <c r="L24" s="7">
        <f t="shared" si="0"/>
        <v>0.57665367762948927</v>
      </c>
      <c r="M24" s="7">
        <f t="shared" si="1"/>
        <v>0.62732697125248593</v>
      </c>
      <c r="N24" s="7">
        <f t="shared" si="2"/>
        <v>0.42334632237051073</v>
      </c>
      <c r="O24" s="7">
        <f t="shared" si="3"/>
        <v>0.37267302874751407</v>
      </c>
      <c r="P24" s="7">
        <f t="shared" si="4"/>
        <v>0.31652566631779255</v>
      </c>
    </row>
    <row r="25" spans="1:16" x14ac:dyDescent="0.25">
      <c r="A25" s="2">
        <f>'Raw data -- quarterly'!A69</f>
        <v>38961</v>
      </c>
      <c r="B25" s="7">
        <v>0.5</v>
      </c>
      <c r="C25" s="7">
        <f>'Raw data -- quarterly'!E69</f>
        <v>0.29001890629057453</v>
      </c>
      <c r="D25" s="7">
        <f>'Raw data -- quarterly'!F69</f>
        <v>0.24132224473046704</v>
      </c>
      <c r="E25" s="7">
        <f>'Raw data -- quarterly'!J69</f>
        <v>5.122493505229736E-2</v>
      </c>
      <c r="F25" s="7">
        <f>'Raw data -- quarterly'!I69</f>
        <v>2.4373703704600427E-2</v>
      </c>
      <c r="G25" s="7">
        <f>'Raw data -- quarterly'!G69</f>
        <v>1.2433627662252242E-2</v>
      </c>
      <c r="H25" s="7">
        <f>'Raw data -- quarterly'!H69</f>
        <v>2.8819320432490841E-2</v>
      </c>
      <c r="I25" s="7">
        <f t="shared" si="5"/>
        <v>7.559863875689779E-2</v>
      </c>
      <c r="J25" s="7">
        <f t="shared" si="6"/>
        <v>0.16351771032206414</v>
      </c>
      <c r="K25" s="6">
        <f t="shared" si="7"/>
        <v>9.2916167372838719E-3</v>
      </c>
      <c r="L25" s="7">
        <f t="shared" si="0"/>
        <v>0.57231244139733262</v>
      </c>
      <c r="M25" s="7">
        <f t="shared" si="1"/>
        <v>0.63946084101579148</v>
      </c>
      <c r="N25" s="7">
        <f t="shared" si="2"/>
        <v>0.42768755860266738</v>
      </c>
      <c r="O25" s="7">
        <f t="shared" si="3"/>
        <v>0.36053915898420852</v>
      </c>
      <c r="P25" s="7">
        <f t="shared" si="4"/>
        <v>0.32240929341305785</v>
      </c>
    </row>
    <row r="26" spans="1:16" x14ac:dyDescent="0.25">
      <c r="A26" s="2">
        <f>'Raw data -- quarterly'!A70</f>
        <v>39052</v>
      </c>
      <c r="B26" s="7">
        <v>0.5</v>
      </c>
      <c r="C26" s="7">
        <f>'Raw data -- quarterly'!E70</f>
        <v>0.28805355510680636</v>
      </c>
      <c r="D26" s="7">
        <f>'Raw data -- quarterly'!F70</f>
        <v>0.23600229088322591</v>
      </c>
      <c r="E26" s="7">
        <f>'Raw data -- quarterly'!J70</f>
        <v>5.4549470935003813E-2</v>
      </c>
      <c r="F26" s="7">
        <f>'Raw data -- quarterly'!I70</f>
        <v>2.2208050170412028E-2</v>
      </c>
      <c r="G26" s="7">
        <f>'Raw data -- quarterly'!G70</f>
        <v>1.2355486313480877E-2</v>
      </c>
      <c r="H26" s="7">
        <f>'Raw data -- quarterly'!H70</f>
        <v>2.8038588875936517E-2</v>
      </c>
      <c r="I26" s="7">
        <f t="shared" si="5"/>
        <v>7.6757521105415838E-2</v>
      </c>
      <c r="J26" s="7">
        <f t="shared" si="6"/>
        <v>0.16772037347908178</v>
      </c>
      <c r="K26" s="6">
        <f t="shared" si="7"/>
        <v>8.1123306159039017E-3</v>
      </c>
      <c r="L26" s="7">
        <f t="shared" si="0"/>
        <v>0.60365432992233914</v>
      </c>
      <c r="M26" s="7">
        <f t="shared" si="1"/>
        <v>0.6320097246469073</v>
      </c>
      <c r="N26" s="7">
        <f t="shared" si="2"/>
        <v>0.39634567007766086</v>
      </c>
      <c r="O26" s="7">
        <f t="shared" si="3"/>
        <v>0.3679902753530927</v>
      </c>
      <c r="P26" s="7">
        <f t="shared" si="4"/>
        <v>0.28932734995326831</v>
      </c>
    </row>
    <row r="27" spans="1:16" x14ac:dyDescent="0.25">
      <c r="A27" s="2">
        <f>'Raw data -- quarterly'!A71</f>
        <v>39142</v>
      </c>
      <c r="B27" s="7">
        <v>0.5</v>
      </c>
      <c r="C27" s="7">
        <f>'Raw data -- quarterly'!E71</f>
        <v>0.295896268594525</v>
      </c>
      <c r="D27" s="7">
        <f>'Raw data -- quarterly'!F71</f>
        <v>0.23610194499226086</v>
      </c>
      <c r="E27" s="7">
        <f>'Raw data -- quarterly'!J71</f>
        <v>5.2320688596210828E-2</v>
      </c>
      <c r="F27" s="7">
        <f>'Raw data -- quarterly'!I71</f>
        <v>2.365527403124516E-2</v>
      </c>
      <c r="G27" s="7">
        <f>'Raw data -- quarterly'!G71</f>
        <v>1.2443786959700482E-2</v>
      </c>
      <c r="H27" s="7">
        <f>'Raw data -- quarterly'!H71</f>
        <v>2.9236104677211824E-2</v>
      </c>
      <c r="I27" s="7">
        <f t="shared" si="5"/>
        <v>7.5975962627455984E-2</v>
      </c>
      <c r="J27" s="7">
        <f t="shared" si="6"/>
        <v>0.16259111321132086</v>
      </c>
      <c r="K27" s="6">
        <f t="shared" si="7"/>
        <v>9.1027220166564875E-3</v>
      </c>
      <c r="L27" s="7">
        <f t="shared" si="0"/>
        <v>0.57753146801438116</v>
      </c>
      <c r="M27" s="7">
        <f t="shared" si="1"/>
        <v>0.64537494451663491</v>
      </c>
      <c r="N27" s="7">
        <f t="shared" si="2"/>
        <v>0.42246853198561884</v>
      </c>
      <c r="O27" s="7">
        <f t="shared" si="3"/>
        <v>0.35462505548336509</v>
      </c>
      <c r="P27" s="7">
        <f t="shared" si="4"/>
        <v>0.3113520804894242</v>
      </c>
    </row>
    <row r="28" spans="1:16" x14ac:dyDescent="0.25">
      <c r="A28" s="2">
        <f>'Raw data -- quarterly'!A72</f>
        <v>39234</v>
      </c>
      <c r="B28" s="7">
        <v>0.5</v>
      </c>
      <c r="C28" s="7">
        <f>'Raw data -- quarterly'!E72</f>
        <v>0.27442764386934332</v>
      </c>
      <c r="D28" s="7">
        <f>'Raw data -- quarterly'!F72</f>
        <v>0.22897292679034689</v>
      </c>
      <c r="E28" s="7">
        <f>'Raw data -- quarterly'!J72</f>
        <v>4.93880505961189E-2</v>
      </c>
      <c r="F28" s="7">
        <f>'Raw data -- quarterly'!I72</f>
        <v>2.1967059180007537E-2</v>
      </c>
      <c r="G28" s="7">
        <f>'Raw data -- quarterly'!G72</f>
        <v>1.1989023108182119E-2</v>
      </c>
      <c r="H28" s="7">
        <f>'Raw data -- quarterly'!H72</f>
        <v>2.8543608605287249E-2</v>
      </c>
      <c r="I28" s="7">
        <f t="shared" si="5"/>
        <v>7.1355109776126441E-2</v>
      </c>
      <c r="J28" s="7">
        <f t="shared" si="6"/>
        <v>0.15848236417746522</v>
      </c>
      <c r="K28" s="6">
        <f t="shared" si="7"/>
        <v>8.7873053718305911E-3</v>
      </c>
      <c r="L28" s="7">
        <f t="shared" si="0"/>
        <v>0.57705205805327087</v>
      </c>
      <c r="M28" s="7">
        <f t="shared" si="1"/>
        <v>0.63391383605913476</v>
      </c>
      <c r="N28" s="7">
        <f t="shared" si="2"/>
        <v>0.42294794194672913</v>
      </c>
      <c r="O28" s="7">
        <f t="shared" si="3"/>
        <v>0.36608616394086524</v>
      </c>
      <c r="P28" s="7">
        <f t="shared" si="4"/>
        <v>0.30785544649750007</v>
      </c>
    </row>
    <row r="29" spans="1:16" x14ac:dyDescent="0.25">
      <c r="A29" s="2">
        <f>'Raw data -- quarterly'!A73</f>
        <v>39326</v>
      </c>
      <c r="B29" s="7">
        <v>0.5</v>
      </c>
      <c r="C29" s="7">
        <f>'Raw data -- quarterly'!E73</f>
        <v>0.27292599731485839</v>
      </c>
      <c r="D29" s="7">
        <f>'Raw data -- quarterly'!F73</f>
        <v>0.22554065315422664</v>
      </c>
      <c r="E29" s="7">
        <f>'Raw data -- quarterly'!J73</f>
        <v>4.9217476593657807E-2</v>
      </c>
      <c r="F29" s="7">
        <f>'Raw data -- quarterly'!I73</f>
        <v>2.2439296871161623E-2</v>
      </c>
      <c r="G29" s="7">
        <f>'Raw data -- quarterly'!G73</f>
        <v>1.2228856775586184E-2</v>
      </c>
      <c r="H29" s="7">
        <f>'Raw data -- quarterly'!H73</f>
        <v>2.7635141606579348E-2</v>
      </c>
      <c r="I29" s="7">
        <f t="shared" si="5"/>
        <v>7.1656773464819426E-2</v>
      </c>
      <c r="J29" s="7">
        <f t="shared" si="6"/>
        <v>0.15491266604386478</v>
      </c>
      <c r="K29" s="6">
        <f t="shared" si="7"/>
        <v>8.6539362101068478E-3</v>
      </c>
      <c r="L29" s="7">
        <f t="shared" si="0"/>
        <v>0.58559488589310205</v>
      </c>
      <c r="M29" s="7">
        <f t="shared" si="1"/>
        <v>0.63791803006364201</v>
      </c>
      <c r="N29" s="7">
        <f t="shared" si="2"/>
        <v>0.41440511410689795</v>
      </c>
      <c r="O29" s="7">
        <f t="shared" si="3"/>
        <v>0.36208196993635799</v>
      </c>
      <c r="P29" s="7">
        <f t="shared" si="4"/>
        <v>0.31314969661840009</v>
      </c>
    </row>
    <row r="30" spans="1:16" x14ac:dyDescent="0.25">
      <c r="A30" s="2">
        <f>'Raw data -- quarterly'!A74</f>
        <v>39417</v>
      </c>
      <c r="B30" s="7">
        <v>0.5</v>
      </c>
      <c r="C30" s="7">
        <f>'Raw data -- quarterly'!E74</f>
        <v>0.26857406470441852</v>
      </c>
      <c r="D30" s="7">
        <f>'Raw data -- quarterly'!F74</f>
        <v>0.22314389213564234</v>
      </c>
      <c r="E30" s="7">
        <f>'Raw data -- quarterly'!J74</f>
        <v>4.8801790552418157E-2</v>
      </c>
      <c r="F30" s="7">
        <f>'Raw data -- quarterly'!I74</f>
        <v>2.3770578965666814E-2</v>
      </c>
      <c r="G30" s="7">
        <f>'Raw data -- quarterly'!G74</f>
        <v>1.2326555465997752E-2</v>
      </c>
      <c r="H30" s="7">
        <f>'Raw data -- quarterly'!H74</f>
        <v>2.782277417399422E-2</v>
      </c>
      <c r="I30" s="7">
        <f t="shared" si="5"/>
        <v>7.2572369518084975E-2</v>
      </c>
      <c r="J30" s="7">
        <f t="shared" si="6"/>
        <v>0.15005464971543023</v>
      </c>
      <c r="K30" s="6">
        <f t="shared" si="7"/>
        <v>9.1131577339779932E-3</v>
      </c>
      <c r="L30" s="7">
        <f t="shared" si="0"/>
        <v>0.57494031524692679</v>
      </c>
      <c r="M30" s="7">
        <f t="shared" si="1"/>
        <v>0.64155671948260518</v>
      </c>
      <c r="N30" s="7">
        <f t="shared" si="2"/>
        <v>0.42505968475307321</v>
      </c>
      <c r="O30" s="7">
        <f t="shared" si="3"/>
        <v>0.35844328051739482</v>
      </c>
      <c r="P30" s="7">
        <f t="shared" si="4"/>
        <v>0.32754310109363599</v>
      </c>
    </row>
    <row r="31" spans="1:16" x14ac:dyDescent="0.25">
      <c r="A31" s="2">
        <f>'Raw data -- quarterly'!A75</f>
        <v>39508</v>
      </c>
      <c r="B31" s="7">
        <v>0.5</v>
      </c>
      <c r="C31" s="7">
        <f>'Raw data -- quarterly'!E75</f>
        <v>0.26266299448008334</v>
      </c>
      <c r="D31" s="7">
        <f>'Raw data -- quarterly'!F75</f>
        <v>0.22568337144288222</v>
      </c>
      <c r="E31" s="7">
        <f>'Raw data -- quarterly'!J75</f>
        <v>4.8312911824567449E-2</v>
      </c>
      <c r="F31" s="7">
        <f>'Raw data -- quarterly'!I75</f>
        <v>2.394444757410269E-2</v>
      </c>
      <c r="G31" s="7">
        <f>'Raw data -- quarterly'!G75</f>
        <v>1.2766770945466412E-2</v>
      </c>
      <c r="H31" s="7">
        <f>'Raw data -- quarterly'!H75</f>
        <v>2.651495017515532E-2</v>
      </c>
      <c r="I31" s="7">
        <f t="shared" si="5"/>
        <v>7.2257359398670146E-2</v>
      </c>
      <c r="J31" s="7">
        <f t="shared" si="6"/>
        <v>0.15089702855916631</v>
      </c>
      <c r="K31" s="6">
        <f t="shared" si="7"/>
        <v>8.7864521992293589E-3</v>
      </c>
      <c r="L31" s="7">
        <f t="shared" si="0"/>
        <v>0.59233697251486495</v>
      </c>
      <c r="M31" s="7">
        <f t="shared" si="1"/>
        <v>0.63512665598036988</v>
      </c>
      <c r="N31" s="7">
        <f t="shared" si="2"/>
        <v>0.40766302748513505</v>
      </c>
      <c r="O31" s="7">
        <f t="shared" si="3"/>
        <v>0.36487334401963012</v>
      </c>
      <c r="P31" s="7">
        <f t="shared" si="4"/>
        <v>0.33137728493498442</v>
      </c>
    </row>
    <row r="32" spans="1:16" x14ac:dyDescent="0.25">
      <c r="A32" s="2">
        <f>'Raw data -- quarterly'!A76</f>
        <v>39600</v>
      </c>
      <c r="B32" s="7">
        <v>0.5</v>
      </c>
      <c r="C32" s="7">
        <f>'Raw data -- quarterly'!E76</f>
        <v>0.25340594990686638</v>
      </c>
      <c r="D32" s="7">
        <f>'Raw data -- quarterly'!F76</f>
        <v>0.22612297717128382</v>
      </c>
      <c r="E32" s="7">
        <f>'Raw data -- quarterly'!J76</f>
        <v>4.6984587695871882E-2</v>
      </c>
      <c r="F32" s="7">
        <f>'Raw data -- quarterly'!I76</f>
        <v>2.5924753100892688E-2</v>
      </c>
      <c r="G32" s="7">
        <f>'Raw data -- quarterly'!G76</f>
        <v>1.3614785007292589E-2</v>
      </c>
      <c r="H32" s="7">
        <f>'Raw data -- quarterly'!H76</f>
        <v>2.6787224525104528E-2</v>
      </c>
      <c r="I32" s="7">
        <f t="shared" si="5"/>
        <v>7.2909340796764574E-2</v>
      </c>
      <c r="J32" s="7">
        <f t="shared" si="6"/>
        <v>0.14571925537732039</v>
      </c>
      <c r="K32" s="6">
        <f t="shared" si="7"/>
        <v>9.5248725949573978E-3</v>
      </c>
      <c r="L32" s="7">
        <f t="shared" si="0"/>
        <v>0.58837452313766103</v>
      </c>
      <c r="M32" s="7">
        <f t="shared" si="1"/>
        <v>0.63490340011584889</v>
      </c>
      <c r="N32" s="7">
        <f t="shared" si="2"/>
        <v>0.41162547686233897</v>
      </c>
      <c r="O32" s="7">
        <f t="shared" si="3"/>
        <v>0.36509659988415111</v>
      </c>
      <c r="P32" s="7">
        <f t="shared" si="4"/>
        <v>0.35557519540820104</v>
      </c>
    </row>
    <row r="33" spans="1:16" x14ac:dyDescent="0.25">
      <c r="A33" s="2">
        <f>'Raw data -- quarterly'!A77</f>
        <v>39692</v>
      </c>
      <c r="B33" s="7">
        <v>0.5</v>
      </c>
      <c r="C33" s="7">
        <f>'Raw data -- quarterly'!E77</f>
        <v>0.23859262033057449</v>
      </c>
      <c r="D33" s="7">
        <f>'Raw data -- quarterly'!F77</f>
        <v>0.21290848500197057</v>
      </c>
      <c r="E33" s="7">
        <f>'Raw data -- quarterly'!J77</f>
        <v>4.5695380937607007E-2</v>
      </c>
      <c r="F33" s="7">
        <f>'Raw data -- quarterly'!I77</f>
        <v>2.7806792097889724E-2</v>
      </c>
      <c r="G33" s="7">
        <f>'Raw data -- quarterly'!G77</f>
        <v>1.4652177138993699E-2</v>
      </c>
      <c r="H33" s="7">
        <f>'Raw data -- quarterly'!H77</f>
        <v>2.6746342815849533E-2</v>
      </c>
      <c r="I33" s="7">
        <f t="shared" si="5"/>
        <v>7.3502173035496735E-2</v>
      </c>
      <c r="J33" s="7">
        <f t="shared" si="6"/>
        <v>0.13236254011586018</v>
      </c>
      <c r="K33" s="6">
        <f t="shared" si="7"/>
        <v>1.0118476275525101E-2</v>
      </c>
      <c r="L33" s="7">
        <f t="shared" si="0"/>
        <v>0.59151355007880546</v>
      </c>
      <c r="M33" s="7">
        <f t="shared" si="1"/>
        <v>0.64318452948176974</v>
      </c>
      <c r="N33" s="7">
        <f t="shared" si="2"/>
        <v>0.40848644992119454</v>
      </c>
      <c r="O33" s="7">
        <f t="shared" si="3"/>
        <v>0.35681547051823026</v>
      </c>
      <c r="P33" s="7">
        <f t="shared" si="4"/>
        <v>0.37831251716137515</v>
      </c>
    </row>
    <row r="34" spans="1:16" x14ac:dyDescent="0.25">
      <c r="A34" s="2">
        <f>'Raw data -- quarterly'!A78</f>
        <v>39783</v>
      </c>
      <c r="B34" s="7">
        <v>0.5</v>
      </c>
      <c r="C34" s="7">
        <f>'Raw data -- quarterly'!E78</f>
        <v>0.21031332701431502</v>
      </c>
      <c r="D34" s="7">
        <f>'Raw data -- quarterly'!F78</f>
        <v>0.21015917303846102</v>
      </c>
      <c r="E34" s="7">
        <f>'Raw data -- quarterly'!J78</f>
        <v>4.3442385700204228E-2</v>
      </c>
      <c r="F34" s="7">
        <f>'Raw data -- quarterly'!I78</f>
        <v>2.9456177156411661E-2</v>
      </c>
      <c r="G34" s="7">
        <f>'Raw data -- quarterly'!G78</f>
        <v>1.6786151913764338E-2</v>
      </c>
      <c r="H34" s="7">
        <f>'Raw data -- quarterly'!H78</f>
        <v>2.6188652043015719E-2</v>
      </c>
      <c r="I34" s="7">
        <f t="shared" si="5"/>
        <v>7.2898562856615889E-2</v>
      </c>
      <c r="J34" s="7">
        <f t="shared" si="6"/>
        <v>0.1252399978245142</v>
      </c>
      <c r="K34" s="6">
        <f t="shared" si="7"/>
        <v>1.0582068340414251E-2</v>
      </c>
      <c r="L34" s="7">
        <f t="shared" si="0"/>
        <v>0.61334466610781624</v>
      </c>
      <c r="M34" s="7">
        <f t="shared" si="1"/>
        <v>0.62676573720534978</v>
      </c>
      <c r="N34" s="7">
        <f t="shared" si="2"/>
        <v>0.38665533389218376</v>
      </c>
      <c r="O34" s="7">
        <f t="shared" si="3"/>
        <v>0.37323426279465022</v>
      </c>
      <c r="P34" s="7">
        <f t="shared" si="4"/>
        <v>0.40407075259287328</v>
      </c>
    </row>
    <row r="35" spans="1:16" x14ac:dyDescent="0.25">
      <c r="A35" s="2">
        <f>'Raw data -- quarterly'!A79</f>
        <v>39873</v>
      </c>
      <c r="B35" s="7">
        <v>0.5</v>
      </c>
      <c r="C35" s="7">
        <f>'Raw data -- quarterly'!E79</f>
        <v>0.18669636141181015</v>
      </c>
      <c r="D35" s="7">
        <f>'Raw data -- quarterly'!F79</f>
        <v>0.19440505074017911</v>
      </c>
      <c r="E35" s="7">
        <f>'Raw data -- quarterly'!J79</f>
        <v>4.3240457006515416E-2</v>
      </c>
      <c r="F35" s="7">
        <f>'Raw data -- quarterly'!I79</f>
        <v>3.1723110987201437E-2</v>
      </c>
      <c r="G35" s="7">
        <f>'Raw data -- quarterly'!G79</f>
        <v>1.9293960826636897E-2</v>
      </c>
      <c r="H35" s="7">
        <f>'Raw data -- quarterly'!H79</f>
        <v>2.6657682200605909E-2</v>
      </c>
      <c r="I35" s="7">
        <f t="shared" si="5"/>
        <v>7.4963567993716854E-2</v>
      </c>
      <c r="J35" s="7">
        <f t="shared" si="6"/>
        <v>0.11213664801927162</v>
      </c>
      <c r="K35" s="6">
        <f t="shared" si="7"/>
        <v>1.1281008011548299E-2</v>
      </c>
      <c r="L35" s="7">
        <f t="shared" si="0"/>
        <v>0.63103779201699772</v>
      </c>
      <c r="M35" s="7">
        <f t="shared" si="1"/>
        <v>0.62475146827735883</v>
      </c>
      <c r="N35" s="7">
        <f t="shared" si="2"/>
        <v>0.36896220798300228</v>
      </c>
      <c r="O35" s="7">
        <f t="shared" si="3"/>
        <v>0.37524853172264117</v>
      </c>
      <c r="P35" s="7">
        <f t="shared" si="4"/>
        <v>0.42318037729821428</v>
      </c>
    </row>
    <row r="36" spans="1:16" x14ac:dyDescent="0.25">
      <c r="A36" s="2">
        <f>'Raw data -- quarterly'!A80</f>
        <v>39965</v>
      </c>
      <c r="B36" s="7">
        <v>0.5</v>
      </c>
      <c r="C36" s="7">
        <f>'Raw data -- quarterly'!E80</f>
        <v>0.17657126939789256</v>
      </c>
      <c r="D36" s="7">
        <f>'Raw data -- quarterly'!F80</f>
        <v>0.18136711643752956</v>
      </c>
      <c r="E36" s="7">
        <f>'Raw data -- quarterly'!J80</f>
        <v>4.2336142518488634E-2</v>
      </c>
      <c r="F36" s="7">
        <f>'Raw data -- quarterly'!I80</f>
        <v>3.4853118670731369E-2</v>
      </c>
      <c r="G36" s="7">
        <f>'Raw data -- quarterly'!G80</f>
        <v>1.8241509842731807E-2</v>
      </c>
      <c r="H36" s="7">
        <f>'Raw data -- quarterly'!H80</f>
        <v>2.5558580783481815E-2</v>
      </c>
      <c r="I36" s="7">
        <f t="shared" si="5"/>
        <v>7.718926118922001E-2</v>
      </c>
      <c r="J36" s="7">
        <f t="shared" si="6"/>
        <v>9.9474771119313563E-2</v>
      </c>
      <c r="K36" s="6">
        <f t="shared" si="7"/>
        <v>1.1540416832316715E-2</v>
      </c>
      <c r="L36" s="7">
        <f t="shared" si="0"/>
        <v>0.61250267794174151</v>
      </c>
      <c r="M36" s="7">
        <f t="shared" si="1"/>
        <v>0.63964427479946695</v>
      </c>
      <c r="N36" s="7">
        <f t="shared" si="2"/>
        <v>0.38749732205825849</v>
      </c>
      <c r="O36" s="7">
        <f t="shared" si="3"/>
        <v>0.36035572520053305</v>
      </c>
      <c r="P36" s="7">
        <f t="shared" si="4"/>
        <v>0.45152807701181674</v>
      </c>
    </row>
    <row r="37" spans="1:16" x14ac:dyDescent="0.25">
      <c r="A37" s="2">
        <f>'Raw data -- quarterly'!A81</f>
        <v>40057</v>
      </c>
      <c r="B37" s="7">
        <v>0.5</v>
      </c>
      <c r="C37" s="7">
        <f>'Raw data -- quarterly'!E81</f>
        <v>0.17121704576549659</v>
      </c>
      <c r="D37" s="7">
        <f>'Raw data -- quarterly'!F81</f>
        <v>0.18823199777518637</v>
      </c>
      <c r="E37" s="7">
        <f>'Raw data -- quarterly'!J81</f>
        <v>4.0503323430812234E-2</v>
      </c>
      <c r="F37" s="7">
        <f>'Raw data -- quarterly'!I81</f>
        <v>3.4626339772977216E-2</v>
      </c>
      <c r="G37" s="7">
        <f>'Raw data -- quarterly'!G81</f>
        <v>1.8270357356839045E-2</v>
      </c>
      <c r="H37" s="7">
        <f>'Raw data -- quarterly'!H81</f>
        <v>2.6459244043914087E-2</v>
      </c>
      <c r="I37" s="7">
        <f t="shared" si="5"/>
        <v>7.5129663203789443E-2</v>
      </c>
      <c r="J37" s="7">
        <f t="shared" si="6"/>
        <v>0.10147817999977081</v>
      </c>
      <c r="K37" s="6">
        <f t="shared" si="7"/>
        <v>1.2194740869735213E-2</v>
      </c>
      <c r="L37" s="7">
        <f t="shared" si="0"/>
        <v>0.59971437547843121</v>
      </c>
      <c r="M37" s="7">
        <f t="shared" si="1"/>
        <v>0.62786961262342766</v>
      </c>
      <c r="N37" s="7">
        <f t="shared" si="2"/>
        <v>0.40028562452156879</v>
      </c>
      <c r="O37" s="7">
        <f t="shared" si="3"/>
        <v>0.37213038737657234</v>
      </c>
      <c r="P37" s="7">
        <f t="shared" si="4"/>
        <v>0.46088772791451443</v>
      </c>
    </row>
    <row r="38" spans="1:16" x14ac:dyDescent="0.25">
      <c r="A38" s="2">
        <f>'Raw data -- quarterly'!A82</f>
        <v>40148</v>
      </c>
      <c r="B38" s="7">
        <v>0.5</v>
      </c>
      <c r="C38" s="7">
        <f>'Raw data -- quarterly'!E82</f>
        <v>0.1589677551410443</v>
      </c>
      <c r="D38" s="7">
        <f>'Raw data -- quarterly'!F82</f>
        <v>0.18652854841752772</v>
      </c>
      <c r="E38" s="7">
        <f>'Raw data -- quarterly'!J82</f>
        <v>3.9634833094557807E-2</v>
      </c>
      <c r="F38" s="7">
        <f>'Raw data -- quarterly'!I82</f>
        <v>3.4760286735418471E-2</v>
      </c>
      <c r="G38" s="7">
        <f>'Raw data -- quarterly'!G82</f>
        <v>1.7270378037682544E-2</v>
      </c>
      <c r="H38" s="7">
        <f>'Raw data -- quarterly'!H82</f>
        <v>2.6097097846457942E-2</v>
      </c>
      <c r="I38" s="7">
        <f t="shared" si="5"/>
        <v>7.4395119829976278E-2</v>
      </c>
      <c r="J38" s="7">
        <f t="shared" si="6"/>
        <v>9.9375172737069209E-2</v>
      </c>
      <c r="K38" s="6">
        <f t="shared" si="7"/>
        <v>1.2193576758507107E-2</v>
      </c>
      <c r="L38" s="7">
        <f t="shared" si="0"/>
        <v>0.58615274687822938</v>
      </c>
      <c r="M38" s="7">
        <f t="shared" si="1"/>
        <v>0.61533619846580612</v>
      </c>
      <c r="N38" s="7">
        <f t="shared" si="2"/>
        <v>0.41384725312177062</v>
      </c>
      <c r="O38" s="7">
        <f t="shared" si="3"/>
        <v>0.38466380153419388</v>
      </c>
      <c r="P38" s="7">
        <f t="shared" si="4"/>
        <v>0.46723880295992737</v>
      </c>
    </row>
    <row r="39" spans="1:16" x14ac:dyDescent="0.25">
      <c r="A39" s="2">
        <f>'Raw data -- quarterly'!A83</f>
        <v>40238</v>
      </c>
      <c r="B39" s="7">
        <v>0.5</v>
      </c>
      <c r="C39" s="7">
        <f>'Raw data -- quarterly'!E83</f>
        <v>0.16864338449242164</v>
      </c>
      <c r="D39" s="7">
        <f>'Raw data -- quarterly'!F83</f>
        <v>0.18740989422817131</v>
      </c>
      <c r="E39" s="7">
        <f>'Raw data -- quarterly'!J83</f>
        <v>4.3309445595944678E-2</v>
      </c>
      <c r="F39" s="7">
        <f>'Raw data -- quarterly'!I83</f>
        <v>3.7030759223550945E-2</v>
      </c>
      <c r="G39" s="7">
        <f>'Raw data -- quarterly'!G83</f>
        <v>1.658643391925323E-2</v>
      </c>
      <c r="H39" s="7">
        <f>'Raw data -- quarterly'!H83</f>
        <v>2.593288079914971E-2</v>
      </c>
      <c r="I39" s="7">
        <f t="shared" si="5"/>
        <v>8.0340204819495623E-2</v>
      </c>
      <c r="J39" s="7">
        <f t="shared" si="6"/>
        <v>0.1010281046264787</v>
      </c>
      <c r="K39" s="6">
        <f t="shared" si="7"/>
        <v>1.1953097045295649E-2</v>
      </c>
      <c r="L39" s="7">
        <f t="shared" si="0"/>
        <v>0.58117401928772061</v>
      </c>
      <c r="M39" s="7">
        <f t="shared" si="1"/>
        <v>0.62536601493703114</v>
      </c>
      <c r="N39" s="7">
        <f t="shared" si="2"/>
        <v>0.41882598071227939</v>
      </c>
      <c r="O39" s="7">
        <f t="shared" si="3"/>
        <v>0.37463398506296886</v>
      </c>
      <c r="P39" s="7">
        <f t="shared" si="4"/>
        <v>0.46092438159387089</v>
      </c>
    </row>
    <row r="40" spans="1:16" x14ac:dyDescent="0.25">
      <c r="A40" s="2">
        <f>'Raw data -- quarterly'!A84</f>
        <v>40330</v>
      </c>
      <c r="B40" s="7">
        <v>0.5</v>
      </c>
      <c r="C40" s="7">
        <f>'Raw data -- quarterly'!E84</f>
        <v>0.1724699823418849</v>
      </c>
      <c r="D40" s="7">
        <f>'Raw data -- quarterly'!F84</f>
        <v>0.19398861544249299</v>
      </c>
      <c r="E40" s="7">
        <f>'Raw data -- quarterly'!J84</f>
        <v>4.0706392214748012E-2</v>
      </c>
      <c r="F40" s="7">
        <f>'Raw data -- quarterly'!I84</f>
        <v>3.6311306139039067E-2</v>
      </c>
      <c r="G40" s="7">
        <f>'Raw data -- quarterly'!G84</f>
        <v>1.6311363290553407E-2</v>
      </c>
      <c r="H40" s="7">
        <f>'Raw data -- quarterly'!H84</f>
        <v>2.6103465520545443E-2</v>
      </c>
      <c r="I40" s="7">
        <f t="shared" si="5"/>
        <v>7.7017698353787079E-2</v>
      </c>
      <c r="J40" s="7">
        <f t="shared" si="6"/>
        <v>0.1025293774571719</v>
      </c>
      <c r="K40" s="6">
        <f t="shared" si="7"/>
        <v>1.2306923578167005E-2</v>
      </c>
      <c r="L40" s="7">
        <f t="shared" si="0"/>
        <v>0.56996295289714261</v>
      </c>
      <c r="M40" s="7">
        <f t="shared" si="1"/>
        <v>0.62716503219465469</v>
      </c>
      <c r="N40" s="7">
        <f t="shared" si="2"/>
        <v>0.43003704710285739</v>
      </c>
      <c r="O40" s="7">
        <f t="shared" si="3"/>
        <v>0.37283496780534531</v>
      </c>
      <c r="P40" s="7">
        <f t="shared" si="4"/>
        <v>0.47146703829345976</v>
      </c>
    </row>
    <row r="41" spans="1:16" x14ac:dyDescent="0.25">
      <c r="A41" s="2">
        <f>'Raw data -- quarterly'!A85</f>
        <v>40422</v>
      </c>
      <c r="B41" s="7">
        <v>0.5</v>
      </c>
      <c r="C41" s="7">
        <f>'Raw data -- quarterly'!E85</f>
        <v>0.16782521161865546</v>
      </c>
      <c r="D41" s="7">
        <f>'Raw data -- quarterly'!F85</f>
        <v>0.19877689891257011</v>
      </c>
      <c r="E41" s="7">
        <f>'Raw data -- quarterly'!J85</f>
        <v>4.1426217795446564E-2</v>
      </c>
      <c r="F41" s="7">
        <f>'Raw data -- quarterly'!I85</f>
        <v>3.6127918802204256E-2</v>
      </c>
      <c r="G41" s="7">
        <f>'Raw data -- quarterly'!G85</f>
        <v>1.6659867102592023E-2</v>
      </c>
      <c r="H41" s="7">
        <f>'Raw data -- quarterly'!H85</f>
        <v>2.549081538149044E-2</v>
      </c>
      <c r="I41" s="7">
        <f t="shared" si="5"/>
        <v>7.7554136597650813E-2</v>
      </c>
      <c r="J41" s="7">
        <f t="shared" si="6"/>
        <v>0.10617841250398276</v>
      </c>
      <c r="K41" s="6">
        <f t="shared" si="7"/>
        <v>1.1874674243132013E-2</v>
      </c>
      <c r="L41" s="7">
        <f t="shared" si="0"/>
        <v>0.5838491287012938</v>
      </c>
      <c r="M41" s="7">
        <f t="shared" si="1"/>
        <v>0.61249267105876104</v>
      </c>
      <c r="N41" s="7">
        <f t="shared" si="2"/>
        <v>0.4161508712987062</v>
      </c>
      <c r="O41" s="7">
        <f t="shared" si="3"/>
        <v>0.38750732894123896</v>
      </c>
      <c r="P41" s="7">
        <f t="shared" si="4"/>
        <v>0.46584128696622745</v>
      </c>
    </row>
    <row r="42" spans="1:16" x14ac:dyDescent="0.25">
      <c r="A42" s="2">
        <f>'Raw data -- quarterly'!A86</f>
        <v>40513</v>
      </c>
      <c r="B42" s="7">
        <v>0.5</v>
      </c>
      <c r="C42" s="7">
        <f>'Raw data -- quarterly'!E86</f>
        <v>0.16936101172198134</v>
      </c>
      <c r="D42" s="7">
        <f>'Raw data -- quarterly'!F86</f>
        <v>0.19983853422652909</v>
      </c>
      <c r="E42" s="7">
        <f>'Raw data -- quarterly'!J86</f>
        <v>4.1416789800838155E-2</v>
      </c>
      <c r="F42" s="7">
        <f>'Raw data -- quarterly'!I86</f>
        <v>3.5584396480559111E-2</v>
      </c>
      <c r="G42" s="7">
        <f>'Raw data -- quarterly'!G86</f>
        <v>1.6830275787102913E-2</v>
      </c>
      <c r="H42" s="7">
        <f>'Raw data -- quarterly'!H86</f>
        <v>2.6957305473928387E-2</v>
      </c>
      <c r="I42" s="7">
        <f t="shared" si="5"/>
        <v>7.7001186281397266E-2</v>
      </c>
      <c r="J42" s="7">
        <f t="shared" si="6"/>
        <v>0.10748757215143476</v>
      </c>
      <c r="K42" s="6">
        <f t="shared" si="7"/>
        <v>1.2457722956711926E-2</v>
      </c>
      <c r="L42" s="7">
        <f t="shared" si="0"/>
        <v>0.57464751806086445</v>
      </c>
      <c r="M42" s="7">
        <f t="shared" si="1"/>
        <v>0.61174599252932615</v>
      </c>
      <c r="N42" s="7">
        <f t="shared" si="2"/>
        <v>0.42535248193913555</v>
      </c>
      <c r="O42" s="7">
        <f t="shared" si="3"/>
        <v>0.38825400747067385</v>
      </c>
      <c r="P42" s="7">
        <f t="shared" si="4"/>
        <v>0.4621278995692038</v>
      </c>
    </row>
    <row r="43" spans="1:16" x14ac:dyDescent="0.25">
      <c r="A43" s="2">
        <f>'Raw data -- quarterly'!A87</f>
        <v>40603</v>
      </c>
      <c r="B43" s="7">
        <v>0.5</v>
      </c>
      <c r="C43" s="7">
        <f>'Raw data -- quarterly'!E87</f>
        <v>0.16746727925683438</v>
      </c>
      <c r="D43" s="7">
        <f>'Raw data -- quarterly'!F87</f>
        <v>0.20676418852210224</v>
      </c>
      <c r="E43" s="7">
        <f>'Raw data -- quarterly'!J87</f>
        <v>4.1650960951943601E-2</v>
      </c>
      <c r="F43" s="7">
        <f>'Raw data -- quarterly'!I87</f>
        <v>3.4325763279943626E-2</v>
      </c>
      <c r="G43" s="7">
        <f>'Raw data -- quarterly'!G87</f>
        <v>1.5097287909580514E-2</v>
      </c>
      <c r="H43" s="7">
        <f>'Raw data -- quarterly'!H87</f>
        <v>2.6075682444699145E-2</v>
      </c>
      <c r="I43" s="7">
        <f t="shared" si="5"/>
        <v>7.5976724231887227E-2</v>
      </c>
      <c r="J43" s="7">
        <f t="shared" si="6"/>
        <v>0.11334954526481129</v>
      </c>
      <c r="K43" s="6">
        <f t="shared" si="7"/>
        <v>1.1780814611431576E-2</v>
      </c>
      <c r="L43" s="7">
        <f t="shared" si="0"/>
        <v>0.56169470660282417</v>
      </c>
      <c r="M43" s="7">
        <f t="shared" si="1"/>
        <v>0.59635771304694674</v>
      </c>
      <c r="N43" s="7">
        <f t="shared" si="2"/>
        <v>0.43830529339717583</v>
      </c>
      <c r="O43" s="7">
        <f t="shared" si="3"/>
        <v>0.40364228695305326</v>
      </c>
      <c r="P43" s="7">
        <f t="shared" si="4"/>
        <v>0.45179314621644606</v>
      </c>
    </row>
    <row r="44" spans="1:16" x14ac:dyDescent="0.25">
      <c r="A44" s="2">
        <f>'Raw data -- quarterly'!A88</f>
        <v>40695</v>
      </c>
      <c r="B44" s="7">
        <v>0.5</v>
      </c>
      <c r="C44" s="7">
        <f>'Raw data -- quarterly'!E88</f>
        <v>0.16973840353583181</v>
      </c>
      <c r="D44" s="7">
        <f>'Raw data -- quarterly'!F88</f>
        <v>0.20370803236796242</v>
      </c>
      <c r="E44" s="7">
        <f>'Raw data -- quarterly'!J88</f>
        <v>4.0566397241639858E-2</v>
      </c>
      <c r="F44" s="7">
        <f>'Raw data -- quarterly'!I88</f>
        <v>3.5168733410658674E-2</v>
      </c>
      <c r="G44" s="7">
        <f>'Raw data -- quarterly'!G88</f>
        <v>1.5847550272842108E-2</v>
      </c>
      <c r="H44" s="7">
        <f>'Raw data -- quarterly'!H88</f>
        <v>2.6710831343990219E-2</v>
      </c>
      <c r="I44" s="7">
        <f t="shared" si="5"/>
        <v>7.5735130652298532E-2</v>
      </c>
      <c r="J44" s="7">
        <f t="shared" si="6"/>
        <v>0.10911318025303747</v>
      </c>
      <c r="K44" s="6">
        <f t="shared" si="7"/>
        <v>1.2403571481596801E-2</v>
      </c>
      <c r="L44" s="7">
        <f t="shared" si="0"/>
        <v>0.56095295650878318</v>
      </c>
      <c r="M44" s="7">
        <f t="shared" si="1"/>
        <v>0.60870518011598662</v>
      </c>
      <c r="N44" s="7">
        <f t="shared" si="2"/>
        <v>0.43904704349121682</v>
      </c>
      <c r="O44" s="7">
        <f t="shared" si="3"/>
        <v>0.39129481988401338</v>
      </c>
      <c r="P44" s="7">
        <f t="shared" si="4"/>
        <v>0.46436486090080203</v>
      </c>
    </row>
    <row r="45" spans="1:16" x14ac:dyDescent="0.25">
      <c r="A45" s="2">
        <f>'Raw data -- quarterly'!A89</f>
        <v>40787</v>
      </c>
      <c r="B45" s="7">
        <v>0.5</v>
      </c>
      <c r="C45" s="7">
        <f>'Raw data -- quarterly'!E89</f>
        <v>0.17231273144791218</v>
      </c>
      <c r="D45" s="7">
        <f>'Raw data -- quarterly'!F89</f>
        <v>0.20847719254219702</v>
      </c>
      <c r="E45" s="7">
        <f>'Raw data -- quarterly'!J89</f>
        <v>4.2413174028120837E-2</v>
      </c>
      <c r="F45" s="7">
        <f>'Raw data -- quarterly'!I89</f>
        <v>3.5533092285730448E-2</v>
      </c>
      <c r="G45" s="7">
        <f>'Raw data -- quarterly'!G89</f>
        <v>1.5667901333624487E-2</v>
      </c>
      <c r="H45" s="7">
        <f>'Raw data -- quarterly'!H89</f>
        <v>2.5888066359584686E-2</v>
      </c>
      <c r="I45" s="7">
        <f t="shared" si="5"/>
        <v>7.7946266313851292E-2</v>
      </c>
      <c r="J45" s="7">
        <f t="shared" si="6"/>
        <v>0.11343942264768844</v>
      </c>
      <c r="K45" s="6">
        <f t="shared" si="7"/>
        <v>1.1801502426688659E-2</v>
      </c>
      <c r="L45" s="7">
        <f t="shared" si="0"/>
        <v>0.5703764621298747</v>
      </c>
      <c r="M45" s="7">
        <f t="shared" si="1"/>
        <v>0.60301463690896129</v>
      </c>
      <c r="N45" s="7">
        <f t="shared" si="2"/>
        <v>0.4296235378701253</v>
      </c>
      <c r="O45" s="7">
        <f t="shared" si="3"/>
        <v>0.39698536309103871</v>
      </c>
      <c r="P45" s="7">
        <f t="shared" si="4"/>
        <v>0.45586650863629768</v>
      </c>
    </row>
    <row r="46" spans="1:16" x14ac:dyDescent="0.25">
      <c r="A46" s="2">
        <f>'Raw data -- quarterly'!A90</f>
        <v>40878</v>
      </c>
      <c r="B46" s="7">
        <v>0.5</v>
      </c>
      <c r="C46" s="7">
        <f>'Raw data -- quarterly'!E90</f>
        <v>0.18170823579865922</v>
      </c>
      <c r="D46" s="7">
        <f>'Raw data -- quarterly'!F90</f>
        <v>0.20002997821360313</v>
      </c>
      <c r="E46" s="7">
        <f>'Raw data -- quarterly'!J90</f>
        <v>4.1417681452806519E-2</v>
      </c>
      <c r="F46" s="7">
        <f>'Raw data -- quarterly'!I90</f>
        <v>3.2396363343462707E-2</v>
      </c>
      <c r="G46" s="7">
        <f>'Raw data -- quarterly'!G90</f>
        <v>1.5020257910728767E-2</v>
      </c>
      <c r="H46" s="7">
        <f>'Raw data -- quarterly'!H90</f>
        <v>2.6721708746899765E-2</v>
      </c>
      <c r="I46" s="7">
        <f t="shared" si="5"/>
        <v>7.3814044796269226E-2</v>
      </c>
      <c r="J46" s="7">
        <f t="shared" si="6"/>
        <v>0.11223850341123127</v>
      </c>
      <c r="K46" s="6">
        <f t="shared" si="7"/>
        <v>1.1727933188217651E-2</v>
      </c>
      <c r="L46" s="7">
        <f t="shared" si="0"/>
        <v>0.56154294154569573</v>
      </c>
      <c r="M46" s="7">
        <f t="shared" si="1"/>
        <v>0.61816721045138656</v>
      </c>
      <c r="N46" s="7">
        <f t="shared" si="2"/>
        <v>0.43845705845430427</v>
      </c>
      <c r="O46" s="7">
        <f t="shared" si="3"/>
        <v>0.38183278954861344</v>
      </c>
      <c r="P46" s="7">
        <f t="shared" si="4"/>
        <v>0.4388915880829784</v>
      </c>
    </row>
    <row r="47" spans="1:16" x14ac:dyDescent="0.25">
      <c r="A47" s="2">
        <f>'Raw data -- quarterly'!A91</f>
        <v>40969</v>
      </c>
      <c r="B47" s="7">
        <v>0.5</v>
      </c>
      <c r="C47" s="7">
        <f>'Raw data -- quarterly'!E91</f>
        <v>0.18355695734175434</v>
      </c>
      <c r="D47" s="7">
        <f>'Raw data -- quarterly'!F91</f>
        <v>0.21294897160722834</v>
      </c>
      <c r="E47" s="7">
        <f>'Raw data -- quarterly'!J91</f>
        <v>3.9845803032543016E-2</v>
      </c>
      <c r="F47" s="7">
        <f>'Raw data -- quarterly'!I91</f>
        <v>3.3678321034323923E-2</v>
      </c>
      <c r="G47" s="7">
        <f>'Raw data -- quarterly'!G91</f>
        <v>1.4172856354699769E-2</v>
      </c>
      <c r="H47" s="7">
        <f>'Raw data -- quarterly'!H91</f>
        <v>2.6587912485949439E-2</v>
      </c>
      <c r="I47" s="7">
        <f t="shared" si="5"/>
        <v>7.3524124066866939E-2</v>
      </c>
      <c r="J47" s="7">
        <f t="shared" si="6"/>
        <v>0.11540596894330046</v>
      </c>
      <c r="K47" s="6">
        <f t="shared" si="7"/>
        <v>1.2178808842658975E-2</v>
      </c>
      <c r="L47" s="7">
        <f t="shared" si="0"/>
        <v>0.53783532268466772</v>
      </c>
      <c r="M47" s="7">
        <f t="shared" si="1"/>
        <v>0.61397899606701289</v>
      </c>
      <c r="N47" s="7">
        <f t="shared" si="2"/>
        <v>0.46216467731533228</v>
      </c>
      <c r="O47" s="7">
        <f t="shared" si="3"/>
        <v>0.38602100393298711</v>
      </c>
      <c r="P47" s="7">
        <f t="shared" si="4"/>
        <v>0.4580581062576819</v>
      </c>
    </row>
    <row r="48" spans="1:16" x14ac:dyDescent="0.25">
      <c r="A48" s="2">
        <f>'Raw data -- quarterly'!A92</f>
        <v>41061</v>
      </c>
      <c r="B48" s="7">
        <v>0.5</v>
      </c>
      <c r="C48" s="7">
        <f>'Raw data -- quarterly'!E92</f>
        <v>0.17990308911700711</v>
      </c>
      <c r="D48" s="7">
        <f>'Raw data -- quarterly'!F92</f>
        <v>0.20965729190578652</v>
      </c>
      <c r="E48" s="7">
        <f>'Raw data -- quarterly'!J92</f>
        <v>4.1210818991253728E-2</v>
      </c>
      <c r="F48" s="7">
        <f>'Raw data -- quarterly'!I92</f>
        <v>3.2953071373335273E-2</v>
      </c>
      <c r="G48" s="7">
        <f>'Raw data -- quarterly'!G92</f>
        <v>1.4127313940853104E-2</v>
      </c>
      <c r="H48" s="7">
        <f>'Raw data -- quarterly'!H92</f>
        <v>2.6716409761785066E-2</v>
      </c>
      <c r="I48" s="7">
        <f t="shared" si="5"/>
        <v>7.4163890364589008E-2</v>
      </c>
      <c r="J48" s="7">
        <f t="shared" si="6"/>
        <v>0.11650074806554674</v>
      </c>
      <c r="K48" s="6">
        <f t="shared" si="7"/>
        <v>1.1870841097890042E-2</v>
      </c>
      <c r="L48" s="7">
        <f t="shared" si="0"/>
        <v>0.54339678795669166</v>
      </c>
      <c r="M48" s="7">
        <f t="shared" si="1"/>
        <v>0.60695263201402339</v>
      </c>
      <c r="N48" s="7">
        <f t="shared" si="2"/>
        <v>0.45660321204330834</v>
      </c>
      <c r="O48" s="7">
        <f t="shared" si="3"/>
        <v>0.39304736798597661</v>
      </c>
      <c r="P48" s="7">
        <f t="shared" si="4"/>
        <v>0.4443277073429977</v>
      </c>
    </row>
    <row r="49" spans="1:16" x14ac:dyDescent="0.25">
      <c r="A49" s="2">
        <f>'Raw data -- quarterly'!A93</f>
        <v>41153</v>
      </c>
      <c r="B49" s="7">
        <v>0.5</v>
      </c>
      <c r="C49" s="7">
        <f>'Raw data -- quarterly'!E93</f>
        <v>0.18363026517368319</v>
      </c>
      <c r="D49" s="7">
        <f>'Raw data -- quarterly'!F93</f>
        <v>0.22170107135525399</v>
      </c>
      <c r="E49" s="7">
        <f>'Raw data -- quarterly'!J93</f>
        <v>4.2017909208994085E-2</v>
      </c>
      <c r="F49" s="7">
        <f>'Raw data -- quarterly'!I93</f>
        <v>3.2199686284792021E-2</v>
      </c>
      <c r="G49" s="7">
        <f>'Raw data -- quarterly'!G93</f>
        <v>1.4493603288143425E-2</v>
      </c>
      <c r="H49" s="7">
        <f>'Raw data -- quarterly'!H93</f>
        <v>2.680417419942964E-2</v>
      </c>
      <c r="I49" s="7">
        <f t="shared" si="5"/>
        <v>7.4217595493786107E-2</v>
      </c>
      <c r="J49" s="7">
        <f t="shared" si="6"/>
        <v>0.12551491901299494</v>
      </c>
      <c r="K49" s="6">
        <f t="shared" si="7"/>
        <v>1.1629129111530068E-2</v>
      </c>
      <c r="L49" s="7">
        <f t="shared" si="0"/>
        <v>0.5548272311791006</v>
      </c>
      <c r="M49" s="7">
        <f t="shared" si="1"/>
        <v>0.59399361389630312</v>
      </c>
      <c r="N49" s="7">
        <f t="shared" si="2"/>
        <v>0.4451727688208994</v>
      </c>
      <c r="O49" s="7">
        <f t="shared" si="3"/>
        <v>0.40600638610369688</v>
      </c>
      <c r="P49" s="7">
        <f t="shared" si="4"/>
        <v>0.43385515349238107</v>
      </c>
    </row>
    <row r="50" spans="1:16" x14ac:dyDescent="0.25">
      <c r="A50" s="2">
        <f>'Raw data -- quarterly'!A94</f>
        <v>41244</v>
      </c>
      <c r="B50" s="7">
        <v>0.5</v>
      </c>
      <c r="C50" s="7">
        <f>'Raw data -- quarterly'!E94</f>
        <v>0.18106799066190696</v>
      </c>
      <c r="D50" s="7">
        <f>'Raw data -- quarterly'!F94</f>
        <v>0.22890570064917801</v>
      </c>
      <c r="E50" s="7">
        <f>'Raw data -- quarterly'!J94</f>
        <v>4.1440133367046668E-2</v>
      </c>
      <c r="F50" s="7">
        <f>'Raw data -- quarterly'!I94</f>
        <v>3.3663841272571243E-2</v>
      </c>
      <c r="G50" s="7">
        <f>'Raw data -- quarterly'!G94</f>
        <v>1.4079011616482416E-2</v>
      </c>
      <c r="H50" s="7">
        <f>'Raw data -- quarterly'!H94</f>
        <v>2.6457799605702798E-2</v>
      </c>
      <c r="I50" s="7">
        <f t="shared" si="5"/>
        <v>7.5103974639617904E-2</v>
      </c>
      <c r="J50" s="7">
        <f t="shared" si="6"/>
        <v>0.12630333892309509</v>
      </c>
      <c r="K50" s="6">
        <f t="shared" si="7"/>
        <v>1.1859174838904482E-2</v>
      </c>
      <c r="L50" s="7">
        <f t="shared" si="0"/>
        <v>0.54279090177326017</v>
      </c>
      <c r="M50" s="7">
        <f t="shared" si="1"/>
        <v>0.58908549117569375</v>
      </c>
      <c r="N50" s="7">
        <f t="shared" si="2"/>
        <v>0.45720909822673983</v>
      </c>
      <c r="O50" s="7">
        <f t="shared" si="3"/>
        <v>0.41091450882430625</v>
      </c>
      <c r="P50" s="7">
        <f t="shared" si="4"/>
        <v>0.44822982317653953</v>
      </c>
    </row>
    <row r="51" spans="1:16" x14ac:dyDescent="0.25">
      <c r="A51" s="2">
        <f>'Raw data -- quarterly'!A95</f>
        <v>41334</v>
      </c>
      <c r="B51" s="7">
        <v>0.5</v>
      </c>
      <c r="C51" s="7">
        <f>'Raw data -- quarterly'!E95</f>
        <v>0.18353059270646832</v>
      </c>
      <c r="D51" s="7">
        <f>'Raw data -- quarterly'!F95</f>
        <v>0.22069682675900612</v>
      </c>
      <c r="E51" s="7">
        <f>'Raw data -- quarterly'!J95</f>
        <v>4.1022332568894621E-2</v>
      </c>
      <c r="F51" s="7">
        <f>'Raw data -- quarterly'!I95</f>
        <v>3.1358288236595554E-2</v>
      </c>
      <c r="G51" s="7">
        <f>'Raw data -- quarterly'!G95</f>
        <v>1.3694097271605171E-2</v>
      </c>
      <c r="H51" s="7">
        <f>'Raw data -- quarterly'!H95</f>
        <v>2.7814905448663992E-2</v>
      </c>
      <c r="I51" s="7">
        <f t="shared" si="5"/>
        <v>7.2380620805490181E-2</v>
      </c>
      <c r="J51" s="7">
        <f t="shared" si="6"/>
        <v>0.12508180398918253</v>
      </c>
      <c r="K51" s="6">
        <f t="shared" si="7"/>
        <v>1.2050571169827516E-2</v>
      </c>
      <c r="L51" s="7">
        <f t="shared" si="0"/>
        <v>0.53191973719755925</v>
      </c>
      <c r="M51" s="7">
        <f t="shared" si="1"/>
        <v>0.59469611289615032</v>
      </c>
      <c r="N51" s="7">
        <f t="shared" si="2"/>
        <v>0.46808026280244075</v>
      </c>
      <c r="O51" s="7">
        <f t="shared" si="3"/>
        <v>0.40530388710384968</v>
      </c>
      <c r="P51" s="7">
        <f t="shared" si="4"/>
        <v>0.43324149320113292</v>
      </c>
    </row>
    <row r="52" spans="1:16" x14ac:dyDescent="0.25">
      <c r="A52" s="2">
        <f>'Raw data -- quarterly'!A96</f>
        <v>41426</v>
      </c>
      <c r="B52" s="7">
        <v>0.5</v>
      </c>
      <c r="C52" s="7">
        <f>'Raw data -- quarterly'!E96</f>
        <v>0.19455681772517544</v>
      </c>
      <c r="D52" s="7">
        <f>'Raw data -- quarterly'!F96</f>
        <v>0.20948736637086221</v>
      </c>
      <c r="E52" s="7">
        <f>'Raw data -- quarterly'!J96</f>
        <v>4.3157706158540636E-2</v>
      </c>
      <c r="F52" s="7">
        <f>'Raw data -- quarterly'!I96</f>
        <v>2.9999041402448412E-2</v>
      </c>
      <c r="G52" s="7">
        <f>'Raw data -- quarterly'!G96</f>
        <v>1.4120959343580363E-2</v>
      </c>
      <c r="H52" s="7">
        <f>'Raw data -- quarterly'!H96</f>
        <v>2.7321044525458072E-2</v>
      </c>
      <c r="I52" s="7">
        <f t="shared" si="5"/>
        <v>7.3156747560989055E-2</v>
      </c>
      <c r="J52" s="7">
        <f t="shared" si="6"/>
        <v>0.12358387302856724</v>
      </c>
      <c r="K52" s="6">
        <f t="shared" si="7"/>
        <v>1.1203411485646866E-2</v>
      </c>
      <c r="L52" s="7">
        <f t="shared" si="0"/>
        <v>0.55760356057032445</v>
      </c>
      <c r="M52" s="7">
        <f t="shared" si="1"/>
        <v>0.61154333092138935</v>
      </c>
      <c r="N52" s="7">
        <f t="shared" si="2"/>
        <v>0.44239643942967555</v>
      </c>
      <c r="O52" s="7">
        <f t="shared" si="3"/>
        <v>0.38845666907861065</v>
      </c>
      <c r="P52" s="7">
        <f t="shared" si="4"/>
        <v>0.4100652694741373</v>
      </c>
    </row>
    <row r="53" spans="1:16" x14ac:dyDescent="0.25">
      <c r="A5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7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5" sqref="E15"/>
    </sheetView>
  </sheetViews>
  <sheetFormatPr defaultRowHeight="15" x14ac:dyDescent="0.25"/>
  <cols>
    <col min="1" max="1" width="10.7109375" bestFit="1" customWidth="1"/>
    <col min="2" max="2" width="6" bestFit="1" customWidth="1"/>
    <col min="3" max="3" width="7.28515625" bestFit="1" customWidth="1"/>
    <col min="5" max="5" width="11.140625" bestFit="1" customWidth="1"/>
    <col min="6" max="6" width="9.5703125" bestFit="1" customWidth="1"/>
    <col min="7" max="7" width="13.140625" bestFit="1" customWidth="1"/>
    <col min="8" max="8" width="12.7109375" bestFit="1" customWidth="1"/>
    <col min="9" max="9" width="5.5703125" bestFit="1" customWidth="1"/>
    <col min="10" max="12" width="10.28515625" customWidth="1"/>
    <col min="13" max="13" width="8.85546875" bestFit="1" customWidth="1"/>
    <col min="14" max="14" width="5.5703125" style="13" bestFit="1" customWidth="1"/>
    <col min="15" max="15" width="6.42578125" bestFit="1" customWidth="1"/>
    <col min="16" max="17" width="12.85546875" bestFit="1" customWidth="1"/>
    <col min="18" max="18" width="12.7109375" bestFit="1" customWidth="1"/>
    <col min="19" max="19" width="12.140625" bestFit="1" customWidth="1"/>
    <col min="20" max="20" width="10.5703125" bestFit="1" customWidth="1"/>
    <col min="21" max="21" width="12.85546875" bestFit="1" customWidth="1"/>
    <col min="22" max="22" width="19.85546875" bestFit="1" customWidth="1"/>
    <col min="23" max="23" width="18.28515625" bestFit="1" customWidth="1"/>
    <col min="24" max="24" width="12.140625" bestFit="1" customWidth="1"/>
  </cols>
  <sheetData>
    <row r="3" spans="1:24" x14ac:dyDescent="0.25">
      <c r="J3" s="15" t="s">
        <v>61</v>
      </c>
      <c r="K3" s="15"/>
      <c r="L3" s="15"/>
      <c r="M3" s="15"/>
      <c r="P3" s="15" t="s">
        <v>60</v>
      </c>
      <c r="Q3" s="15"/>
      <c r="R3" s="15"/>
      <c r="S3" s="15"/>
      <c r="T3" s="15"/>
      <c r="U3" s="15"/>
      <c r="V3" s="15"/>
      <c r="W3" s="15"/>
      <c r="X3" s="15"/>
    </row>
    <row r="4" spans="1:24" x14ac:dyDescent="0.25">
      <c r="A4" t="s">
        <v>21</v>
      </c>
      <c r="B4" t="s">
        <v>30</v>
      </c>
      <c r="C4" t="s">
        <v>31</v>
      </c>
      <c r="E4" t="s">
        <v>39</v>
      </c>
      <c r="F4" t="s">
        <v>40</v>
      </c>
      <c r="G4" t="s">
        <v>41</v>
      </c>
      <c r="I4" t="s">
        <v>23</v>
      </c>
      <c r="J4" t="s">
        <v>42</v>
      </c>
      <c r="K4" t="s">
        <v>37</v>
      </c>
      <c r="L4" t="s">
        <v>36</v>
      </c>
      <c r="M4" t="s">
        <v>38</v>
      </c>
      <c r="P4" t="s">
        <v>57</v>
      </c>
      <c r="Q4" t="s">
        <v>58</v>
      </c>
      <c r="R4" t="s">
        <v>48</v>
      </c>
      <c r="S4" t="s">
        <v>49</v>
      </c>
      <c r="T4" t="s">
        <v>59</v>
      </c>
      <c r="U4" t="s">
        <v>50</v>
      </c>
      <c r="V4" t="s">
        <v>53</v>
      </c>
      <c r="W4" t="s">
        <v>54</v>
      </c>
      <c r="X4" t="s">
        <v>59</v>
      </c>
    </row>
    <row r="5" spans="1:24" x14ac:dyDescent="0.25">
      <c r="A5" s="2">
        <f>'Decomposition 1'!A3</f>
        <v>36951</v>
      </c>
      <c r="B5" s="7">
        <f>LN('Decomposition 1'!J3/'Decomposition 1'!J2)</f>
        <v>2.6768744587850741E-2</v>
      </c>
      <c r="C5" s="7">
        <f>LN('Decomposition 1'!K3/'Decomposition 1'!K2)</f>
        <v>4.3214164138535148E-2</v>
      </c>
      <c r="E5" s="8">
        <f>(1-'Decomposition 1'!L3)/('Decomposition 1'!B3*'Decomposition 1'!M3)*C5</f>
        <v>5.2912433649648573E-2</v>
      </c>
      <c r="F5" s="6">
        <f>-B5*(1-'Decomposition 1'!M3)/('Decomposition 1'!M3*'Decomposition 1'!B3)</f>
        <v>-2.8583329808994962E-2</v>
      </c>
      <c r="G5" s="6">
        <f>E5+F5</f>
        <v>2.432910384065361E-2</v>
      </c>
      <c r="I5" s="6">
        <f>'Raw data -- quarterly'!B47</f>
        <v>4.2308442600205054E-2</v>
      </c>
      <c r="J5" s="6">
        <f>'Raw data -- quarterly'!D47</f>
        <v>3.3984909995759184E-2</v>
      </c>
      <c r="K5" s="6">
        <f>$J5/EXP(E5)</f>
        <v>3.2233431806393258E-2</v>
      </c>
      <c r="L5" s="6">
        <f t="shared" ref="L5:M5" si="0">$J5/EXP(F5)</f>
        <v>3.4970328061293632E-2</v>
      </c>
      <c r="M5" s="6">
        <f t="shared" si="0"/>
        <v>3.3168064442470745E-2</v>
      </c>
      <c r="P5" s="6">
        <f t="shared" ref="P5:P36" si="1">LN(J5)</f>
        <v>-3.3818386765389863</v>
      </c>
      <c r="Q5" s="6">
        <f t="shared" ref="Q5:Q36" si="2">LN(I5)</f>
        <v>-3.1627686241877413</v>
      </c>
      <c r="R5" s="6">
        <f>EXP($Q$57+P$57*$Q5)</f>
        <v>3.1768420735549384E-2</v>
      </c>
      <c r="S5" s="6"/>
      <c r="T5" s="6"/>
      <c r="U5" s="6">
        <f t="shared" ref="U5:U36" si="3">LN(M5)</f>
        <v>-3.40616778037964</v>
      </c>
      <c r="V5" s="6">
        <f>EXP(V$57+U$57*Q5)</f>
        <v>3.2305232192111892E-2</v>
      </c>
      <c r="W5" s="6"/>
      <c r="X5" s="6"/>
    </row>
    <row r="6" spans="1:24" x14ac:dyDescent="0.25">
      <c r="A6" s="2">
        <f>'Decomposition 1'!A4</f>
        <v>37043</v>
      </c>
      <c r="B6" s="7">
        <f>LN('Decomposition 1'!J4/'Decomposition 1'!J3)</f>
        <v>-1.5409940173728705E-2</v>
      </c>
      <c r="C6" s="7">
        <f>LN('Decomposition 1'!K4/'Decomposition 1'!K3)</f>
        <v>0.1025032344753828</v>
      </c>
      <c r="E6" s="8">
        <f>E5+(1-'Decomposition 1'!L4)/('Decomposition 1'!B4*'Decomposition 1'!M4)*C6</f>
        <v>0.18178374531851527</v>
      </c>
      <c r="F6" s="8">
        <f>F5-B6*(1-'Decomposition 1'!M4)/('Decomposition 1'!M4*'Decomposition 1'!B4)</f>
        <v>-1.2423319369853903E-2</v>
      </c>
      <c r="G6" s="6">
        <f t="shared" ref="G6:G54" si="4">E6+F6</f>
        <v>0.16936042594866135</v>
      </c>
      <c r="I6" s="6">
        <f>'Raw data -- quarterly'!B48</f>
        <v>4.4116879762990724E-2</v>
      </c>
      <c r="J6" s="6">
        <f>'Raw data -- quarterly'!D48</f>
        <v>3.1242070057245299E-2</v>
      </c>
      <c r="K6" s="6">
        <f t="shared" ref="K6:K54" si="5">$J6/EXP(E6)</f>
        <v>2.6049064100079431E-2</v>
      </c>
      <c r="L6" s="6">
        <f t="shared" ref="L6:L54" si="6">$J6/EXP(F6)</f>
        <v>3.1632621219160204E-2</v>
      </c>
      <c r="M6" s="6">
        <f t="shared" ref="M6:M54" si="7">$J6/EXP(G6)</f>
        <v>2.6374698484498926E-2</v>
      </c>
      <c r="P6" s="6">
        <f t="shared" si="1"/>
        <v>-3.4659896931699286</v>
      </c>
      <c r="Q6" s="6">
        <f t="shared" si="2"/>
        <v>-3.120912808698117</v>
      </c>
      <c r="R6" s="6">
        <f t="shared" ref="R6:R54" si="8">EXP(Q$57+P$57*Q6)</f>
        <v>3.0533651217020327E-2</v>
      </c>
      <c r="S6" s="6"/>
      <c r="T6" s="6"/>
      <c r="U6" s="6">
        <f t="shared" si="3"/>
        <v>-3.63535011911859</v>
      </c>
      <c r="V6" s="6">
        <f t="shared" ref="V6:V54" si="9">EXP(V$57+U$57*Q6)</f>
        <v>2.9503902867843337E-2</v>
      </c>
      <c r="W6" s="6"/>
      <c r="X6" s="6"/>
    </row>
    <row r="7" spans="1:24" x14ac:dyDescent="0.25">
      <c r="A7" s="2">
        <f>'Decomposition 1'!A5</f>
        <v>37135</v>
      </c>
      <c r="B7" s="7">
        <f>LN('Decomposition 1'!J5/'Decomposition 1'!J4)</f>
        <v>-6.8948620291839416E-2</v>
      </c>
      <c r="C7" s="7">
        <f>LN('Decomposition 1'!K5/'Decomposition 1'!K4)</f>
        <v>7.736584809524329E-3</v>
      </c>
      <c r="E7" s="8">
        <f>E6+(1-'Decomposition 1'!L5)/('Decomposition 1'!B5*'Decomposition 1'!M5)*C7</f>
        <v>0.19139500099848103</v>
      </c>
      <c r="F7" s="8">
        <f>F6-B7*(1-'Decomposition 1'!M5)/('Decomposition 1'!M5*'Decomposition 1'!B5)</f>
        <v>5.8965234437514766E-2</v>
      </c>
      <c r="G7" s="6">
        <f t="shared" si="4"/>
        <v>0.25036023543599578</v>
      </c>
      <c r="I7" s="6">
        <f>'Raw data -- quarterly'!B49</f>
        <v>4.8191410997929118E-2</v>
      </c>
      <c r="J7" s="6">
        <f>'Raw data -- quarterly'!D49</f>
        <v>2.872045462639462E-2</v>
      </c>
      <c r="K7" s="6">
        <f t="shared" si="5"/>
        <v>2.3717533213564394E-2</v>
      </c>
      <c r="L7" s="6">
        <f t="shared" si="6"/>
        <v>2.7075908282390402E-2</v>
      </c>
      <c r="M7" s="6">
        <f t="shared" si="7"/>
        <v>2.2359456433703118E-2</v>
      </c>
      <c r="P7" s="6">
        <f t="shared" si="1"/>
        <v>-3.55014570531756</v>
      </c>
      <c r="Q7" s="6">
        <f t="shared" si="2"/>
        <v>-3.0325744688679204</v>
      </c>
      <c r="R7" s="6">
        <f t="shared" si="8"/>
        <v>2.8082891921873791E-2</v>
      </c>
      <c r="S7" s="6"/>
      <c r="T7" s="6"/>
      <c r="U7" s="6">
        <f t="shared" si="3"/>
        <v>-3.8005059407535557</v>
      </c>
      <c r="V7" s="6">
        <f t="shared" si="9"/>
        <v>2.4363414836121665E-2</v>
      </c>
      <c r="W7" s="6"/>
      <c r="X7" s="6"/>
    </row>
    <row r="8" spans="1:24" x14ac:dyDescent="0.25">
      <c r="A8" s="2">
        <f>'Decomposition 1'!A6</f>
        <v>37226</v>
      </c>
      <c r="B8" s="7">
        <f>LN('Decomposition 1'!J6/'Decomposition 1'!J5)</f>
        <v>-0.11453315356409909</v>
      </c>
      <c r="C8" s="7">
        <f>LN('Decomposition 1'!K6/'Decomposition 1'!K5)</f>
        <v>7.3560619310035838E-2</v>
      </c>
      <c r="E8" s="8">
        <f>E7+(1-'Decomposition 1'!L6)/('Decomposition 1'!B6*'Decomposition 1'!M6)*C8</f>
        <v>0.28102212460272752</v>
      </c>
      <c r="F8" s="8">
        <f>F7-B8*(1-'Decomposition 1'!M6)/('Decomposition 1'!M6*'Decomposition 1'!B6)</f>
        <v>0.17424664640769538</v>
      </c>
      <c r="G8" s="6">
        <f t="shared" si="4"/>
        <v>0.4552687710104229</v>
      </c>
      <c r="I8" s="6">
        <f>'Raw data -- quarterly'!B50</f>
        <v>5.5369403355283474E-2</v>
      </c>
      <c r="J8" s="6">
        <f>'Raw data -- quarterly'!D50</f>
        <v>2.4686175601690234E-2</v>
      </c>
      <c r="K8" s="6">
        <f t="shared" si="5"/>
        <v>1.8638349703271866E-2</v>
      </c>
      <c r="L8" s="6">
        <f t="shared" si="6"/>
        <v>2.0738601040841648E-2</v>
      </c>
      <c r="M8" s="6">
        <f t="shared" si="7"/>
        <v>1.5657884995737417E-2</v>
      </c>
      <c r="P8" s="6">
        <f t="shared" si="1"/>
        <v>-3.7015118842736356</v>
      </c>
      <c r="Q8" s="6">
        <f t="shared" si="2"/>
        <v>-2.8937281238007047</v>
      </c>
      <c r="R8" s="6">
        <f t="shared" si="8"/>
        <v>2.4622324878824559E-2</v>
      </c>
      <c r="S8" s="6"/>
      <c r="T8" s="6"/>
      <c r="U8" s="6">
        <f t="shared" si="3"/>
        <v>-4.1567806552840585</v>
      </c>
      <c r="V8" s="6">
        <f t="shared" si="9"/>
        <v>1.8032680173371222E-2</v>
      </c>
      <c r="W8" s="6"/>
      <c r="X8" s="6"/>
    </row>
    <row r="9" spans="1:24" x14ac:dyDescent="0.25">
      <c r="A9" s="2">
        <f>'Decomposition 1'!A7</f>
        <v>37316</v>
      </c>
      <c r="B9" s="7">
        <f>LN('Decomposition 1'!J7/'Decomposition 1'!J6)</f>
        <v>-1.7593624795185999E-2</v>
      </c>
      <c r="C9" s="7">
        <f>LN('Decomposition 1'!K7/'Decomposition 1'!K6)</f>
        <v>-5.1102395991829863E-2</v>
      </c>
      <c r="E9" s="8">
        <f>E8+(1-'Decomposition 1'!L7)/('Decomposition 1'!B7*'Decomposition 1'!M7)*C9</f>
        <v>0.22011118669871035</v>
      </c>
      <c r="F9" s="8">
        <f>F8-B9*(1-'Decomposition 1'!M7)/('Decomposition 1'!M7*'Decomposition 1'!B7)</f>
        <v>0.1916948393691926</v>
      </c>
      <c r="G9" s="6">
        <f t="shared" si="4"/>
        <v>0.41180602606790295</v>
      </c>
      <c r="I9" s="6">
        <f>'Raw data -- quarterly'!B51</f>
        <v>5.7043804125865773E-2</v>
      </c>
      <c r="J9" s="6">
        <f>'Raw data -- quarterly'!D51</f>
        <v>2.4254258755499372E-2</v>
      </c>
      <c r="K9" s="6">
        <f t="shared" si="5"/>
        <v>1.9462334508905194E-2</v>
      </c>
      <c r="L9" s="6">
        <f t="shared" si="6"/>
        <v>2.0023315736528276E-2</v>
      </c>
      <c r="M9" s="6">
        <f t="shared" si="7"/>
        <v>1.6067300706659553E-2</v>
      </c>
      <c r="P9" s="6">
        <f t="shared" si="1"/>
        <v>-3.7191630582343387</v>
      </c>
      <c r="Q9" s="6">
        <f t="shared" si="2"/>
        <v>-2.8639358128512269</v>
      </c>
      <c r="R9" s="6">
        <f t="shared" si="8"/>
        <v>2.3937255156037628E-2</v>
      </c>
      <c r="S9" s="6"/>
      <c r="T9" s="6"/>
      <c r="U9" s="6">
        <f t="shared" si="3"/>
        <v>-4.130969084302242</v>
      </c>
      <c r="V9" s="6">
        <f t="shared" si="9"/>
        <v>1.6905214270586482E-2</v>
      </c>
      <c r="W9" s="6"/>
      <c r="X9" s="6"/>
    </row>
    <row r="10" spans="1:24" x14ac:dyDescent="0.25">
      <c r="A10" s="2">
        <f>'Decomposition 1'!A8</f>
        <v>37408</v>
      </c>
      <c r="B10" s="7">
        <f>LN('Decomposition 1'!J8/'Decomposition 1'!J7)</f>
        <v>3.1237978183722516E-2</v>
      </c>
      <c r="C10" s="7">
        <f>LN('Decomposition 1'!K8/'Decomposition 1'!K7)</f>
        <v>-1.3881207049711731E-2</v>
      </c>
      <c r="E10" s="8">
        <f>E9+(1-'Decomposition 1'!L8)/('Decomposition 1'!B8*'Decomposition 1'!M8)*C10</f>
        <v>0.20267187260928743</v>
      </c>
      <c r="F10" s="8">
        <f>F9-B10*(1-'Decomposition 1'!M8)/('Decomposition 1'!M8*'Decomposition 1'!B8)</f>
        <v>0.15664904477804326</v>
      </c>
      <c r="G10" s="6">
        <f t="shared" si="4"/>
        <v>0.35932091738733068</v>
      </c>
      <c r="I10" s="6">
        <f>'Raw data -- quarterly'!B52</f>
        <v>5.8441518378437779E-2</v>
      </c>
      <c r="J10" s="6">
        <f>'Raw data -- quarterly'!D52</f>
        <v>2.3260251026514328E-2</v>
      </c>
      <c r="K10" s="6">
        <f t="shared" si="5"/>
        <v>1.8993067926504657E-2</v>
      </c>
      <c r="L10" s="6">
        <f t="shared" si="6"/>
        <v>1.9887609397219355E-2</v>
      </c>
      <c r="M10" s="6">
        <f t="shared" si="7"/>
        <v>1.6239150460870322E-2</v>
      </c>
      <c r="P10" s="6">
        <f t="shared" si="1"/>
        <v>-3.7610093397523334</v>
      </c>
      <c r="Q10" s="6">
        <f t="shared" si="2"/>
        <v>-2.839728710602154</v>
      </c>
      <c r="R10" s="6">
        <f t="shared" si="8"/>
        <v>2.3394676773511196E-2</v>
      </c>
      <c r="S10" s="6"/>
      <c r="T10" s="6"/>
      <c r="U10" s="6">
        <f t="shared" si="3"/>
        <v>-4.1203302571396643</v>
      </c>
      <c r="V10" s="6">
        <f t="shared" si="9"/>
        <v>1.6041231440611689E-2</v>
      </c>
      <c r="W10" s="6"/>
      <c r="X10" s="6"/>
    </row>
    <row r="11" spans="1:24" x14ac:dyDescent="0.25">
      <c r="A11" s="2">
        <f>'Decomposition 1'!A9</f>
        <v>37500</v>
      </c>
      <c r="B11" s="7">
        <f>LN('Decomposition 1'!J9/'Decomposition 1'!J8)</f>
        <v>1.8220956077661218E-2</v>
      </c>
      <c r="C11" s="7">
        <f>LN('Decomposition 1'!K9/'Decomposition 1'!K8)</f>
        <v>-3.600436389145268E-2</v>
      </c>
      <c r="E11" s="8">
        <f>E10+(1-'Decomposition 1'!L9)/('Decomposition 1'!B9*'Decomposition 1'!M9)*C11</f>
        <v>0.15842659094323597</v>
      </c>
      <c r="F11" s="8">
        <f>F10-B11*(1-'Decomposition 1'!M9)/('Decomposition 1'!M9*'Decomposition 1'!B9)</f>
        <v>0.13656607276138569</v>
      </c>
      <c r="G11" s="6">
        <f t="shared" si="4"/>
        <v>0.29499266370462163</v>
      </c>
      <c r="I11" s="6">
        <f>'Raw data -- quarterly'!B53</f>
        <v>5.7297818148795365E-2</v>
      </c>
      <c r="J11" s="6">
        <f>'Raw data -- quarterly'!D53</f>
        <v>2.3218202335193158E-2</v>
      </c>
      <c r="K11" s="6">
        <f t="shared" si="5"/>
        <v>1.9816401700762546E-2</v>
      </c>
      <c r="L11" s="6">
        <f t="shared" si="6"/>
        <v>2.0254368156042726E-2</v>
      </c>
      <c r="M11" s="6">
        <f t="shared" si="7"/>
        <v>1.7286811863418829E-2</v>
      </c>
      <c r="P11" s="6">
        <f t="shared" si="1"/>
        <v>-3.7628187245210465</v>
      </c>
      <c r="Q11" s="6">
        <f t="shared" si="2"/>
        <v>-2.8594927336688709</v>
      </c>
      <c r="R11" s="6">
        <f t="shared" si="8"/>
        <v>2.3836733556745888E-2</v>
      </c>
      <c r="S11" s="6"/>
      <c r="T11" s="6"/>
      <c r="U11" s="6">
        <f t="shared" si="3"/>
        <v>-4.0578113882256686</v>
      </c>
      <c r="V11" s="6">
        <f t="shared" si="9"/>
        <v>1.6743220287940168E-2</v>
      </c>
      <c r="W11" s="6"/>
      <c r="X11" s="6"/>
    </row>
    <row r="12" spans="1:24" x14ac:dyDescent="0.25">
      <c r="A12" s="2">
        <f>'Decomposition 1'!A10</f>
        <v>37591</v>
      </c>
      <c r="B12" s="7">
        <f>LN('Decomposition 1'!J10/'Decomposition 1'!J9)</f>
        <v>-4.6124755449061831E-3</v>
      </c>
      <c r="C12" s="7">
        <f>LN('Decomposition 1'!K10/'Decomposition 1'!K9)</f>
        <v>7.5351284379222283E-2</v>
      </c>
      <c r="E12" s="8">
        <f>E11+(1-'Decomposition 1'!L10)/('Decomposition 1'!B10*'Decomposition 1'!M10)*C12</f>
        <v>0.25545701518979957</v>
      </c>
      <c r="F12" s="8">
        <f>F11-B12*(1-'Decomposition 1'!M10)/('Decomposition 1'!M10*'Decomposition 1'!B10)</f>
        <v>0.1419680759478967</v>
      </c>
      <c r="G12" s="6">
        <f t="shared" si="4"/>
        <v>0.39742509113769631</v>
      </c>
      <c r="I12" s="6">
        <f>'Raw data -- quarterly'!B54</f>
        <v>5.8488858746386402E-2</v>
      </c>
      <c r="J12" s="6">
        <f>'Raw data -- quarterly'!D54</f>
        <v>2.3261838039535975E-2</v>
      </c>
      <c r="K12" s="6">
        <f t="shared" si="5"/>
        <v>1.801774580431071E-2</v>
      </c>
      <c r="L12" s="6">
        <f t="shared" si="6"/>
        <v>2.0183109464387533E-2</v>
      </c>
      <c r="M12" s="6">
        <f t="shared" si="7"/>
        <v>1.5633078317020484E-2</v>
      </c>
      <c r="P12" s="6">
        <f t="shared" si="1"/>
        <v>-3.76094111353747</v>
      </c>
      <c r="Q12" s="6">
        <f t="shared" si="2"/>
        <v>-2.8389189916617177</v>
      </c>
      <c r="R12" s="6">
        <f t="shared" si="8"/>
        <v>2.3376741859680888E-2</v>
      </c>
      <c r="S12" s="6"/>
      <c r="T12" s="6"/>
      <c r="U12" s="6">
        <f t="shared" si="3"/>
        <v>-4.1583662046751666</v>
      </c>
      <c r="V12" s="6">
        <f t="shared" si="9"/>
        <v>1.6013107619038611E-2</v>
      </c>
      <c r="W12" s="6"/>
      <c r="X12" s="6"/>
    </row>
    <row r="13" spans="1:24" x14ac:dyDescent="0.25">
      <c r="A13" s="2">
        <f>'Decomposition 1'!A11</f>
        <v>37681</v>
      </c>
      <c r="B13" s="7">
        <f>LN('Decomposition 1'!J11/'Decomposition 1'!J10)</f>
        <v>4.9855586788617838E-2</v>
      </c>
      <c r="C13" s="7">
        <f>LN('Decomposition 1'!K11/'Decomposition 1'!K10)</f>
        <v>-4.7436610647621003E-2</v>
      </c>
      <c r="E13" s="8">
        <f>E12+(1-'Decomposition 1'!L11)/('Decomposition 1'!B11*'Decomposition 1'!M11)*C13</f>
        <v>0.19420407190460448</v>
      </c>
      <c r="F13" s="8">
        <f>F12-B13*(1-'Decomposition 1'!M11)/('Decomposition 1'!M11*'Decomposition 1'!B11)</f>
        <v>8.0526071325979554E-2</v>
      </c>
      <c r="G13" s="6">
        <f t="shared" si="4"/>
        <v>0.27473014323058403</v>
      </c>
      <c r="I13" s="6">
        <f>'Raw data -- quarterly'!B55</f>
        <v>5.8727135704808198E-2</v>
      </c>
      <c r="J13" s="6">
        <f>'Raw data -- quarterly'!D55</f>
        <v>2.2947007595833541E-2</v>
      </c>
      <c r="K13" s="6">
        <f t="shared" si="5"/>
        <v>1.8896627521345459E-2</v>
      </c>
      <c r="L13" s="6">
        <f t="shared" si="6"/>
        <v>2.1171617101543173E-2</v>
      </c>
      <c r="M13" s="6">
        <f t="shared" si="7"/>
        <v>1.7434611494400228E-2</v>
      </c>
      <c r="P13" s="6">
        <f t="shared" si="1"/>
        <v>-3.774567738957944</v>
      </c>
      <c r="Q13" s="6">
        <f t="shared" si="2"/>
        <v>-2.8348533812004879</v>
      </c>
      <c r="R13" s="6">
        <f t="shared" si="8"/>
        <v>2.3286898017739643E-2</v>
      </c>
      <c r="S13" s="6"/>
      <c r="T13" s="6"/>
      <c r="U13" s="6">
        <f t="shared" si="3"/>
        <v>-4.0492978821885286</v>
      </c>
      <c r="V13" s="6">
        <f t="shared" si="9"/>
        <v>1.5872641075618563E-2</v>
      </c>
      <c r="W13" s="6"/>
      <c r="X13" s="6"/>
    </row>
    <row r="14" spans="1:24" x14ac:dyDescent="0.25">
      <c r="A14" s="2">
        <f>'Decomposition 1'!A12</f>
        <v>37773</v>
      </c>
      <c r="B14" s="7">
        <f>LN('Decomposition 1'!J12/'Decomposition 1'!J11)</f>
        <v>-0.11268736060090166</v>
      </c>
      <c r="C14" s="7">
        <f>LN('Decomposition 1'!K12/'Decomposition 1'!K11)</f>
        <v>5.166545467983006E-2</v>
      </c>
      <c r="E14" s="8">
        <f>E13+(1-'Decomposition 1'!L12)/('Decomposition 1'!B12*'Decomposition 1'!M12)*C14</f>
        <v>0.25996787088909784</v>
      </c>
      <c r="F14" s="8">
        <f>F13-B14*(1-'Decomposition 1'!M12)/('Decomposition 1'!M12*'Decomposition 1'!B12)</f>
        <v>0.20528434025510739</v>
      </c>
      <c r="G14" s="6">
        <f t="shared" si="4"/>
        <v>0.46525221114420523</v>
      </c>
      <c r="I14" s="6">
        <f>'Raw data -- quarterly'!B56</f>
        <v>6.1504924746967476E-2</v>
      </c>
      <c r="J14" s="6">
        <f>'Raw data -- quarterly'!D56</f>
        <v>2.1386633473477898E-2</v>
      </c>
      <c r="K14" s="6">
        <f t="shared" si="5"/>
        <v>1.6490727478625351E-2</v>
      </c>
      <c r="L14" s="6">
        <f t="shared" si="6"/>
        <v>1.7417610334309237E-2</v>
      </c>
      <c r="M14" s="6">
        <f t="shared" si="7"/>
        <v>1.3430307566087119E-2</v>
      </c>
      <c r="P14" s="6">
        <f t="shared" si="1"/>
        <v>-3.844989156143789</v>
      </c>
      <c r="Q14" s="6">
        <f t="shared" si="2"/>
        <v>-2.7886380301892086</v>
      </c>
      <c r="R14" s="6">
        <f t="shared" si="8"/>
        <v>2.2289560917560767E-2</v>
      </c>
      <c r="S14" s="6"/>
      <c r="T14" s="6"/>
      <c r="U14" s="6">
        <f t="shared" si="3"/>
        <v>-4.3102413672879942</v>
      </c>
      <c r="V14" s="6">
        <f t="shared" si="9"/>
        <v>1.4359943749155935E-2</v>
      </c>
      <c r="W14" s="6"/>
      <c r="X14" s="6"/>
    </row>
    <row r="15" spans="1:24" x14ac:dyDescent="0.25">
      <c r="A15" s="2">
        <f>'Decomposition 1'!A13</f>
        <v>37865</v>
      </c>
      <c r="B15" s="7">
        <f>LN('Decomposition 1'!J13/'Decomposition 1'!J12)</f>
        <v>7.1705022369168703E-2</v>
      </c>
      <c r="C15" s="7">
        <f>LN('Decomposition 1'!K13/'Decomposition 1'!K12)</f>
        <v>1.3173374095238329E-2</v>
      </c>
      <c r="E15" s="8">
        <f>E14+(1-'Decomposition 1'!L13)/('Decomposition 1'!B13*'Decomposition 1'!M13)*C15</f>
        <v>0.27757986741276758</v>
      </c>
      <c r="F15" s="8">
        <f>F14-B15*(1-'Decomposition 1'!M13)/('Decomposition 1'!M13*'Decomposition 1'!B13)</f>
        <v>0.11823415450189743</v>
      </c>
      <c r="G15" s="6">
        <f t="shared" si="4"/>
        <v>0.39581402191466503</v>
      </c>
      <c r="I15" s="6">
        <f>'Raw data -- quarterly'!B57</f>
        <v>6.1047638953544314E-2</v>
      </c>
      <c r="J15" s="6">
        <f>'Raw data -- quarterly'!D57</f>
        <v>2.1251168279784145E-2</v>
      </c>
      <c r="K15" s="6">
        <f t="shared" si="5"/>
        <v>1.6100204991789158E-2</v>
      </c>
      <c r="L15" s="6">
        <f t="shared" si="6"/>
        <v>1.8881407679424402E-2</v>
      </c>
      <c r="M15" s="6">
        <f t="shared" si="7"/>
        <v>1.4304838687925666E-2</v>
      </c>
      <c r="P15" s="6">
        <f t="shared" si="1"/>
        <v>-3.8513434072507442</v>
      </c>
      <c r="Q15" s="6">
        <f t="shared" si="2"/>
        <v>-2.7961007531528992</v>
      </c>
      <c r="R15" s="6">
        <f t="shared" si="8"/>
        <v>2.2447667174889815E-2</v>
      </c>
      <c r="S15" s="6"/>
      <c r="T15" s="6"/>
      <c r="U15" s="6">
        <f t="shared" si="3"/>
        <v>-4.2471574291654086</v>
      </c>
      <c r="V15" s="6">
        <f t="shared" si="9"/>
        <v>1.4594069913262302E-2</v>
      </c>
      <c r="W15" s="6"/>
      <c r="X15" s="6"/>
    </row>
    <row r="16" spans="1:24" x14ac:dyDescent="0.25">
      <c r="A16" s="2">
        <f>'Decomposition 1'!A14</f>
        <v>37956</v>
      </c>
      <c r="B16" s="7">
        <f>LN('Decomposition 1'!J14/'Decomposition 1'!J13)</f>
        <v>1.0922422499643401E-2</v>
      </c>
      <c r="C16" s="7">
        <f>LN('Decomposition 1'!K14/'Decomposition 1'!K13)</f>
        <v>-3.5433089803027951E-2</v>
      </c>
      <c r="E16" s="8">
        <f>E15+(1-'Decomposition 1'!L14)/('Decomposition 1'!B14*'Decomposition 1'!M14)*C16</f>
        <v>0.23011230407184927</v>
      </c>
      <c r="F16" s="8">
        <f>F15-B16*(1-'Decomposition 1'!M14)/('Decomposition 1'!M14*'Decomposition 1'!B14)</f>
        <v>0.10555730088332012</v>
      </c>
      <c r="G16" s="6">
        <f t="shared" si="4"/>
        <v>0.3356696049551694</v>
      </c>
      <c r="I16" s="6">
        <f>'Raw data -- quarterly'!B58</f>
        <v>5.8179864963577105E-2</v>
      </c>
      <c r="J16" s="6">
        <f>'Raw data -- quarterly'!D58</f>
        <v>2.1979846166643984E-2</v>
      </c>
      <c r="K16" s="6">
        <f t="shared" si="5"/>
        <v>1.7461765219797084E-2</v>
      </c>
      <c r="L16" s="6">
        <f t="shared" si="6"/>
        <v>1.9777969154889271E-2</v>
      </c>
      <c r="M16" s="6">
        <f t="shared" si="7"/>
        <v>1.5712496406420313E-2</v>
      </c>
      <c r="P16" s="6">
        <f t="shared" si="1"/>
        <v>-3.8176293288189611</v>
      </c>
      <c r="Q16" s="6">
        <f t="shared" si="2"/>
        <v>-2.8442159469288253</v>
      </c>
      <c r="R16" s="6">
        <f t="shared" si="8"/>
        <v>2.3494316763385314E-2</v>
      </c>
      <c r="S16" s="6"/>
      <c r="T16" s="6"/>
      <c r="U16" s="6">
        <f t="shared" si="3"/>
        <v>-4.1532989337741304</v>
      </c>
      <c r="V16" s="6">
        <f t="shared" si="9"/>
        <v>1.6197983515896033E-2</v>
      </c>
      <c r="W16" s="6"/>
      <c r="X16" s="6"/>
    </row>
    <row r="17" spans="1:24" x14ac:dyDescent="0.25">
      <c r="A17" s="2">
        <f>'Decomposition 1'!A15</f>
        <v>38047</v>
      </c>
      <c r="B17" s="7">
        <f>LN('Decomposition 1'!J15/'Decomposition 1'!J14)</f>
        <v>-8.4243425282534597E-3</v>
      </c>
      <c r="C17" s="7">
        <f>LN('Decomposition 1'!K15/'Decomposition 1'!K14)</f>
        <v>1.4286926395601137E-2</v>
      </c>
      <c r="E17" s="8">
        <f>E16+(1-'Decomposition 1'!L15)/('Decomposition 1'!B15*'Decomposition 1'!M15)*C17</f>
        <v>0.24973681368983836</v>
      </c>
      <c r="F17" s="8">
        <f>F16-B17*(1-'Decomposition 1'!M15)/('Decomposition 1'!M15*'Decomposition 1'!B15)</f>
        <v>0.11546782838154035</v>
      </c>
      <c r="G17" s="6">
        <f t="shared" si="4"/>
        <v>0.3652046420713787</v>
      </c>
      <c r="I17" s="6">
        <f>'Raw data -- quarterly'!B59</f>
        <v>5.6817327212168534E-2</v>
      </c>
      <c r="J17" s="6">
        <f>'Raw data -- quarterly'!D59</f>
        <v>2.2999187272950142E-2</v>
      </c>
      <c r="K17" s="6">
        <f t="shared" si="5"/>
        <v>1.7916499815199868E-2</v>
      </c>
      <c r="L17" s="6">
        <f t="shared" si="6"/>
        <v>2.0491108307718591E-2</v>
      </c>
      <c r="M17" s="6">
        <f t="shared" si="7"/>
        <v>1.5962691805213008E-2</v>
      </c>
      <c r="P17" s="6">
        <f t="shared" si="1"/>
        <v>-3.7722963996360064</v>
      </c>
      <c r="Q17" s="6">
        <f t="shared" si="2"/>
        <v>-2.867913943223058</v>
      </c>
      <c r="R17" s="6">
        <f t="shared" si="8"/>
        <v>2.4027617245832099E-2</v>
      </c>
      <c r="S17" s="6"/>
      <c r="T17" s="6"/>
      <c r="U17" s="6">
        <f t="shared" si="3"/>
        <v>-4.1375010417073854</v>
      </c>
      <c r="V17" s="6">
        <f t="shared" si="9"/>
        <v>1.7051585728804972E-2</v>
      </c>
      <c r="W17" s="6"/>
      <c r="X17" s="6"/>
    </row>
    <row r="18" spans="1:24" x14ac:dyDescent="0.25">
      <c r="A18" s="2">
        <f>'Decomposition 1'!A16</f>
        <v>38139</v>
      </c>
      <c r="B18" s="7">
        <f>LN('Decomposition 1'!J16/'Decomposition 1'!J15)</f>
        <v>1.3874233169670666E-3</v>
      </c>
      <c r="C18" s="7">
        <f>LN('Decomposition 1'!K16/'Decomposition 1'!K15)</f>
        <v>-2.9495267258266289E-2</v>
      </c>
      <c r="E18" s="8">
        <f>E17+(1-'Decomposition 1'!L16)/('Decomposition 1'!B16*'Decomposition 1'!M16)*C18</f>
        <v>0.21064171885846278</v>
      </c>
      <c r="F18" s="8">
        <f>F17-B18*(1-'Decomposition 1'!M16)/('Decomposition 1'!M16*'Decomposition 1'!B16)</f>
        <v>0.11391053122029066</v>
      </c>
      <c r="G18" s="6">
        <f t="shared" si="4"/>
        <v>0.32455225007875343</v>
      </c>
      <c r="I18" s="6">
        <f>'Raw data -- quarterly'!B60</f>
        <v>5.5888715236400023E-2</v>
      </c>
      <c r="J18" s="6">
        <f>'Raw data -- quarterly'!D60</f>
        <v>2.3941828137179159E-2</v>
      </c>
      <c r="K18" s="6">
        <f t="shared" si="5"/>
        <v>1.9394418949139392E-2</v>
      </c>
      <c r="L18" s="6">
        <f t="shared" si="6"/>
        <v>2.1364197976985827E-2</v>
      </c>
      <c r="M18" s="6">
        <f t="shared" si="7"/>
        <v>1.7306372917888547E-2</v>
      </c>
      <c r="P18" s="6">
        <f t="shared" si="1"/>
        <v>-3.732128218477146</v>
      </c>
      <c r="Q18" s="6">
        <f t="shared" si="2"/>
        <v>-2.8843927933256306</v>
      </c>
      <c r="R18" s="6">
        <f t="shared" si="8"/>
        <v>2.4405577102130926E-2</v>
      </c>
      <c r="S18" s="6"/>
      <c r="T18" s="6"/>
      <c r="U18" s="6">
        <f t="shared" si="3"/>
        <v>-4.056680468555899</v>
      </c>
      <c r="V18" s="6">
        <f t="shared" si="9"/>
        <v>1.7671530157993907E-2</v>
      </c>
      <c r="W18" s="6"/>
      <c r="X18" s="6"/>
    </row>
    <row r="19" spans="1:24" x14ac:dyDescent="0.25">
      <c r="A19" s="2">
        <f>'Decomposition 1'!A17</f>
        <v>38231</v>
      </c>
      <c r="B19" s="7">
        <f>LN('Decomposition 1'!J17/'Decomposition 1'!J16)</f>
        <v>7.5581871889317559E-2</v>
      </c>
      <c r="C19" s="7">
        <f>LN('Decomposition 1'!K17/'Decomposition 1'!K16)</f>
        <v>2.4442528417133191E-2</v>
      </c>
      <c r="E19" s="8">
        <f>E18+(1-'Decomposition 1'!L17)/('Decomposition 1'!B17*'Decomposition 1'!M17)*C19</f>
        <v>0.24365620163672852</v>
      </c>
      <c r="F19" s="8">
        <f>F18-B19*(1-'Decomposition 1'!M17)/('Decomposition 1'!M17*'Decomposition 1'!B17)</f>
        <v>2.4384850165375199E-2</v>
      </c>
      <c r="G19" s="6">
        <f t="shared" si="4"/>
        <v>0.26804105180210369</v>
      </c>
      <c r="I19" s="6">
        <f>'Raw data -- quarterly'!B61</f>
        <v>5.433590168905069E-2</v>
      </c>
      <c r="J19" s="6">
        <f>'Raw data -- quarterly'!D61</f>
        <v>2.5264845535133484E-2</v>
      </c>
      <c r="K19" s="6">
        <f t="shared" si="5"/>
        <v>1.9801500611731009E-2</v>
      </c>
      <c r="L19" s="6">
        <f t="shared" si="6"/>
        <v>2.46562168799019E-2</v>
      </c>
      <c r="M19" s="6">
        <f t="shared" si="7"/>
        <v>1.932448361702483E-2</v>
      </c>
      <c r="P19" s="6">
        <f t="shared" si="1"/>
        <v>-3.678341354045457</v>
      </c>
      <c r="Q19" s="6">
        <f t="shared" si="2"/>
        <v>-2.9125700976100659</v>
      </c>
      <c r="R19" s="6">
        <f t="shared" si="8"/>
        <v>2.5065679149330226E-2</v>
      </c>
      <c r="S19" s="6"/>
      <c r="T19" s="6"/>
      <c r="U19" s="6">
        <f t="shared" si="3"/>
        <v>-3.9463824058475607</v>
      </c>
      <c r="V19" s="6">
        <f t="shared" si="9"/>
        <v>1.8784245791631852E-2</v>
      </c>
      <c r="W19" s="6"/>
      <c r="X19" s="6"/>
    </row>
    <row r="20" spans="1:24" x14ac:dyDescent="0.25">
      <c r="A20" s="2">
        <f>'Decomposition 1'!A18</f>
        <v>38322</v>
      </c>
      <c r="B20" s="7">
        <f>LN('Decomposition 1'!J18/'Decomposition 1'!J17)</f>
        <v>-4.7201512143828249E-2</v>
      </c>
      <c r="C20" s="7">
        <f>LN('Decomposition 1'!K18/'Decomposition 1'!K17)</f>
        <v>3.957580060205325E-4</v>
      </c>
      <c r="E20" s="8">
        <f>E19+(1-'Decomposition 1'!L18)/('Decomposition 1'!B18*'Decomposition 1'!M18)*C20</f>
        <v>0.24417899757041905</v>
      </c>
      <c r="F20" s="8">
        <f>F19-B20*(1-'Decomposition 1'!M18)/('Decomposition 1'!M18*'Decomposition 1'!B18)</f>
        <v>7.5987449327694398E-2</v>
      </c>
      <c r="G20" s="6">
        <f t="shared" si="4"/>
        <v>0.32016644689811347</v>
      </c>
      <c r="I20" s="6">
        <f>'Raw data -- quarterly'!B62</f>
        <v>5.3888293630012261E-2</v>
      </c>
      <c r="J20" s="6">
        <f>'Raw data -- quarterly'!D62</f>
        <v>2.4835886281557557E-2</v>
      </c>
      <c r="K20" s="6">
        <f t="shared" si="5"/>
        <v>1.9455127055392901E-2</v>
      </c>
      <c r="L20" s="6">
        <f t="shared" si="6"/>
        <v>2.3018590806990601E-2</v>
      </c>
      <c r="M20" s="6">
        <f t="shared" si="7"/>
        <v>1.8031553362307311E-2</v>
      </c>
      <c r="P20" s="6">
        <f t="shared" si="1"/>
        <v>-3.6954656442644316</v>
      </c>
      <c r="Q20" s="6">
        <f t="shared" si="2"/>
        <v>-2.9208420114828906</v>
      </c>
      <c r="R20" s="6">
        <f t="shared" si="8"/>
        <v>2.5262831671501722E-2</v>
      </c>
      <c r="S20" s="6"/>
      <c r="T20" s="6"/>
      <c r="U20" s="6">
        <f t="shared" si="3"/>
        <v>-4.0156320911625452</v>
      </c>
      <c r="V20" s="6">
        <f t="shared" si="9"/>
        <v>1.9124013055094667E-2</v>
      </c>
      <c r="W20" s="6"/>
      <c r="X20" s="6"/>
    </row>
    <row r="21" spans="1:24" x14ac:dyDescent="0.25">
      <c r="A21" s="2">
        <f>'Decomposition 1'!A19</f>
        <v>38412</v>
      </c>
      <c r="B21" s="7">
        <f>LN('Decomposition 1'!J19/'Decomposition 1'!J18)</f>
        <v>8.2260395935196042E-3</v>
      </c>
      <c r="C21" s="7">
        <f>LN('Decomposition 1'!K19/'Decomposition 1'!K18)</f>
        <v>-5.1853019050151425E-2</v>
      </c>
      <c r="E21" s="8">
        <f>E20+(1-'Decomposition 1'!L19)/('Decomposition 1'!B19*'Decomposition 1'!M19)*C21</f>
        <v>0.17577260180007104</v>
      </c>
      <c r="F21" s="8">
        <f>F20-B21*(1-'Decomposition 1'!M19)/('Decomposition 1'!M19*'Decomposition 1'!B19)</f>
        <v>6.6692988404972842E-2</v>
      </c>
      <c r="G21" s="6">
        <f t="shared" si="4"/>
        <v>0.24246559020504388</v>
      </c>
      <c r="I21" s="6">
        <f>'Raw data -- quarterly'!B63</f>
        <v>5.2836613982295867E-2</v>
      </c>
      <c r="J21" s="6">
        <f>'Raw data -- quarterly'!D63</f>
        <v>2.54295633335333E-2</v>
      </c>
      <c r="K21" s="6">
        <f t="shared" si="5"/>
        <v>2.1330539094645072E-2</v>
      </c>
      <c r="L21" s="6">
        <f t="shared" si="6"/>
        <v>2.378890795117368E-2</v>
      </c>
      <c r="M21" s="6">
        <f t="shared" si="7"/>
        <v>1.9954343077621322E-2</v>
      </c>
      <c r="P21" s="6">
        <f t="shared" si="1"/>
        <v>-3.6718428710076374</v>
      </c>
      <c r="Q21" s="6">
        <f t="shared" si="2"/>
        <v>-2.9405508819585529</v>
      </c>
      <c r="R21" s="6">
        <f t="shared" si="8"/>
        <v>2.5738843826881439E-2</v>
      </c>
      <c r="S21" s="6"/>
      <c r="T21" s="6"/>
      <c r="U21" s="6">
        <f t="shared" si="3"/>
        <v>-3.9143084612126811</v>
      </c>
      <c r="V21" s="6">
        <f t="shared" si="9"/>
        <v>1.9958523512860506E-2</v>
      </c>
      <c r="W21" s="6"/>
      <c r="X21" s="6"/>
    </row>
    <row r="22" spans="1:24" x14ac:dyDescent="0.25">
      <c r="A22" s="2">
        <f>'Decomposition 1'!A20</f>
        <v>38504</v>
      </c>
      <c r="B22" s="7">
        <f>LN('Decomposition 1'!J20/'Decomposition 1'!J19)</f>
        <v>5.1595936575550602E-2</v>
      </c>
      <c r="C22" s="7">
        <f>LN('Decomposition 1'!K20/'Decomposition 1'!K19)</f>
        <v>-3.2780884719194298E-2</v>
      </c>
      <c r="E22" s="8">
        <f>E21+(1-'Decomposition 1'!L20)/('Decomposition 1'!B20*'Decomposition 1'!M20)*C22</f>
        <v>0.13175339840669736</v>
      </c>
      <c r="F22" s="8">
        <f>F21-B22*(1-'Decomposition 1'!M20)/('Decomposition 1'!M20*'Decomposition 1'!B20)</f>
        <v>5.6105453921717549E-3</v>
      </c>
      <c r="G22" s="6">
        <f t="shared" si="4"/>
        <v>0.13736394379886913</v>
      </c>
      <c r="I22" s="6">
        <f>'Raw data -- quarterly'!B64</f>
        <v>5.1063726243783497E-2</v>
      </c>
      <c r="J22" s="6">
        <f>'Raw data -- quarterly'!D64</f>
        <v>2.6816065546348727E-2</v>
      </c>
      <c r="K22" s="6">
        <f t="shared" si="5"/>
        <v>2.3505813421379449E-2</v>
      </c>
      <c r="L22" s="6">
        <f t="shared" si="6"/>
        <v>2.6666034066136594E-2</v>
      </c>
      <c r="M22" s="6">
        <f t="shared" si="7"/>
        <v>2.3374302257853075E-2</v>
      </c>
      <c r="P22" s="6">
        <f t="shared" si="1"/>
        <v>-3.6187541103854546</v>
      </c>
      <c r="Q22" s="6">
        <f t="shared" si="2"/>
        <v>-2.974680892084121</v>
      </c>
      <c r="R22" s="6">
        <f t="shared" si="8"/>
        <v>2.658446980383132E-2</v>
      </c>
      <c r="S22" s="6"/>
      <c r="T22" s="6"/>
      <c r="U22" s="6">
        <f t="shared" si="3"/>
        <v>-3.7561180541843235</v>
      </c>
      <c r="V22" s="6">
        <f t="shared" si="9"/>
        <v>2.1490697865056009E-2</v>
      </c>
      <c r="W22" s="6"/>
      <c r="X22" s="6"/>
    </row>
    <row r="23" spans="1:24" x14ac:dyDescent="0.25">
      <c r="A23" s="2">
        <f>'Decomposition 1'!A21</f>
        <v>38596</v>
      </c>
      <c r="B23" s="7">
        <f>LN('Decomposition 1'!J21/'Decomposition 1'!J20)</f>
        <v>3.5553795682028384E-2</v>
      </c>
      <c r="C23" s="7">
        <f>LN('Decomposition 1'!K21/'Decomposition 1'!K20)</f>
        <v>9.0317888568388488E-3</v>
      </c>
      <c r="E23" s="8">
        <f>E22+(1-'Decomposition 1'!L21)/('Decomposition 1'!B21*'Decomposition 1'!M21)*C23</f>
        <v>0.14386820734775971</v>
      </c>
      <c r="F23" s="8">
        <f>F22-B23*(1-'Decomposition 1'!M21)/('Decomposition 1'!M21*'Decomposition 1'!B21)</f>
        <v>-3.724238889375777E-2</v>
      </c>
      <c r="G23" s="6">
        <f t="shared" si="4"/>
        <v>0.10662581845400193</v>
      </c>
      <c r="I23" s="6">
        <f>'Raw data -- quarterly'!B65</f>
        <v>4.9656233811252781E-2</v>
      </c>
      <c r="J23" s="6">
        <f>'Raw data -- quarterly'!D65</f>
        <v>2.7900349638332825E-2</v>
      </c>
      <c r="K23" s="6">
        <f t="shared" si="5"/>
        <v>2.4161755050354127E-2</v>
      </c>
      <c r="L23" s="6">
        <f t="shared" si="6"/>
        <v>2.8959016592001639E-2</v>
      </c>
      <c r="M23" s="6">
        <f t="shared" si="7"/>
        <v>2.5078562615349891E-2</v>
      </c>
      <c r="P23" s="6">
        <f t="shared" si="1"/>
        <v>-3.5791160583934536</v>
      </c>
      <c r="Q23" s="6">
        <f t="shared" si="2"/>
        <v>-3.0026313412615071</v>
      </c>
      <c r="R23" s="6">
        <f t="shared" si="8"/>
        <v>2.7297638853463483E-2</v>
      </c>
      <c r="S23" s="6"/>
      <c r="T23" s="6"/>
      <c r="U23" s="6">
        <f t="shared" si="3"/>
        <v>-3.6857418768474557</v>
      </c>
      <c r="V23" s="6">
        <f t="shared" si="9"/>
        <v>2.2832665572844087E-2</v>
      </c>
      <c r="W23" s="6"/>
      <c r="X23" s="6"/>
    </row>
    <row r="24" spans="1:24" x14ac:dyDescent="0.25">
      <c r="A24" s="2">
        <f>'Decomposition 1'!A22</f>
        <v>38687</v>
      </c>
      <c r="B24" s="7">
        <f>LN('Decomposition 1'!J22/'Decomposition 1'!J21)</f>
        <v>8.8134940113547902E-3</v>
      </c>
      <c r="C24" s="7">
        <f>LN('Decomposition 1'!K22/'Decomposition 1'!K21)</f>
        <v>6.2795398918789741E-2</v>
      </c>
      <c r="E24" s="8">
        <f>E23+(1-'Decomposition 1'!L22)/('Decomposition 1'!B22*'Decomposition 1'!M22)*C24</f>
        <v>0.23410989329594811</v>
      </c>
      <c r="F24" s="8">
        <f>F23-B24*(1-'Decomposition 1'!M22)/('Decomposition 1'!M22*'Decomposition 1'!B22)</f>
        <v>-4.7992992568962792E-2</v>
      </c>
      <c r="G24" s="6">
        <f t="shared" si="4"/>
        <v>0.18611690072698533</v>
      </c>
      <c r="I24" s="6">
        <f>'Raw data -- quarterly'!B66</f>
        <v>4.9540375817642514E-2</v>
      </c>
      <c r="J24" s="6">
        <f>'Raw data -- quarterly'!D66</f>
        <v>2.8740369012615768E-2</v>
      </c>
      <c r="K24" s="6">
        <f t="shared" si="5"/>
        <v>2.2741531332175286E-2</v>
      </c>
      <c r="L24" s="6">
        <f t="shared" si="6"/>
        <v>3.0153340493038819E-2</v>
      </c>
      <c r="M24" s="6">
        <f t="shared" si="7"/>
        <v>2.3859580135912141E-2</v>
      </c>
      <c r="P24" s="6">
        <f t="shared" si="1"/>
        <v>-3.5494525587262902</v>
      </c>
      <c r="Q24" s="6">
        <f t="shared" si="2"/>
        <v>-3.0049672688043105</v>
      </c>
      <c r="R24" s="6">
        <f t="shared" si="8"/>
        <v>2.7358100425940363E-2</v>
      </c>
      <c r="S24" s="6"/>
      <c r="T24" s="6"/>
      <c r="U24" s="6">
        <f t="shared" si="3"/>
        <v>-3.7355694594532753</v>
      </c>
      <c r="V24" s="6">
        <f t="shared" si="9"/>
        <v>2.2948543045548365E-2</v>
      </c>
      <c r="W24" s="6"/>
      <c r="X24" s="6"/>
    </row>
    <row r="25" spans="1:24" x14ac:dyDescent="0.25">
      <c r="A25" s="2">
        <f>'Decomposition 1'!A23</f>
        <v>38777</v>
      </c>
      <c r="B25" s="7">
        <f>LN('Decomposition 1'!J23/'Decomposition 1'!J22)</f>
        <v>1.3759930185808572E-2</v>
      </c>
      <c r="C25" s="7">
        <f>LN('Decomposition 1'!K23/'Decomposition 1'!K22)</f>
        <v>-9.1441169458755162E-2</v>
      </c>
      <c r="E25" s="8">
        <f>E24+(1-'Decomposition 1'!L23)/('Decomposition 1'!B23*'Decomposition 1'!M23)*C25</f>
        <v>0.10727799159338355</v>
      </c>
      <c r="F25" s="8">
        <f>F24-B25*(1-'Decomposition 1'!M23)/('Decomposition 1'!M23*'Decomposition 1'!B23)</f>
        <v>-6.4692627306623715E-2</v>
      </c>
      <c r="G25" s="6">
        <f t="shared" si="4"/>
        <v>4.2585364286759839E-2</v>
      </c>
      <c r="I25" s="6">
        <f>'Raw data -- quarterly'!B67</f>
        <v>4.7202763953106075E-2</v>
      </c>
      <c r="J25" s="6">
        <f>'Raw data -- quarterly'!D67</f>
        <v>2.8892336986104179E-2</v>
      </c>
      <c r="K25" s="6">
        <f t="shared" si="5"/>
        <v>2.5953290735137604E-2</v>
      </c>
      <c r="L25" s="6">
        <f t="shared" si="6"/>
        <v>3.082324247100543E-2</v>
      </c>
      <c r="M25" s="6">
        <f t="shared" si="7"/>
        <v>2.7687776645910978E-2</v>
      </c>
      <c r="P25" s="6">
        <f t="shared" si="1"/>
        <v>-3.5441788752140355</v>
      </c>
      <c r="Q25" s="6">
        <f t="shared" si="2"/>
        <v>-3.0533028297765807</v>
      </c>
      <c r="R25" s="6">
        <f t="shared" si="8"/>
        <v>2.8639681908476232E-2</v>
      </c>
      <c r="S25" s="6"/>
      <c r="T25" s="6"/>
      <c r="U25" s="6">
        <f t="shared" si="3"/>
        <v>-3.5867642395007953</v>
      </c>
      <c r="V25" s="6">
        <f t="shared" si="9"/>
        <v>2.5482794462443326E-2</v>
      </c>
      <c r="W25" s="6"/>
      <c r="X25" s="6"/>
    </row>
    <row r="26" spans="1:24" x14ac:dyDescent="0.25">
      <c r="A26" s="2">
        <f>'Decomposition 1'!A24</f>
        <v>38869</v>
      </c>
      <c r="B26" s="7">
        <f>LN('Decomposition 1'!J24/'Decomposition 1'!J23)</f>
        <v>2.7582729751517994E-2</v>
      </c>
      <c r="C26" s="7">
        <f>LN('Decomposition 1'!K24/'Decomposition 1'!K23)</f>
        <v>3.2883967038951363E-2</v>
      </c>
      <c r="E26" s="8">
        <f>E25+(1-'Decomposition 1'!L24)/('Decomposition 1'!B24*'Decomposition 1'!M24)*C26</f>
        <v>0.15166092792114466</v>
      </c>
      <c r="F26" s="8">
        <f>F25-B26*(1-'Decomposition 1'!M24)/('Decomposition 1'!M24*'Decomposition 1'!B24)</f>
        <v>-9.7464498782512038E-2</v>
      </c>
      <c r="G26" s="6">
        <f t="shared" si="4"/>
        <v>5.4196429138632624E-2</v>
      </c>
      <c r="I26" s="6">
        <f>'Raw data -- quarterly'!B68</f>
        <v>4.6549785693897082E-2</v>
      </c>
      <c r="J26" s="6">
        <f>'Raw data -- quarterly'!D68</f>
        <v>2.9247939162282622E-2</v>
      </c>
      <c r="K26" s="6">
        <f t="shared" si="5"/>
        <v>2.5132157144442006E-2</v>
      </c>
      <c r="L26" s="6">
        <f t="shared" si="6"/>
        <v>3.2242118119882604E-2</v>
      </c>
      <c r="M26" s="6">
        <f t="shared" si="7"/>
        <v>2.7704994008723536E-2</v>
      </c>
      <c r="P26" s="6">
        <f t="shared" si="1"/>
        <v>-3.5319461637767491</v>
      </c>
      <c r="Q26" s="6">
        <f t="shared" si="2"/>
        <v>-3.0672328790527503</v>
      </c>
      <c r="R26" s="6">
        <f t="shared" si="8"/>
        <v>2.9020049443559476E-2</v>
      </c>
      <c r="S26" s="6"/>
      <c r="T26" s="6"/>
      <c r="U26" s="6">
        <f t="shared" si="3"/>
        <v>-3.5861425929153818</v>
      </c>
      <c r="V26" s="6">
        <f t="shared" si="9"/>
        <v>2.6263801193460678E-2</v>
      </c>
      <c r="W26" s="6"/>
      <c r="X26" s="6"/>
    </row>
    <row r="27" spans="1:24" x14ac:dyDescent="0.25">
      <c r="A27" s="2">
        <f>'Decomposition 1'!A25</f>
        <v>38961</v>
      </c>
      <c r="B27" s="7">
        <f>LN('Decomposition 1'!J25/'Decomposition 1'!J24)</f>
        <v>-2.8601552043039311E-2</v>
      </c>
      <c r="C27" s="7">
        <f>LN('Decomposition 1'!K25/'Decomposition 1'!K24)</f>
        <v>1.3690657771101669E-2</v>
      </c>
      <c r="E27" s="8">
        <f>E26+(1-'Decomposition 1'!L25)/('Decomposition 1'!B25*'Decomposition 1'!M25)*C27</f>
        <v>0.16997424320871052</v>
      </c>
      <c r="F27" s="8">
        <f>F26-B27*(1-'Decomposition 1'!M25)/('Decomposition 1'!M25*'Decomposition 1'!B25)</f>
        <v>-6.5212392452248691E-2</v>
      </c>
      <c r="G27" s="6">
        <f t="shared" si="4"/>
        <v>0.10476185075646183</v>
      </c>
      <c r="I27" s="6">
        <f>'Raw data -- quarterly'!B69</f>
        <v>4.6427768338602293E-2</v>
      </c>
      <c r="J27" s="6">
        <f>'Raw data -- quarterly'!D69</f>
        <v>2.8886763522722892E-2</v>
      </c>
      <c r="K27" s="6">
        <f t="shared" si="5"/>
        <v>2.4371373769764677E-2</v>
      </c>
      <c r="L27" s="6">
        <f t="shared" si="6"/>
        <v>3.083331844723702E-2</v>
      </c>
      <c r="M27" s="6">
        <f t="shared" si="7"/>
        <v>2.6013655972524856E-2</v>
      </c>
      <c r="P27" s="6">
        <f t="shared" si="1"/>
        <v>-3.5443717983765453</v>
      </c>
      <c r="Q27" s="6">
        <f t="shared" si="2"/>
        <v>-3.0698575431797255</v>
      </c>
      <c r="R27" s="6">
        <f t="shared" si="8"/>
        <v>2.909228088435686E-2</v>
      </c>
      <c r="S27" s="6"/>
      <c r="T27" s="6"/>
      <c r="U27" s="6">
        <f t="shared" si="3"/>
        <v>-3.6491336491330073</v>
      </c>
      <c r="V27" s="6">
        <f t="shared" si="9"/>
        <v>2.641361448501817E-2</v>
      </c>
      <c r="W27" s="6"/>
      <c r="X27" s="6"/>
    </row>
    <row r="28" spans="1:24" x14ac:dyDescent="0.25">
      <c r="A28" s="2">
        <f>'Decomposition 1'!A26</f>
        <v>39052</v>
      </c>
      <c r="B28" s="7">
        <f>LN('Decomposition 1'!J26/'Decomposition 1'!J25)</f>
        <v>2.5376844617446465E-2</v>
      </c>
      <c r="C28" s="7">
        <f>LN('Decomposition 1'!K26/'Decomposition 1'!K25)</f>
        <v>-0.13572736511515635</v>
      </c>
      <c r="E28" s="8">
        <f>E27+(1-'Decomposition 1'!L26)/('Decomposition 1'!B26*'Decomposition 1'!M26)*C28</f>
        <v>-2.6033191431076852E-4</v>
      </c>
      <c r="F28" s="8">
        <f>F27-B28*(1-'Decomposition 1'!M26)/('Decomposition 1'!M26*'Decomposition 1'!B26)</f>
        <v>-9.4763937861091857E-2</v>
      </c>
      <c r="G28" s="6">
        <f t="shared" si="4"/>
        <v>-9.5024269775402626E-2</v>
      </c>
      <c r="I28" s="6">
        <f>'Raw data -- quarterly'!B70</f>
        <v>4.453612082638455E-2</v>
      </c>
      <c r="J28" s="6">
        <f>'Raw data -- quarterly'!D70</f>
        <v>3.0013827852673494E-2</v>
      </c>
      <c r="K28" s="6">
        <f t="shared" si="5"/>
        <v>3.0021642427081597E-2</v>
      </c>
      <c r="L28" s="6">
        <f t="shared" si="6"/>
        <v>3.299718126977258E-2</v>
      </c>
      <c r="M28" s="6">
        <f>$J28/EXP(G28)</f>
        <v>3.3005772607390564E-2</v>
      </c>
      <c r="P28" s="6">
        <f t="shared" si="1"/>
        <v>-3.5060970750924061</v>
      </c>
      <c r="Q28" s="6">
        <f t="shared" si="2"/>
        <v>-3.1114547150997485</v>
      </c>
      <c r="R28" s="6">
        <f t="shared" si="8"/>
        <v>3.0261347835790098E-2</v>
      </c>
      <c r="S28" s="6"/>
      <c r="T28" s="6"/>
      <c r="U28" s="6">
        <f t="shared" si="3"/>
        <v>-3.4110728053170036</v>
      </c>
      <c r="V28" s="6">
        <f t="shared" si="9"/>
        <v>2.8905321542457507E-2</v>
      </c>
      <c r="W28" s="6"/>
      <c r="X28" s="6"/>
    </row>
    <row r="29" spans="1:24" x14ac:dyDescent="0.25">
      <c r="A29" s="2">
        <f>'Decomposition 1'!A27</f>
        <v>39142</v>
      </c>
      <c r="B29" s="7">
        <f>LN('Decomposition 1'!J27/'Decomposition 1'!J26)</f>
        <v>-3.1059607778000219E-2</v>
      </c>
      <c r="C29" s="7">
        <f>LN('Decomposition 1'!K27/'Decomposition 1'!K26)</f>
        <v>0.11518828908731218</v>
      </c>
      <c r="E29" s="8">
        <f>E28+(1-'Decomposition 1'!L27)/('Decomposition 1'!B27*'Decomposition 1'!M27)*C29</f>
        <v>0.15054635125836555</v>
      </c>
      <c r="F29" s="8">
        <f>F28-B29*(1-'Decomposition 1'!M27)/('Decomposition 1'!M27*'Decomposition 1'!B27)</f>
        <v>-6.0630244803595169E-2</v>
      </c>
      <c r="G29" s="6">
        <f t="shared" si="4"/>
        <v>8.9916106454770384E-2</v>
      </c>
      <c r="I29" s="6">
        <f>'Raw data -- quarterly'!B71</f>
        <v>4.5241373495960364E-2</v>
      </c>
      <c r="J29" s="6">
        <f>'Raw data -- quarterly'!D71</f>
        <v>3.0036107104304252E-2</v>
      </c>
      <c r="K29" s="6">
        <f t="shared" si="5"/>
        <v>2.5838196377278088E-2</v>
      </c>
      <c r="L29" s="6">
        <f t="shared" si="6"/>
        <v>3.1913543247262664E-2</v>
      </c>
      <c r="M29" s="6">
        <f t="shared" si="7"/>
        <v>2.7453238019628855E-2</v>
      </c>
      <c r="P29" s="6">
        <f t="shared" si="1"/>
        <v>-3.5053550508864193</v>
      </c>
      <c r="Q29" s="6">
        <f t="shared" si="2"/>
        <v>-3.0957432679837535</v>
      </c>
      <c r="R29" s="6">
        <f t="shared" si="8"/>
        <v>2.9814364249365771E-2</v>
      </c>
      <c r="S29" s="6"/>
      <c r="T29" s="6"/>
      <c r="U29" s="6">
        <f t="shared" si="3"/>
        <v>-3.5952711573411897</v>
      </c>
      <c r="V29" s="6">
        <f t="shared" si="9"/>
        <v>2.7937701793355002E-2</v>
      </c>
      <c r="W29" s="6"/>
      <c r="X29" s="6"/>
    </row>
    <row r="30" spans="1:24" x14ac:dyDescent="0.25">
      <c r="A30" s="2">
        <f>'Decomposition 1'!A28</f>
        <v>39234</v>
      </c>
      <c r="B30" s="7">
        <f>LN('Decomposition 1'!J28/'Decomposition 1'!J27)</f>
        <v>-2.5595221215635518E-2</v>
      </c>
      <c r="C30" s="7">
        <f>LN('Decomposition 1'!K28/'Decomposition 1'!K27)</f>
        <v>-3.5265382910607532E-2</v>
      </c>
      <c r="E30" s="8">
        <f>E29+(1-'Decomposition 1'!L28)/('Decomposition 1'!B28*'Decomposition 1'!M28)*C30</f>
        <v>0.10348815414839295</v>
      </c>
      <c r="F30" s="8">
        <f>F29-B30*(1-'Decomposition 1'!M28)/('Decomposition 1'!M28*'Decomposition 1'!B28)</f>
        <v>-3.1067689714717853E-2</v>
      </c>
      <c r="G30" s="6">
        <f t="shared" si="4"/>
        <v>7.24204644336751E-2</v>
      </c>
      <c r="I30" s="6">
        <f>'Raw data -- quarterly'!B72</f>
        <v>4.4952284138899345E-2</v>
      </c>
      <c r="J30" s="6">
        <f>'Raw data -- quarterly'!D72</f>
        <v>2.983020911562792E-2</v>
      </c>
      <c r="K30" s="6">
        <f t="shared" si="5"/>
        <v>2.6897502934878414E-2</v>
      </c>
      <c r="L30" s="6">
        <f t="shared" si="6"/>
        <v>3.077151112498893E-2</v>
      </c>
      <c r="M30" s="6">
        <f t="shared" si="7"/>
        <v>2.7746262441097579E-2</v>
      </c>
      <c r="P30" s="6">
        <f t="shared" si="1"/>
        <v>-3.5122336702343957</v>
      </c>
      <c r="Q30" s="6">
        <f t="shared" si="2"/>
        <v>-3.1021537042521179</v>
      </c>
      <c r="R30" s="6">
        <f t="shared" si="8"/>
        <v>2.9995935341272786E-2</v>
      </c>
      <c r="S30" s="6"/>
      <c r="T30" s="6"/>
      <c r="U30" s="6">
        <f t="shared" si="3"/>
        <v>-3.5846541346680705</v>
      </c>
      <c r="V30" s="6">
        <f t="shared" si="9"/>
        <v>2.8328526243093972E-2</v>
      </c>
      <c r="W30" s="6"/>
      <c r="X30" s="6"/>
    </row>
    <row r="31" spans="1:24" x14ac:dyDescent="0.25">
      <c r="A31" s="2">
        <f>'Decomposition 1'!A29</f>
        <v>39326</v>
      </c>
      <c r="B31" s="7">
        <f>LN('Decomposition 1'!J29/'Decomposition 1'!J28)</f>
        <v>-2.2781806861315874E-2</v>
      </c>
      <c r="C31" s="7">
        <f>LN('Decomposition 1'!K29/'Decomposition 1'!K28)</f>
        <v>-1.529383796339597E-2</v>
      </c>
      <c r="E31" s="8">
        <f>E30+(1-'Decomposition 1'!L29)/('Decomposition 1'!B29*'Decomposition 1'!M29)*C31</f>
        <v>8.3617749589609061E-2</v>
      </c>
      <c r="F31" s="8">
        <f>F30-B31*(1-'Decomposition 1'!M29)/('Decomposition 1'!M29*'Decomposition 1'!B29)</f>
        <v>-5.2058042739444102E-3</v>
      </c>
      <c r="G31" s="6">
        <f t="shared" si="4"/>
        <v>7.8411945315664644E-2</v>
      </c>
      <c r="I31" s="6">
        <f>'Raw data -- quarterly'!B73</f>
        <v>4.6570242960462443E-2</v>
      </c>
      <c r="J31" s="6">
        <f>'Raw data -- quarterly'!D73</f>
        <v>2.9247462156771622E-2</v>
      </c>
      <c r="K31" s="6">
        <f t="shared" si="5"/>
        <v>2.6901311940827326E-2</v>
      </c>
      <c r="L31" s="6">
        <f t="shared" si="6"/>
        <v>2.9400115717802058E-2</v>
      </c>
      <c r="M31" s="6">
        <f t="shared" si="7"/>
        <v>2.7041720056996378E-2</v>
      </c>
      <c r="P31" s="6">
        <f t="shared" si="1"/>
        <v>-3.5319624729395298</v>
      </c>
      <c r="Q31" s="6">
        <f t="shared" si="2"/>
        <v>-3.0667935048989814</v>
      </c>
      <c r="R31" s="6">
        <f t="shared" si="8"/>
        <v>2.9007975288137769E-2</v>
      </c>
      <c r="S31" s="6"/>
      <c r="T31" s="6"/>
      <c r="U31" s="6">
        <f t="shared" si="3"/>
        <v>-3.6103744182551942</v>
      </c>
      <c r="V31" s="6">
        <f t="shared" si="9"/>
        <v>2.6238805300372689E-2</v>
      </c>
      <c r="W31" s="6"/>
      <c r="X31" s="6"/>
    </row>
    <row r="32" spans="1:24" x14ac:dyDescent="0.25">
      <c r="A32" s="2">
        <f>'Decomposition 1'!A30</f>
        <v>39417</v>
      </c>
      <c r="B32" s="7">
        <f>LN('Decomposition 1'!J30/'Decomposition 1'!J29)</f>
        <v>-3.1861954066363295E-2</v>
      </c>
      <c r="C32" s="7">
        <f>LN('Decomposition 1'!K30/'Decomposition 1'!K29)</f>
        <v>5.1705003411662696E-2</v>
      </c>
      <c r="E32" s="8">
        <f>E31+(1-'Decomposition 1'!L30)/('Decomposition 1'!B30*'Decomposition 1'!M30)*C32</f>
        <v>0.15213145004010775</v>
      </c>
      <c r="F32" s="8">
        <f>F31-B32*(1-'Decomposition 1'!M30)/('Decomposition 1'!M30*'Decomposition 1'!B30)</f>
        <v>3.0397293604766104E-2</v>
      </c>
      <c r="G32" s="6">
        <f t="shared" si="4"/>
        <v>0.18252874364487387</v>
      </c>
      <c r="I32" s="6">
        <f>'Raw data -- quarterly'!B74</f>
        <v>4.7992287474356188E-2</v>
      </c>
      <c r="J32" s="6">
        <f>'Raw data -- quarterly'!D74</f>
        <v>2.8044985088220026E-2</v>
      </c>
      <c r="K32" s="6">
        <f t="shared" si="5"/>
        <v>2.4087147059782085E-2</v>
      </c>
      <c r="L32" s="6">
        <f t="shared" si="6"/>
        <v>2.7205319870339285E-2</v>
      </c>
      <c r="M32" s="6">
        <f>$J32/EXP(G32)</f>
        <v>2.3365979281640796E-2</v>
      </c>
      <c r="P32" s="6">
        <f t="shared" si="1"/>
        <v>-3.5739454477310164</v>
      </c>
      <c r="Q32" s="6">
        <f t="shared" si="2"/>
        <v>-3.0367149586018569</v>
      </c>
      <c r="R32" s="6">
        <f t="shared" si="8"/>
        <v>2.8193238751449645E-2</v>
      </c>
      <c r="S32" s="6"/>
      <c r="T32" s="6"/>
      <c r="U32" s="6">
        <f t="shared" si="3"/>
        <v>-3.7564741913758901</v>
      </c>
      <c r="V32" s="6">
        <f t="shared" si="9"/>
        <v>2.4583010164087395E-2</v>
      </c>
      <c r="W32" s="6"/>
      <c r="X32" s="6"/>
    </row>
    <row r="33" spans="1:24" x14ac:dyDescent="0.25">
      <c r="A33" s="2">
        <f>'Decomposition 1'!A31</f>
        <v>39508</v>
      </c>
      <c r="B33" s="7">
        <f>LN('Decomposition 1'!J31/'Decomposition 1'!J30)</f>
        <v>5.5981149432317232E-3</v>
      </c>
      <c r="C33" s="7">
        <f>LN('Decomposition 1'!K31/'Decomposition 1'!K30)</f>
        <v>-3.6508261655318931E-2</v>
      </c>
      <c r="E33" s="8">
        <f>E32+(1-'Decomposition 1'!L31)/('Decomposition 1'!B31*'Decomposition 1'!M31)*C33</f>
        <v>0.10526499172195214</v>
      </c>
      <c r="F33" s="8">
        <f>F32-B33*(1-'Decomposition 1'!M31)/('Decomposition 1'!M31*'Decomposition 1'!B31)</f>
        <v>2.3965181520318013E-2</v>
      </c>
      <c r="G33" s="6">
        <f t="shared" si="4"/>
        <v>0.12923017324227015</v>
      </c>
      <c r="I33" s="6">
        <f>'Raw data -- quarterly'!B75</f>
        <v>4.9832172810359232E-2</v>
      </c>
      <c r="J33" s="6">
        <f>'Raw data -- quarterly'!D75</f>
        <v>2.6542765360996628E-2</v>
      </c>
      <c r="K33" s="6">
        <f t="shared" si="5"/>
        <v>2.3890770856364183E-2</v>
      </c>
      <c r="L33" s="6">
        <f t="shared" si="6"/>
        <v>2.5914224797599764E-2</v>
      </c>
      <c r="M33" s="6">
        <f t="shared" si="7"/>
        <v>2.3325030310124402E-2</v>
      </c>
      <c r="P33" s="6">
        <f t="shared" si="1"/>
        <v>-3.6289980595378757</v>
      </c>
      <c r="Q33" s="6">
        <f t="shared" si="2"/>
        <v>-2.9990944631771139</v>
      </c>
      <c r="R33" s="6">
        <f t="shared" si="8"/>
        <v>2.7206346916605839E-2</v>
      </c>
      <c r="S33" s="6"/>
      <c r="T33" s="6"/>
      <c r="U33" s="6">
        <f t="shared" si="3"/>
        <v>-3.7582282327801462</v>
      </c>
      <c r="V33" s="6">
        <f t="shared" si="9"/>
        <v>2.2658325715928247E-2</v>
      </c>
      <c r="W33" s="6"/>
      <c r="X33" s="6"/>
    </row>
    <row r="34" spans="1:24" x14ac:dyDescent="0.25">
      <c r="A34" s="2">
        <f>'Decomposition 1'!A32</f>
        <v>39600</v>
      </c>
      <c r="B34" s="7">
        <f>LN('Decomposition 1'!J32/'Decomposition 1'!J31)</f>
        <v>-3.4915811951053762E-2</v>
      </c>
      <c r="C34" s="7">
        <f>LN('Decomposition 1'!K32/'Decomposition 1'!K31)</f>
        <v>8.0695532679445653E-2</v>
      </c>
      <c r="E34" s="8">
        <f>E33+(1-'Decomposition 1'!L32)/('Decomposition 1'!B32*'Decomposition 1'!M32)*C34</f>
        <v>0.20989929392848117</v>
      </c>
      <c r="F34" s="8">
        <f>F33-B34*(1-'Decomposition 1'!M32)/('Decomposition 1'!M32*'Decomposition 1'!B32)</f>
        <v>6.4121350862608867E-2</v>
      </c>
      <c r="G34" s="6">
        <f t="shared" si="4"/>
        <v>0.27402064479109001</v>
      </c>
      <c r="I34" s="6">
        <f>'Raw data -- quarterly'!B76</f>
        <v>5.3213528370194885E-2</v>
      </c>
      <c r="J34" s="6">
        <f>'Raw data -- quarterly'!D76</f>
        <v>2.5152555342716505E-2</v>
      </c>
      <c r="K34" s="6">
        <f t="shared" si="5"/>
        <v>2.0390318432172674E-2</v>
      </c>
      <c r="L34" s="6">
        <f t="shared" si="6"/>
        <v>2.3590359778229878E-2</v>
      </c>
      <c r="M34" s="6">
        <f t="shared" si="7"/>
        <v>1.9123899788850457E-2</v>
      </c>
      <c r="P34" s="6">
        <f t="shared" si="1"/>
        <v>-3.6827957835135789</v>
      </c>
      <c r="Q34" s="6">
        <f t="shared" si="2"/>
        <v>-2.9334426222886036</v>
      </c>
      <c r="R34" s="6">
        <f t="shared" si="8"/>
        <v>2.5566138528469187E-2</v>
      </c>
      <c r="S34" s="6"/>
      <c r="T34" s="6"/>
      <c r="U34" s="6">
        <f t="shared" si="3"/>
        <v>-3.956816428304669</v>
      </c>
      <c r="V34" s="6">
        <f t="shared" si="9"/>
        <v>1.9653429090472473E-2</v>
      </c>
      <c r="W34" s="6"/>
      <c r="X34" s="6"/>
    </row>
    <row r="35" spans="1:24" x14ac:dyDescent="0.25">
      <c r="A35" s="2">
        <f>'Decomposition 1'!A33</f>
        <v>39692</v>
      </c>
      <c r="B35" s="7">
        <f>LN('Decomposition 1'!J33/'Decomposition 1'!J32)</f>
        <v>-9.6137188339804808E-2</v>
      </c>
      <c r="C35" s="7">
        <f>LN('Decomposition 1'!K33/'Decomposition 1'!K32)</f>
        <v>6.045654179778167E-2</v>
      </c>
      <c r="E35" s="8">
        <f>E34+(1-'Decomposition 1'!L33)/('Decomposition 1'!B33*'Decomposition 1'!M33)*C35</f>
        <v>0.28669118490691026</v>
      </c>
      <c r="F35" s="8">
        <f>F34-B35*(1-'Decomposition 1'!M33)/('Decomposition 1'!M33*'Decomposition 1'!B33)</f>
        <v>0.17078820778905318</v>
      </c>
      <c r="G35" s="6">
        <f t="shared" si="4"/>
        <v>0.45747939269596344</v>
      </c>
      <c r="I35" s="6">
        <f>'Raw data -- quarterly'!B77</f>
        <v>6.0103319389037922E-2</v>
      </c>
      <c r="J35" s="6">
        <f>'Raw data -- quarterly'!D77</f>
        <v>2.2990234362615741E-2</v>
      </c>
      <c r="K35" s="6">
        <f t="shared" si="5"/>
        <v>1.7259769792351776E-2</v>
      </c>
      <c r="L35" s="6">
        <f t="shared" si="6"/>
        <v>1.9380769761418084E-2</v>
      </c>
      <c r="M35" s="6">
        <f t="shared" si="7"/>
        <v>1.4549987581883422E-2</v>
      </c>
      <c r="P35" s="6">
        <f t="shared" si="1"/>
        <v>-3.7726857461478391</v>
      </c>
      <c r="Q35" s="6">
        <f t="shared" si="2"/>
        <v>-2.8116902078673554</v>
      </c>
      <c r="R35" s="6">
        <f t="shared" si="8"/>
        <v>2.2781575173210437E-2</v>
      </c>
      <c r="S35" s="6"/>
      <c r="T35" s="6"/>
      <c r="U35" s="6">
        <f t="shared" si="3"/>
        <v>-4.2301651388438026</v>
      </c>
      <c r="V35" s="6">
        <f t="shared" si="9"/>
        <v>1.5095542819013923E-2</v>
      </c>
      <c r="W35" s="6"/>
      <c r="X35" s="6"/>
    </row>
    <row r="36" spans="1:24" x14ac:dyDescent="0.25">
      <c r="A36" s="2">
        <f>'Decomposition 1'!A34</f>
        <v>39783</v>
      </c>
      <c r="B36" s="7">
        <f>LN('Decomposition 1'!J34/'Decomposition 1'!J33)</f>
        <v>-5.5312794744578522E-2</v>
      </c>
      <c r="C36" s="7">
        <f>LN('Decomposition 1'!K34/'Decomposition 1'!K33)</f>
        <v>4.4797815773093261E-2</v>
      </c>
      <c r="E36" s="8">
        <f>E35+(1-'Decomposition 1'!L34)/('Decomposition 1'!B34*'Decomposition 1'!M34)*C36</f>
        <v>0.34196323756447555</v>
      </c>
      <c r="F36" s="8">
        <f>F35-B36*(1-'Decomposition 1'!M34)/('Decomposition 1'!M34*'Decomposition 1'!B34)</f>
        <v>0.23666491081897864</v>
      </c>
      <c r="G36" s="6">
        <f t="shared" si="4"/>
        <v>0.57862814838345422</v>
      </c>
      <c r="I36" s="6">
        <f>'Raw data -- quarterly'!B78</f>
        <v>6.8722389430276434E-2</v>
      </c>
      <c r="J36" s="6">
        <f>'Raw data -- quarterly'!D78</f>
        <v>2.057378907942788E-2</v>
      </c>
      <c r="K36" s="6">
        <f t="shared" si="5"/>
        <v>1.4615091413116774E-2</v>
      </c>
      <c r="L36" s="6">
        <f t="shared" si="6"/>
        <v>1.623798060526584E-2</v>
      </c>
      <c r="M36" s="6">
        <f t="shared" si="7"/>
        <v>1.1535044419585199E-2</v>
      </c>
      <c r="P36" s="6">
        <f t="shared" si="1"/>
        <v>-3.8837373881277406</v>
      </c>
      <c r="Q36" s="6">
        <f t="shared" si="2"/>
        <v>-2.677680231388551</v>
      </c>
      <c r="R36" s="6">
        <f t="shared" si="8"/>
        <v>2.0065979288291992E-2</v>
      </c>
      <c r="S36" s="6"/>
      <c r="T36" s="6"/>
      <c r="U36" s="6">
        <f t="shared" si="3"/>
        <v>-4.4623655365111947</v>
      </c>
      <c r="V36" s="6">
        <f t="shared" si="9"/>
        <v>1.1290747490987079E-2</v>
      </c>
      <c r="W36" s="6"/>
      <c r="X36" s="6"/>
    </row>
    <row r="37" spans="1:24" x14ac:dyDescent="0.25">
      <c r="A37" s="2">
        <f>'Decomposition 1'!A35</f>
        <v>39873</v>
      </c>
      <c r="B37" s="7">
        <f>LN('Decomposition 1'!J35/'Decomposition 1'!J34)</f>
        <v>-0.11051367987445537</v>
      </c>
      <c r="C37" s="7">
        <f>LN('Decomposition 1'!K35/'Decomposition 1'!K34)</f>
        <v>6.395970216652444E-2</v>
      </c>
      <c r="E37" s="8">
        <f>E36+(1-'Decomposition 1'!L35)/('Decomposition 1'!B35*'Decomposition 1'!M35)*C37</f>
        <v>0.41750915984414727</v>
      </c>
      <c r="F37" s="8">
        <f>F36-B37*(1-'Decomposition 1'!M35)/('Decomposition 1'!M35*'Decomposition 1'!B35)</f>
        <v>0.36942200932569136</v>
      </c>
      <c r="G37" s="6">
        <f t="shared" si="4"/>
        <v>0.78693116916983863</v>
      </c>
      <c r="I37" s="6">
        <f>'Raw data -- quarterly'!B79</f>
        <v>8.2914942257482041E-2</v>
      </c>
      <c r="J37" s="6">
        <f>'Raw data -- quarterly'!D79</f>
        <v>1.7735546537390495E-2</v>
      </c>
      <c r="K37" s="6">
        <f t="shared" si="5"/>
        <v>1.1682146600321762E-2</v>
      </c>
      <c r="L37" s="6">
        <f t="shared" si="6"/>
        <v>1.2257633616832551E-2</v>
      </c>
      <c r="M37" s="6">
        <f t="shared" si="7"/>
        <v>8.0739250173645378E-3</v>
      </c>
      <c r="P37" s="6">
        <f t="shared" ref="P37:P54" si="10">LN(J37)</f>
        <v>-4.0321843743500461</v>
      </c>
      <c r="Q37" s="6">
        <f t="shared" ref="Q37:Q54" si="11">LN(I37)</f>
        <v>-2.489939988722492</v>
      </c>
      <c r="R37" s="6">
        <f t="shared" si="8"/>
        <v>1.679715279014141E-2</v>
      </c>
      <c r="S37" s="6"/>
      <c r="T37" s="6"/>
      <c r="U37" s="6">
        <f t="shared" ref="U37:U54" si="12">LN(M37)</f>
        <v>-4.8191155435198851</v>
      </c>
      <c r="V37" s="6">
        <f t="shared" si="9"/>
        <v>7.5167030357139548E-3</v>
      </c>
      <c r="W37" s="6"/>
      <c r="X37" s="6"/>
    </row>
    <row r="38" spans="1:24" x14ac:dyDescent="0.25">
      <c r="A38" s="2">
        <f>'Decomposition 1'!A36</f>
        <v>39965</v>
      </c>
      <c r="B38" s="7">
        <f>LN('Decomposition 1'!J36/'Decomposition 1'!J35)</f>
        <v>-0.11981414378938779</v>
      </c>
      <c r="C38" s="7">
        <f>LN('Decomposition 1'!K36/'Decomposition 1'!K35)</f>
        <v>2.2734776275765013E-2</v>
      </c>
      <c r="E38" s="8">
        <f>E37+(1-'Decomposition 1'!L36)/('Decomposition 1'!B36*'Decomposition 1'!M36)*C38</f>
        <v>0.44505467309747693</v>
      </c>
      <c r="F38" s="8">
        <f>F37-B38*(1-'Decomposition 1'!M36)/('Decomposition 1'!M36*'Decomposition 1'!B36)</f>
        <v>0.50442114673856564</v>
      </c>
      <c r="G38" s="6">
        <f t="shared" si="4"/>
        <v>0.94947581983604257</v>
      </c>
      <c r="I38" s="6">
        <f>'Raw data -- quarterly'!B80</f>
        <v>9.2734293072551585E-2</v>
      </c>
      <c r="J38" s="6">
        <f>'Raw data -- quarterly'!D80</f>
        <v>1.5269305554402425E-2</v>
      </c>
      <c r="K38" s="6">
        <f t="shared" si="5"/>
        <v>9.7844067189701133E-3</v>
      </c>
      <c r="L38" s="6">
        <f t="shared" si="6"/>
        <v>9.2204467762146414E-3</v>
      </c>
      <c r="M38" s="6">
        <f t="shared" si="7"/>
        <v>5.9083630927203312E-3</v>
      </c>
      <c r="P38" s="6">
        <f t="shared" si="10"/>
        <v>-4.1819106385589944</v>
      </c>
      <c r="Q38" s="6">
        <f t="shared" si="11"/>
        <v>-2.37801693876207</v>
      </c>
      <c r="R38" s="6">
        <f t="shared" si="8"/>
        <v>1.5107669464284948E-2</v>
      </c>
      <c r="S38" s="6"/>
      <c r="T38" s="6"/>
      <c r="U38" s="6">
        <f t="shared" si="12"/>
        <v>-5.1313864583950366</v>
      </c>
      <c r="V38" s="6">
        <f t="shared" si="9"/>
        <v>5.8977842922848297E-3</v>
      </c>
      <c r="W38" s="6"/>
      <c r="X38" s="6"/>
    </row>
    <row r="39" spans="1:24" x14ac:dyDescent="0.25">
      <c r="A39" s="2">
        <f>'Decomposition 1'!A37</f>
        <v>40057</v>
      </c>
      <c r="B39" s="7">
        <f>LN('Decomposition 1'!J37/'Decomposition 1'!J36)</f>
        <v>1.99397445757818E-2</v>
      </c>
      <c r="C39" s="7">
        <f>LN('Decomposition 1'!K37/'Decomposition 1'!K36)</f>
        <v>5.5149401468941005E-2</v>
      </c>
      <c r="E39" s="8">
        <f>E38+(1-'Decomposition 1'!L37)/('Decomposition 1'!B37*'Decomposition 1'!M37)*C39</f>
        <v>0.51537345319179506</v>
      </c>
      <c r="F39" s="8">
        <f>F38-B39*(1-'Decomposition 1'!M37)/('Decomposition 1'!M37*'Decomposition 1'!B37)</f>
        <v>0.4807850773254535</v>
      </c>
      <c r="G39" s="6">
        <f t="shared" si="4"/>
        <v>0.99615853051724856</v>
      </c>
      <c r="I39" s="6">
        <f>'Raw data -- quarterly'!B81</f>
        <v>9.6044355183087918E-2</v>
      </c>
      <c r="J39" s="6">
        <f>'Raw data -- quarterly'!D81</f>
        <v>1.4998745275181344E-2</v>
      </c>
      <c r="K39" s="6">
        <f t="shared" si="5"/>
        <v>8.9584130477216896E-3</v>
      </c>
      <c r="L39" s="6">
        <f t="shared" si="6"/>
        <v>9.2736910509945269E-3</v>
      </c>
      <c r="M39" s="6">
        <f t="shared" si="7"/>
        <v>5.5389669860744263E-3</v>
      </c>
      <c r="P39" s="6">
        <f t="shared" si="10"/>
        <v>-4.199788729699887</v>
      </c>
      <c r="Q39" s="6">
        <f t="shared" si="11"/>
        <v>-2.3429451610615879</v>
      </c>
      <c r="R39" s="6">
        <f t="shared" si="8"/>
        <v>1.4614067913955848E-2</v>
      </c>
      <c r="S39" s="6"/>
      <c r="T39" s="6"/>
      <c r="U39" s="6">
        <f t="shared" si="12"/>
        <v>-5.1959472602171353</v>
      </c>
      <c r="V39" s="6">
        <f t="shared" si="9"/>
        <v>5.4661357549568874E-3</v>
      </c>
      <c r="W39" s="6"/>
      <c r="X39" s="6"/>
    </row>
    <row r="40" spans="1:24" x14ac:dyDescent="0.25">
      <c r="A40" s="2">
        <f>'Decomposition 1'!A38</f>
        <v>40148</v>
      </c>
      <c r="B40" s="7">
        <f>LN('Decomposition 1'!J38/'Decomposition 1'!J37)</f>
        <v>-2.0941488791964454E-2</v>
      </c>
      <c r="C40" s="7">
        <f>LN('Decomposition 1'!K38/'Decomposition 1'!K37)</f>
        <v>-9.5464660312775018E-5</v>
      </c>
      <c r="E40" s="8">
        <f>E39+(1-'Decomposition 1'!L38)/('Decomposition 1'!B38*'Decomposition 1'!M38)*C40</f>
        <v>0.5152450427796037</v>
      </c>
      <c r="F40" s="8">
        <f>F39-B40*(1-'Decomposition 1'!M38)/('Decomposition 1'!M38*'Decomposition 1'!B38)</f>
        <v>0.5069672935142201</v>
      </c>
      <c r="G40" s="6">
        <f t="shared" si="4"/>
        <v>1.0222123362938238</v>
      </c>
      <c r="I40" s="6">
        <f>'Raw data -- quarterly'!B82</f>
        <v>9.9172152340792477E-2</v>
      </c>
      <c r="J40" s="6">
        <f>'Raw data -- quarterly'!D82</f>
        <v>1.5733574120725107E-2</v>
      </c>
      <c r="K40" s="6">
        <f t="shared" si="5"/>
        <v>9.3985165717839197E-3</v>
      </c>
      <c r="L40" s="6">
        <f t="shared" si="6"/>
        <v>9.476638024249218E-3</v>
      </c>
      <c r="M40" s="6">
        <f t="shared" si="7"/>
        <v>5.6609095194956986E-3</v>
      </c>
      <c r="N40" s="14"/>
      <c r="P40" s="6">
        <f t="shared" si="10"/>
        <v>-4.151958370892471</v>
      </c>
      <c r="Q40" s="6">
        <f t="shared" si="11"/>
        <v>-2.3108980264722541</v>
      </c>
      <c r="R40" s="6">
        <f t="shared" si="8"/>
        <v>1.4177149482141148E-2</v>
      </c>
      <c r="S40" s="6"/>
      <c r="T40" s="6"/>
      <c r="U40" s="6">
        <f t="shared" si="12"/>
        <v>-5.1741707071862946</v>
      </c>
      <c r="V40" s="6">
        <f t="shared" si="9"/>
        <v>5.0993948720943804E-3</v>
      </c>
      <c r="W40" s="6"/>
      <c r="X40" s="6"/>
    </row>
    <row r="41" spans="1:24" x14ac:dyDescent="0.25">
      <c r="A41" s="2">
        <f>'Decomposition 1'!A39</f>
        <v>40238</v>
      </c>
      <c r="B41" s="7">
        <f>LN('Decomposition 1'!J39/'Decomposition 1'!J38)</f>
        <v>1.6496430553974505E-2</v>
      </c>
      <c r="C41" s="7">
        <f>LN('Decomposition 1'!K39/'Decomposition 1'!K38)</f>
        <v>-1.9918906117699389E-2</v>
      </c>
      <c r="E41" s="8">
        <f>E40+(1-'Decomposition 1'!L39)/('Decomposition 1'!B39*'Decomposition 1'!M39)*C41</f>
        <v>0.48856449030250343</v>
      </c>
      <c r="F41" s="8">
        <f>F40-B41*(1-'Decomposition 1'!M39)/('Decomposition 1'!M39*'Decomposition 1'!B39)</f>
        <v>0.48720247300867259</v>
      </c>
      <c r="G41" s="6">
        <f t="shared" si="4"/>
        <v>0.97576696331117607</v>
      </c>
      <c r="I41" s="6">
        <f>'Raw data -- quarterly'!B83</f>
        <v>9.8209110279632014E-2</v>
      </c>
      <c r="J41" s="6">
        <f>'Raw data -- quarterly'!D83</f>
        <v>1.7223945258310308E-2</v>
      </c>
      <c r="K41" s="6">
        <f t="shared" si="5"/>
        <v>1.0567001628099709E-2</v>
      </c>
      <c r="L41" s="6">
        <f t="shared" si="6"/>
        <v>1.05814038728879E-2</v>
      </c>
      <c r="M41" s="6">
        <f t="shared" si="7"/>
        <v>6.4917595983671906E-3</v>
      </c>
      <c r="N41" s="14"/>
      <c r="P41" s="6">
        <f t="shared" si="10"/>
        <v>-4.0614546971467753</v>
      </c>
      <c r="Q41" s="6">
        <f t="shared" si="11"/>
        <v>-2.3206562952198277</v>
      </c>
      <c r="R41" s="6">
        <f t="shared" si="8"/>
        <v>1.4308788514884298E-2</v>
      </c>
      <c r="S41" s="6"/>
      <c r="T41" s="6"/>
      <c r="U41" s="6">
        <f t="shared" si="12"/>
        <v>-5.0372216604579512</v>
      </c>
      <c r="V41" s="6">
        <f t="shared" si="9"/>
        <v>5.2083819269131346E-3</v>
      </c>
      <c r="W41" s="6"/>
      <c r="X41" s="6"/>
    </row>
    <row r="42" spans="1:24" x14ac:dyDescent="0.25">
      <c r="A42" s="2">
        <f>'Decomposition 1'!A40</f>
        <v>40330</v>
      </c>
      <c r="B42" s="7">
        <f>LN('Decomposition 1'!J40/'Decomposition 1'!J39)</f>
        <v>1.4750625090496648E-2</v>
      </c>
      <c r="C42" s="7">
        <f>LN('Decomposition 1'!K40/'Decomposition 1'!K39)</f>
        <v>2.9171584777788698E-2</v>
      </c>
      <c r="E42" s="8">
        <f>E41+(1-'Decomposition 1'!L40)/('Decomposition 1'!B40*'Decomposition 1'!M40)*C42</f>
        <v>0.52856946995914134</v>
      </c>
      <c r="F42" s="8">
        <f>F41-B42*(1-'Decomposition 1'!M40)/('Decomposition 1'!M40*'Decomposition 1'!B40)</f>
        <v>0.46966466860819661</v>
      </c>
      <c r="G42" s="6">
        <f t="shared" si="4"/>
        <v>0.99823413856733789</v>
      </c>
      <c r="I42" s="6">
        <f>'Raw data -- quarterly'!B84</f>
        <v>9.649303443568448E-2</v>
      </c>
      <c r="J42" s="6">
        <f>'Raw data -- quarterly'!D84</f>
        <v>1.8676862794987526E-2</v>
      </c>
      <c r="K42" s="6">
        <f t="shared" si="5"/>
        <v>1.1009031750609494E-2</v>
      </c>
      <c r="L42" s="6">
        <f t="shared" si="6"/>
        <v>1.1676996618351029E-2</v>
      </c>
      <c r="M42" s="6">
        <f t="shared" si="7"/>
        <v>6.8829775072121284E-3</v>
      </c>
      <c r="N42" s="14"/>
      <c r="P42" s="6">
        <f t="shared" si="10"/>
        <v>-3.9804698048795286</v>
      </c>
      <c r="Q42" s="6">
        <f t="shared" si="11"/>
        <v>-2.3382844552560762</v>
      </c>
      <c r="R42" s="6">
        <f t="shared" si="8"/>
        <v>1.4549698571633759E-2</v>
      </c>
      <c r="S42" s="6">
        <f t="shared" ref="S42:S54" si="13">EXP($Q$58+P$58*$Q42)</f>
        <v>1.8794757324413266E-2</v>
      </c>
      <c r="T42" s="9">
        <f>S42-R42</f>
        <v>4.2450587527795066E-3</v>
      </c>
      <c r="U42" s="6">
        <f t="shared" si="12"/>
        <v>-4.9787039434468667</v>
      </c>
      <c r="V42" s="6">
        <f t="shared" si="9"/>
        <v>5.4112039321913144E-3</v>
      </c>
      <c r="W42" s="6">
        <f>EXP(Q42*U$58+V$58)</f>
        <v>7.2332096459692755E-3</v>
      </c>
      <c r="X42" s="9">
        <f>W42-V42</f>
        <v>1.822005713777961E-3</v>
      </c>
    </row>
    <row r="43" spans="1:24" x14ac:dyDescent="0.25">
      <c r="A43" s="2">
        <f>'Decomposition 1'!A41</f>
        <v>40422</v>
      </c>
      <c r="B43" s="7">
        <f>LN('Decomposition 1'!J41/'Decomposition 1'!J40)</f>
        <v>3.497144920259404E-2</v>
      </c>
      <c r="C43" s="7">
        <f>LN('Decomposition 1'!K41/'Decomposition 1'!K40)</f>
        <v>-3.5754079160565472E-2</v>
      </c>
      <c r="E43" s="8">
        <f>E42+(1-'Decomposition 1'!L41)/('Decomposition 1'!B41*'Decomposition 1'!M41)*C43</f>
        <v>0.47998410102915207</v>
      </c>
      <c r="F43" s="8">
        <f>F42-B43*(1-'Decomposition 1'!M41)/('Decomposition 1'!M41*'Decomposition 1'!B41)</f>
        <v>0.42541371342117096</v>
      </c>
      <c r="G43" s="6">
        <f t="shared" si="4"/>
        <v>0.90539781445032297</v>
      </c>
      <c r="I43" s="6">
        <f>'Raw data -- quarterly'!B85</f>
        <v>9.4838563695528455E-2</v>
      </c>
      <c r="J43" s="6">
        <f>'Raw data -- quarterly'!D85</f>
        <v>1.8648688629899737E-2</v>
      </c>
      <c r="K43" s="6">
        <f t="shared" si="5"/>
        <v>1.1539682270759513E-2</v>
      </c>
      <c r="L43" s="6">
        <f t="shared" si="6"/>
        <v>1.2186906228761653E-2</v>
      </c>
      <c r="M43" s="6">
        <f t="shared" si="7"/>
        <v>7.5411750678259695E-3</v>
      </c>
      <c r="N43" s="14"/>
      <c r="P43" s="6">
        <f t="shared" si="10"/>
        <v>-3.9819794501151948</v>
      </c>
      <c r="Q43" s="6">
        <f t="shared" si="11"/>
        <v>-2.3555791624005766</v>
      </c>
      <c r="R43" s="6">
        <f t="shared" si="8"/>
        <v>1.4789992899291626E-2</v>
      </c>
      <c r="S43" s="6">
        <f t="shared" si="13"/>
        <v>1.9185096625517518E-2</v>
      </c>
      <c r="T43" s="9">
        <f t="shared" ref="T43:T54" si="14">S43-R43</f>
        <v>4.3951037262258928E-3</v>
      </c>
      <c r="U43" s="6">
        <f t="shared" si="12"/>
        <v>-4.8873772645655178</v>
      </c>
      <c r="V43" s="6">
        <f t="shared" si="9"/>
        <v>5.6178630023172001E-3</v>
      </c>
      <c r="W43" s="6">
        <f t="shared" ref="W43:W54" si="15">EXP(Q43*U$58+V$58)</f>
        <v>7.5508202515038488E-3</v>
      </c>
      <c r="X43" s="9">
        <f t="shared" ref="X43:X54" si="16">W43-V43</f>
        <v>1.9329572491866487E-3</v>
      </c>
    </row>
    <row r="44" spans="1:24" x14ac:dyDescent="0.25">
      <c r="A44" s="2">
        <f>'Decomposition 1'!A42</f>
        <v>40513</v>
      </c>
      <c r="B44" s="7">
        <f>LN('Decomposition 1'!J42/'Decomposition 1'!J41)</f>
        <v>1.2254416936270503E-2</v>
      </c>
      <c r="C44" s="7">
        <f>LN('Decomposition 1'!K42/'Decomposition 1'!K41)</f>
        <v>4.7932831014207547E-2</v>
      </c>
      <c r="E44" s="8">
        <f>E43+(1-'Decomposition 1'!L42)/('Decomposition 1'!B42*'Decomposition 1'!M42)*C44</f>
        <v>0.5466403566883502</v>
      </c>
      <c r="F44" s="8">
        <f>F43-B44*(1-'Decomposition 1'!M42)/('Decomposition 1'!M42*'Decomposition 1'!B42)</f>
        <v>0.40985880487145804</v>
      </c>
      <c r="G44" s="6">
        <f t="shared" si="4"/>
        <v>0.95649916155980819</v>
      </c>
      <c r="I44" s="6">
        <f>'Raw data -- quarterly'!B86</f>
        <v>9.5414185581296981E-2</v>
      </c>
      <c r="J44" s="6">
        <f>'Raw data -- quarterly'!D86</f>
        <v>1.9532939262570138E-2</v>
      </c>
      <c r="K44" s="6">
        <f t="shared" si="5"/>
        <v>1.130745086203111E-2</v>
      </c>
      <c r="L44" s="6">
        <f t="shared" si="6"/>
        <v>1.2964870474827266E-2</v>
      </c>
      <c r="M44" s="6">
        <f t="shared" si="7"/>
        <v>7.5052522232344114E-3</v>
      </c>
      <c r="N44" s="14"/>
      <c r="P44" s="6">
        <f t="shared" si="10"/>
        <v>-3.9356530455419363</v>
      </c>
      <c r="Q44" s="6">
        <f t="shared" si="11"/>
        <v>-2.349528015761301</v>
      </c>
      <c r="R44" s="6">
        <f t="shared" si="8"/>
        <v>1.4705469651838962E-2</v>
      </c>
      <c r="S44" s="6">
        <f t="shared" si="13"/>
        <v>1.9047609537468171E-2</v>
      </c>
      <c r="T44" s="9">
        <f t="shared" si="14"/>
        <v>4.3421398856292089E-3</v>
      </c>
      <c r="U44" s="6">
        <f t="shared" si="12"/>
        <v>-4.8921522071017449</v>
      </c>
      <c r="V44" s="6">
        <f t="shared" si="9"/>
        <v>5.5446736887290252E-3</v>
      </c>
      <c r="W44" s="6">
        <f t="shared" si="15"/>
        <v>7.4381376888385062E-3</v>
      </c>
      <c r="X44" s="9">
        <f t="shared" si="16"/>
        <v>1.8934640001094811E-3</v>
      </c>
    </row>
    <row r="45" spans="1:24" x14ac:dyDescent="0.25">
      <c r="A45" s="2">
        <f>'Decomposition 1'!A43</f>
        <v>40603</v>
      </c>
      <c r="B45" s="7">
        <f>LN('Decomposition 1'!J43/'Decomposition 1'!J42)</f>
        <v>5.3101132175166495E-2</v>
      </c>
      <c r="C45" s="7">
        <f>LN('Decomposition 1'!K43/'Decomposition 1'!K42)</f>
        <v>-5.5868420494805761E-2</v>
      </c>
      <c r="E45" s="8">
        <f>E44+(1-'Decomposition 1'!L43)/('Decomposition 1'!B43*'Decomposition 1'!M43)*C45</f>
        <v>0.46451708100704808</v>
      </c>
      <c r="F45" s="8">
        <f>F44-B45*(1-'Decomposition 1'!M43)/('Decomposition 1'!M43*'Decomposition 1'!B43)</f>
        <v>0.33797623519203063</v>
      </c>
      <c r="G45" s="6">
        <f t="shared" si="4"/>
        <v>0.80249331619907871</v>
      </c>
      <c r="I45" s="6">
        <f>'Raw data -- quarterly'!B87</f>
        <v>9.0255568023758614E-2</v>
      </c>
      <c r="J45" s="6">
        <f>'Raw data -- quarterly'!D87</f>
        <v>1.9546521812375005E-2</v>
      </c>
      <c r="K45" s="6">
        <f t="shared" si="5"/>
        <v>1.2283787176715707E-2</v>
      </c>
      <c r="L45" s="6">
        <f t="shared" si="6"/>
        <v>1.3940818548325963E-2</v>
      </c>
      <c r="M45" s="6">
        <f t="shared" si="7"/>
        <v>8.7609473317360308E-3</v>
      </c>
      <c r="N45" s="14"/>
      <c r="P45" s="6">
        <f t="shared" si="10"/>
        <v>-3.9349579207895382</v>
      </c>
      <c r="Q45" s="6">
        <f t="shared" si="11"/>
        <v>-2.4051099881181273</v>
      </c>
      <c r="R45" s="6">
        <f t="shared" si="8"/>
        <v>1.5500363177366463E-2</v>
      </c>
      <c r="S45" s="6">
        <f t="shared" si="13"/>
        <v>2.0348437187719545E-2</v>
      </c>
      <c r="T45" s="9">
        <f t="shared" si="14"/>
        <v>4.8480740103530821E-3</v>
      </c>
      <c r="U45" s="6">
        <f t="shared" si="12"/>
        <v>-4.7374512369886173</v>
      </c>
      <c r="V45" s="6">
        <f t="shared" si="9"/>
        <v>6.2544341361801562E-3</v>
      </c>
      <c r="W45" s="6">
        <f t="shared" si="15"/>
        <v>8.539724869116503E-3</v>
      </c>
      <c r="X45" s="9">
        <f t="shared" si="16"/>
        <v>2.2852907329363467E-3</v>
      </c>
    </row>
    <row r="46" spans="1:24" x14ac:dyDescent="0.25">
      <c r="A46" s="2">
        <f>'Decomposition 1'!A44</f>
        <v>40695</v>
      </c>
      <c r="B46" s="7">
        <f>LN('Decomposition 1'!J44/'Decomposition 1'!J43)</f>
        <v>-3.8090670705163886E-2</v>
      </c>
      <c r="C46" s="7">
        <f>LN('Decomposition 1'!K44/'Decomposition 1'!K43)</f>
        <v>5.151212594329882E-2</v>
      </c>
      <c r="E46" s="8">
        <f>E45+(1-'Decomposition 1'!L44)/('Decomposition 1'!B44*'Decomposition 1'!M44)*C46</f>
        <v>0.53882644237980037</v>
      </c>
      <c r="F46" s="8">
        <f>F45-B46*(1-'Decomposition 1'!M44)/('Decomposition 1'!M44*'Decomposition 1'!B44)</f>
        <v>0.38694799564262622</v>
      </c>
      <c r="G46" s="6">
        <f t="shared" si="4"/>
        <v>0.92577443802242665</v>
      </c>
      <c r="I46" s="6">
        <f>'Raw data -- quarterly'!B88</f>
        <v>9.0588965067584612E-2</v>
      </c>
      <c r="J46" s="6">
        <f>'Raw data -- quarterly'!D88</f>
        <v>1.9857014547712663E-2</v>
      </c>
      <c r="K46" s="6">
        <f t="shared" si="5"/>
        <v>1.1585228483527443E-2</v>
      </c>
      <c r="L46" s="6">
        <f t="shared" si="6"/>
        <v>1.3485423033704097E-2</v>
      </c>
      <c r="M46" s="6">
        <f t="shared" si="7"/>
        <v>7.8678346468997341E-3</v>
      </c>
      <c r="N46" s="14"/>
      <c r="P46" s="6">
        <f t="shared" si="10"/>
        <v>-3.9191979565536159</v>
      </c>
      <c r="Q46" s="6">
        <f t="shared" si="11"/>
        <v>-2.4014228717222581</v>
      </c>
      <c r="R46" s="6">
        <f t="shared" si="8"/>
        <v>1.5446326941668503E-2</v>
      </c>
      <c r="S46" s="6">
        <f t="shared" si="13"/>
        <v>2.0259458150323581E-2</v>
      </c>
      <c r="T46" s="9">
        <f t="shared" si="14"/>
        <v>4.8131312086550776E-3</v>
      </c>
      <c r="U46" s="6">
        <f t="shared" si="12"/>
        <v>-4.8449723945760432</v>
      </c>
      <c r="V46" s="6">
        <f t="shared" si="9"/>
        <v>6.2046576491412726E-3</v>
      </c>
      <c r="W46" s="6">
        <f t="shared" si="15"/>
        <v>8.4618443930335324E-3</v>
      </c>
      <c r="X46" s="9">
        <f t="shared" si="16"/>
        <v>2.2571867438922599E-3</v>
      </c>
    </row>
    <row r="47" spans="1:24" x14ac:dyDescent="0.25">
      <c r="A47" s="2">
        <f>'Decomposition 1'!A45</f>
        <v>40787</v>
      </c>
      <c r="B47" s="7">
        <f>LN('Decomposition 1'!J45/'Decomposition 1'!J44)</f>
        <v>3.8883278814894603E-2</v>
      </c>
      <c r="C47" s="7">
        <f>LN('Decomposition 1'!K45/'Decomposition 1'!K44)</f>
        <v>-4.9757606187614885E-2</v>
      </c>
      <c r="E47" s="8">
        <f>E46+(1-'Decomposition 1'!L45)/('Decomposition 1'!B45*'Decomposition 1'!M45)*C47</f>
        <v>0.46792587878535852</v>
      </c>
      <c r="F47" s="8">
        <f>F46-B47*(1-'Decomposition 1'!M45)/('Decomposition 1'!M45*'Decomposition 1'!B45)</f>
        <v>0.33575158476402445</v>
      </c>
      <c r="G47" s="6">
        <f t="shared" si="4"/>
        <v>0.80367746354938296</v>
      </c>
      <c r="I47" s="6">
        <f>'Raw data -- quarterly'!B89</f>
        <v>9.0139465885700723E-2</v>
      </c>
      <c r="J47" s="6">
        <f>'Raw data -- quarterly'!D89</f>
        <v>2.1519106378053748E-2</v>
      </c>
      <c r="K47" s="6">
        <f t="shared" si="5"/>
        <v>1.3477415120575672E-2</v>
      </c>
      <c r="L47" s="6">
        <f t="shared" si="6"/>
        <v>1.5381871250878094E-2</v>
      </c>
      <c r="M47" s="6">
        <f t="shared" si="7"/>
        <v>9.6336651038054014E-3</v>
      </c>
      <c r="N47" s="14"/>
      <c r="P47" s="6">
        <f t="shared" si="10"/>
        <v>-3.8388140697341235</v>
      </c>
      <c r="Q47" s="6">
        <f t="shared" si="11"/>
        <v>-2.4063971871232481</v>
      </c>
      <c r="R47" s="6">
        <f t="shared" si="8"/>
        <v>1.5519272100812727E-2</v>
      </c>
      <c r="S47" s="6">
        <f t="shared" si="13"/>
        <v>2.0379592354401042E-2</v>
      </c>
      <c r="T47" s="9">
        <f t="shared" si="14"/>
        <v>4.8603202535883148E-3</v>
      </c>
      <c r="U47" s="6">
        <f t="shared" si="12"/>
        <v>-4.6424915332835068</v>
      </c>
      <c r="V47" s="6">
        <f t="shared" si="9"/>
        <v>6.2719053432923983E-3</v>
      </c>
      <c r="W47" s="6">
        <f t="shared" si="15"/>
        <v>8.5670819689549829E-3</v>
      </c>
      <c r="X47" s="9">
        <f t="shared" si="16"/>
        <v>2.2951766256625846E-3</v>
      </c>
    </row>
    <row r="48" spans="1:24" x14ac:dyDescent="0.25">
      <c r="A48" s="2">
        <f>'Decomposition 1'!A46</f>
        <v>40878</v>
      </c>
      <c r="B48" s="7">
        <f>LN('Decomposition 1'!J46/'Decomposition 1'!J45)</f>
        <v>-1.064287139780141E-2</v>
      </c>
      <c r="C48" s="7">
        <f>LN('Decomposition 1'!K46/'Decomposition 1'!K45)</f>
        <v>-6.253399309588026E-3</v>
      </c>
      <c r="E48" s="8">
        <f>E47+(1-'Decomposition 1'!L46)/('Decomposition 1'!B46*'Decomposition 1'!M46)*C48</f>
        <v>0.45905498747871659</v>
      </c>
      <c r="F48" s="8">
        <f>F47-B48*(1-'Decomposition 1'!M46)/('Decomposition 1'!M46*'Decomposition 1'!B46)</f>
        <v>0.3488994748685878</v>
      </c>
      <c r="G48" s="6">
        <f t="shared" si="4"/>
        <v>0.80795446234730439</v>
      </c>
      <c r="I48" s="6">
        <f>'Raw data -- quarterly'!B90</f>
        <v>8.6721799590019952E-2</v>
      </c>
      <c r="J48" s="6">
        <f>'Raw data -- quarterly'!D90</f>
        <v>2.1231713711150294E-2</v>
      </c>
      <c r="K48" s="6">
        <f t="shared" si="5"/>
        <v>1.3415905842297864E-2</v>
      </c>
      <c r="L48" s="6">
        <f t="shared" si="6"/>
        <v>1.497821060661623E-2</v>
      </c>
      <c r="M48" s="6">
        <f t="shared" si="7"/>
        <v>9.4644391836792349E-3</v>
      </c>
      <c r="N48" s="14"/>
      <c r="P48" s="6">
        <f t="shared" si="10"/>
        <v>-3.8522592853212538</v>
      </c>
      <c r="Q48" s="6">
        <f t="shared" si="11"/>
        <v>-2.4450499897761802</v>
      </c>
      <c r="R48" s="6">
        <f t="shared" si="8"/>
        <v>1.6097955125190373E-2</v>
      </c>
      <c r="S48" s="6">
        <f t="shared" si="13"/>
        <v>2.1337694333452277E-2</v>
      </c>
      <c r="T48" s="9">
        <f t="shared" si="14"/>
        <v>5.2397392082619045E-3</v>
      </c>
      <c r="U48" s="6">
        <f t="shared" si="12"/>
        <v>-4.6602137476685588</v>
      </c>
      <c r="V48" s="6">
        <f t="shared" si="9"/>
        <v>6.8199048585132153E-3</v>
      </c>
      <c r="W48" s="6">
        <f t="shared" si="15"/>
        <v>9.430700823066393E-3</v>
      </c>
      <c r="X48" s="9">
        <f t="shared" si="16"/>
        <v>2.6107959645531777E-3</v>
      </c>
    </row>
    <row r="49" spans="1:24" x14ac:dyDescent="0.25">
      <c r="A49" s="2">
        <f>'Decomposition 1'!A47</f>
        <v>40969</v>
      </c>
      <c r="B49" s="7">
        <f>LN('Decomposition 1'!J47/'Decomposition 1'!J46)</f>
        <v>2.7829974803697859E-2</v>
      </c>
      <c r="C49" s="7">
        <f>LN('Decomposition 1'!K47/'Decomposition 1'!K46)</f>
        <v>3.7724012977549959E-2</v>
      </c>
      <c r="E49" s="8">
        <f>E48+(1-'Decomposition 1'!L47)/('Decomposition 1'!B47*'Decomposition 1'!M47)*C49</f>
        <v>0.51584750447519656</v>
      </c>
      <c r="F49" s="8">
        <f>F48-B49*(1-'Decomposition 1'!M47)/('Decomposition 1'!M47*'Decomposition 1'!B47)</f>
        <v>0.31390493960933719</v>
      </c>
      <c r="G49" s="6">
        <f t="shared" si="4"/>
        <v>0.82975244408453375</v>
      </c>
      <c r="I49" s="6">
        <f>'Raw data -- quarterly'!B91</f>
        <v>8.2433913551608451E-2</v>
      </c>
      <c r="J49" s="6">
        <f>'Raw data -- quarterly'!D91</f>
        <v>2.3257088381161809E-2</v>
      </c>
      <c r="K49" s="6">
        <f t="shared" si="5"/>
        <v>1.3884352098571405E-2</v>
      </c>
      <c r="L49" s="6">
        <f t="shared" si="6"/>
        <v>1.6991360730644531E-2</v>
      </c>
      <c r="M49" s="6">
        <f t="shared" si="7"/>
        <v>1.0143747624453196E-2</v>
      </c>
      <c r="N49" s="14"/>
      <c r="P49" s="6">
        <f t="shared" si="10"/>
        <v>-3.761145316805091</v>
      </c>
      <c r="Q49" s="6">
        <f t="shared" si="11"/>
        <v>-2.4957583545110711</v>
      </c>
      <c r="R49" s="6">
        <f t="shared" si="8"/>
        <v>1.688997424495646E-2</v>
      </c>
      <c r="S49" s="6">
        <f t="shared" si="13"/>
        <v>2.2663260278335595E-2</v>
      </c>
      <c r="T49" s="9">
        <f t="shared" si="14"/>
        <v>5.7732860333791353E-3</v>
      </c>
      <c r="U49" s="6">
        <f t="shared" si="12"/>
        <v>-4.5908977608896251</v>
      </c>
      <c r="V49" s="6">
        <f t="shared" si="9"/>
        <v>7.6120820083373187E-3</v>
      </c>
      <c r="W49" s="6">
        <f t="shared" si="15"/>
        <v>1.0697059747362564E-2</v>
      </c>
      <c r="X49" s="9">
        <f t="shared" si="16"/>
        <v>3.0849777390252455E-3</v>
      </c>
    </row>
    <row r="50" spans="1:24" x14ac:dyDescent="0.25">
      <c r="A50" s="2">
        <f>'Decomposition 1'!A48</f>
        <v>41061</v>
      </c>
      <c r="B50" s="7">
        <f>LN('Decomposition 1'!J48/'Decomposition 1'!J47)</f>
        <v>9.4416174668576682E-3</v>
      </c>
      <c r="C50" s="7">
        <f>LN('Decomposition 1'!K48/'Decomposition 1'!K47)</f>
        <v>-2.5612396087565617E-2</v>
      </c>
      <c r="E50" s="8">
        <f>E49+(1-'Decomposition 1'!L48)/('Decomposition 1'!B48*'Decomposition 1'!M48)*C50</f>
        <v>0.47731170545278545</v>
      </c>
      <c r="F50" s="8">
        <f>F49-B50*(1-'Decomposition 1'!M48)/('Decomposition 1'!M48*'Decomposition 1'!B48)</f>
        <v>0.3016766282086113</v>
      </c>
      <c r="G50" s="6">
        <f t="shared" si="4"/>
        <v>0.77898833366139675</v>
      </c>
      <c r="I50" s="6">
        <f>'Raw data -- quarterly'!B92</f>
        <v>8.1605295278135148E-2</v>
      </c>
      <c r="J50" s="6">
        <f>'Raw data -- quarterly'!D92</f>
        <v>2.3866518358252414E-2</v>
      </c>
      <c r="K50" s="6">
        <f t="shared" si="5"/>
        <v>1.4807959878007848E-2</v>
      </c>
      <c r="L50" s="6">
        <f t="shared" si="6"/>
        <v>1.7651132454178625E-2</v>
      </c>
      <c r="M50" s="6">
        <f t="shared" si="7"/>
        <v>1.0951629276605479E-2</v>
      </c>
      <c r="N50" s="14"/>
      <c r="P50" s="6">
        <f t="shared" si="10"/>
        <v>-3.7352787077426575</v>
      </c>
      <c r="Q50" s="6">
        <f t="shared" si="11"/>
        <v>-2.5058611260031416</v>
      </c>
      <c r="R50" s="6">
        <f t="shared" si="8"/>
        <v>1.7052365811511202E-2</v>
      </c>
      <c r="S50" s="6">
        <f t="shared" si="13"/>
        <v>2.293703543757851E-2</v>
      </c>
      <c r="T50" s="9">
        <f t="shared" si="14"/>
        <v>5.8846696260673077E-3</v>
      </c>
      <c r="U50" s="6">
        <f t="shared" si="12"/>
        <v>-4.5142670414040538</v>
      </c>
      <c r="V50" s="6">
        <f t="shared" si="9"/>
        <v>7.7805782378069632E-3</v>
      </c>
      <c r="W50" s="6">
        <f t="shared" si="15"/>
        <v>1.0968987281625861E-2</v>
      </c>
      <c r="X50" s="9">
        <f t="shared" si="16"/>
        <v>3.1884090438188979E-3</v>
      </c>
    </row>
    <row r="51" spans="1:24" x14ac:dyDescent="0.25">
      <c r="A51" s="2">
        <f>'Decomposition 1'!A49</f>
        <v>41153</v>
      </c>
      <c r="B51" s="7">
        <f>LN('Decomposition 1'!J49/'Decomposition 1'!J48)</f>
        <v>7.4526933955514102E-2</v>
      </c>
      <c r="C51" s="7">
        <f>LN('Decomposition 1'!K49/'Decomposition 1'!K48)</f>
        <v>-2.057198444539458E-2</v>
      </c>
      <c r="E51" s="8">
        <f>E50+(1-'Decomposition 1'!L49)/('Decomposition 1'!B49*'Decomposition 1'!M49)*C51</f>
        <v>0.44647606324571093</v>
      </c>
      <c r="F51" s="8">
        <f>F50-B51*(1-'Decomposition 1'!M49)/('Decomposition 1'!M49*'Decomposition 1'!B49)</f>
        <v>0.19979536075124915</v>
      </c>
      <c r="G51" s="6">
        <f t="shared" si="4"/>
        <v>0.64627142399696003</v>
      </c>
      <c r="I51" s="6">
        <f>'Raw data -- quarterly'!B93</f>
        <v>8.0289336618338772E-2</v>
      </c>
      <c r="J51" s="6">
        <f>'Raw data -- quarterly'!D93</f>
        <v>2.3099144265973839E-2</v>
      </c>
      <c r="K51" s="6">
        <f t="shared" si="5"/>
        <v>1.4780659103858439E-2</v>
      </c>
      <c r="L51" s="6">
        <f t="shared" si="6"/>
        <v>1.8915850309689949E-2</v>
      </c>
      <c r="M51" s="6">
        <f t="shared" si="7"/>
        <v>1.2103856829838932E-2</v>
      </c>
      <c r="N51" s="14"/>
      <c r="P51" s="6">
        <f t="shared" si="10"/>
        <v>-3.7679597069036008</v>
      </c>
      <c r="Q51" s="6">
        <f t="shared" si="11"/>
        <v>-2.5221184611395335</v>
      </c>
      <c r="R51" s="6">
        <f t="shared" si="8"/>
        <v>1.7316969802056277E-2</v>
      </c>
      <c r="S51" s="6">
        <f t="shared" si="13"/>
        <v>2.3384553286719411E-2</v>
      </c>
      <c r="T51" s="9">
        <f t="shared" si="14"/>
        <v>6.0675834846631339E-3</v>
      </c>
      <c r="U51" s="6">
        <f t="shared" si="12"/>
        <v>-4.4142311309005606</v>
      </c>
      <c r="V51" s="6">
        <f t="shared" si="9"/>
        <v>8.0595867547383175E-3</v>
      </c>
      <c r="W51" s="6">
        <f t="shared" si="15"/>
        <v>1.1421158597393202E-2</v>
      </c>
      <c r="X51" s="9">
        <f t="shared" si="16"/>
        <v>3.3615718426548841E-3</v>
      </c>
    </row>
    <row r="52" spans="1:24" x14ac:dyDescent="0.25">
      <c r="A52" s="2">
        <f>'Decomposition 1'!A50</f>
        <v>41244</v>
      </c>
      <c r="B52" s="7">
        <f>LN('Decomposition 1'!J50/'Decomposition 1'!J49)</f>
        <v>6.2618373485889495E-3</v>
      </c>
      <c r="C52" s="7">
        <f>LN('Decomposition 1'!K50/'Decomposition 1'!K49)</f>
        <v>1.958873521736847E-2</v>
      </c>
      <c r="E52" s="8">
        <f>E51+(1-'Decomposition 1'!L50)/('Decomposition 1'!B50*'Decomposition 1'!M50)*C52</f>
        <v>0.47688301808773492</v>
      </c>
      <c r="F52" s="8">
        <f>F51-B52*(1-'Decomposition 1'!M50)/('Decomposition 1'!M50*'Decomposition 1'!B50)</f>
        <v>0.19105951559132919</v>
      </c>
      <c r="G52" s="6">
        <f t="shared" si="4"/>
        <v>0.66794253367906409</v>
      </c>
      <c r="I52" s="6">
        <f>'Raw data -- quarterly'!B94</f>
        <v>7.8249059903687537E-2</v>
      </c>
      <c r="J52" s="6">
        <f>'Raw data -- quarterly'!D94</f>
        <v>2.3685699670556757E-2</v>
      </c>
      <c r="K52" s="6">
        <f t="shared" si="5"/>
        <v>1.4702072327560919E-2</v>
      </c>
      <c r="L52" s="6">
        <f t="shared" si="6"/>
        <v>1.9566363832641522E-2</v>
      </c>
      <c r="M52" s="6">
        <f t="shared" si="7"/>
        <v>1.2145138216561107E-2</v>
      </c>
      <c r="N52" s="14"/>
      <c r="P52" s="6">
        <f t="shared" si="10"/>
        <v>-3.7428838023816975</v>
      </c>
      <c r="Q52" s="6">
        <f t="shared" si="11"/>
        <v>-2.5478584636444261</v>
      </c>
      <c r="R52" s="6">
        <f t="shared" si="8"/>
        <v>1.7744335469470185E-2</v>
      </c>
      <c r="S52" s="6">
        <f t="shared" si="13"/>
        <v>2.4111025430435001E-2</v>
      </c>
      <c r="T52" s="9">
        <f t="shared" si="14"/>
        <v>6.3666899609648164E-3</v>
      </c>
      <c r="U52" s="6">
        <f t="shared" si="12"/>
        <v>-4.4108263360607616</v>
      </c>
      <c r="V52" s="6">
        <f t="shared" si="9"/>
        <v>8.5219399115514672E-3</v>
      </c>
      <c r="W52" s="6">
        <f t="shared" si="15"/>
        <v>1.2175498059585481E-2</v>
      </c>
      <c r="X52" s="9">
        <f t="shared" si="16"/>
        <v>3.6535581480340133E-3</v>
      </c>
    </row>
    <row r="53" spans="1:24" x14ac:dyDescent="0.25">
      <c r="A53" s="2">
        <f>'Decomposition 1'!A51</f>
        <v>41334</v>
      </c>
      <c r="B53" s="7">
        <f>LN('Decomposition 1'!J51/'Decomposition 1'!J50)</f>
        <v>-9.7185102841561045E-3</v>
      </c>
      <c r="C53" s="7">
        <f>LN('Decomposition 1'!K51/'Decomposition 1'!K50)</f>
        <v>1.6010242784418077E-2</v>
      </c>
      <c r="E53" s="8">
        <f>E52+(1-'Decomposition 1'!L51)/('Decomposition 1'!B51*'Decomposition 1'!M51)*C53</f>
        <v>0.50208607049567944</v>
      </c>
      <c r="F53" s="8">
        <f>F52-B53*(1-'Decomposition 1'!M51)/('Decomposition 1'!M51*'Decomposition 1'!B51)</f>
        <v>0.20430644930960978</v>
      </c>
      <c r="G53" s="6">
        <f t="shared" si="4"/>
        <v>0.70639251980528917</v>
      </c>
      <c r="I53" s="6">
        <f>'Raw data -- quarterly'!B95</f>
        <v>7.7444141746910902E-2</v>
      </c>
      <c r="J53" s="6">
        <f>'Raw data -- quarterly'!D95</f>
        <v>2.442148672600299E-2</v>
      </c>
      <c r="K53" s="6">
        <f t="shared" si="5"/>
        <v>1.4781512992293286E-2</v>
      </c>
      <c r="L53" s="6">
        <f t="shared" si="6"/>
        <v>1.9908701530745747E-2</v>
      </c>
      <c r="M53" s="6">
        <f t="shared" si="7"/>
        <v>1.2050074331595445E-2</v>
      </c>
      <c r="N53" s="14"/>
      <c r="P53" s="6">
        <f t="shared" si="10"/>
        <v>-3.7122919306620772</v>
      </c>
      <c r="Q53" s="6">
        <f t="shared" si="11"/>
        <v>-2.5581983541419442</v>
      </c>
      <c r="R53" s="6">
        <f t="shared" si="8"/>
        <v>1.7918965318955635E-2</v>
      </c>
      <c r="S53" s="6">
        <f t="shared" si="13"/>
        <v>2.4409168052614987E-2</v>
      </c>
      <c r="T53" s="9">
        <f t="shared" si="14"/>
        <v>6.4902027336593525E-3</v>
      </c>
      <c r="U53" s="6">
        <f t="shared" si="12"/>
        <v>-4.4186844504673664</v>
      </c>
      <c r="V53" s="6">
        <f t="shared" si="9"/>
        <v>8.7150533967963271E-3</v>
      </c>
      <c r="W53" s="6">
        <f t="shared" si="15"/>
        <v>1.2492366794507038E-2</v>
      </c>
      <c r="X53" s="9">
        <f t="shared" si="16"/>
        <v>3.7773133977107107E-3</v>
      </c>
    </row>
    <row r="54" spans="1:24" x14ac:dyDescent="0.25">
      <c r="A54" s="2">
        <f>'Decomposition 1'!A52</f>
        <v>41426</v>
      </c>
      <c r="B54" s="7">
        <f>LN('Decomposition 1'!J52/'Decomposition 1'!J51)</f>
        <v>-1.2047895773018489E-2</v>
      </c>
      <c r="C54" s="7">
        <f>LN('Decomposition 1'!K52/'Decomposition 1'!K51)</f>
        <v>-7.2893729945429128E-2</v>
      </c>
      <c r="E54" s="8">
        <f>E53+(1-'Decomposition 1'!L52)/('Decomposition 1'!B52*'Decomposition 1'!M52)*C54</f>
        <v>0.3966219931227174</v>
      </c>
      <c r="F54" s="8">
        <f>F53-B54*(1-'Decomposition 1'!M52)/('Decomposition 1'!M52*'Decomposition 1'!B52)</f>
        <v>0.21961226731057376</v>
      </c>
      <c r="G54" s="6">
        <f t="shared" si="4"/>
        <v>0.6162342604332911</v>
      </c>
      <c r="I54" s="6">
        <f>'Raw data -- quarterly'!B96</f>
        <v>7.5409267283785414E-2</v>
      </c>
      <c r="J54" s="6">
        <f>'Raw data -- quarterly'!D96</f>
        <v>2.4801994357238399E-2</v>
      </c>
      <c r="K54" s="6">
        <f t="shared" si="5"/>
        <v>1.6681529251046007E-2</v>
      </c>
      <c r="L54" s="6">
        <f t="shared" si="6"/>
        <v>1.9911785652303345E-2</v>
      </c>
      <c r="M54" s="6">
        <f t="shared" si="7"/>
        <v>1.3392432480032263E-2</v>
      </c>
      <c r="N54" s="14"/>
      <c r="P54" s="6">
        <f t="shared" si="10"/>
        <v>-3.6968312114139441</v>
      </c>
      <c r="Q54" s="6">
        <f t="shared" si="11"/>
        <v>-2.5848251032478133</v>
      </c>
      <c r="R54" s="6">
        <f t="shared" si="8"/>
        <v>1.8376615196667737E-2</v>
      </c>
      <c r="S54" s="6">
        <f t="shared" si="13"/>
        <v>2.5194010487514518E-2</v>
      </c>
      <c r="T54" s="9">
        <f t="shared" si="14"/>
        <v>6.8173952908467811E-3</v>
      </c>
      <c r="U54" s="6">
        <f t="shared" si="12"/>
        <v>-4.313065471847235</v>
      </c>
      <c r="V54" s="6">
        <f t="shared" si="9"/>
        <v>9.2327340105709463E-3</v>
      </c>
      <c r="W54" s="6">
        <f t="shared" si="15"/>
        <v>1.3346832417998432E-2</v>
      </c>
      <c r="X54" s="9">
        <f t="shared" si="16"/>
        <v>4.1140984074274859E-3</v>
      </c>
    </row>
    <row r="56" spans="1:24" x14ac:dyDescent="0.25">
      <c r="P56" t="s">
        <v>46</v>
      </c>
      <c r="Q56" t="s">
        <v>47</v>
      </c>
      <c r="U56" t="s">
        <v>46</v>
      </c>
      <c r="V56" t="s">
        <v>47</v>
      </c>
    </row>
    <row r="57" spans="1:24" x14ac:dyDescent="0.25">
      <c r="O57" t="s">
        <v>51</v>
      </c>
      <c r="P57">
        <f t="array" ref="P57:Q57">LINEST(P5:P39,Q5:Q39,TRUE,FALSE)</f>
        <v>-0.94714063713480623</v>
      </c>
      <c r="Q57">
        <v>-6.4448692310590854</v>
      </c>
      <c r="T57" t="s">
        <v>51</v>
      </c>
      <c r="U57">
        <f t="array" ref="U57:V57">LINEST(U5:U39,Q5:Q39,TRUE,FALSE)</f>
        <v>-2.1671217779704786</v>
      </c>
      <c r="V57">
        <v>-10.286630838659161</v>
      </c>
    </row>
    <row r="58" spans="1:24" x14ac:dyDescent="0.25">
      <c r="O58" t="s">
        <v>52</v>
      </c>
      <c r="P58">
        <f t="array" ref="P58:Q58">LINEST(P42:P54,Q42:Q54,TRUE,FALSE)</f>
        <v>-1.1885598758839941</v>
      </c>
      <c r="Q58">
        <v>-6.7533683956798427</v>
      </c>
      <c r="T58" t="s">
        <v>52</v>
      </c>
      <c r="U58">
        <f t="array" ref="U58:V58">LINEST(U42:U54,Q42:Q54,TRUE,FALSE)</f>
        <v>-2.4847675931993152</v>
      </c>
      <c r="V58">
        <v>-10.73916584498763</v>
      </c>
    </row>
    <row r="59" spans="1:24" x14ac:dyDescent="0.25">
      <c r="A59" s="2"/>
    </row>
    <row r="60" spans="1:24" x14ac:dyDescent="0.25">
      <c r="A60" s="2"/>
    </row>
    <row r="61" spans="1:24" x14ac:dyDescent="0.25">
      <c r="A61" s="2"/>
    </row>
    <row r="62" spans="1:24" x14ac:dyDescent="0.25">
      <c r="A62" s="2"/>
    </row>
    <row r="63" spans="1:24" x14ac:dyDescent="0.25">
      <c r="A63" s="2"/>
    </row>
    <row r="64" spans="1:24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</sheetData>
  <mergeCells count="2">
    <mergeCell ref="P3:X3"/>
    <mergeCell ref="J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Raw Data Source</vt:lpstr>
      <vt:lpstr>Raw data -- monthly</vt:lpstr>
      <vt:lpstr>Raw data -- quarterly</vt:lpstr>
      <vt:lpstr>Decomposition 1</vt:lpstr>
      <vt:lpstr>Decomposition 2</vt:lpstr>
      <vt:lpstr>Chart--Xi and Eps</vt:lpstr>
      <vt:lpstr>Chart--Decomp Partic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 Ratner</dc:creator>
  <cp:lastModifiedBy>David D Ratner</cp:lastModifiedBy>
  <dcterms:created xsi:type="dcterms:W3CDTF">2013-10-21T18:21:56Z</dcterms:created>
  <dcterms:modified xsi:type="dcterms:W3CDTF">2014-06-09T20:27:00Z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</Properties>
</file>