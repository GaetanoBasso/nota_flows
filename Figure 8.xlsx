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drawings/drawing10.xml" ContentType="application/vnd.openxmlformats-officedocument.drawingml.chartshapes+xml"/>
  <Override PartName="/xl/drawings/drawing11.xml" ContentType="application/vnd.openxmlformats-officedocument.drawing+xml"/>
  <Override PartName="/xl/charts/chart6.xml" ContentType="application/vnd.openxmlformats-officedocument.drawingml.chart+xml"/>
  <Override PartName="/xl/drawings/drawing1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0" yWindow="0" windowWidth="25605" windowHeight="14445" tabRatio="763" activeTab="6"/>
  </bookViews>
  <sheets>
    <sheet name="BLS gross flows" sheetId="3" r:id="rId1"/>
    <sheet name="Transpose" sheetId="4" r:id="rId2"/>
    <sheet name="Cleaned" sheetId="5" r:id="rId3"/>
    <sheet name="BLS transition probs" sheetId="6" r:id="rId4"/>
    <sheet name="Ritter transition probs" sheetId="8" r:id="rId5"/>
    <sheet name="Spliced data" sheetId="7" r:id="rId6"/>
    <sheet name="EU" sheetId="10" r:id="rId7"/>
    <sheet name="UE" sheetId="11" r:id="rId8"/>
    <sheet name="NU" sheetId="12" r:id="rId9"/>
    <sheet name="UN" sheetId="13" r:id="rId10"/>
    <sheet name="EN" sheetId="14" r:id="rId11"/>
    <sheet name="NE" sheetId="15" r:id="rId12"/>
  </sheets>
  <definedNames>
    <definedName name="_xlnm._FilterDatabase" localSheetId="1" hidden="1">Transpose!$A$1:$S$859</definedName>
  </definedNames>
  <calcPr calcId="14562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5" i="6" l="1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B1" i="5"/>
  <c r="C1" i="5"/>
  <c r="D1" i="5"/>
  <c r="E1" i="5"/>
  <c r="E135" i="5"/>
  <c r="F1" i="5"/>
  <c r="G1" i="5"/>
  <c r="H1" i="5"/>
  <c r="I1" i="5"/>
  <c r="J1" i="5"/>
  <c r="K1" i="5"/>
  <c r="L1" i="5"/>
  <c r="L134" i="5"/>
  <c r="G136" i="6"/>
  <c r="A136" i="5"/>
  <c r="E136" i="5"/>
  <c r="L135" i="5"/>
  <c r="G137" i="6"/>
  <c r="A137" i="5"/>
  <c r="E137" i="5"/>
  <c r="L136" i="5"/>
  <c r="G138" i="6"/>
  <c r="M138" i="6"/>
  <c r="U47" i="6"/>
  <c r="G137" i="7"/>
  <c r="E132" i="5"/>
  <c r="L131" i="5"/>
  <c r="G133" i="6"/>
  <c r="E133" i="5"/>
  <c r="L132" i="5"/>
  <c r="G134" i="6"/>
  <c r="E134" i="5"/>
  <c r="L133" i="5"/>
  <c r="G135" i="6"/>
  <c r="M135" i="6"/>
  <c r="U46" i="6"/>
  <c r="G136" i="7"/>
  <c r="O48" i="6"/>
  <c r="A138" i="5"/>
  <c r="E138" i="5"/>
  <c r="L137" i="5"/>
  <c r="G139" i="6"/>
  <c r="A139" i="5"/>
  <c r="E139" i="5"/>
  <c r="L138" i="5"/>
  <c r="G140" i="6"/>
  <c r="A140" i="5"/>
  <c r="E140" i="5"/>
  <c r="L139" i="5"/>
  <c r="G141" i="6"/>
  <c r="M141" i="6"/>
  <c r="U48" i="6"/>
  <c r="G138" i="7"/>
  <c r="O49" i="6"/>
  <c r="A141" i="5"/>
  <c r="E141" i="5"/>
  <c r="L140" i="5"/>
  <c r="G142" i="6"/>
  <c r="A142" i="5"/>
  <c r="E142" i="5"/>
  <c r="L141" i="5"/>
  <c r="G143" i="6"/>
  <c r="A143" i="5"/>
  <c r="E143" i="5"/>
  <c r="L142" i="5"/>
  <c r="G144" i="6"/>
  <c r="M144" i="6"/>
  <c r="U49" i="6"/>
  <c r="G139" i="7"/>
  <c r="O50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144" i="5"/>
  <c r="E144" i="5"/>
  <c r="L143" i="5"/>
  <c r="G145" i="6"/>
  <c r="A145" i="5"/>
  <c r="E145" i="5"/>
  <c r="L144" i="5"/>
  <c r="G146" i="6"/>
  <c r="A146" i="5"/>
  <c r="E146" i="5"/>
  <c r="L145" i="5"/>
  <c r="G147" i="6"/>
  <c r="M147" i="6"/>
  <c r="U50" i="6"/>
  <c r="G140" i="7"/>
  <c r="O51" i="6"/>
  <c r="A147" i="5"/>
  <c r="E147" i="5"/>
  <c r="L146" i="5"/>
  <c r="G148" i="6"/>
  <c r="A148" i="5"/>
  <c r="E148" i="5"/>
  <c r="L147" i="5"/>
  <c r="G149" i="6"/>
  <c r="A149" i="5"/>
  <c r="E149" i="5"/>
  <c r="L148" i="5"/>
  <c r="G150" i="6"/>
  <c r="M150" i="6"/>
  <c r="U51" i="6"/>
  <c r="G141" i="7"/>
  <c r="O52" i="6"/>
  <c r="A150" i="5"/>
  <c r="E150" i="5"/>
  <c r="L149" i="5"/>
  <c r="G151" i="6"/>
  <c r="A151" i="5"/>
  <c r="E151" i="5"/>
  <c r="L150" i="5"/>
  <c r="G152" i="6"/>
  <c r="A152" i="5"/>
  <c r="E152" i="5"/>
  <c r="L151" i="5"/>
  <c r="G153" i="6"/>
  <c r="M153" i="6"/>
  <c r="U52" i="6"/>
  <c r="G142" i="7"/>
  <c r="O53" i="6"/>
  <c r="A153" i="5"/>
  <c r="E153" i="5"/>
  <c r="L152" i="5"/>
  <c r="G154" i="6"/>
  <c r="A154" i="5"/>
  <c r="E154" i="5"/>
  <c r="L153" i="5"/>
  <c r="G155" i="6"/>
  <c r="A155" i="5"/>
  <c r="E155" i="5"/>
  <c r="L154" i="5"/>
  <c r="G156" i="6"/>
  <c r="M156" i="6"/>
  <c r="U53" i="6"/>
  <c r="G143" i="7"/>
  <c r="O54" i="6"/>
  <c r="A156" i="5"/>
  <c r="E156" i="5"/>
  <c r="L155" i="5"/>
  <c r="G157" i="6"/>
  <c r="A157" i="5"/>
  <c r="E157" i="5"/>
  <c r="L156" i="5"/>
  <c r="G158" i="6"/>
  <c r="A158" i="5"/>
  <c r="E158" i="5"/>
  <c r="L157" i="5"/>
  <c r="G159" i="6"/>
  <c r="M159" i="6"/>
  <c r="U54" i="6"/>
  <c r="G144" i="7"/>
  <c r="O55" i="6"/>
  <c r="A159" i="5"/>
  <c r="E159" i="5"/>
  <c r="L158" i="5"/>
  <c r="G160" i="6"/>
  <c r="A160" i="5"/>
  <c r="E160" i="5"/>
  <c r="L159" i="5"/>
  <c r="G161" i="6"/>
  <c r="A161" i="5"/>
  <c r="E161" i="5"/>
  <c r="L160" i="5"/>
  <c r="G162" i="6"/>
  <c r="M162" i="6"/>
  <c r="U55" i="6"/>
  <c r="G145" i="7"/>
  <c r="O56" i="6"/>
  <c r="A162" i="5"/>
  <c r="E162" i="5"/>
  <c r="L161" i="5"/>
  <c r="G163" i="6"/>
  <c r="A163" i="5"/>
  <c r="E163" i="5"/>
  <c r="L162" i="5"/>
  <c r="G164" i="6"/>
  <c r="A164" i="5"/>
  <c r="E164" i="5"/>
  <c r="L163" i="5"/>
  <c r="G165" i="6"/>
  <c r="M165" i="6"/>
  <c r="U56" i="6"/>
  <c r="G146" i="7"/>
  <c r="O57" i="6"/>
  <c r="A165" i="5"/>
  <c r="E165" i="5"/>
  <c r="L164" i="5"/>
  <c r="G166" i="6"/>
  <c r="A166" i="5"/>
  <c r="E166" i="5"/>
  <c r="L165" i="5"/>
  <c r="G167" i="6"/>
  <c r="A167" i="5"/>
  <c r="E167" i="5"/>
  <c r="L166" i="5"/>
  <c r="G168" i="6"/>
  <c r="M168" i="6"/>
  <c r="U57" i="6"/>
  <c r="G147" i="7"/>
  <c r="O58" i="6"/>
  <c r="A168" i="5"/>
  <c r="E168" i="5"/>
  <c r="L167" i="5"/>
  <c r="G169" i="6"/>
  <c r="A169" i="5"/>
  <c r="E169" i="5"/>
  <c r="L168" i="5"/>
  <c r="G170" i="6"/>
  <c r="A170" i="5"/>
  <c r="E170" i="5"/>
  <c r="L169" i="5"/>
  <c r="G171" i="6"/>
  <c r="M171" i="6"/>
  <c r="U58" i="6"/>
  <c r="G148" i="7"/>
  <c r="O59" i="6"/>
  <c r="A171" i="5"/>
  <c r="E171" i="5"/>
  <c r="L170" i="5"/>
  <c r="G172" i="6"/>
  <c r="A172" i="5"/>
  <c r="E172" i="5"/>
  <c r="L171" i="5"/>
  <c r="G173" i="6"/>
  <c r="A173" i="5"/>
  <c r="E173" i="5"/>
  <c r="L172" i="5"/>
  <c r="G174" i="6"/>
  <c r="M174" i="6"/>
  <c r="U59" i="6"/>
  <c r="G149" i="7"/>
  <c r="O60" i="6"/>
  <c r="A174" i="5"/>
  <c r="E174" i="5"/>
  <c r="L173" i="5"/>
  <c r="G175" i="6"/>
  <c r="A175" i="5"/>
  <c r="E175" i="5"/>
  <c r="L174" i="5"/>
  <c r="G176" i="6"/>
  <c r="A176" i="5"/>
  <c r="E176" i="5"/>
  <c r="L175" i="5"/>
  <c r="G177" i="6"/>
  <c r="M177" i="6"/>
  <c r="U60" i="6"/>
  <c r="G150" i="7"/>
  <c r="O61" i="6"/>
  <c r="A177" i="5"/>
  <c r="E177" i="5"/>
  <c r="L176" i="5"/>
  <c r="G178" i="6"/>
  <c r="A178" i="5"/>
  <c r="E178" i="5"/>
  <c r="L177" i="5"/>
  <c r="G179" i="6"/>
  <c r="A179" i="5"/>
  <c r="E179" i="5"/>
  <c r="L178" i="5"/>
  <c r="G180" i="6"/>
  <c r="M180" i="6"/>
  <c r="U61" i="6"/>
  <c r="G151" i="7"/>
  <c r="O62" i="6"/>
  <c r="A180" i="5"/>
  <c r="E180" i="5"/>
  <c r="L179" i="5"/>
  <c r="G181" i="6"/>
  <c r="A181" i="5"/>
  <c r="E181" i="5"/>
  <c r="L180" i="5"/>
  <c r="G182" i="6"/>
  <c r="A182" i="5"/>
  <c r="E182" i="5"/>
  <c r="L181" i="5"/>
  <c r="G183" i="6"/>
  <c r="M183" i="6"/>
  <c r="U62" i="6"/>
  <c r="G152" i="7"/>
  <c r="O63" i="6"/>
  <c r="A183" i="5"/>
  <c r="E183" i="5"/>
  <c r="L182" i="5"/>
  <c r="G184" i="6"/>
  <c r="A184" i="5"/>
  <c r="E184" i="5"/>
  <c r="L183" i="5"/>
  <c r="G185" i="6"/>
  <c r="A185" i="5"/>
  <c r="E185" i="5"/>
  <c r="L184" i="5"/>
  <c r="G186" i="6"/>
  <c r="M186" i="6"/>
  <c r="U63" i="6"/>
  <c r="G153" i="7"/>
  <c r="O64" i="6"/>
  <c r="A186" i="5"/>
  <c r="E186" i="5"/>
  <c r="L185" i="5"/>
  <c r="G187" i="6"/>
  <c r="A187" i="5"/>
  <c r="E187" i="5"/>
  <c r="L186" i="5"/>
  <c r="G188" i="6"/>
  <c r="A188" i="5"/>
  <c r="E188" i="5"/>
  <c r="L187" i="5"/>
  <c r="G189" i="6"/>
  <c r="M189" i="6"/>
  <c r="U64" i="6"/>
  <c r="G154" i="7"/>
  <c r="O65" i="6"/>
  <c r="A189" i="5"/>
  <c r="E189" i="5"/>
  <c r="L188" i="5"/>
  <c r="G190" i="6"/>
  <c r="A190" i="5"/>
  <c r="E190" i="5"/>
  <c r="L189" i="5"/>
  <c r="G191" i="6"/>
  <c r="A191" i="5"/>
  <c r="E191" i="5"/>
  <c r="L190" i="5"/>
  <c r="G192" i="6"/>
  <c r="M192" i="6"/>
  <c r="U65" i="6"/>
  <c r="G155" i="7"/>
  <c r="O66" i="6"/>
  <c r="A192" i="5"/>
  <c r="E192" i="5"/>
  <c r="L191" i="5"/>
  <c r="G193" i="6"/>
  <c r="A193" i="5"/>
  <c r="E193" i="5"/>
  <c r="L192" i="5"/>
  <c r="G194" i="6"/>
  <c r="A194" i="5"/>
  <c r="E194" i="5"/>
  <c r="L193" i="5"/>
  <c r="G195" i="6"/>
  <c r="M195" i="6"/>
  <c r="U66" i="6"/>
  <c r="G156" i="7"/>
  <c r="O67" i="6"/>
  <c r="A195" i="5"/>
  <c r="E195" i="5"/>
  <c r="L194" i="5"/>
  <c r="G196" i="6"/>
  <c r="A196" i="5"/>
  <c r="E196" i="5"/>
  <c r="L195" i="5"/>
  <c r="G197" i="6"/>
  <c r="A197" i="5"/>
  <c r="E197" i="5"/>
  <c r="L196" i="5"/>
  <c r="G198" i="6"/>
  <c r="M198" i="6"/>
  <c r="U67" i="6"/>
  <c r="G157" i="7"/>
  <c r="O68" i="6"/>
  <c r="A198" i="5"/>
  <c r="E198" i="5"/>
  <c r="L197" i="5"/>
  <c r="G199" i="6"/>
  <c r="A199" i="5"/>
  <c r="E199" i="5"/>
  <c r="L198" i="5"/>
  <c r="G200" i="6"/>
  <c r="A200" i="5"/>
  <c r="E200" i="5"/>
  <c r="L199" i="5"/>
  <c r="G201" i="6"/>
  <c r="M201" i="6"/>
  <c r="U68" i="6"/>
  <c r="G158" i="7"/>
  <c r="O69" i="6"/>
  <c r="A201" i="5"/>
  <c r="E201" i="5"/>
  <c r="L200" i="5"/>
  <c r="G202" i="6"/>
  <c r="A202" i="5"/>
  <c r="E202" i="5"/>
  <c r="L201" i="5"/>
  <c r="G203" i="6"/>
  <c r="A203" i="5"/>
  <c r="E203" i="5"/>
  <c r="L202" i="5"/>
  <c r="G204" i="6"/>
  <c r="M204" i="6"/>
  <c r="U69" i="6"/>
  <c r="G159" i="7"/>
  <c r="O70" i="6"/>
  <c r="A204" i="5"/>
  <c r="E204" i="5"/>
  <c r="L203" i="5"/>
  <c r="G205" i="6"/>
  <c r="A205" i="5"/>
  <c r="E205" i="5"/>
  <c r="L204" i="5"/>
  <c r="G206" i="6"/>
  <c r="A206" i="5"/>
  <c r="E206" i="5"/>
  <c r="L205" i="5"/>
  <c r="G207" i="6"/>
  <c r="M207" i="6"/>
  <c r="U70" i="6"/>
  <c r="G160" i="7"/>
  <c r="O71" i="6"/>
  <c r="A207" i="5"/>
  <c r="E207" i="5"/>
  <c r="L206" i="5"/>
  <c r="G208" i="6"/>
  <c r="A208" i="5"/>
  <c r="E208" i="5"/>
  <c r="L207" i="5"/>
  <c r="G209" i="6"/>
  <c r="A209" i="5"/>
  <c r="E209" i="5"/>
  <c r="L208" i="5"/>
  <c r="G210" i="6"/>
  <c r="M210" i="6"/>
  <c r="U71" i="6"/>
  <c r="G161" i="7"/>
  <c r="O72" i="6"/>
  <c r="A210" i="5"/>
  <c r="E210" i="5"/>
  <c r="L209" i="5"/>
  <c r="G211" i="6"/>
  <c r="A211" i="5"/>
  <c r="E211" i="5"/>
  <c r="L210" i="5"/>
  <c r="G212" i="6"/>
  <c r="A212" i="5"/>
  <c r="E212" i="5"/>
  <c r="L211" i="5"/>
  <c r="G213" i="6"/>
  <c r="M213" i="6"/>
  <c r="U72" i="6"/>
  <c r="G162" i="7"/>
  <c r="O73" i="6"/>
  <c r="A213" i="5"/>
  <c r="E213" i="5"/>
  <c r="L212" i="5"/>
  <c r="G214" i="6"/>
  <c r="A214" i="5"/>
  <c r="E214" i="5"/>
  <c r="L213" i="5"/>
  <c r="G215" i="6"/>
  <c r="A215" i="5"/>
  <c r="E215" i="5"/>
  <c r="L214" i="5"/>
  <c r="G216" i="6"/>
  <c r="M216" i="6"/>
  <c r="U73" i="6"/>
  <c r="G163" i="7"/>
  <c r="O74" i="6"/>
  <c r="A220" i="6"/>
  <c r="A216" i="5"/>
  <c r="E216" i="5"/>
  <c r="L215" i="5"/>
  <c r="G217" i="6"/>
  <c r="A217" i="5"/>
  <c r="E217" i="5"/>
  <c r="L216" i="5"/>
  <c r="G218" i="6"/>
  <c r="A218" i="5"/>
  <c r="E218" i="5"/>
  <c r="L217" i="5"/>
  <c r="G219" i="6"/>
  <c r="M219" i="6"/>
  <c r="U74" i="6"/>
  <c r="G164" i="7"/>
  <c r="O75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19" i="5"/>
  <c r="E219" i="5"/>
  <c r="L218" i="5"/>
  <c r="G220" i="6"/>
  <c r="A220" i="5"/>
  <c r="E220" i="5"/>
  <c r="L219" i="5"/>
  <c r="G221" i="6"/>
  <c r="A221" i="5"/>
  <c r="E221" i="5"/>
  <c r="L220" i="5"/>
  <c r="G222" i="6"/>
  <c r="M222" i="6"/>
  <c r="U75" i="6"/>
  <c r="G165" i="7"/>
  <c r="O76" i="6"/>
  <c r="A222" i="5"/>
  <c r="E222" i="5"/>
  <c r="L221" i="5"/>
  <c r="G223" i="6"/>
  <c r="A223" i="5"/>
  <c r="E223" i="5"/>
  <c r="L222" i="5"/>
  <c r="G224" i="6"/>
  <c r="A224" i="5"/>
  <c r="E224" i="5"/>
  <c r="L223" i="5"/>
  <c r="G225" i="6"/>
  <c r="M225" i="6"/>
  <c r="U76" i="6"/>
  <c r="G166" i="7"/>
  <c r="O77" i="6"/>
  <c r="A225" i="5"/>
  <c r="E225" i="5"/>
  <c r="L224" i="5"/>
  <c r="G226" i="6"/>
  <c r="A226" i="5"/>
  <c r="E226" i="5"/>
  <c r="L225" i="5"/>
  <c r="G227" i="6"/>
  <c r="A227" i="5"/>
  <c r="E227" i="5"/>
  <c r="L226" i="5"/>
  <c r="G228" i="6"/>
  <c r="M228" i="6"/>
  <c r="U77" i="6"/>
  <c r="G167" i="7"/>
  <c r="O78" i="6"/>
  <c r="A228" i="5"/>
  <c r="E228" i="5"/>
  <c r="L227" i="5"/>
  <c r="G229" i="6"/>
  <c r="A229" i="5"/>
  <c r="E229" i="5"/>
  <c r="L228" i="5"/>
  <c r="G230" i="6"/>
  <c r="A230" i="5"/>
  <c r="E230" i="5"/>
  <c r="L229" i="5"/>
  <c r="G231" i="6"/>
  <c r="M231" i="6"/>
  <c r="U78" i="6"/>
  <c r="G168" i="7"/>
  <c r="O79" i="6"/>
  <c r="A231" i="5"/>
  <c r="E231" i="5"/>
  <c r="L230" i="5"/>
  <c r="G232" i="6"/>
  <c r="A232" i="5"/>
  <c r="E232" i="5"/>
  <c r="L231" i="5"/>
  <c r="G233" i="6"/>
  <c r="A233" i="5"/>
  <c r="E233" i="5"/>
  <c r="L232" i="5"/>
  <c r="G234" i="6"/>
  <c r="M234" i="6"/>
  <c r="U79" i="6"/>
  <c r="G169" i="7"/>
  <c r="O80" i="6"/>
  <c r="A234" i="5"/>
  <c r="E234" i="5"/>
  <c r="L233" i="5"/>
  <c r="G235" i="6"/>
  <c r="A235" i="5"/>
  <c r="E235" i="5"/>
  <c r="L234" i="5"/>
  <c r="G236" i="6"/>
  <c r="A236" i="5"/>
  <c r="E236" i="5"/>
  <c r="L235" i="5"/>
  <c r="G237" i="6"/>
  <c r="M237" i="6"/>
  <c r="U80" i="6"/>
  <c r="G170" i="7"/>
  <c r="O81" i="6"/>
  <c r="A237" i="5"/>
  <c r="E237" i="5"/>
  <c r="L236" i="5"/>
  <c r="G238" i="6"/>
  <c r="A238" i="5"/>
  <c r="E238" i="5"/>
  <c r="L237" i="5"/>
  <c r="G239" i="6"/>
  <c r="A239" i="5"/>
  <c r="E239" i="5"/>
  <c r="L238" i="5"/>
  <c r="G240" i="6"/>
  <c r="M240" i="6"/>
  <c r="U81" i="6"/>
  <c r="G171" i="7"/>
  <c r="O82" i="6"/>
  <c r="A240" i="5"/>
  <c r="E240" i="5"/>
  <c r="L239" i="5"/>
  <c r="G241" i="6"/>
  <c r="A241" i="5"/>
  <c r="E241" i="5"/>
  <c r="L240" i="5"/>
  <c r="G242" i="6"/>
  <c r="A242" i="5"/>
  <c r="E242" i="5"/>
  <c r="L241" i="5"/>
  <c r="G243" i="6"/>
  <c r="M243" i="6"/>
  <c r="U82" i="6"/>
  <c r="G172" i="7"/>
  <c r="O83" i="6"/>
  <c r="A243" i="5"/>
  <c r="E243" i="5"/>
  <c r="L242" i="5"/>
  <c r="G244" i="6"/>
  <c r="A244" i="5"/>
  <c r="E244" i="5"/>
  <c r="L243" i="5"/>
  <c r="G245" i="6"/>
  <c r="A245" i="5"/>
  <c r="E245" i="5"/>
  <c r="L244" i="5"/>
  <c r="G246" i="6"/>
  <c r="M246" i="6"/>
  <c r="U83" i="6"/>
  <c r="G173" i="7"/>
  <c r="O84" i="6"/>
  <c r="A246" i="5"/>
  <c r="E246" i="5"/>
  <c r="L245" i="5"/>
  <c r="G247" i="6"/>
  <c r="A247" i="5"/>
  <c r="E247" i="5"/>
  <c r="L246" i="5"/>
  <c r="G248" i="6"/>
  <c r="A248" i="5"/>
  <c r="E248" i="5"/>
  <c r="L247" i="5"/>
  <c r="G249" i="6"/>
  <c r="M249" i="6"/>
  <c r="U84" i="6"/>
  <c r="G174" i="7"/>
  <c r="O85" i="6"/>
  <c r="A249" i="5"/>
  <c r="E249" i="5"/>
  <c r="L248" i="5"/>
  <c r="G250" i="6"/>
  <c r="A250" i="5"/>
  <c r="E250" i="5"/>
  <c r="L249" i="5"/>
  <c r="G251" i="6"/>
  <c r="A251" i="5"/>
  <c r="E251" i="5"/>
  <c r="L250" i="5"/>
  <c r="G252" i="6"/>
  <c r="M252" i="6"/>
  <c r="U85" i="6"/>
  <c r="G175" i="7"/>
  <c r="O86" i="6"/>
  <c r="A256" i="6"/>
  <c r="A252" i="5"/>
  <c r="E252" i="5"/>
  <c r="L251" i="5"/>
  <c r="G253" i="6"/>
  <c r="A253" i="5"/>
  <c r="E253" i="5"/>
  <c r="L252" i="5"/>
  <c r="G254" i="6"/>
  <c r="A254" i="5"/>
  <c r="E254" i="5"/>
  <c r="L253" i="5"/>
  <c r="G255" i="6"/>
  <c r="M255" i="6"/>
  <c r="U86" i="6"/>
  <c r="G176" i="7"/>
  <c r="O87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55" i="5"/>
  <c r="E255" i="5"/>
  <c r="L254" i="5"/>
  <c r="G256" i="6"/>
  <c r="A256" i="5"/>
  <c r="E256" i="5"/>
  <c r="L255" i="5"/>
  <c r="G257" i="6"/>
  <c r="A257" i="5"/>
  <c r="E257" i="5"/>
  <c r="L256" i="5"/>
  <c r="G258" i="6"/>
  <c r="M258" i="6"/>
  <c r="U87" i="6"/>
  <c r="G177" i="7"/>
  <c r="O88" i="6"/>
  <c r="A258" i="5"/>
  <c r="E258" i="5"/>
  <c r="L257" i="5"/>
  <c r="G259" i="6"/>
  <c r="A259" i="5"/>
  <c r="E259" i="5"/>
  <c r="L258" i="5"/>
  <c r="G260" i="6"/>
  <c r="A260" i="5"/>
  <c r="E260" i="5"/>
  <c r="L259" i="5"/>
  <c r="G261" i="6"/>
  <c r="M261" i="6"/>
  <c r="U88" i="6"/>
  <c r="G178" i="7"/>
  <c r="O89" i="6"/>
  <c r="A261" i="5"/>
  <c r="E261" i="5"/>
  <c r="L260" i="5"/>
  <c r="G262" i="6"/>
  <c r="A262" i="5"/>
  <c r="E262" i="5"/>
  <c r="L261" i="5"/>
  <c r="G263" i="6"/>
  <c r="A263" i="5"/>
  <c r="E263" i="5"/>
  <c r="L262" i="5"/>
  <c r="G264" i="6"/>
  <c r="M264" i="6"/>
  <c r="U89" i="6"/>
  <c r="G179" i="7"/>
  <c r="O90" i="6"/>
  <c r="A264" i="5"/>
  <c r="E264" i="5"/>
  <c r="L263" i="5"/>
  <c r="G265" i="6"/>
  <c r="A265" i="5"/>
  <c r="E265" i="5"/>
  <c r="L264" i="5"/>
  <c r="G266" i="6"/>
  <c r="A266" i="5"/>
  <c r="E266" i="5"/>
  <c r="L265" i="5"/>
  <c r="G267" i="6"/>
  <c r="M267" i="6"/>
  <c r="U90" i="6"/>
  <c r="G180" i="7"/>
  <c r="O91" i="6"/>
  <c r="A267" i="5"/>
  <c r="E267" i="5"/>
  <c r="L266" i="5"/>
  <c r="G268" i="6"/>
  <c r="A268" i="5"/>
  <c r="E268" i="5"/>
  <c r="L267" i="5"/>
  <c r="G269" i="6"/>
  <c r="A269" i="5"/>
  <c r="E269" i="5"/>
  <c r="L268" i="5"/>
  <c r="G270" i="6"/>
  <c r="M270" i="6"/>
  <c r="U91" i="6"/>
  <c r="G181" i="7"/>
  <c r="O92" i="6"/>
  <c r="A274" i="6"/>
  <c r="A270" i="5"/>
  <c r="E270" i="5"/>
  <c r="L269" i="5"/>
  <c r="G271" i="6"/>
  <c r="A271" i="5"/>
  <c r="E271" i="5"/>
  <c r="L270" i="5"/>
  <c r="G272" i="6"/>
  <c r="A272" i="5"/>
  <c r="E272" i="5"/>
  <c r="L271" i="5"/>
  <c r="G273" i="6"/>
  <c r="M273" i="6"/>
  <c r="U92" i="6"/>
  <c r="G182" i="7"/>
  <c r="O93" i="6"/>
  <c r="A275" i="6"/>
  <c r="A276" i="6"/>
  <c r="A277" i="6"/>
  <c r="A278" i="6"/>
  <c r="A279" i="6"/>
  <c r="A280" i="6"/>
  <c r="A281" i="6"/>
  <c r="A282" i="6"/>
  <c r="A273" i="5"/>
  <c r="E273" i="5"/>
  <c r="L272" i="5"/>
  <c r="G274" i="6"/>
  <c r="A274" i="5"/>
  <c r="E274" i="5"/>
  <c r="L273" i="5"/>
  <c r="G275" i="6"/>
  <c r="A275" i="5"/>
  <c r="E275" i="5"/>
  <c r="L274" i="5"/>
  <c r="G276" i="6"/>
  <c r="M276" i="6"/>
  <c r="U93" i="6"/>
  <c r="G183" i="7"/>
  <c r="O94" i="6"/>
  <c r="A276" i="5"/>
  <c r="E276" i="5"/>
  <c r="L275" i="5"/>
  <c r="G277" i="6"/>
  <c r="A277" i="5"/>
  <c r="E277" i="5"/>
  <c r="L276" i="5"/>
  <c r="G278" i="6"/>
  <c r="A278" i="5"/>
  <c r="E278" i="5"/>
  <c r="L277" i="5"/>
  <c r="G279" i="6"/>
  <c r="M279" i="6"/>
  <c r="U94" i="6"/>
  <c r="G184" i="7"/>
  <c r="O95" i="6"/>
  <c r="A283" i="6"/>
  <c r="A279" i="5"/>
  <c r="E279" i="5"/>
  <c r="L278" i="5"/>
  <c r="G280" i="6"/>
  <c r="A280" i="5"/>
  <c r="E280" i="5"/>
  <c r="L279" i="5"/>
  <c r="G281" i="6"/>
  <c r="A281" i="5"/>
  <c r="E281" i="5"/>
  <c r="L280" i="5"/>
  <c r="G282" i="6"/>
  <c r="M282" i="6"/>
  <c r="U95" i="6"/>
  <c r="G185" i="7"/>
  <c r="O96" i="6"/>
  <c r="A284" i="6"/>
  <c r="A285" i="6"/>
  <c r="A286" i="6"/>
  <c r="A287" i="6"/>
  <c r="A282" i="5"/>
  <c r="E282" i="5"/>
  <c r="L281" i="5"/>
  <c r="G283" i="6"/>
  <c r="A283" i="5"/>
  <c r="E283" i="5"/>
  <c r="L282" i="5"/>
  <c r="G284" i="6"/>
  <c r="A284" i="5"/>
  <c r="E284" i="5"/>
  <c r="L283" i="5"/>
  <c r="G285" i="6"/>
  <c r="M285" i="6"/>
  <c r="U96" i="6"/>
  <c r="G186" i="7"/>
  <c r="O97" i="6"/>
  <c r="A288" i="6"/>
  <c r="A289" i="6"/>
  <c r="A285" i="5"/>
  <c r="E285" i="5"/>
  <c r="L284" i="5"/>
  <c r="G286" i="6"/>
  <c r="A286" i="5"/>
  <c r="E286" i="5"/>
  <c r="L285" i="5"/>
  <c r="G287" i="6"/>
  <c r="A287" i="5"/>
  <c r="E287" i="5"/>
  <c r="L286" i="5"/>
  <c r="G288" i="6"/>
  <c r="M288" i="6"/>
  <c r="U97" i="6"/>
  <c r="G187" i="7"/>
  <c r="M1" i="5"/>
  <c r="M135" i="5"/>
  <c r="B134" i="5"/>
  <c r="F136" i="6"/>
  <c r="M136" i="5"/>
  <c r="B135" i="5"/>
  <c r="F137" i="6"/>
  <c r="M137" i="5"/>
  <c r="B136" i="5"/>
  <c r="F138" i="6"/>
  <c r="L138" i="6"/>
  <c r="T47" i="6"/>
  <c r="F137" i="7"/>
  <c r="M132" i="5"/>
  <c r="B131" i="5"/>
  <c r="F133" i="6"/>
  <c r="M133" i="5"/>
  <c r="B132" i="5"/>
  <c r="F134" i="6"/>
  <c r="M134" i="5"/>
  <c r="B133" i="5"/>
  <c r="F135" i="6"/>
  <c r="L135" i="6"/>
  <c r="T46" i="6"/>
  <c r="F136" i="7"/>
  <c r="M138" i="5"/>
  <c r="B137" i="5"/>
  <c r="F139" i="6"/>
  <c r="M139" i="5"/>
  <c r="B138" i="5"/>
  <c r="F140" i="6"/>
  <c r="M140" i="5"/>
  <c r="B139" i="5"/>
  <c r="F141" i="6"/>
  <c r="L141" i="6"/>
  <c r="T48" i="6"/>
  <c r="F138" i="7"/>
  <c r="M141" i="5"/>
  <c r="B140" i="5"/>
  <c r="F142" i="6"/>
  <c r="M142" i="5"/>
  <c r="B141" i="5"/>
  <c r="F143" i="6"/>
  <c r="M143" i="5"/>
  <c r="B142" i="5"/>
  <c r="F144" i="6"/>
  <c r="L144" i="6"/>
  <c r="T49" i="6"/>
  <c r="F139" i="7"/>
  <c r="M144" i="5"/>
  <c r="B143" i="5"/>
  <c r="F145" i="6"/>
  <c r="M145" i="5"/>
  <c r="B144" i="5"/>
  <c r="F146" i="6"/>
  <c r="M146" i="5"/>
  <c r="B145" i="5"/>
  <c r="F147" i="6"/>
  <c r="L147" i="6"/>
  <c r="T50" i="6"/>
  <c r="F140" i="7"/>
  <c r="M147" i="5"/>
  <c r="B146" i="5"/>
  <c r="F148" i="6"/>
  <c r="M148" i="5"/>
  <c r="B147" i="5"/>
  <c r="F149" i="6"/>
  <c r="M149" i="5"/>
  <c r="B148" i="5"/>
  <c r="F150" i="6"/>
  <c r="L150" i="6"/>
  <c r="T51" i="6"/>
  <c r="F141" i="7"/>
  <c r="M150" i="5"/>
  <c r="B149" i="5"/>
  <c r="F151" i="6"/>
  <c r="M151" i="5"/>
  <c r="B150" i="5"/>
  <c r="F152" i="6"/>
  <c r="M152" i="5"/>
  <c r="B151" i="5"/>
  <c r="F153" i="6"/>
  <c r="L153" i="6"/>
  <c r="T52" i="6"/>
  <c r="F142" i="7"/>
  <c r="M153" i="5"/>
  <c r="B152" i="5"/>
  <c r="F154" i="6"/>
  <c r="M154" i="5"/>
  <c r="B153" i="5"/>
  <c r="F155" i="6"/>
  <c r="M155" i="5"/>
  <c r="B154" i="5"/>
  <c r="F156" i="6"/>
  <c r="L156" i="6"/>
  <c r="T53" i="6"/>
  <c r="F143" i="7"/>
  <c r="M156" i="5"/>
  <c r="B155" i="5"/>
  <c r="F157" i="6"/>
  <c r="M157" i="5"/>
  <c r="B156" i="5"/>
  <c r="F158" i="6"/>
  <c r="M158" i="5"/>
  <c r="B157" i="5"/>
  <c r="F159" i="6"/>
  <c r="L159" i="6"/>
  <c r="T54" i="6"/>
  <c r="F144" i="7"/>
  <c r="M159" i="5"/>
  <c r="B158" i="5"/>
  <c r="F160" i="6"/>
  <c r="M160" i="5"/>
  <c r="B159" i="5"/>
  <c r="F161" i="6"/>
  <c r="M161" i="5"/>
  <c r="B160" i="5"/>
  <c r="F162" i="6"/>
  <c r="L162" i="6"/>
  <c r="T55" i="6"/>
  <c r="F145" i="7"/>
  <c r="M162" i="5"/>
  <c r="B161" i="5"/>
  <c r="F163" i="6"/>
  <c r="M163" i="5"/>
  <c r="B162" i="5"/>
  <c r="F164" i="6"/>
  <c r="M164" i="5"/>
  <c r="B163" i="5"/>
  <c r="F165" i="6"/>
  <c r="L165" i="6"/>
  <c r="T56" i="6"/>
  <c r="F146" i="7"/>
  <c r="M165" i="5"/>
  <c r="B164" i="5"/>
  <c r="F166" i="6"/>
  <c r="M166" i="5"/>
  <c r="B165" i="5"/>
  <c r="F167" i="6"/>
  <c r="M167" i="5"/>
  <c r="B166" i="5"/>
  <c r="F168" i="6"/>
  <c r="L168" i="6"/>
  <c r="T57" i="6"/>
  <c r="F147" i="7"/>
  <c r="M168" i="5"/>
  <c r="B167" i="5"/>
  <c r="F169" i="6"/>
  <c r="M169" i="5"/>
  <c r="B168" i="5"/>
  <c r="F170" i="6"/>
  <c r="M170" i="5"/>
  <c r="B169" i="5"/>
  <c r="F171" i="6"/>
  <c r="L171" i="6"/>
  <c r="T58" i="6"/>
  <c r="F148" i="7"/>
  <c r="M171" i="5"/>
  <c r="B170" i="5"/>
  <c r="F172" i="6"/>
  <c r="M172" i="5"/>
  <c r="B171" i="5"/>
  <c r="F173" i="6"/>
  <c r="M173" i="5"/>
  <c r="B172" i="5"/>
  <c r="F174" i="6"/>
  <c r="L174" i="6"/>
  <c r="T59" i="6"/>
  <c r="F149" i="7"/>
  <c r="M174" i="5"/>
  <c r="B173" i="5"/>
  <c r="F175" i="6"/>
  <c r="M175" i="5"/>
  <c r="B174" i="5"/>
  <c r="F176" i="6"/>
  <c r="M176" i="5"/>
  <c r="B175" i="5"/>
  <c r="F177" i="6"/>
  <c r="L177" i="6"/>
  <c r="T60" i="6"/>
  <c r="F150" i="7"/>
  <c r="M177" i="5"/>
  <c r="B176" i="5"/>
  <c r="F178" i="6"/>
  <c r="M178" i="5"/>
  <c r="B177" i="5"/>
  <c r="F179" i="6"/>
  <c r="M179" i="5"/>
  <c r="B178" i="5"/>
  <c r="F180" i="6"/>
  <c r="L180" i="6"/>
  <c r="T61" i="6"/>
  <c r="F151" i="7"/>
  <c r="M180" i="5"/>
  <c r="B179" i="5"/>
  <c r="F181" i="6"/>
  <c r="M181" i="5"/>
  <c r="B180" i="5"/>
  <c r="F182" i="6"/>
  <c r="M182" i="5"/>
  <c r="B181" i="5"/>
  <c r="F183" i="6"/>
  <c r="L183" i="6"/>
  <c r="T62" i="6"/>
  <c r="F152" i="7"/>
  <c r="M183" i="5"/>
  <c r="B182" i="5"/>
  <c r="F184" i="6"/>
  <c r="M184" i="5"/>
  <c r="B183" i="5"/>
  <c r="F185" i="6"/>
  <c r="M185" i="5"/>
  <c r="B184" i="5"/>
  <c r="F186" i="6"/>
  <c r="L186" i="6"/>
  <c r="T63" i="6"/>
  <c r="F153" i="7"/>
  <c r="M186" i="5"/>
  <c r="B185" i="5"/>
  <c r="F187" i="6"/>
  <c r="M187" i="5"/>
  <c r="B186" i="5"/>
  <c r="F188" i="6"/>
  <c r="M188" i="5"/>
  <c r="B187" i="5"/>
  <c r="F189" i="6"/>
  <c r="L189" i="6"/>
  <c r="T64" i="6"/>
  <c r="F154" i="7"/>
  <c r="M189" i="5"/>
  <c r="B188" i="5"/>
  <c r="F190" i="6"/>
  <c r="M190" i="5"/>
  <c r="B189" i="5"/>
  <c r="F191" i="6"/>
  <c r="M191" i="5"/>
  <c r="B190" i="5"/>
  <c r="F192" i="6"/>
  <c r="L192" i="6"/>
  <c r="T65" i="6"/>
  <c r="F155" i="7"/>
  <c r="M192" i="5"/>
  <c r="B191" i="5"/>
  <c r="F193" i="6"/>
  <c r="M193" i="5"/>
  <c r="B192" i="5"/>
  <c r="F194" i="6"/>
  <c r="M194" i="5"/>
  <c r="B193" i="5"/>
  <c r="F195" i="6"/>
  <c r="L195" i="6"/>
  <c r="T66" i="6"/>
  <c r="F156" i="7"/>
  <c r="M195" i="5"/>
  <c r="B194" i="5"/>
  <c r="F196" i="6"/>
  <c r="M196" i="5"/>
  <c r="B195" i="5"/>
  <c r="F197" i="6"/>
  <c r="M197" i="5"/>
  <c r="B196" i="5"/>
  <c r="F198" i="6"/>
  <c r="L198" i="6"/>
  <c r="T67" i="6"/>
  <c r="F157" i="7"/>
  <c r="M198" i="5"/>
  <c r="B197" i="5"/>
  <c r="F199" i="6"/>
  <c r="M199" i="5"/>
  <c r="B198" i="5"/>
  <c r="F200" i="6"/>
  <c r="M200" i="5"/>
  <c r="B199" i="5"/>
  <c r="F201" i="6"/>
  <c r="L201" i="6"/>
  <c r="T68" i="6"/>
  <c r="F158" i="7"/>
  <c r="M201" i="5"/>
  <c r="B200" i="5"/>
  <c r="F202" i="6"/>
  <c r="M202" i="5"/>
  <c r="B201" i="5"/>
  <c r="F203" i="6"/>
  <c r="M203" i="5"/>
  <c r="B202" i="5"/>
  <c r="F204" i="6"/>
  <c r="L204" i="6"/>
  <c r="T69" i="6"/>
  <c r="F159" i="7"/>
  <c r="M204" i="5"/>
  <c r="B203" i="5"/>
  <c r="F205" i="6"/>
  <c r="M205" i="5"/>
  <c r="B204" i="5"/>
  <c r="F206" i="6"/>
  <c r="M206" i="5"/>
  <c r="B205" i="5"/>
  <c r="F207" i="6"/>
  <c r="L207" i="6"/>
  <c r="T70" i="6"/>
  <c r="F160" i="7"/>
  <c r="M207" i="5"/>
  <c r="B206" i="5"/>
  <c r="F208" i="6"/>
  <c r="M208" i="5"/>
  <c r="B207" i="5"/>
  <c r="F209" i="6"/>
  <c r="M209" i="5"/>
  <c r="B208" i="5"/>
  <c r="F210" i="6"/>
  <c r="L210" i="6"/>
  <c r="T71" i="6"/>
  <c r="F161" i="7"/>
  <c r="M210" i="5"/>
  <c r="B209" i="5"/>
  <c r="F211" i="6"/>
  <c r="M211" i="5"/>
  <c r="B210" i="5"/>
  <c r="F212" i="6"/>
  <c r="M212" i="5"/>
  <c r="B211" i="5"/>
  <c r="F213" i="6"/>
  <c r="L213" i="6"/>
  <c r="T72" i="6"/>
  <c r="F162" i="7"/>
  <c r="M213" i="5"/>
  <c r="B212" i="5"/>
  <c r="F214" i="6"/>
  <c r="M214" i="5"/>
  <c r="B213" i="5"/>
  <c r="F215" i="6"/>
  <c r="M215" i="5"/>
  <c r="B214" i="5"/>
  <c r="F216" i="6"/>
  <c r="L216" i="6"/>
  <c r="T73" i="6"/>
  <c r="F163" i="7"/>
  <c r="M216" i="5"/>
  <c r="B215" i="5"/>
  <c r="F217" i="6"/>
  <c r="M217" i="5"/>
  <c r="B216" i="5"/>
  <c r="F218" i="6"/>
  <c r="M218" i="5"/>
  <c r="B217" i="5"/>
  <c r="F219" i="6"/>
  <c r="L219" i="6"/>
  <c r="T74" i="6"/>
  <c r="F164" i="7"/>
  <c r="M219" i="5"/>
  <c r="B218" i="5"/>
  <c r="F220" i="6"/>
  <c r="M220" i="5"/>
  <c r="B219" i="5"/>
  <c r="F221" i="6"/>
  <c r="M221" i="5"/>
  <c r="B220" i="5"/>
  <c r="F222" i="6"/>
  <c r="L222" i="6"/>
  <c r="T75" i="6"/>
  <c r="F165" i="7"/>
  <c r="M222" i="5"/>
  <c r="B221" i="5"/>
  <c r="F223" i="6"/>
  <c r="M223" i="5"/>
  <c r="B222" i="5"/>
  <c r="F224" i="6"/>
  <c r="M224" i="5"/>
  <c r="B223" i="5"/>
  <c r="F225" i="6"/>
  <c r="L225" i="6"/>
  <c r="T76" i="6"/>
  <c r="F166" i="7"/>
  <c r="M225" i="5"/>
  <c r="B224" i="5"/>
  <c r="F226" i="6"/>
  <c r="M226" i="5"/>
  <c r="B225" i="5"/>
  <c r="F227" i="6"/>
  <c r="M227" i="5"/>
  <c r="B226" i="5"/>
  <c r="F228" i="6"/>
  <c r="L228" i="6"/>
  <c r="T77" i="6"/>
  <c r="F167" i="7"/>
  <c r="M228" i="5"/>
  <c r="B227" i="5"/>
  <c r="F229" i="6"/>
  <c r="M229" i="5"/>
  <c r="B228" i="5"/>
  <c r="F230" i="6"/>
  <c r="M230" i="5"/>
  <c r="B229" i="5"/>
  <c r="F231" i="6"/>
  <c r="L231" i="6"/>
  <c r="T78" i="6"/>
  <c r="F168" i="7"/>
  <c r="M231" i="5"/>
  <c r="B230" i="5"/>
  <c r="F232" i="6"/>
  <c r="M232" i="5"/>
  <c r="B231" i="5"/>
  <c r="F233" i="6"/>
  <c r="M233" i="5"/>
  <c r="B232" i="5"/>
  <c r="F234" i="6"/>
  <c r="L234" i="6"/>
  <c r="T79" i="6"/>
  <c r="F169" i="7"/>
  <c r="M234" i="5"/>
  <c r="B233" i="5"/>
  <c r="F235" i="6"/>
  <c r="M235" i="5"/>
  <c r="B234" i="5"/>
  <c r="F236" i="6"/>
  <c r="M236" i="5"/>
  <c r="B235" i="5"/>
  <c r="F237" i="6"/>
  <c r="L237" i="6"/>
  <c r="T80" i="6"/>
  <c r="F170" i="7"/>
  <c r="M237" i="5"/>
  <c r="B236" i="5"/>
  <c r="F238" i="6"/>
  <c r="M238" i="5"/>
  <c r="B237" i="5"/>
  <c r="F239" i="6"/>
  <c r="M239" i="5"/>
  <c r="B238" i="5"/>
  <c r="F240" i="6"/>
  <c r="L240" i="6"/>
  <c r="T81" i="6"/>
  <c r="F171" i="7"/>
  <c r="M240" i="5"/>
  <c r="B239" i="5"/>
  <c r="F241" i="6"/>
  <c r="M241" i="5"/>
  <c r="B240" i="5"/>
  <c r="F242" i="6"/>
  <c r="M242" i="5"/>
  <c r="B241" i="5"/>
  <c r="F243" i="6"/>
  <c r="L243" i="6"/>
  <c r="T82" i="6"/>
  <c r="F172" i="7"/>
  <c r="M243" i="5"/>
  <c r="B242" i="5"/>
  <c r="F244" i="6"/>
  <c r="M244" i="5"/>
  <c r="B243" i="5"/>
  <c r="F245" i="6"/>
  <c r="M245" i="5"/>
  <c r="B244" i="5"/>
  <c r="F246" i="6"/>
  <c r="L246" i="6"/>
  <c r="T83" i="6"/>
  <c r="F173" i="7"/>
  <c r="M246" i="5"/>
  <c r="B245" i="5"/>
  <c r="F247" i="6"/>
  <c r="M247" i="5"/>
  <c r="B246" i="5"/>
  <c r="F248" i="6"/>
  <c r="M248" i="5"/>
  <c r="B247" i="5"/>
  <c r="F249" i="6"/>
  <c r="L249" i="6"/>
  <c r="T84" i="6"/>
  <c r="F174" i="7"/>
  <c r="M249" i="5"/>
  <c r="B248" i="5"/>
  <c r="F250" i="6"/>
  <c r="M250" i="5"/>
  <c r="B249" i="5"/>
  <c r="F251" i="6"/>
  <c r="M251" i="5"/>
  <c r="B250" i="5"/>
  <c r="F252" i="6"/>
  <c r="L252" i="6"/>
  <c r="T85" i="6"/>
  <c r="F175" i="7"/>
  <c r="M252" i="5"/>
  <c r="B251" i="5"/>
  <c r="F253" i="6"/>
  <c r="M253" i="5"/>
  <c r="B252" i="5"/>
  <c r="F254" i="6"/>
  <c r="M254" i="5"/>
  <c r="B253" i="5"/>
  <c r="F255" i="6"/>
  <c r="L255" i="6"/>
  <c r="T86" i="6"/>
  <c r="F176" i="7"/>
  <c r="M255" i="5"/>
  <c r="B254" i="5"/>
  <c r="F256" i="6"/>
  <c r="M256" i="5"/>
  <c r="B255" i="5"/>
  <c r="F257" i="6"/>
  <c r="M257" i="5"/>
  <c r="B256" i="5"/>
  <c r="F258" i="6"/>
  <c r="L258" i="6"/>
  <c r="T87" i="6"/>
  <c r="F177" i="7"/>
  <c r="M258" i="5"/>
  <c r="B257" i="5"/>
  <c r="F259" i="6"/>
  <c r="M259" i="5"/>
  <c r="B258" i="5"/>
  <c r="F260" i="6"/>
  <c r="M260" i="5"/>
  <c r="B259" i="5"/>
  <c r="F261" i="6"/>
  <c r="L261" i="6"/>
  <c r="T88" i="6"/>
  <c r="F178" i="7"/>
  <c r="M261" i="5"/>
  <c r="B260" i="5"/>
  <c r="F262" i="6"/>
  <c r="M262" i="5"/>
  <c r="B261" i="5"/>
  <c r="F263" i="6"/>
  <c r="M263" i="5"/>
  <c r="B262" i="5"/>
  <c r="F264" i="6"/>
  <c r="L264" i="6"/>
  <c r="T89" i="6"/>
  <c r="F179" i="7"/>
  <c r="M264" i="5"/>
  <c r="B263" i="5"/>
  <c r="F265" i="6"/>
  <c r="M265" i="5"/>
  <c r="B264" i="5"/>
  <c r="F266" i="6"/>
  <c r="M266" i="5"/>
  <c r="B265" i="5"/>
  <c r="F267" i="6"/>
  <c r="L267" i="6"/>
  <c r="T90" i="6"/>
  <c r="F180" i="7"/>
  <c r="M267" i="5"/>
  <c r="B266" i="5"/>
  <c r="F268" i="6"/>
  <c r="M268" i="5"/>
  <c r="B267" i="5"/>
  <c r="F269" i="6"/>
  <c r="M269" i="5"/>
  <c r="B268" i="5"/>
  <c r="F270" i="6"/>
  <c r="L270" i="6"/>
  <c r="T91" i="6"/>
  <c r="F181" i="7"/>
  <c r="M270" i="5"/>
  <c r="B269" i="5"/>
  <c r="F271" i="6"/>
  <c r="M271" i="5"/>
  <c r="B270" i="5"/>
  <c r="F272" i="6"/>
  <c r="M272" i="5"/>
  <c r="B271" i="5"/>
  <c r="F273" i="6"/>
  <c r="L273" i="6"/>
  <c r="T92" i="6"/>
  <c r="F182" i="7"/>
  <c r="M273" i="5"/>
  <c r="B272" i="5"/>
  <c r="F274" i="6"/>
  <c r="M274" i="5"/>
  <c r="B273" i="5"/>
  <c r="F275" i="6"/>
  <c r="M275" i="5"/>
  <c r="B274" i="5"/>
  <c r="F276" i="6"/>
  <c r="L276" i="6"/>
  <c r="T93" i="6"/>
  <c r="F183" i="7"/>
  <c r="M276" i="5"/>
  <c r="B275" i="5"/>
  <c r="F277" i="6"/>
  <c r="M277" i="5"/>
  <c r="B276" i="5"/>
  <c r="F278" i="6"/>
  <c r="M278" i="5"/>
  <c r="B277" i="5"/>
  <c r="F279" i="6"/>
  <c r="L279" i="6"/>
  <c r="T94" i="6"/>
  <c r="F184" i="7"/>
  <c r="M279" i="5"/>
  <c r="B278" i="5"/>
  <c r="F280" i="6"/>
  <c r="M280" i="5"/>
  <c r="B279" i="5"/>
  <c r="F281" i="6"/>
  <c r="M281" i="5"/>
  <c r="B280" i="5"/>
  <c r="F282" i="6"/>
  <c r="L282" i="6"/>
  <c r="T95" i="6"/>
  <c r="F185" i="7"/>
  <c r="M282" i="5"/>
  <c r="B281" i="5"/>
  <c r="F283" i="6"/>
  <c r="M283" i="5"/>
  <c r="B282" i="5"/>
  <c r="F284" i="6"/>
  <c r="M284" i="5"/>
  <c r="B283" i="5"/>
  <c r="F285" i="6"/>
  <c r="L285" i="6"/>
  <c r="T96" i="6"/>
  <c r="F186" i="7"/>
  <c r="M285" i="5"/>
  <c r="B284" i="5"/>
  <c r="F286" i="6"/>
  <c r="M286" i="5"/>
  <c r="B285" i="5"/>
  <c r="F287" i="6"/>
  <c r="M287" i="5"/>
  <c r="B286" i="5"/>
  <c r="F288" i="6"/>
  <c r="L288" i="6"/>
  <c r="T97" i="6"/>
  <c r="F187" i="7"/>
  <c r="N1" i="5"/>
  <c r="N135" i="5"/>
  <c r="G134" i="5"/>
  <c r="E136" i="6"/>
  <c r="N136" i="5"/>
  <c r="G135" i="5"/>
  <c r="E137" i="6"/>
  <c r="N137" i="5"/>
  <c r="G136" i="5"/>
  <c r="E138" i="6"/>
  <c r="K138" i="6"/>
  <c r="S47" i="6"/>
  <c r="E137" i="7"/>
  <c r="N132" i="5"/>
  <c r="G131" i="5"/>
  <c r="E133" i="6"/>
  <c r="N133" i="5"/>
  <c r="G132" i="5"/>
  <c r="E134" i="6"/>
  <c r="N134" i="5"/>
  <c r="G133" i="5"/>
  <c r="E135" i="6"/>
  <c r="K135" i="6"/>
  <c r="S46" i="6"/>
  <c r="E136" i="7"/>
  <c r="N138" i="5"/>
  <c r="G137" i="5"/>
  <c r="E139" i="6"/>
  <c r="N139" i="5"/>
  <c r="G138" i="5"/>
  <c r="E140" i="6"/>
  <c r="N140" i="5"/>
  <c r="G139" i="5"/>
  <c r="E141" i="6"/>
  <c r="K141" i="6"/>
  <c r="S48" i="6"/>
  <c r="E138" i="7"/>
  <c r="N141" i="5"/>
  <c r="G140" i="5"/>
  <c r="E142" i="6"/>
  <c r="N142" i="5"/>
  <c r="G141" i="5"/>
  <c r="E143" i="6"/>
  <c r="N143" i="5"/>
  <c r="G142" i="5"/>
  <c r="E144" i="6"/>
  <c r="K144" i="6"/>
  <c r="S49" i="6"/>
  <c r="E139" i="7"/>
  <c r="N144" i="5"/>
  <c r="G143" i="5"/>
  <c r="E145" i="6"/>
  <c r="N145" i="5"/>
  <c r="G144" i="5"/>
  <c r="E146" i="6"/>
  <c r="N146" i="5"/>
  <c r="G145" i="5"/>
  <c r="E147" i="6"/>
  <c r="K147" i="6"/>
  <c r="S50" i="6"/>
  <c r="E140" i="7"/>
  <c r="N147" i="5"/>
  <c r="G146" i="5"/>
  <c r="E148" i="6"/>
  <c r="N148" i="5"/>
  <c r="G147" i="5"/>
  <c r="E149" i="6"/>
  <c r="N149" i="5"/>
  <c r="G148" i="5"/>
  <c r="E150" i="6"/>
  <c r="K150" i="6"/>
  <c r="S51" i="6"/>
  <c r="E141" i="7"/>
  <c r="N150" i="5"/>
  <c r="G149" i="5"/>
  <c r="E151" i="6"/>
  <c r="N151" i="5"/>
  <c r="G150" i="5"/>
  <c r="E152" i="6"/>
  <c r="N152" i="5"/>
  <c r="G151" i="5"/>
  <c r="E153" i="6"/>
  <c r="K153" i="6"/>
  <c r="S52" i="6"/>
  <c r="E142" i="7"/>
  <c r="N153" i="5"/>
  <c r="G152" i="5"/>
  <c r="E154" i="6"/>
  <c r="N154" i="5"/>
  <c r="G153" i="5"/>
  <c r="E155" i="6"/>
  <c r="N155" i="5"/>
  <c r="G154" i="5"/>
  <c r="E156" i="6"/>
  <c r="K156" i="6"/>
  <c r="S53" i="6"/>
  <c r="E143" i="7"/>
  <c r="N156" i="5"/>
  <c r="G155" i="5"/>
  <c r="E157" i="6"/>
  <c r="N157" i="5"/>
  <c r="G156" i="5"/>
  <c r="E158" i="6"/>
  <c r="N158" i="5"/>
  <c r="G157" i="5"/>
  <c r="E159" i="6"/>
  <c r="K159" i="6"/>
  <c r="S54" i="6"/>
  <c r="E144" i="7"/>
  <c r="N159" i="5"/>
  <c r="G158" i="5"/>
  <c r="E160" i="6"/>
  <c r="N160" i="5"/>
  <c r="G159" i="5"/>
  <c r="E161" i="6"/>
  <c r="N161" i="5"/>
  <c r="G160" i="5"/>
  <c r="E162" i="6"/>
  <c r="K162" i="6"/>
  <c r="S55" i="6"/>
  <c r="E145" i="7"/>
  <c r="N162" i="5"/>
  <c r="G161" i="5"/>
  <c r="E163" i="6"/>
  <c r="N163" i="5"/>
  <c r="G162" i="5"/>
  <c r="E164" i="6"/>
  <c r="N164" i="5"/>
  <c r="G163" i="5"/>
  <c r="E165" i="6"/>
  <c r="K165" i="6"/>
  <c r="S56" i="6"/>
  <c r="E146" i="7"/>
  <c r="N165" i="5"/>
  <c r="G164" i="5"/>
  <c r="E166" i="6"/>
  <c r="N166" i="5"/>
  <c r="G165" i="5"/>
  <c r="E167" i="6"/>
  <c r="N167" i="5"/>
  <c r="G166" i="5"/>
  <c r="E168" i="6"/>
  <c r="K168" i="6"/>
  <c r="S57" i="6"/>
  <c r="E147" i="7"/>
  <c r="N168" i="5"/>
  <c r="G167" i="5"/>
  <c r="E169" i="6"/>
  <c r="N169" i="5"/>
  <c r="G168" i="5"/>
  <c r="E170" i="6"/>
  <c r="N170" i="5"/>
  <c r="G169" i="5"/>
  <c r="E171" i="6"/>
  <c r="K171" i="6"/>
  <c r="S58" i="6"/>
  <c r="E148" i="7"/>
  <c r="N171" i="5"/>
  <c r="G170" i="5"/>
  <c r="E172" i="6"/>
  <c r="N172" i="5"/>
  <c r="G171" i="5"/>
  <c r="E173" i="6"/>
  <c r="N173" i="5"/>
  <c r="G172" i="5"/>
  <c r="E174" i="6"/>
  <c r="K174" i="6"/>
  <c r="S59" i="6"/>
  <c r="E149" i="7"/>
  <c r="N174" i="5"/>
  <c r="G173" i="5"/>
  <c r="E175" i="6"/>
  <c r="N175" i="5"/>
  <c r="G174" i="5"/>
  <c r="E176" i="6"/>
  <c r="N176" i="5"/>
  <c r="G175" i="5"/>
  <c r="E177" i="6"/>
  <c r="K177" i="6"/>
  <c r="S60" i="6"/>
  <c r="E150" i="7"/>
  <c r="N177" i="5"/>
  <c r="G176" i="5"/>
  <c r="E178" i="6"/>
  <c r="N178" i="5"/>
  <c r="G177" i="5"/>
  <c r="E179" i="6"/>
  <c r="N179" i="5"/>
  <c r="G178" i="5"/>
  <c r="E180" i="6"/>
  <c r="K180" i="6"/>
  <c r="S61" i="6"/>
  <c r="E151" i="7"/>
  <c r="N180" i="5"/>
  <c r="G179" i="5"/>
  <c r="E181" i="6"/>
  <c r="N181" i="5"/>
  <c r="G180" i="5"/>
  <c r="E182" i="6"/>
  <c r="N182" i="5"/>
  <c r="G181" i="5"/>
  <c r="E183" i="6"/>
  <c r="K183" i="6"/>
  <c r="S62" i="6"/>
  <c r="E152" i="7"/>
  <c r="N183" i="5"/>
  <c r="G182" i="5"/>
  <c r="E184" i="6"/>
  <c r="N184" i="5"/>
  <c r="G183" i="5"/>
  <c r="E185" i="6"/>
  <c r="N185" i="5"/>
  <c r="G184" i="5"/>
  <c r="E186" i="6"/>
  <c r="K186" i="6"/>
  <c r="S63" i="6"/>
  <c r="E153" i="7"/>
  <c r="N186" i="5"/>
  <c r="G185" i="5"/>
  <c r="E187" i="6"/>
  <c r="N187" i="5"/>
  <c r="G186" i="5"/>
  <c r="E188" i="6"/>
  <c r="N188" i="5"/>
  <c r="G187" i="5"/>
  <c r="E189" i="6"/>
  <c r="K189" i="6"/>
  <c r="S64" i="6"/>
  <c r="E154" i="7"/>
  <c r="N189" i="5"/>
  <c r="G188" i="5"/>
  <c r="E190" i="6"/>
  <c r="N190" i="5"/>
  <c r="G189" i="5"/>
  <c r="E191" i="6"/>
  <c r="N191" i="5"/>
  <c r="G190" i="5"/>
  <c r="E192" i="6"/>
  <c r="K192" i="6"/>
  <c r="S65" i="6"/>
  <c r="E155" i="7"/>
  <c r="N192" i="5"/>
  <c r="G191" i="5"/>
  <c r="E193" i="6"/>
  <c r="N193" i="5"/>
  <c r="G192" i="5"/>
  <c r="E194" i="6"/>
  <c r="N194" i="5"/>
  <c r="G193" i="5"/>
  <c r="E195" i="6"/>
  <c r="K195" i="6"/>
  <c r="S66" i="6"/>
  <c r="E156" i="7"/>
  <c r="N195" i="5"/>
  <c r="G194" i="5"/>
  <c r="E196" i="6"/>
  <c r="N196" i="5"/>
  <c r="G195" i="5"/>
  <c r="E197" i="6"/>
  <c r="N197" i="5"/>
  <c r="G196" i="5"/>
  <c r="E198" i="6"/>
  <c r="K198" i="6"/>
  <c r="S67" i="6"/>
  <c r="E157" i="7"/>
  <c r="N198" i="5"/>
  <c r="G197" i="5"/>
  <c r="E199" i="6"/>
  <c r="N199" i="5"/>
  <c r="G198" i="5"/>
  <c r="E200" i="6"/>
  <c r="N200" i="5"/>
  <c r="G199" i="5"/>
  <c r="E201" i="6"/>
  <c r="K201" i="6"/>
  <c r="S68" i="6"/>
  <c r="E158" i="7"/>
  <c r="N201" i="5"/>
  <c r="G200" i="5"/>
  <c r="E202" i="6"/>
  <c r="N202" i="5"/>
  <c r="G201" i="5"/>
  <c r="E203" i="6"/>
  <c r="N203" i="5"/>
  <c r="G202" i="5"/>
  <c r="E204" i="6"/>
  <c r="K204" i="6"/>
  <c r="S69" i="6"/>
  <c r="E159" i="7"/>
  <c r="N204" i="5"/>
  <c r="G203" i="5"/>
  <c r="E205" i="6"/>
  <c r="N205" i="5"/>
  <c r="G204" i="5"/>
  <c r="E206" i="6"/>
  <c r="N206" i="5"/>
  <c r="G205" i="5"/>
  <c r="E207" i="6"/>
  <c r="K207" i="6"/>
  <c r="S70" i="6"/>
  <c r="E160" i="7"/>
  <c r="N207" i="5"/>
  <c r="G206" i="5"/>
  <c r="E208" i="6"/>
  <c r="N208" i="5"/>
  <c r="G207" i="5"/>
  <c r="E209" i="6"/>
  <c r="N209" i="5"/>
  <c r="G208" i="5"/>
  <c r="E210" i="6"/>
  <c r="K210" i="6"/>
  <c r="S71" i="6"/>
  <c r="E161" i="7"/>
  <c r="N210" i="5"/>
  <c r="G209" i="5"/>
  <c r="E211" i="6"/>
  <c r="N211" i="5"/>
  <c r="G210" i="5"/>
  <c r="E212" i="6"/>
  <c r="N212" i="5"/>
  <c r="G211" i="5"/>
  <c r="E213" i="6"/>
  <c r="K213" i="6"/>
  <c r="S72" i="6"/>
  <c r="E162" i="7"/>
  <c r="N213" i="5"/>
  <c r="G212" i="5"/>
  <c r="E214" i="6"/>
  <c r="N214" i="5"/>
  <c r="G213" i="5"/>
  <c r="E215" i="6"/>
  <c r="N215" i="5"/>
  <c r="G214" i="5"/>
  <c r="E216" i="6"/>
  <c r="K216" i="6"/>
  <c r="S73" i="6"/>
  <c r="E163" i="7"/>
  <c r="N216" i="5"/>
  <c r="G215" i="5"/>
  <c r="E217" i="6"/>
  <c r="N217" i="5"/>
  <c r="G216" i="5"/>
  <c r="E218" i="6"/>
  <c r="N218" i="5"/>
  <c r="G217" i="5"/>
  <c r="E219" i="6"/>
  <c r="K219" i="6"/>
  <c r="S74" i="6"/>
  <c r="E164" i="7"/>
  <c r="N219" i="5"/>
  <c r="G218" i="5"/>
  <c r="E220" i="6"/>
  <c r="N220" i="5"/>
  <c r="G219" i="5"/>
  <c r="E221" i="6"/>
  <c r="N221" i="5"/>
  <c r="G220" i="5"/>
  <c r="E222" i="6"/>
  <c r="K222" i="6"/>
  <c r="S75" i="6"/>
  <c r="E165" i="7"/>
  <c r="N222" i="5"/>
  <c r="G221" i="5"/>
  <c r="E223" i="6"/>
  <c r="N223" i="5"/>
  <c r="G222" i="5"/>
  <c r="E224" i="6"/>
  <c r="N224" i="5"/>
  <c r="G223" i="5"/>
  <c r="E225" i="6"/>
  <c r="K225" i="6"/>
  <c r="S76" i="6"/>
  <c r="E166" i="7"/>
  <c r="N225" i="5"/>
  <c r="G224" i="5"/>
  <c r="E226" i="6"/>
  <c r="N226" i="5"/>
  <c r="G225" i="5"/>
  <c r="E227" i="6"/>
  <c r="N227" i="5"/>
  <c r="G226" i="5"/>
  <c r="E228" i="6"/>
  <c r="K228" i="6"/>
  <c r="S77" i="6"/>
  <c r="E167" i="7"/>
  <c r="N228" i="5"/>
  <c r="G227" i="5"/>
  <c r="E229" i="6"/>
  <c r="N229" i="5"/>
  <c r="G228" i="5"/>
  <c r="E230" i="6"/>
  <c r="N230" i="5"/>
  <c r="G229" i="5"/>
  <c r="E231" i="6"/>
  <c r="K231" i="6"/>
  <c r="S78" i="6"/>
  <c r="E168" i="7"/>
  <c r="N231" i="5"/>
  <c r="G230" i="5"/>
  <c r="E232" i="6"/>
  <c r="N232" i="5"/>
  <c r="G231" i="5"/>
  <c r="E233" i="6"/>
  <c r="N233" i="5"/>
  <c r="G232" i="5"/>
  <c r="E234" i="6"/>
  <c r="K234" i="6"/>
  <c r="S79" i="6"/>
  <c r="E169" i="7"/>
  <c r="N234" i="5"/>
  <c r="G233" i="5"/>
  <c r="E235" i="6"/>
  <c r="N235" i="5"/>
  <c r="G234" i="5"/>
  <c r="E236" i="6"/>
  <c r="N236" i="5"/>
  <c r="G235" i="5"/>
  <c r="E237" i="6"/>
  <c r="K237" i="6"/>
  <c r="S80" i="6"/>
  <c r="E170" i="7"/>
  <c r="N237" i="5"/>
  <c r="G236" i="5"/>
  <c r="E238" i="6"/>
  <c r="N238" i="5"/>
  <c r="G237" i="5"/>
  <c r="E239" i="6"/>
  <c r="N239" i="5"/>
  <c r="G238" i="5"/>
  <c r="E240" i="6"/>
  <c r="K240" i="6"/>
  <c r="S81" i="6"/>
  <c r="E171" i="7"/>
  <c r="N240" i="5"/>
  <c r="G239" i="5"/>
  <c r="E241" i="6"/>
  <c r="N241" i="5"/>
  <c r="G240" i="5"/>
  <c r="E242" i="6"/>
  <c r="N242" i="5"/>
  <c r="G241" i="5"/>
  <c r="E243" i="6"/>
  <c r="K243" i="6"/>
  <c r="S82" i="6"/>
  <c r="E172" i="7"/>
  <c r="N243" i="5"/>
  <c r="G242" i="5"/>
  <c r="E244" i="6"/>
  <c r="N244" i="5"/>
  <c r="G243" i="5"/>
  <c r="E245" i="6"/>
  <c r="N245" i="5"/>
  <c r="G244" i="5"/>
  <c r="E246" i="6"/>
  <c r="K246" i="6"/>
  <c r="S83" i="6"/>
  <c r="E173" i="7"/>
  <c r="N246" i="5"/>
  <c r="G245" i="5"/>
  <c r="E247" i="6"/>
  <c r="N247" i="5"/>
  <c r="G246" i="5"/>
  <c r="E248" i="6"/>
  <c r="N248" i="5"/>
  <c r="G247" i="5"/>
  <c r="E249" i="6"/>
  <c r="K249" i="6"/>
  <c r="S84" i="6"/>
  <c r="E174" i="7"/>
  <c r="N249" i="5"/>
  <c r="G248" i="5"/>
  <c r="E250" i="6"/>
  <c r="N250" i="5"/>
  <c r="G249" i="5"/>
  <c r="E251" i="6"/>
  <c r="N251" i="5"/>
  <c r="G250" i="5"/>
  <c r="E252" i="6"/>
  <c r="K252" i="6"/>
  <c r="S85" i="6"/>
  <c r="E175" i="7"/>
  <c r="N252" i="5"/>
  <c r="G251" i="5"/>
  <c r="E253" i="6"/>
  <c r="N253" i="5"/>
  <c r="G252" i="5"/>
  <c r="E254" i="6"/>
  <c r="N254" i="5"/>
  <c r="G253" i="5"/>
  <c r="E255" i="6"/>
  <c r="K255" i="6"/>
  <c r="S86" i="6"/>
  <c r="E176" i="7"/>
  <c r="N255" i="5"/>
  <c r="G254" i="5"/>
  <c r="E256" i="6"/>
  <c r="N256" i="5"/>
  <c r="G255" i="5"/>
  <c r="E257" i="6"/>
  <c r="N257" i="5"/>
  <c r="G256" i="5"/>
  <c r="E258" i="6"/>
  <c r="K258" i="6"/>
  <c r="S87" i="6"/>
  <c r="E177" i="7"/>
  <c r="N258" i="5"/>
  <c r="G257" i="5"/>
  <c r="E259" i="6"/>
  <c r="N259" i="5"/>
  <c r="G258" i="5"/>
  <c r="E260" i="6"/>
  <c r="N260" i="5"/>
  <c r="G259" i="5"/>
  <c r="E261" i="6"/>
  <c r="K261" i="6"/>
  <c r="S88" i="6"/>
  <c r="E178" i="7"/>
  <c r="N261" i="5"/>
  <c r="G260" i="5"/>
  <c r="E262" i="6"/>
  <c r="N262" i="5"/>
  <c r="G261" i="5"/>
  <c r="E263" i="6"/>
  <c r="N263" i="5"/>
  <c r="G262" i="5"/>
  <c r="E264" i="6"/>
  <c r="K264" i="6"/>
  <c r="S89" i="6"/>
  <c r="E179" i="7"/>
  <c r="N264" i="5"/>
  <c r="G263" i="5"/>
  <c r="E265" i="6"/>
  <c r="N265" i="5"/>
  <c r="G264" i="5"/>
  <c r="E266" i="6"/>
  <c r="N266" i="5"/>
  <c r="G265" i="5"/>
  <c r="E267" i="6"/>
  <c r="K267" i="6"/>
  <c r="S90" i="6"/>
  <c r="E180" i="7"/>
  <c r="N267" i="5"/>
  <c r="G266" i="5"/>
  <c r="E268" i="6"/>
  <c r="N268" i="5"/>
  <c r="G267" i="5"/>
  <c r="E269" i="6"/>
  <c r="N269" i="5"/>
  <c r="G268" i="5"/>
  <c r="E270" i="6"/>
  <c r="K270" i="6"/>
  <c r="S91" i="6"/>
  <c r="E181" i="7"/>
  <c r="N270" i="5"/>
  <c r="G269" i="5"/>
  <c r="E271" i="6"/>
  <c r="N271" i="5"/>
  <c r="G270" i="5"/>
  <c r="E272" i="6"/>
  <c r="N272" i="5"/>
  <c r="G271" i="5"/>
  <c r="E273" i="6"/>
  <c r="K273" i="6"/>
  <c r="S92" i="6"/>
  <c r="E182" i="7"/>
  <c r="N273" i="5"/>
  <c r="G272" i="5"/>
  <c r="E274" i="6"/>
  <c r="N274" i="5"/>
  <c r="G273" i="5"/>
  <c r="E275" i="6"/>
  <c r="N275" i="5"/>
  <c r="G274" i="5"/>
  <c r="E276" i="6"/>
  <c r="K276" i="6"/>
  <c r="S93" i="6"/>
  <c r="E183" i="7"/>
  <c r="N276" i="5"/>
  <c r="G275" i="5"/>
  <c r="E277" i="6"/>
  <c r="N277" i="5"/>
  <c r="G276" i="5"/>
  <c r="E278" i="6"/>
  <c r="N278" i="5"/>
  <c r="G277" i="5"/>
  <c r="E279" i="6"/>
  <c r="K279" i="6"/>
  <c r="S94" i="6"/>
  <c r="E184" i="7"/>
  <c r="N279" i="5"/>
  <c r="G278" i="5"/>
  <c r="E280" i="6"/>
  <c r="N280" i="5"/>
  <c r="G279" i="5"/>
  <c r="E281" i="6"/>
  <c r="N281" i="5"/>
  <c r="G280" i="5"/>
  <c r="E282" i="6"/>
  <c r="K282" i="6"/>
  <c r="S95" i="6"/>
  <c r="E185" i="7"/>
  <c r="N282" i="5"/>
  <c r="G281" i="5"/>
  <c r="E283" i="6"/>
  <c r="N283" i="5"/>
  <c r="G282" i="5"/>
  <c r="E284" i="6"/>
  <c r="N284" i="5"/>
  <c r="G283" i="5"/>
  <c r="E285" i="6"/>
  <c r="K285" i="6"/>
  <c r="S96" i="6"/>
  <c r="E186" i="7"/>
  <c r="N285" i="5"/>
  <c r="G284" i="5"/>
  <c r="E286" i="6"/>
  <c r="N286" i="5"/>
  <c r="G285" i="5"/>
  <c r="E287" i="6"/>
  <c r="N287" i="5"/>
  <c r="G286" i="5"/>
  <c r="E288" i="6"/>
  <c r="K288" i="6"/>
  <c r="S97" i="6"/>
  <c r="E187" i="7"/>
  <c r="J135" i="5"/>
  <c r="D136" i="6"/>
  <c r="J136" i="5"/>
  <c r="D137" i="6"/>
  <c r="J137" i="5"/>
  <c r="D138" i="6"/>
  <c r="J138" i="6"/>
  <c r="R47" i="6"/>
  <c r="D137" i="7"/>
  <c r="J132" i="5"/>
  <c r="D133" i="6"/>
  <c r="J133" i="5"/>
  <c r="D134" i="6"/>
  <c r="J134" i="5"/>
  <c r="D135" i="6"/>
  <c r="J135" i="6"/>
  <c r="R46" i="6"/>
  <c r="D136" i="7"/>
  <c r="J138" i="5"/>
  <c r="D139" i="6"/>
  <c r="J139" i="5"/>
  <c r="D140" i="6"/>
  <c r="J140" i="5"/>
  <c r="D141" i="6"/>
  <c r="J141" i="6"/>
  <c r="R48" i="6"/>
  <c r="D138" i="7"/>
  <c r="J141" i="5"/>
  <c r="D142" i="6"/>
  <c r="J142" i="5"/>
  <c r="D143" i="6"/>
  <c r="J143" i="5"/>
  <c r="D144" i="6"/>
  <c r="J144" i="6"/>
  <c r="R49" i="6"/>
  <c r="D139" i="7"/>
  <c r="J144" i="5"/>
  <c r="D145" i="6"/>
  <c r="J145" i="5"/>
  <c r="D146" i="6"/>
  <c r="J146" i="5"/>
  <c r="D147" i="6"/>
  <c r="J147" i="6"/>
  <c r="R50" i="6"/>
  <c r="D140" i="7"/>
  <c r="J147" i="5"/>
  <c r="D148" i="6"/>
  <c r="J148" i="5"/>
  <c r="D149" i="6"/>
  <c r="J149" i="5"/>
  <c r="D150" i="6"/>
  <c r="J150" i="6"/>
  <c r="R51" i="6"/>
  <c r="D141" i="7"/>
  <c r="J150" i="5"/>
  <c r="D151" i="6"/>
  <c r="J151" i="5"/>
  <c r="D152" i="6"/>
  <c r="J152" i="5"/>
  <c r="D153" i="6"/>
  <c r="J153" i="6"/>
  <c r="R52" i="6"/>
  <c r="D142" i="7"/>
  <c r="J153" i="5"/>
  <c r="D154" i="6"/>
  <c r="J154" i="5"/>
  <c r="D155" i="6"/>
  <c r="J155" i="5"/>
  <c r="D156" i="6"/>
  <c r="J156" i="6"/>
  <c r="R53" i="6"/>
  <c r="D143" i="7"/>
  <c r="J156" i="5"/>
  <c r="D157" i="6"/>
  <c r="J157" i="5"/>
  <c r="D158" i="6"/>
  <c r="J158" i="5"/>
  <c r="D159" i="6"/>
  <c r="J159" i="6"/>
  <c r="R54" i="6"/>
  <c r="D144" i="7"/>
  <c r="J159" i="5"/>
  <c r="D160" i="6"/>
  <c r="J160" i="5"/>
  <c r="D161" i="6"/>
  <c r="J161" i="5"/>
  <c r="D162" i="6"/>
  <c r="J162" i="6"/>
  <c r="R55" i="6"/>
  <c r="D145" i="7"/>
  <c r="J162" i="5"/>
  <c r="D163" i="6"/>
  <c r="J163" i="5"/>
  <c r="D164" i="6"/>
  <c r="J164" i="5"/>
  <c r="D165" i="6"/>
  <c r="J165" i="6"/>
  <c r="R56" i="6"/>
  <c r="D146" i="7"/>
  <c r="J165" i="5"/>
  <c r="D166" i="6"/>
  <c r="J166" i="5"/>
  <c r="D167" i="6"/>
  <c r="J167" i="5"/>
  <c r="D168" i="6"/>
  <c r="J168" i="6"/>
  <c r="R57" i="6"/>
  <c r="D147" i="7"/>
  <c r="J168" i="5"/>
  <c r="D169" i="6"/>
  <c r="J169" i="5"/>
  <c r="D170" i="6"/>
  <c r="J170" i="5"/>
  <c r="D171" i="6"/>
  <c r="J171" i="6"/>
  <c r="R58" i="6"/>
  <c r="D148" i="7"/>
  <c r="J171" i="5"/>
  <c r="D172" i="6"/>
  <c r="J172" i="5"/>
  <c r="D173" i="6"/>
  <c r="J173" i="5"/>
  <c r="D174" i="6"/>
  <c r="J174" i="6"/>
  <c r="R59" i="6"/>
  <c r="D149" i="7"/>
  <c r="J174" i="5"/>
  <c r="D175" i="6"/>
  <c r="J175" i="5"/>
  <c r="D176" i="6"/>
  <c r="J176" i="5"/>
  <c r="D177" i="6"/>
  <c r="J177" i="6"/>
  <c r="R60" i="6"/>
  <c r="D150" i="7"/>
  <c r="J177" i="5"/>
  <c r="D178" i="6"/>
  <c r="J178" i="5"/>
  <c r="D179" i="6"/>
  <c r="J179" i="5"/>
  <c r="D180" i="6"/>
  <c r="J180" i="6"/>
  <c r="R61" i="6"/>
  <c r="D151" i="7"/>
  <c r="J180" i="5"/>
  <c r="D181" i="6"/>
  <c r="J181" i="5"/>
  <c r="D182" i="6"/>
  <c r="J182" i="5"/>
  <c r="D183" i="6"/>
  <c r="J183" i="6"/>
  <c r="R62" i="6"/>
  <c r="D152" i="7"/>
  <c r="J183" i="5"/>
  <c r="D184" i="6"/>
  <c r="J184" i="5"/>
  <c r="D185" i="6"/>
  <c r="J185" i="5"/>
  <c r="D186" i="6"/>
  <c r="J186" i="6"/>
  <c r="R63" i="6"/>
  <c r="D153" i="7"/>
  <c r="J186" i="5"/>
  <c r="D187" i="6"/>
  <c r="J187" i="5"/>
  <c r="D188" i="6"/>
  <c r="J188" i="5"/>
  <c r="D189" i="6"/>
  <c r="J189" i="6"/>
  <c r="R64" i="6"/>
  <c r="D154" i="7"/>
  <c r="J189" i="5"/>
  <c r="D190" i="6"/>
  <c r="J190" i="5"/>
  <c r="D191" i="6"/>
  <c r="J191" i="5"/>
  <c r="D192" i="6"/>
  <c r="J192" i="6"/>
  <c r="R65" i="6"/>
  <c r="D155" i="7"/>
  <c r="J192" i="5"/>
  <c r="D193" i="6"/>
  <c r="J193" i="5"/>
  <c r="D194" i="6"/>
  <c r="J194" i="5"/>
  <c r="D195" i="6"/>
  <c r="J195" i="6"/>
  <c r="R66" i="6"/>
  <c r="D156" i="7"/>
  <c r="J195" i="5"/>
  <c r="D196" i="6"/>
  <c r="J196" i="5"/>
  <c r="D197" i="6"/>
  <c r="J197" i="5"/>
  <c r="D198" i="6"/>
  <c r="J198" i="6"/>
  <c r="R67" i="6"/>
  <c r="D157" i="7"/>
  <c r="J198" i="5"/>
  <c r="D199" i="6"/>
  <c r="J199" i="5"/>
  <c r="D200" i="6"/>
  <c r="J200" i="5"/>
  <c r="D201" i="6"/>
  <c r="J201" i="6"/>
  <c r="R68" i="6"/>
  <c r="D158" i="7"/>
  <c r="J201" i="5"/>
  <c r="D202" i="6"/>
  <c r="J202" i="5"/>
  <c r="D203" i="6"/>
  <c r="J203" i="5"/>
  <c r="D204" i="6"/>
  <c r="J204" i="6"/>
  <c r="R69" i="6"/>
  <c r="D159" i="7"/>
  <c r="J204" i="5"/>
  <c r="D205" i="6"/>
  <c r="J205" i="5"/>
  <c r="D206" i="6"/>
  <c r="J206" i="5"/>
  <c r="D207" i="6"/>
  <c r="J207" i="6"/>
  <c r="R70" i="6"/>
  <c r="D160" i="7"/>
  <c r="J207" i="5"/>
  <c r="D208" i="6"/>
  <c r="J208" i="5"/>
  <c r="D209" i="6"/>
  <c r="J209" i="5"/>
  <c r="D210" i="6"/>
  <c r="J210" i="6"/>
  <c r="R71" i="6"/>
  <c r="D161" i="7"/>
  <c r="J210" i="5"/>
  <c r="D211" i="6"/>
  <c r="J211" i="5"/>
  <c r="D212" i="6"/>
  <c r="J212" i="5"/>
  <c r="D213" i="6"/>
  <c r="J213" i="6"/>
  <c r="R72" i="6"/>
  <c r="D162" i="7"/>
  <c r="J213" i="5"/>
  <c r="D214" i="6"/>
  <c r="J214" i="5"/>
  <c r="D215" i="6"/>
  <c r="J215" i="5"/>
  <c r="D216" i="6"/>
  <c r="J216" i="6"/>
  <c r="R73" i="6"/>
  <c r="D163" i="7"/>
  <c r="J216" i="5"/>
  <c r="D217" i="6"/>
  <c r="J217" i="5"/>
  <c r="D218" i="6"/>
  <c r="J218" i="5"/>
  <c r="D219" i="6"/>
  <c r="J219" i="6"/>
  <c r="R74" i="6"/>
  <c r="D164" i="7"/>
  <c r="J219" i="5"/>
  <c r="D220" i="6"/>
  <c r="J220" i="5"/>
  <c r="D221" i="6"/>
  <c r="J221" i="5"/>
  <c r="D222" i="6"/>
  <c r="J222" i="6"/>
  <c r="R75" i="6"/>
  <c r="D165" i="7"/>
  <c r="J222" i="5"/>
  <c r="D223" i="6"/>
  <c r="J223" i="5"/>
  <c r="D224" i="6"/>
  <c r="J224" i="5"/>
  <c r="D225" i="6"/>
  <c r="J225" i="6"/>
  <c r="R76" i="6"/>
  <c r="D166" i="7"/>
  <c r="J225" i="5"/>
  <c r="D226" i="6"/>
  <c r="J226" i="5"/>
  <c r="D227" i="6"/>
  <c r="J227" i="5"/>
  <c r="D228" i="6"/>
  <c r="J228" i="6"/>
  <c r="R77" i="6"/>
  <c r="D167" i="7"/>
  <c r="J228" i="5"/>
  <c r="D229" i="6"/>
  <c r="J229" i="5"/>
  <c r="D230" i="6"/>
  <c r="J230" i="5"/>
  <c r="D231" i="6"/>
  <c r="J231" i="6"/>
  <c r="R78" i="6"/>
  <c r="D168" i="7"/>
  <c r="J231" i="5"/>
  <c r="D232" i="6"/>
  <c r="J232" i="5"/>
  <c r="D233" i="6"/>
  <c r="J233" i="5"/>
  <c r="D234" i="6"/>
  <c r="J234" i="6"/>
  <c r="R79" i="6"/>
  <c r="D169" i="7"/>
  <c r="J234" i="5"/>
  <c r="D235" i="6"/>
  <c r="J235" i="5"/>
  <c r="D236" i="6"/>
  <c r="J236" i="5"/>
  <c r="D237" i="6"/>
  <c r="J237" i="6"/>
  <c r="R80" i="6"/>
  <c r="D170" i="7"/>
  <c r="J237" i="5"/>
  <c r="D238" i="6"/>
  <c r="J238" i="5"/>
  <c r="D239" i="6"/>
  <c r="J239" i="5"/>
  <c r="D240" i="6"/>
  <c r="J240" i="6"/>
  <c r="R81" i="6"/>
  <c r="D171" i="7"/>
  <c r="J240" i="5"/>
  <c r="D241" i="6"/>
  <c r="J241" i="5"/>
  <c r="D242" i="6"/>
  <c r="J242" i="5"/>
  <c r="D243" i="6"/>
  <c r="J243" i="6"/>
  <c r="R82" i="6"/>
  <c r="D172" i="7"/>
  <c r="J243" i="5"/>
  <c r="D244" i="6"/>
  <c r="J244" i="5"/>
  <c r="D245" i="6"/>
  <c r="J245" i="5"/>
  <c r="D246" i="6"/>
  <c r="J246" i="6"/>
  <c r="R83" i="6"/>
  <c r="D173" i="7"/>
  <c r="J246" i="5"/>
  <c r="D247" i="6"/>
  <c r="J247" i="5"/>
  <c r="D248" i="6"/>
  <c r="J248" i="5"/>
  <c r="D249" i="6"/>
  <c r="J249" i="6"/>
  <c r="R84" i="6"/>
  <c r="D174" i="7"/>
  <c r="J249" i="5"/>
  <c r="D250" i="6"/>
  <c r="J250" i="5"/>
  <c r="D251" i="6"/>
  <c r="J251" i="5"/>
  <c r="D252" i="6"/>
  <c r="J252" i="6"/>
  <c r="R85" i="6"/>
  <c r="D175" i="7"/>
  <c r="J252" i="5"/>
  <c r="D253" i="6"/>
  <c r="J253" i="5"/>
  <c r="D254" i="6"/>
  <c r="J254" i="5"/>
  <c r="D255" i="6"/>
  <c r="J255" i="6"/>
  <c r="R86" i="6"/>
  <c r="D176" i="7"/>
  <c r="J255" i="5"/>
  <c r="D256" i="6"/>
  <c r="J256" i="5"/>
  <c r="D257" i="6"/>
  <c r="J257" i="5"/>
  <c r="D258" i="6"/>
  <c r="J258" i="6"/>
  <c r="R87" i="6"/>
  <c r="D177" i="7"/>
  <c r="J258" i="5"/>
  <c r="D259" i="6"/>
  <c r="J259" i="5"/>
  <c r="D260" i="6"/>
  <c r="J260" i="5"/>
  <c r="D261" i="6"/>
  <c r="J261" i="6"/>
  <c r="R88" i="6"/>
  <c r="D178" i="7"/>
  <c r="J261" i="5"/>
  <c r="D262" i="6"/>
  <c r="J262" i="5"/>
  <c r="D263" i="6"/>
  <c r="J263" i="5"/>
  <c r="D264" i="6"/>
  <c r="J264" i="6"/>
  <c r="R89" i="6"/>
  <c r="D179" i="7"/>
  <c r="J264" i="5"/>
  <c r="D265" i="6"/>
  <c r="J265" i="5"/>
  <c r="D266" i="6"/>
  <c r="J266" i="5"/>
  <c r="D267" i="6"/>
  <c r="J267" i="6"/>
  <c r="R90" i="6"/>
  <c r="D180" i="7"/>
  <c r="J267" i="5"/>
  <c r="D268" i="6"/>
  <c r="J268" i="5"/>
  <c r="D269" i="6"/>
  <c r="J269" i="5"/>
  <c r="D270" i="6"/>
  <c r="J270" i="6"/>
  <c r="R91" i="6"/>
  <c r="D181" i="7"/>
  <c r="J270" i="5"/>
  <c r="D271" i="6"/>
  <c r="J271" i="5"/>
  <c r="D272" i="6"/>
  <c r="J272" i="5"/>
  <c r="D273" i="6"/>
  <c r="J273" i="6"/>
  <c r="R92" i="6"/>
  <c r="D182" i="7"/>
  <c r="J273" i="5"/>
  <c r="D274" i="6"/>
  <c r="J274" i="5"/>
  <c r="D275" i="6"/>
  <c r="J275" i="5"/>
  <c r="D276" i="6"/>
  <c r="J276" i="6"/>
  <c r="R93" i="6"/>
  <c r="D183" i="7"/>
  <c r="J276" i="5"/>
  <c r="D277" i="6"/>
  <c r="J277" i="5"/>
  <c r="D278" i="6"/>
  <c r="J278" i="5"/>
  <c r="D279" i="6"/>
  <c r="J279" i="6"/>
  <c r="R94" i="6"/>
  <c r="D184" i="7"/>
  <c r="J279" i="5"/>
  <c r="D280" i="6"/>
  <c r="J280" i="5"/>
  <c r="D281" i="6"/>
  <c r="J281" i="5"/>
  <c r="D282" i="6"/>
  <c r="J282" i="6"/>
  <c r="R95" i="6"/>
  <c r="D185" i="7"/>
  <c r="J282" i="5"/>
  <c r="D283" i="6"/>
  <c r="J283" i="5"/>
  <c r="D284" i="6"/>
  <c r="J284" i="5"/>
  <c r="D285" i="6"/>
  <c r="J285" i="6"/>
  <c r="R96" i="6"/>
  <c r="D186" i="7"/>
  <c r="J285" i="5"/>
  <c r="D286" i="6"/>
  <c r="J286" i="5"/>
  <c r="D287" i="6"/>
  <c r="J287" i="5"/>
  <c r="D288" i="6"/>
  <c r="J288" i="6"/>
  <c r="R97" i="6"/>
  <c r="D187" i="7"/>
  <c r="H132" i="5"/>
  <c r="B133" i="6"/>
  <c r="H133" i="5"/>
  <c r="B134" i="6"/>
  <c r="H134" i="5"/>
  <c r="B135" i="6"/>
  <c r="H135" i="6"/>
  <c r="P46" i="6"/>
  <c r="B136" i="7"/>
  <c r="D132" i="5"/>
  <c r="C133" i="6"/>
  <c r="D133" i="5"/>
  <c r="C134" i="6"/>
  <c r="D134" i="5"/>
  <c r="C135" i="6"/>
  <c r="I135" i="6"/>
  <c r="Q46" i="6"/>
  <c r="C136" i="7"/>
  <c r="H135" i="5"/>
  <c r="B136" i="6"/>
  <c r="H136" i="5"/>
  <c r="B137" i="6"/>
  <c r="H137" i="5"/>
  <c r="B138" i="6"/>
  <c r="H138" i="6"/>
  <c r="P47" i="6"/>
  <c r="B137" i="7"/>
  <c r="D135" i="5"/>
  <c r="C136" i="6"/>
  <c r="D136" i="5"/>
  <c r="C137" i="6"/>
  <c r="D137" i="5"/>
  <c r="C138" i="6"/>
  <c r="I138" i="6"/>
  <c r="Q47" i="6"/>
  <c r="C137" i="7"/>
  <c r="H138" i="5"/>
  <c r="B139" i="6"/>
  <c r="H139" i="5"/>
  <c r="B140" i="6"/>
  <c r="H140" i="5"/>
  <c r="B141" i="6"/>
  <c r="H141" i="6"/>
  <c r="P48" i="6"/>
  <c r="B138" i="7"/>
  <c r="D138" i="5"/>
  <c r="C139" i="6"/>
  <c r="D139" i="5"/>
  <c r="C140" i="6"/>
  <c r="D140" i="5"/>
  <c r="C141" i="6"/>
  <c r="I141" i="6"/>
  <c r="Q48" i="6"/>
  <c r="C138" i="7"/>
  <c r="H141" i="5"/>
  <c r="B142" i="6"/>
  <c r="H142" i="5"/>
  <c r="B143" i="6"/>
  <c r="H143" i="5"/>
  <c r="B144" i="6"/>
  <c r="H144" i="6"/>
  <c r="P49" i="6"/>
  <c r="B139" i="7"/>
  <c r="D141" i="5"/>
  <c r="C142" i="6"/>
  <c r="D142" i="5"/>
  <c r="C143" i="6"/>
  <c r="D143" i="5"/>
  <c r="C144" i="6"/>
  <c r="I144" i="6"/>
  <c r="Q49" i="6"/>
  <c r="C139" i="7"/>
  <c r="H144" i="5"/>
  <c r="B145" i="6"/>
  <c r="H145" i="5"/>
  <c r="B146" i="6"/>
  <c r="H146" i="5"/>
  <c r="B147" i="6"/>
  <c r="H147" i="6"/>
  <c r="P50" i="6"/>
  <c r="B140" i="7"/>
  <c r="D144" i="5"/>
  <c r="C145" i="6"/>
  <c r="D145" i="5"/>
  <c r="C146" i="6"/>
  <c r="D146" i="5"/>
  <c r="C147" i="6"/>
  <c r="I147" i="6"/>
  <c r="Q50" i="6"/>
  <c r="C140" i="7"/>
  <c r="H147" i="5"/>
  <c r="B148" i="6"/>
  <c r="H148" i="5"/>
  <c r="B149" i="6"/>
  <c r="H149" i="5"/>
  <c r="B150" i="6"/>
  <c r="H150" i="6"/>
  <c r="P51" i="6"/>
  <c r="B141" i="7"/>
  <c r="D147" i="5"/>
  <c r="C148" i="6"/>
  <c r="D148" i="5"/>
  <c r="C149" i="6"/>
  <c r="D149" i="5"/>
  <c r="C150" i="6"/>
  <c r="I150" i="6"/>
  <c r="Q51" i="6"/>
  <c r="C141" i="7"/>
  <c r="H150" i="5"/>
  <c r="B151" i="6"/>
  <c r="H151" i="5"/>
  <c r="B152" i="6"/>
  <c r="H152" i="5"/>
  <c r="B153" i="6"/>
  <c r="H153" i="6"/>
  <c r="P52" i="6"/>
  <c r="B142" i="7"/>
  <c r="D150" i="5"/>
  <c r="C151" i="6"/>
  <c r="D151" i="5"/>
  <c r="C152" i="6"/>
  <c r="D152" i="5"/>
  <c r="C153" i="6"/>
  <c r="I153" i="6"/>
  <c r="Q52" i="6"/>
  <c r="C142" i="7"/>
  <c r="H153" i="5"/>
  <c r="B154" i="6"/>
  <c r="H154" i="5"/>
  <c r="B155" i="6"/>
  <c r="H155" i="5"/>
  <c r="B156" i="6"/>
  <c r="H156" i="6"/>
  <c r="P53" i="6"/>
  <c r="B143" i="7"/>
  <c r="D153" i="5"/>
  <c r="C154" i="6"/>
  <c r="D154" i="5"/>
  <c r="C155" i="6"/>
  <c r="D155" i="5"/>
  <c r="C156" i="6"/>
  <c r="I156" i="6"/>
  <c r="Q53" i="6"/>
  <c r="C143" i="7"/>
  <c r="H156" i="5"/>
  <c r="B157" i="6"/>
  <c r="H157" i="5"/>
  <c r="B158" i="6"/>
  <c r="H158" i="5"/>
  <c r="B159" i="6"/>
  <c r="H159" i="6"/>
  <c r="P54" i="6"/>
  <c r="B144" i="7"/>
  <c r="D156" i="5"/>
  <c r="C157" i="6"/>
  <c r="D157" i="5"/>
  <c r="C158" i="6"/>
  <c r="D158" i="5"/>
  <c r="C159" i="6"/>
  <c r="I159" i="6"/>
  <c r="Q54" i="6"/>
  <c r="C144" i="7"/>
  <c r="H159" i="5"/>
  <c r="B160" i="6"/>
  <c r="H160" i="5"/>
  <c r="B161" i="6"/>
  <c r="H161" i="5"/>
  <c r="B162" i="6"/>
  <c r="H162" i="6"/>
  <c r="P55" i="6"/>
  <c r="B145" i="7"/>
  <c r="D159" i="5"/>
  <c r="C160" i="6"/>
  <c r="D160" i="5"/>
  <c r="C161" i="6"/>
  <c r="D161" i="5"/>
  <c r="C162" i="6"/>
  <c r="I162" i="6"/>
  <c r="Q55" i="6"/>
  <c r="C145" i="7"/>
  <c r="H162" i="5"/>
  <c r="B163" i="6"/>
  <c r="H163" i="5"/>
  <c r="B164" i="6"/>
  <c r="H164" i="5"/>
  <c r="B165" i="6"/>
  <c r="H165" i="6"/>
  <c r="P56" i="6"/>
  <c r="B146" i="7"/>
  <c r="D162" i="5"/>
  <c r="C163" i="6"/>
  <c r="D163" i="5"/>
  <c r="C164" i="6"/>
  <c r="D164" i="5"/>
  <c r="C165" i="6"/>
  <c r="I165" i="6"/>
  <c r="Q56" i="6"/>
  <c r="C146" i="7"/>
  <c r="H165" i="5"/>
  <c r="B166" i="6"/>
  <c r="H166" i="5"/>
  <c r="B167" i="6"/>
  <c r="H167" i="5"/>
  <c r="B168" i="6"/>
  <c r="H168" i="6"/>
  <c r="P57" i="6"/>
  <c r="B147" i="7"/>
  <c r="D165" i="5"/>
  <c r="C166" i="6"/>
  <c r="D166" i="5"/>
  <c r="C167" i="6"/>
  <c r="D167" i="5"/>
  <c r="C168" i="6"/>
  <c r="I168" i="6"/>
  <c r="Q57" i="6"/>
  <c r="C147" i="7"/>
  <c r="H168" i="5"/>
  <c r="B169" i="6"/>
  <c r="H169" i="5"/>
  <c r="B170" i="6"/>
  <c r="H170" i="5"/>
  <c r="B171" i="6"/>
  <c r="H171" i="6"/>
  <c r="P58" i="6"/>
  <c r="B148" i="7"/>
  <c r="D168" i="5"/>
  <c r="C169" i="6"/>
  <c r="D169" i="5"/>
  <c r="C170" i="6"/>
  <c r="D170" i="5"/>
  <c r="C171" i="6"/>
  <c r="I171" i="6"/>
  <c r="Q58" i="6"/>
  <c r="C148" i="7"/>
  <c r="H171" i="5"/>
  <c r="B172" i="6"/>
  <c r="H172" i="5"/>
  <c r="B173" i="6"/>
  <c r="H173" i="5"/>
  <c r="B174" i="6"/>
  <c r="H174" i="6"/>
  <c r="P59" i="6"/>
  <c r="B149" i="7"/>
  <c r="D171" i="5"/>
  <c r="C172" i="6"/>
  <c r="D172" i="5"/>
  <c r="C173" i="6"/>
  <c r="D173" i="5"/>
  <c r="C174" i="6"/>
  <c r="I174" i="6"/>
  <c r="Q59" i="6"/>
  <c r="C149" i="7"/>
  <c r="H174" i="5"/>
  <c r="B175" i="6"/>
  <c r="H175" i="5"/>
  <c r="B176" i="6"/>
  <c r="H176" i="5"/>
  <c r="B177" i="6"/>
  <c r="H177" i="6"/>
  <c r="P60" i="6"/>
  <c r="B150" i="7"/>
  <c r="D174" i="5"/>
  <c r="C175" i="6"/>
  <c r="D175" i="5"/>
  <c r="C176" i="6"/>
  <c r="D176" i="5"/>
  <c r="C177" i="6"/>
  <c r="I177" i="6"/>
  <c r="Q60" i="6"/>
  <c r="C150" i="7"/>
  <c r="H177" i="5"/>
  <c r="B178" i="6"/>
  <c r="H178" i="5"/>
  <c r="B179" i="6"/>
  <c r="H179" i="5"/>
  <c r="B180" i="6"/>
  <c r="H180" i="6"/>
  <c r="P61" i="6"/>
  <c r="B151" i="7"/>
  <c r="D177" i="5"/>
  <c r="C178" i="6"/>
  <c r="D178" i="5"/>
  <c r="C179" i="6"/>
  <c r="D179" i="5"/>
  <c r="C180" i="6"/>
  <c r="I180" i="6"/>
  <c r="Q61" i="6"/>
  <c r="C151" i="7"/>
  <c r="H180" i="5"/>
  <c r="B181" i="6"/>
  <c r="H181" i="5"/>
  <c r="B182" i="6"/>
  <c r="H182" i="5"/>
  <c r="B183" i="6"/>
  <c r="H183" i="6"/>
  <c r="P62" i="6"/>
  <c r="B152" i="7"/>
  <c r="D180" i="5"/>
  <c r="C181" i="6"/>
  <c r="D181" i="5"/>
  <c r="C182" i="6"/>
  <c r="D182" i="5"/>
  <c r="C183" i="6"/>
  <c r="I183" i="6"/>
  <c r="Q62" i="6"/>
  <c r="C152" i="7"/>
  <c r="H183" i="5"/>
  <c r="B184" i="6"/>
  <c r="H184" i="5"/>
  <c r="B185" i="6"/>
  <c r="H185" i="5"/>
  <c r="B186" i="6"/>
  <c r="H186" i="6"/>
  <c r="P63" i="6"/>
  <c r="B153" i="7"/>
  <c r="D183" i="5"/>
  <c r="C184" i="6"/>
  <c r="D184" i="5"/>
  <c r="C185" i="6"/>
  <c r="D185" i="5"/>
  <c r="C186" i="6"/>
  <c r="I186" i="6"/>
  <c r="Q63" i="6"/>
  <c r="C153" i="7"/>
  <c r="H186" i="5"/>
  <c r="B187" i="6"/>
  <c r="H187" i="5"/>
  <c r="B188" i="6"/>
  <c r="H188" i="5"/>
  <c r="B189" i="6"/>
  <c r="H189" i="6"/>
  <c r="P64" i="6"/>
  <c r="B154" i="7"/>
  <c r="D186" i="5"/>
  <c r="C187" i="6"/>
  <c r="D187" i="5"/>
  <c r="C188" i="6"/>
  <c r="D188" i="5"/>
  <c r="C189" i="6"/>
  <c r="I189" i="6"/>
  <c r="Q64" i="6"/>
  <c r="C154" i="7"/>
  <c r="H189" i="5"/>
  <c r="B190" i="6"/>
  <c r="H190" i="5"/>
  <c r="B191" i="6"/>
  <c r="H191" i="5"/>
  <c r="B192" i="6"/>
  <c r="H192" i="6"/>
  <c r="P65" i="6"/>
  <c r="B155" i="7"/>
  <c r="D189" i="5"/>
  <c r="C190" i="6"/>
  <c r="D190" i="5"/>
  <c r="C191" i="6"/>
  <c r="D191" i="5"/>
  <c r="C192" i="6"/>
  <c r="I192" i="6"/>
  <c r="Q65" i="6"/>
  <c r="C155" i="7"/>
  <c r="H192" i="5"/>
  <c r="B193" i="6"/>
  <c r="H193" i="5"/>
  <c r="B194" i="6"/>
  <c r="H194" i="5"/>
  <c r="B195" i="6"/>
  <c r="H195" i="6"/>
  <c r="P66" i="6"/>
  <c r="B156" i="7"/>
  <c r="D192" i="5"/>
  <c r="C193" i="6"/>
  <c r="D193" i="5"/>
  <c r="C194" i="6"/>
  <c r="D194" i="5"/>
  <c r="C195" i="6"/>
  <c r="I195" i="6"/>
  <c r="Q66" i="6"/>
  <c r="C156" i="7"/>
  <c r="H195" i="5"/>
  <c r="B196" i="6"/>
  <c r="H196" i="5"/>
  <c r="B197" i="6"/>
  <c r="H197" i="5"/>
  <c r="B198" i="6"/>
  <c r="H198" i="6"/>
  <c r="P67" i="6"/>
  <c r="B157" i="7"/>
  <c r="D195" i="5"/>
  <c r="C196" i="6"/>
  <c r="D196" i="5"/>
  <c r="C197" i="6"/>
  <c r="D197" i="5"/>
  <c r="C198" i="6"/>
  <c r="I198" i="6"/>
  <c r="Q67" i="6"/>
  <c r="C157" i="7"/>
  <c r="H198" i="5"/>
  <c r="B199" i="6"/>
  <c r="H199" i="5"/>
  <c r="B200" i="6"/>
  <c r="H200" i="5"/>
  <c r="B201" i="6"/>
  <c r="H201" i="6"/>
  <c r="P68" i="6"/>
  <c r="B158" i="7"/>
  <c r="D198" i="5"/>
  <c r="C199" i="6"/>
  <c r="D199" i="5"/>
  <c r="C200" i="6"/>
  <c r="D200" i="5"/>
  <c r="C201" i="6"/>
  <c r="I201" i="6"/>
  <c r="Q68" i="6"/>
  <c r="C158" i="7"/>
  <c r="H201" i="5"/>
  <c r="B202" i="6"/>
  <c r="H202" i="5"/>
  <c r="B203" i="6"/>
  <c r="H203" i="5"/>
  <c r="B204" i="6"/>
  <c r="H204" i="6"/>
  <c r="P69" i="6"/>
  <c r="B159" i="7"/>
  <c r="D201" i="5"/>
  <c r="C202" i="6"/>
  <c r="D202" i="5"/>
  <c r="C203" i="6"/>
  <c r="D203" i="5"/>
  <c r="C204" i="6"/>
  <c r="I204" i="6"/>
  <c r="Q69" i="6"/>
  <c r="C159" i="7"/>
  <c r="H204" i="5"/>
  <c r="B205" i="6"/>
  <c r="H205" i="5"/>
  <c r="B206" i="6"/>
  <c r="H206" i="5"/>
  <c r="B207" i="6"/>
  <c r="H207" i="6"/>
  <c r="P70" i="6"/>
  <c r="B160" i="7"/>
  <c r="D204" i="5"/>
  <c r="C205" i="6"/>
  <c r="D205" i="5"/>
  <c r="C206" i="6"/>
  <c r="D206" i="5"/>
  <c r="C207" i="6"/>
  <c r="I207" i="6"/>
  <c r="Q70" i="6"/>
  <c r="C160" i="7"/>
  <c r="H207" i="5"/>
  <c r="B208" i="6"/>
  <c r="H208" i="5"/>
  <c r="B209" i="6"/>
  <c r="H209" i="5"/>
  <c r="B210" i="6"/>
  <c r="H210" i="6"/>
  <c r="P71" i="6"/>
  <c r="B161" i="7"/>
  <c r="D207" i="5"/>
  <c r="C208" i="6"/>
  <c r="D208" i="5"/>
  <c r="C209" i="6"/>
  <c r="D209" i="5"/>
  <c r="C210" i="6"/>
  <c r="I210" i="6"/>
  <c r="Q71" i="6"/>
  <c r="C161" i="7"/>
  <c r="H210" i="5"/>
  <c r="B211" i="6"/>
  <c r="H211" i="5"/>
  <c r="B212" i="6"/>
  <c r="H212" i="5"/>
  <c r="B213" i="6"/>
  <c r="H213" i="6"/>
  <c r="P72" i="6"/>
  <c r="B162" i="7"/>
  <c r="D210" i="5"/>
  <c r="C211" i="6"/>
  <c r="D211" i="5"/>
  <c r="C212" i="6"/>
  <c r="D212" i="5"/>
  <c r="C213" i="6"/>
  <c r="I213" i="6"/>
  <c r="Q72" i="6"/>
  <c r="C162" i="7"/>
  <c r="H213" i="5"/>
  <c r="B214" i="6"/>
  <c r="H214" i="5"/>
  <c r="B215" i="6"/>
  <c r="H215" i="5"/>
  <c r="B216" i="6"/>
  <c r="H216" i="6"/>
  <c r="P73" i="6"/>
  <c r="B163" i="7"/>
  <c r="D213" i="5"/>
  <c r="C214" i="6"/>
  <c r="D214" i="5"/>
  <c r="C215" i="6"/>
  <c r="D215" i="5"/>
  <c r="C216" i="6"/>
  <c r="I216" i="6"/>
  <c r="Q73" i="6"/>
  <c r="C163" i="7"/>
  <c r="H216" i="5"/>
  <c r="B217" i="6"/>
  <c r="H217" i="5"/>
  <c r="B218" i="6"/>
  <c r="H218" i="5"/>
  <c r="B219" i="6"/>
  <c r="H219" i="6"/>
  <c r="P74" i="6"/>
  <c r="B164" i="7"/>
  <c r="D216" i="5"/>
  <c r="C217" i="6"/>
  <c r="D217" i="5"/>
  <c r="C218" i="6"/>
  <c r="D218" i="5"/>
  <c r="C219" i="6"/>
  <c r="I219" i="6"/>
  <c r="Q74" i="6"/>
  <c r="C164" i="7"/>
  <c r="H219" i="5"/>
  <c r="B220" i="6"/>
  <c r="H220" i="5"/>
  <c r="B221" i="6"/>
  <c r="H221" i="5"/>
  <c r="B222" i="6"/>
  <c r="H222" i="6"/>
  <c r="P75" i="6"/>
  <c r="B165" i="7"/>
  <c r="D219" i="5"/>
  <c r="C220" i="6"/>
  <c r="D220" i="5"/>
  <c r="C221" i="6"/>
  <c r="D221" i="5"/>
  <c r="C222" i="6"/>
  <c r="I222" i="6"/>
  <c r="Q75" i="6"/>
  <c r="C165" i="7"/>
  <c r="H222" i="5"/>
  <c r="B223" i="6"/>
  <c r="H223" i="5"/>
  <c r="B224" i="6"/>
  <c r="H224" i="5"/>
  <c r="B225" i="6"/>
  <c r="H225" i="6"/>
  <c r="P76" i="6"/>
  <c r="B166" i="7"/>
  <c r="D222" i="5"/>
  <c r="C223" i="6"/>
  <c r="D223" i="5"/>
  <c r="C224" i="6"/>
  <c r="D224" i="5"/>
  <c r="C225" i="6"/>
  <c r="I225" i="6"/>
  <c r="Q76" i="6"/>
  <c r="C166" i="7"/>
  <c r="H225" i="5"/>
  <c r="B226" i="6"/>
  <c r="H226" i="5"/>
  <c r="B227" i="6"/>
  <c r="H227" i="5"/>
  <c r="B228" i="6"/>
  <c r="H228" i="6"/>
  <c r="P77" i="6"/>
  <c r="B167" i="7"/>
  <c r="D225" i="5"/>
  <c r="C226" i="6"/>
  <c r="D226" i="5"/>
  <c r="C227" i="6"/>
  <c r="D227" i="5"/>
  <c r="C228" i="6"/>
  <c r="I228" i="6"/>
  <c r="Q77" i="6"/>
  <c r="C167" i="7"/>
  <c r="H228" i="5"/>
  <c r="B229" i="6"/>
  <c r="H229" i="5"/>
  <c r="B230" i="6"/>
  <c r="H230" i="5"/>
  <c r="B231" i="6"/>
  <c r="H231" i="6"/>
  <c r="P78" i="6"/>
  <c r="B168" i="7"/>
  <c r="D228" i="5"/>
  <c r="C229" i="6"/>
  <c r="D229" i="5"/>
  <c r="C230" i="6"/>
  <c r="D230" i="5"/>
  <c r="C231" i="6"/>
  <c r="I231" i="6"/>
  <c r="Q78" i="6"/>
  <c r="C168" i="7"/>
  <c r="H231" i="5"/>
  <c r="B232" i="6"/>
  <c r="H232" i="5"/>
  <c r="B233" i="6"/>
  <c r="H233" i="5"/>
  <c r="B234" i="6"/>
  <c r="H234" i="6"/>
  <c r="P79" i="6"/>
  <c r="B169" i="7"/>
  <c r="D231" i="5"/>
  <c r="C232" i="6"/>
  <c r="D232" i="5"/>
  <c r="C233" i="6"/>
  <c r="D233" i="5"/>
  <c r="C234" i="6"/>
  <c r="I234" i="6"/>
  <c r="Q79" i="6"/>
  <c r="C169" i="7"/>
  <c r="H234" i="5"/>
  <c r="B235" i="6"/>
  <c r="H235" i="5"/>
  <c r="B236" i="6"/>
  <c r="H236" i="5"/>
  <c r="B237" i="6"/>
  <c r="H237" i="6"/>
  <c r="P80" i="6"/>
  <c r="B170" i="7"/>
  <c r="D234" i="5"/>
  <c r="C235" i="6"/>
  <c r="D235" i="5"/>
  <c r="C236" i="6"/>
  <c r="D236" i="5"/>
  <c r="C237" i="6"/>
  <c r="I237" i="6"/>
  <c r="Q80" i="6"/>
  <c r="C170" i="7"/>
  <c r="H237" i="5"/>
  <c r="B238" i="6"/>
  <c r="H238" i="5"/>
  <c r="B239" i="6"/>
  <c r="H239" i="5"/>
  <c r="B240" i="6"/>
  <c r="H240" i="6"/>
  <c r="P81" i="6"/>
  <c r="B171" i="7"/>
  <c r="D237" i="5"/>
  <c r="C238" i="6"/>
  <c r="D238" i="5"/>
  <c r="C239" i="6"/>
  <c r="D239" i="5"/>
  <c r="C240" i="6"/>
  <c r="I240" i="6"/>
  <c r="Q81" i="6"/>
  <c r="C171" i="7"/>
  <c r="H240" i="5"/>
  <c r="B241" i="6"/>
  <c r="H241" i="5"/>
  <c r="B242" i="6"/>
  <c r="H242" i="5"/>
  <c r="B243" i="6"/>
  <c r="H243" i="6"/>
  <c r="P82" i="6"/>
  <c r="B172" i="7"/>
  <c r="D240" i="5"/>
  <c r="C241" i="6"/>
  <c r="D241" i="5"/>
  <c r="C242" i="6"/>
  <c r="D242" i="5"/>
  <c r="C243" i="6"/>
  <c r="I243" i="6"/>
  <c r="Q82" i="6"/>
  <c r="C172" i="7"/>
  <c r="H243" i="5"/>
  <c r="B244" i="6"/>
  <c r="H244" i="5"/>
  <c r="B245" i="6"/>
  <c r="H245" i="5"/>
  <c r="B246" i="6"/>
  <c r="H246" i="6"/>
  <c r="P83" i="6"/>
  <c r="B173" i="7"/>
  <c r="D243" i="5"/>
  <c r="C244" i="6"/>
  <c r="D244" i="5"/>
  <c r="C245" i="6"/>
  <c r="D245" i="5"/>
  <c r="C246" i="6"/>
  <c r="I246" i="6"/>
  <c r="Q83" i="6"/>
  <c r="C173" i="7"/>
  <c r="H246" i="5"/>
  <c r="B247" i="6"/>
  <c r="H247" i="5"/>
  <c r="B248" i="6"/>
  <c r="H248" i="5"/>
  <c r="B249" i="6"/>
  <c r="H249" i="6"/>
  <c r="P84" i="6"/>
  <c r="B174" i="7"/>
  <c r="D246" i="5"/>
  <c r="C247" i="6"/>
  <c r="D247" i="5"/>
  <c r="C248" i="6"/>
  <c r="D248" i="5"/>
  <c r="C249" i="6"/>
  <c r="I249" i="6"/>
  <c r="Q84" i="6"/>
  <c r="C174" i="7"/>
  <c r="H249" i="5"/>
  <c r="B250" i="6"/>
  <c r="H250" i="5"/>
  <c r="B251" i="6"/>
  <c r="H251" i="5"/>
  <c r="B252" i="6"/>
  <c r="H252" i="6"/>
  <c r="P85" i="6"/>
  <c r="B175" i="7"/>
  <c r="D249" i="5"/>
  <c r="C250" i="6"/>
  <c r="D250" i="5"/>
  <c r="C251" i="6"/>
  <c r="D251" i="5"/>
  <c r="C252" i="6"/>
  <c r="I252" i="6"/>
  <c r="Q85" i="6"/>
  <c r="C175" i="7"/>
  <c r="H252" i="5"/>
  <c r="B253" i="6"/>
  <c r="H253" i="5"/>
  <c r="B254" i="6"/>
  <c r="H254" i="5"/>
  <c r="B255" i="6"/>
  <c r="H255" i="6"/>
  <c r="P86" i="6"/>
  <c r="B176" i="7"/>
  <c r="D252" i="5"/>
  <c r="C253" i="6"/>
  <c r="D253" i="5"/>
  <c r="C254" i="6"/>
  <c r="D254" i="5"/>
  <c r="C255" i="6"/>
  <c r="I255" i="6"/>
  <c r="Q86" i="6"/>
  <c r="C176" i="7"/>
  <c r="H255" i="5"/>
  <c r="B256" i="6"/>
  <c r="H256" i="5"/>
  <c r="B257" i="6"/>
  <c r="H257" i="5"/>
  <c r="B258" i="6"/>
  <c r="H258" i="6"/>
  <c r="P87" i="6"/>
  <c r="B177" i="7"/>
  <c r="D255" i="5"/>
  <c r="C256" i="6"/>
  <c r="D256" i="5"/>
  <c r="C257" i="6"/>
  <c r="D257" i="5"/>
  <c r="C258" i="6"/>
  <c r="I258" i="6"/>
  <c r="Q87" i="6"/>
  <c r="C177" i="7"/>
  <c r="H258" i="5"/>
  <c r="B259" i="6"/>
  <c r="H259" i="5"/>
  <c r="B260" i="6"/>
  <c r="H260" i="5"/>
  <c r="B261" i="6"/>
  <c r="H261" i="6"/>
  <c r="P88" i="6"/>
  <c r="B178" i="7"/>
  <c r="D258" i="5"/>
  <c r="C259" i="6"/>
  <c r="D259" i="5"/>
  <c r="C260" i="6"/>
  <c r="D260" i="5"/>
  <c r="C261" i="6"/>
  <c r="I261" i="6"/>
  <c r="Q88" i="6"/>
  <c r="C178" i="7"/>
  <c r="H261" i="5"/>
  <c r="B262" i="6"/>
  <c r="H262" i="5"/>
  <c r="B263" i="6"/>
  <c r="H263" i="5"/>
  <c r="B264" i="6"/>
  <c r="H264" i="6"/>
  <c r="P89" i="6"/>
  <c r="B179" i="7"/>
  <c r="D261" i="5"/>
  <c r="C262" i="6"/>
  <c r="D262" i="5"/>
  <c r="C263" i="6"/>
  <c r="D263" i="5"/>
  <c r="C264" i="6"/>
  <c r="I264" i="6"/>
  <c r="Q89" i="6"/>
  <c r="C179" i="7"/>
  <c r="H264" i="5"/>
  <c r="B265" i="6"/>
  <c r="H265" i="5"/>
  <c r="B266" i="6"/>
  <c r="H266" i="5"/>
  <c r="B267" i="6"/>
  <c r="H267" i="6"/>
  <c r="P90" i="6"/>
  <c r="B180" i="7"/>
  <c r="D264" i="5"/>
  <c r="C265" i="6"/>
  <c r="D265" i="5"/>
  <c r="C266" i="6"/>
  <c r="D266" i="5"/>
  <c r="C267" i="6"/>
  <c r="I267" i="6"/>
  <c r="Q90" i="6"/>
  <c r="C180" i="7"/>
  <c r="H267" i="5"/>
  <c r="B268" i="6"/>
  <c r="H268" i="5"/>
  <c r="B269" i="6"/>
  <c r="H269" i="5"/>
  <c r="B270" i="6"/>
  <c r="H270" i="6"/>
  <c r="P91" i="6"/>
  <c r="B181" i="7"/>
  <c r="D267" i="5"/>
  <c r="C268" i="6"/>
  <c r="D268" i="5"/>
  <c r="C269" i="6"/>
  <c r="D269" i="5"/>
  <c r="C270" i="6"/>
  <c r="I270" i="6"/>
  <c r="Q91" i="6"/>
  <c r="C181" i="7"/>
  <c r="H270" i="5"/>
  <c r="B271" i="6"/>
  <c r="H271" i="5"/>
  <c r="B272" i="6"/>
  <c r="H272" i="5"/>
  <c r="B273" i="6"/>
  <c r="H273" i="6"/>
  <c r="P92" i="6"/>
  <c r="B182" i="7"/>
  <c r="D270" i="5"/>
  <c r="C271" i="6"/>
  <c r="D271" i="5"/>
  <c r="C272" i="6"/>
  <c r="D272" i="5"/>
  <c r="C273" i="6"/>
  <c r="I273" i="6"/>
  <c r="Q92" i="6"/>
  <c r="C182" i="7"/>
  <c r="H273" i="5"/>
  <c r="B274" i="6"/>
  <c r="H274" i="5"/>
  <c r="B275" i="6"/>
  <c r="H275" i="5"/>
  <c r="B276" i="6"/>
  <c r="H276" i="6"/>
  <c r="P93" i="6"/>
  <c r="B183" i="7"/>
  <c r="D273" i="5"/>
  <c r="C274" i="6"/>
  <c r="D274" i="5"/>
  <c r="C275" i="6"/>
  <c r="D275" i="5"/>
  <c r="C276" i="6"/>
  <c r="I276" i="6"/>
  <c r="Q93" i="6"/>
  <c r="C183" i="7"/>
  <c r="H276" i="5"/>
  <c r="B277" i="6"/>
  <c r="H277" i="5"/>
  <c r="B278" i="6"/>
  <c r="H278" i="5"/>
  <c r="B279" i="6"/>
  <c r="H279" i="6"/>
  <c r="P94" i="6"/>
  <c r="B184" i="7"/>
  <c r="D276" i="5"/>
  <c r="C277" i="6"/>
  <c r="D277" i="5"/>
  <c r="C278" i="6"/>
  <c r="D278" i="5"/>
  <c r="C279" i="6"/>
  <c r="I279" i="6"/>
  <c r="Q94" i="6"/>
  <c r="C184" i="7"/>
  <c r="H279" i="5"/>
  <c r="B280" i="6"/>
  <c r="H280" i="5"/>
  <c r="B281" i="6"/>
  <c r="H281" i="5"/>
  <c r="B282" i="6"/>
  <c r="H282" i="6"/>
  <c r="P95" i="6"/>
  <c r="B185" i="7"/>
  <c r="D279" i="5"/>
  <c r="C280" i="6"/>
  <c r="D280" i="5"/>
  <c r="C281" i="6"/>
  <c r="D281" i="5"/>
  <c r="C282" i="6"/>
  <c r="I282" i="6"/>
  <c r="Q95" i="6"/>
  <c r="C185" i="7"/>
  <c r="H282" i="5"/>
  <c r="B283" i="6"/>
  <c r="H283" i="5"/>
  <c r="B284" i="6"/>
  <c r="H284" i="5"/>
  <c r="B285" i="6"/>
  <c r="H285" i="6"/>
  <c r="P96" i="6"/>
  <c r="B186" i="7"/>
  <c r="D282" i="5"/>
  <c r="C283" i="6"/>
  <c r="D283" i="5"/>
  <c r="C284" i="6"/>
  <c r="D284" i="5"/>
  <c r="C285" i="6"/>
  <c r="I285" i="6"/>
  <c r="Q96" i="6"/>
  <c r="C186" i="7"/>
  <c r="D285" i="5"/>
  <c r="C286" i="6"/>
  <c r="D286" i="5"/>
  <c r="C287" i="6"/>
  <c r="D287" i="5"/>
  <c r="C288" i="6"/>
  <c r="I288" i="6"/>
  <c r="Q97" i="6"/>
  <c r="C187" i="7"/>
  <c r="H285" i="5"/>
  <c r="B286" i="6"/>
  <c r="H286" i="5"/>
  <c r="B287" i="6"/>
  <c r="H287" i="5"/>
  <c r="B288" i="6"/>
  <c r="H288" i="6"/>
  <c r="P97" i="6"/>
  <c r="B187" i="7"/>
  <c r="O5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J15" i="8"/>
  <c r="R5" i="8"/>
  <c r="D3" i="7"/>
  <c r="O6" i="8"/>
  <c r="J18" i="8"/>
  <c r="R6" i="8"/>
  <c r="D4" i="7"/>
  <c r="O7" i="8"/>
  <c r="J21" i="8"/>
  <c r="R7" i="8"/>
  <c r="D5" i="7"/>
  <c r="O8" i="8"/>
  <c r="J24" i="8"/>
  <c r="R8" i="8"/>
  <c r="D6" i="7"/>
  <c r="O9" i="8"/>
  <c r="J27" i="8"/>
  <c r="R9" i="8"/>
  <c r="D7" i="7"/>
  <c r="O10" i="8"/>
  <c r="J30" i="8"/>
  <c r="R10" i="8"/>
  <c r="D8" i="7"/>
  <c r="O11" i="8"/>
  <c r="J33" i="8"/>
  <c r="R11" i="8"/>
  <c r="D9" i="7"/>
  <c r="O12" i="8"/>
  <c r="J36" i="8"/>
  <c r="R12" i="8"/>
  <c r="D10" i="7"/>
  <c r="O13" i="8"/>
  <c r="J39" i="8"/>
  <c r="R13" i="8"/>
  <c r="D11" i="7"/>
  <c r="O14" i="8"/>
  <c r="J42" i="8"/>
  <c r="R14" i="8"/>
  <c r="D12" i="7"/>
  <c r="O15" i="8"/>
  <c r="J45" i="8"/>
  <c r="R15" i="8"/>
  <c r="D13" i="7"/>
  <c r="O16" i="8"/>
  <c r="J48" i="8"/>
  <c r="R16" i="8"/>
  <c r="D14" i="7"/>
  <c r="O17" i="8"/>
  <c r="J51" i="8"/>
  <c r="R17" i="8"/>
  <c r="D15" i="7"/>
  <c r="O18" i="8"/>
  <c r="J54" i="8"/>
  <c r="R18" i="8"/>
  <c r="D16" i="7"/>
  <c r="O19" i="8"/>
  <c r="J57" i="8"/>
  <c r="R19" i="8"/>
  <c r="D17" i="7"/>
  <c r="O20" i="8"/>
  <c r="J60" i="8"/>
  <c r="R20" i="8"/>
  <c r="D18" i="7"/>
  <c r="O21" i="8"/>
  <c r="J63" i="8"/>
  <c r="R21" i="8"/>
  <c r="D19" i="7"/>
  <c r="O22" i="8"/>
  <c r="J66" i="8"/>
  <c r="R22" i="8"/>
  <c r="D20" i="7"/>
  <c r="O23" i="8"/>
  <c r="J69" i="8"/>
  <c r="R23" i="8"/>
  <c r="D21" i="7"/>
  <c r="O24" i="8"/>
  <c r="J72" i="8"/>
  <c r="R24" i="8"/>
  <c r="D22" i="7"/>
  <c r="O25" i="8"/>
  <c r="J75" i="8"/>
  <c r="R25" i="8"/>
  <c r="D23" i="7"/>
  <c r="O26" i="8"/>
  <c r="J78" i="8"/>
  <c r="R26" i="8"/>
  <c r="D24" i="7"/>
  <c r="O27" i="8"/>
  <c r="J81" i="8"/>
  <c r="R27" i="8"/>
  <c r="D25" i="7"/>
  <c r="O28" i="8"/>
  <c r="J84" i="8"/>
  <c r="R28" i="8"/>
  <c r="D26" i="7"/>
  <c r="O29" i="8"/>
  <c r="J87" i="8"/>
  <c r="R29" i="8"/>
  <c r="D27" i="7"/>
  <c r="O30" i="8"/>
  <c r="J90" i="8"/>
  <c r="R30" i="8"/>
  <c r="D28" i="7"/>
  <c r="O31" i="8"/>
  <c r="J93" i="8"/>
  <c r="R31" i="8"/>
  <c r="D29" i="7"/>
  <c r="O32" i="8"/>
  <c r="J96" i="8"/>
  <c r="R32" i="8"/>
  <c r="D30" i="7"/>
  <c r="O33" i="8"/>
  <c r="J99" i="8"/>
  <c r="R33" i="8"/>
  <c r="D31" i="7"/>
  <c r="O34" i="8"/>
  <c r="J102" i="8"/>
  <c r="R34" i="8"/>
  <c r="D32" i="7"/>
  <c r="O35" i="8"/>
  <c r="J105" i="8"/>
  <c r="R35" i="8"/>
  <c r="D33" i="7"/>
  <c r="O36" i="8"/>
  <c r="J108" i="8"/>
  <c r="R36" i="8"/>
  <c r="D34" i="7"/>
  <c r="O37" i="8"/>
  <c r="J111" i="8"/>
  <c r="R37" i="8"/>
  <c r="D35" i="7"/>
  <c r="O38" i="8"/>
  <c r="J114" i="8"/>
  <c r="R38" i="8"/>
  <c r="D36" i="7"/>
  <c r="O39" i="8"/>
  <c r="J117" i="8"/>
  <c r="R39" i="8"/>
  <c r="D37" i="7"/>
  <c r="O40" i="8"/>
  <c r="J120" i="8"/>
  <c r="R40" i="8"/>
  <c r="D38" i="7"/>
  <c r="O41" i="8"/>
  <c r="J123" i="8"/>
  <c r="R41" i="8"/>
  <c r="D39" i="7"/>
  <c r="O42" i="8"/>
  <c r="J126" i="8"/>
  <c r="R42" i="8"/>
  <c r="D40" i="7"/>
  <c r="O43" i="8"/>
  <c r="J129" i="8"/>
  <c r="R43" i="8"/>
  <c r="D41" i="7"/>
  <c r="O44" i="8"/>
  <c r="J132" i="8"/>
  <c r="R44" i="8"/>
  <c r="D42" i="7"/>
  <c r="O45" i="8"/>
  <c r="J135" i="8"/>
  <c r="R45" i="8"/>
  <c r="D43" i="7"/>
  <c r="O46" i="8"/>
  <c r="J138" i="8"/>
  <c r="R46" i="8"/>
  <c r="D44" i="7"/>
  <c r="O47" i="8"/>
  <c r="J141" i="8"/>
  <c r="R47" i="8"/>
  <c r="D45" i="7"/>
  <c r="O48" i="8"/>
  <c r="J144" i="8"/>
  <c r="R48" i="8"/>
  <c r="D46" i="7"/>
  <c r="O49" i="8"/>
  <c r="J147" i="8"/>
  <c r="R49" i="8"/>
  <c r="D47" i="7"/>
  <c r="O50" i="8"/>
  <c r="J150" i="8"/>
  <c r="R50" i="8"/>
  <c r="D48" i="7"/>
  <c r="O51" i="8"/>
  <c r="J153" i="8"/>
  <c r="R51" i="8"/>
  <c r="D49" i="7"/>
  <c r="O52" i="8"/>
  <c r="J156" i="8"/>
  <c r="R52" i="8"/>
  <c r="D50" i="7"/>
  <c r="O53" i="8"/>
  <c r="J159" i="8"/>
  <c r="R53" i="8"/>
  <c r="D51" i="7"/>
  <c r="O54" i="8"/>
  <c r="J162" i="8"/>
  <c r="R54" i="8"/>
  <c r="D52" i="7"/>
  <c r="O55" i="8"/>
  <c r="J165" i="8"/>
  <c r="R55" i="8"/>
  <c r="D53" i="7"/>
  <c r="O56" i="8"/>
  <c r="J168" i="8"/>
  <c r="R56" i="8"/>
  <c r="D54" i="7"/>
  <c r="O57" i="8"/>
  <c r="J171" i="8"/>
  <c r="R57" i="8"/>
  <c r="D55" i="7"/>
  <c r="O58" i="8"/>
  <c r="J174" i="8"/>
  <c r="R58" i="8"/>
  <c r="D56" i="7"/>
  <c r="O59" i="8"/>
  <c r="J177" i="8"/>
  <c r="R59" i="8"/>
  <c r="D57" i="7"/>
  <c r="O60" i="8"/>
  <c r="J180" i="8"/>
  <c r="R60" i="8"/>
  <c r="D58" i="7"/>
  <c r="O61" i="8"/>
  <c r="J183" i="8"/>
  <c r="R61" i="8"/>
  <c r="D59" i="7"/>
  <c r="O62" i="8"/>
  <c r="J186" i="8"/>
  <c r="R62" i="8"/>
  <c r="D60" i="7"/>
  <c r="O63" i="8"/>
  <c r="J189" i="8"/>
  <c r="R63" i="8"/>
  <c r="D61" i="7"/>
  <c r="O64" i="8"/>
  <c r="J192" i="8"/>
  <c r="R64" i="8"/>
  <c r="D62" i="7"/>
  <c r="O65" i="8"/>
  <c r="J195" i="8"/>
  <c r="R65" i="8"/>
  <c r="D63" i="7"/>
  <c r="O66" i="8"/>
  <c r="J198" i="8"/>
  <c r="R66" i="8"/>
  <c r="D64" i="7"/>
  <c r="O67" i="8"/>
  <c r="J201" i="8"/>
  <c r="R67" i="8"/>
  <c r="D65" i="7"/>
  <c r="O68" i="8"/>
  <c r="J204" i="8"/>
  <c r="R68" i="8"/>
  <c r="D66" i="7"/>
  <c r="O69" i="8"/>
  <c r="J207" i="8"/>
  <c r="R69" i="8"/>
  <c r="D67" i="7"/>
  <c r="O70" i="8"/>
  <c r="J210" i="8"/>
  <c r="R70" i="8"/>
  <c r="D68" i="7"/>
  <c r="O71" i="8"/>
  <c r="A214" i="8"/>
  <c r="J213" i="8"/>
  <c r="R71" i="8"/>
  <c r="D69" i="7"/>
  <c r="O72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J216" i="8"/>
  <c r="R72" i="8"/>
  <c r="D70" i="7"/>
  <c r="O73" i="8"/>
  <c r="J219" i="8"/>
  <c r="R73" i="8"/>
  <c r="D71" i="7"/>
  <c r="O74" i="8"/>
  <c r="J222" i="8"/>
  <c r="R74" i="8"/>
  <c r="D72" i="7"/>
  <c r="O75" i="8"/>
  <c r="J225" i="8"/>
  <c r="R75" i="8"/>
  <c r="D73" i="7"/>
  <c r="O76" i="8"/>
  <c r="J228" i="8"/>
  <c r="R76" i="8"/>
  <c r="D74" i="7"/>
  <c r="O77" i="8"/>
  <c r="J231" i="8"/>
  <c r="R77" i="8"/>
  <c r="D75" i="7"/>
  <c r="O78" i="8"/>
  <c r="J234" i="8"/>
  <c r="R78" i="8"/>
  <c r="D76" i="7"/>
  <c r="O79" i="8"/>
  <c r="J237" i="8"/>
  <c r="R79" i="8"/>
  <c r="D77" i="7"/>
  <c r="O80" i="8"/>
  <c r="J240" i="8"/>
  <c r="R80" i="8"/>
  <c r="D78" i="7"/>
  <c r="O81" i="8"/>
  <c r="J243" i="8"/>
  <c r="R81" i="8"/>
  <c r="D79" i="7"/>
  <c r="O82" i="8"/>
  <c r="J246" i="8"/>
  <c r="R82" i="8"/>
  <c r="D80" i="7"/>
  <c r="O83" i="8"/>
  <c r="J249" i="8"/>
  <c r="R83" i="8"/>
  <c r="D81" i="7"/>
  <c r="O84" i="8"/>
  <c r="J252" i="8"/>
  <c r="R84" i="8"/>
  <c r="D82" i="7"/>
  <c r="O85" i="8"/>
  <c r="J255" i="8"/>
  <c r="R85" i="8"/>
  <c r="D83" i="7"/>
  <c r="O86" i="8"/>
  <c r="J258" i="8"/>
  <c r="R86" i="8"/>
  <c r="D84" i="7"/>
  <c r="O87" i="8"/>
  <c r="J261" i="8"/>
  <c r="R87" i="8"/>
  <c r="D85" i="7"/>
  <c r="O88" i="8"/>
  <c r="J264" i="8"/>
  <c r="R88" i="8"/>
  <c r="D86" i="7"/>
  <c r="O89" i="8"/>
  <c r="J267" i="8"/>
  <c r="R89" i="8"/>
  <c r="D87" i="7"/>
  <c r="O90" i="8"/>
  <c r="J270" i="8"/>
  <c r="R90" i="8"/>
  <c r="D88" i="7"/>
  <c r="O91" i="8"/>
  <c r="J273" i="8"/>
  <c r="R91" i="8"/>
  <c r="D89" i="7"/>
  <c r="O92" i="8"/>
  <c r="J276" i="8"/>
  <c r="R92" i="8"/>
  <c r="D90" i="7"/>
  <c r="O93" i="8"/>
  <c r="J279" i="8"/>
  <c r="R93" i="8"/>
  <c r="D91" i="7"/>
  <c r="O94" i="8"/>
  <c r="J282" i="8"/>
  <c r="R94" i="8"/>
  <c r="D92" i="7"/>
  <c r="O95" i="8"/>
  <c r="J285" i="8"/>
  <c r="R95" i="8"/>
  <c r="D93" i="7"/>
  <c r="J6" i="5"/>
  <c r="L5" i="5"/>
  <c r="D7" i="6"/>
  <c r="J7" i="5"/>
  <c r="L6" i="5"/>
  <c r="D8" i="6"/>
  <c r="J8" i="5"/>
  <c r="L7" i="5"/>
  <c r="D9" i="6"/>
  <c r="J9" i="6"/>
  <c r="R4" i="6"/>
  <c r="D94" i="7"/>
  <c r="J9" i="5"/>
  <c r="L8" i="5"/>
  <c r="D10" i="6"/>
  <c r="J10" i="5"/>
  <c r="L9" i="5"/>
  <c r="D11" i="6"/>
  <c r="J11" i="5"/>
  <c r="L10" i="5"/>
  <c r="D12" i="6"/>
  <c r="J12" i="6"/>
  <c r="R5" i="6"/>
  <c r="D95" i="7"/>
  <c r="J12" i="5"/>
  <c r="L11" i="5"/>
  <c r="D13" i="6"/>
  <c r="J13" i="5"/>
  <c r="L12" i="5"/>
  <c r="D14" i="6"/>
  <c r="J14" i="5"/>
  <c r="L13" i="5"/>
  <c r="D15" i="6"/>
  <c r="J15" i="6"/>
  <c r="R6" i="6"/>
  <c r="D96" i="7"/>
  <c r="J15" i="5"/>
  <c r="L14" i="5"/>
  <c r="D16" i="6"/>
  <c r="J16" i="5"/>
  <c r="L15" i="5"/>
  <c r="D17" i="6"/>
  <c r="J17" i="5"/>
  <c r="L16" i="5"/>
  <c r="D18" i="6"/>
  <c r="J18" i="6"/>
  <c r="R7" i="6"/>
  <c r="D97" i="7"/>
  <c r="J18" i="5"/>
  <c r="L17" i="5"/>
  <c r="D19" i="6"/>
  <c r="J19" i="5"/>
  <c r="L18" i="5"/>
  <c r="D20" i="6"/>
  <c r="J20" i="5"/>
  <c r="L19" i="5"/>
  <c r="D21" i="6"/>
  <c r="J21" i="6"/>
  <c r="R8" i="6"/>
  <c r="D98" i="7"/>
  <c r="J21" i="5"/>
  <c r="L20" i="5"/>
  <c r="D22" i="6"/>
  <c r="J22" i="5"/>
  <c r="L21" i="5"/>
  <c r="D23" i="6"/>
  <c r="J23" i="5"/>
  <c r="L22" i="5"/>
  <c r="D24" i="6"/>
  <c r="J24" i="6"/>
  <c r="R9" i="6"/>
  <c r="D99" i="7"/>
  <c r="J24" i="5"/>
  <c r="L23" i="5"/>
  <c r="D25" i="6"/>
  <c r="J25" i="5"/>
  <c r="L24" i="5"/>
  <c r="D26" i="6"/>
  <c r="J26" i="5"/>
  <c r="L25" i="5"/>
  <c r="D27" i="6"/>
  <c r="J27" i="6"/>
  <c r="R10" i="6"/>
  <c r="D100" i="7"/>
  <c r="J27" i="5"/>
  <c r="L26" i="5"/>
  <c r="D28" i="6"/>
  <c r="J28" i="5"/>
  <c r="L27" i="5"/>
  <c r="D29" i="6"/>
  <c r="J29" i="5"/>
  <c r="L28" i="5"/>
  <c r="D30" i="6"/>
  <c r="J30" i="6"/>
  <c r="R11" i="6"/>
  <c r="D101" i="7"/>
  <c r="J30" i="5"/>
  <c r="L29" i="5"/>
  <c r="D31" i="6"/>
  <c r="J31" i="5"/>
  <c r="L30" i="5"/>
  <c r="D32" i="6"/>
  <c r="J32" i="5"/>
  <c r="L31" i="5"/>
  <c r="D33" i="6"/>
  <c r="J33" i="6"/>
  <c r="R12" i="6"/>
  <c r="D102" i="7"/>
  <c r="J33" i="5"/>
  <c r="L32" i="5"/>
  <c r="D34" i="6"/>
  <c r="J34" i="5"/>
  <c r="L33" i="5"/>
  <c r="D35" i="6"/>
  <c r="J35" i="5"/>
  <c r="L34" i="5"/>
  <c r="D36" i="6"/>
  <c r="J36" i="6"/>
  <c r="R13" i="6"/>
  <c r="D103" i="7"/>
  <c r="J36" i="5"/>
  <c r="L35" i="5"/>
  <c r="D37" i="6"/>
  <c r="J37" i="5"/>
  <c r="L36" i="5"/>
  <c r="D38" i="6"/>
  <c r="J38" i="5"/>
  <c r="L37" i="5"/>
  <c r="D39" i="6"/>
  <c r="J39" i="6"/>
  <c r="R14" i="6"/>
  <c r="D104" i="7"/>
  <c r="J39" i="5"/>
  <c r="L38" i="5"/>
  <c r="D40" i="6"/>
  <c r="J40" i="5"/>
  <c r="L39" i="5"/>
  <c r="D41" i="6"/>
  <c r="J41" i="5"/>
  <c r="L40" i="5"/>
  <c r="D42" i="6"/>
  <c r="J42" i="6"/>
  <c r="R15" i="6"/>
  <c r="D105" i="7"/>
  <c r="J42" i="5"/>
  <c r="L41" i="5"/>
  <c r="D43" i="6"/>
  <c r="J43" i="5"/>
  <c r="L42" i="5"/>
  <c r="D44" i="6"/>
  <c r="J44" i="5"/>
  <c r="L43" i="5"/>
  <c r="D45" i="6"/>
  <c r="J45" i="6"/>
  <c r="R16" i="6"/>
  <c r="D106" i="7"/>
  <c r="J45" i="5"/>
  <c r="L44" i="5"/>
  <c r="D46" i="6"/>
  <c r="J46" i="5"/>
  <c r="L45" i="5"/>
  <c r="D47" i="6"/>
  <c r="J47" i="5"/>
  <c r="L46" i="5"/>
  <c r="D48" i="6"/>
  <c r="J48" i="6"/>
  <c r="R17" i="6"/>
  <c r="D107" i="7"/>
  <c r="J48" i="5"/>
  <c r="L47" i="5"/>
  <c r="D49" i="6"/>
  <c r="J49" i="5"/>
  <c r="L48" i="5"/>
  <c r="D50" i="6"/>
  <c r="J50" i="5"/>
  <c r="L49" i="5"/>
  <c r="D51" i="6"/>
  <c r="J51" i="6"/>
  <c r="R18" i="6"/>
  <c r="D108" i="7"/>
  <c r="J51" i="5"/>
  <c r="L50" i="5"/>
  <c r="D52" i="6"/>
  <c r="J52" i="5"/>
  <c r="L51" i="5"/>
  <c r="D53" i="6"/>
  <c r="J53" i="5"/>
  <c r="L52" i="5"/>
  <c r="D54" i="6"/>
  <c r="J54" i="6"/>
  <c r="R19" i="6"/>
  <c r="D109" i="7"/>
  <c r="J54" i="5"/>
  <c r="L53" i="5"/>
  <c r="D55" i="6"/>
  <c r="J55" i="5"/>
  <c r="L54" i="5"/>
  <c r="D56" i="6"/>
  <c r="J56" i="5"/>
  <c r="L55" i="5"/>
  <c r="D57" i="6"/>
  <c r="J57" i="6"/>
  <c r="R20" i="6"/>
  <c r="D110" i="7"/>
  <c r="J57" i="5"/>
  <c r="L56" i="5"/>
  <c r="D58" i="6"/>
  <c r="J58" i="5"/>
  <c r="L57" i="5"/>
  <c r="D59" i="6"/>
  <c r="J59" i="5"/>
  <c r="L58" i="5"/>
  <c r="D60" i="6"/>
  <c r="J60" i="6"/>
  <c r="R21" i="6"/>
  <c r="D111" i="7"/>
  <c r="J60" i="5"/>
  <c r="L59" i="5"/>
  <c r="D61" i="6"/>
  <c r="J61" i="5"/>
  <c r="L60" i="5"/>
  <c r="D62" i="6"/>
  <c r="J62" i="5"/>
  <c r="L61" i="5"/>
  <c r="D63" i="6"/>
  <c r="J63" i="6"/>
  <c r="R22" i="6"/>
  <c r="D112" i="7"/>
  <c r="J63" i="5"/>
  <c r="L62" i="5"/>
  <c r="D64" i="6"/>
  <c r="J64" i="5"/>
  <c r="L63" i="5"/>
  <c r="D65" i="6"/>
  <c r="J65" i="5"/>
  <c r="L64" i="5"/>
  <c r="D66" i="6"/>
  <c r="J66" i="6"/>
  <c r="R23" i="6"/>
  <c r="D113" i="7"/>
  <c r="J66" i="5"/>
  <c r="L65" i="5"/>
  <c r="D67" i="6"/>
  <c r="J67" i="5"/>
  <c r="L66" i="5"/>
  <c r="D68" i="6"/>
  <c r="J68" i="5"/>
  <c r="L67" i="5"/>
  <c r="D69" i="6"/>
  <c r="J69" i="6"/>
  <c r="R24" i="6"/>
  <c r="D114" i="7"/>
  <c r="J69" i="5"/>
  <c r="L68" i="5"/>
  <c r="D70" i="6"/>
  <c r="J70" i="5"/>
  <c r="L69" i="5"/>
  <c r="D71" i="6"/>
  <c r="J71" i="5"/>
  <c r="L70" i="5"/>
  <c r="D72" i="6"/>
  <c r="J72" i="6"/>
  <c r="R25" i="6"/>
  <c r="D115" i="7"/>
  <c r="J72" i="5"/>
  <c r="L71" i="5"/>
  <c r="D73" i="6"/>
  <c r="J73" i="5"/>
  <c r="L72" i="5"/>
  <c r="D74" i="6"/>
  <c r="J74" i="5"/>
  <c r="L73" i="5"/>
  <c r="D75" i="6"/>
  <c r="J75" i="6"/>
  <c r="R26" i="6"/>
  <c r="D116" i="7"/>
  <c r="J75" i="5"/>
  <c r="L74" i="5"/>
  <c r="D76" i="6"/>
  <c r="J76" i="5"/>
  <c r="L75" i="5"/>
  <c r="D77" i="6"/>
  <c r="J77" i="5"/>
  <c r="L76" i="5"/>
  <c r="D78" i="6"/>
  <c r="J78" i="6"/>
  <c r="R27" i="6"/>
  <c r="D117" i="7"/>
  <c r="J78" i="5"/>
  <c r="L77" i="5"/>
  <c r="D79" i="6"/>
  <c r="J79" i="5"/>
  <c r="L78" i="5"/>
  <c r="D80" i="6"/>
  <c r="J80" i="5"/>
  <c r="L79" i="5"/>
  <c r="D81" i="6"/>
  <c r="J81" i="6"/>
  <c r="R28" i="6"/>
  <c r="D118" i="7"/>
  <c r="J81" i="5"/>
  <c r="L80" i="5"/>
  <c r="D82" i="6"/>
  <c r="J82" i="5"/>
  <c r="L81" i="5"/>
  <c r="D83" i="6"/>
  <c r="J83" i="5"/>
  <c r="L82" i="5"/>
  <c r="D84" i="6"/>
  <c r="J84" i="6"/>
  <c r="R29" i="6"/>
  <c r="D119" i="7"/>
  <c r="J84" i="5"/>
  <c r="L83" i="5"/>
  <c r="D85" i="6"/>
  <c r="J85" i="5"/>
  <c r="L84" i="5"/>
  <c r="D86" i="6"/>
  <c r="J86" i="5"/>
  <c r="L85" i="5"/>
  <c r="D87" i="6"/>
  <c r="J87" i="6"/>
  <c r="R30" i="6"/>
  <c r="D120" i="7"/>
  <c r="J87" i="5"/>
  <c r="L86" i="5"/>
  <c r="D88" i="6"/>
  <c r="J88" i="5"/>
  <c r="L87" i="5"/>
  <c r="D89" i="6"/>
  <c r="J89" i="5"/>
  <c r="L88" i="5"/>
  <c r="D90" i="6"/>
  <c r="J90" i="6"/>
  <c r="R31" i="6"/>
  <c r="D121" i="7"/>
  <c r="J90" i="5"/>
  <c r="L89" i="5"/>
  <c r="D91" i="6"/>
  <c r="J91" i="5"/>
  <c r="L90" i="5"/>
  <c r="D92" i="6"/>
  <c r="J92" i="5"/>
  <c r="L91" i="5"/>
  <c r="D93" i="6"/>
  <c r="J93" i="6"/>
  <c r="R32" i="6"/>
  <c r="D122" i="7"/>
  <c r="J93" i="5"/>
  <c r="L92" i="5"/>
  <c r="D94" i="6"/>
  <c r="J94" i="5"/>
  <c r="L93" i="5"/>
  <c r="D95" i="6"/>
  <c r="J95" i="5"/>
  <c r="L94" i="5"/>
  <c r="D96" i="6"/>
  <c r="J96" i="6"/>
  <c r="R33" i="6"/>
  <c r="D123" i="7"/>
  <c r="J96" i="5"/>
  <c r="L95" i="5"/>
  <c r="D97" i="6"/>
  <c r="J97" i="5"/>
  <c r="L96" i="5"/>
  <c r="D98" i="6"/>
  <c r="J98" i="5"/>
  <c r="L97" i="5"/>
  <c r="D99" i="6"/>
  <c r="J99" i="6"/>
  <c r="R34" i="6"/>
  <c r="D124" i="7"/>
  <c r="J99" i="5"/>
  <c r="L98" i="5"/>
  <c r="D100" i="6"/>
  <c r="J100" i="5"/>
  <c r="L99" i="5"/>
  <c r="D101" i="6"/>
  <c r="J101" i="5"/>
  <c r="L100" i="5"/>
  <c r="D102" i="6"/>
  <c r="J102" i="6"/>
  <c r="R35" i="6"/>
  <c r="D125" i="7"/>
  <c r="J102" i="5"/>
  <c r="L101" i="5"/>
  <c r="D103" i="6"/>
  <c r="J103" i="5"/>
  <c r="L102" i="5"/>
  <c r="D104" i="6"/>
  <c r="J104" i="5"/>
  <c r="L103" i="5"/>
  <c r="D105" i="6"/>
  <c r="J105" i="6"/>
  <c r="R36" i="6"/>
  <c r="D126" i="7"/>
  <c r="J105" i="5"/>
  <c r="L104" i="5"/>
  <c r="D106" i="6"/>
  <c r="J106" i="5"/>
  <c r="L105" i="5"/>
  <c r="D107" i="6"/>
  <c r="J107" i="5"/>
  <c r="L106" i="5"/>
  <c r="D108" i="6"/>
  <c r="J108" i="6"/>
  <c r="R37" i="6"/>
  <c r="D127" i="7"/>
  <c r="J108" i="5"/>
  <c r="L107" i="5"/>
  <c r="D109" i="6"/>
  <c r="J109" i="5"/>
  <c r="L108" i="5"/>
  <c r="D110" i="6"/>
  <c r="J110" i="5"/>
  <c r="L109" i="5"/>
  <c r="D111" i="6"/>
  <c r="J111" i="6"/>
  <c r="R38" i="6"/>
  <c r="D128" i="7"/>
  <c r="J111" i="5"/>
  <c r="L110" i="5"/>
  <c r="D112" i="6"/>
  <c r="J112" i="5"/>
  <c r="L111" i="5"/>
  <c r="D113" i="6"/>
  <c r="J113" i="5"/>
  <c r="L112" i="5"/>
  <c r="D114" i="6"/>
  <c r="J114" i="6"/>
  <c r="R39" i="6"/>
  <c r="D129" i="7"/>
  <c r="J114" i="5"/>
  <c r="L113" i="5"/>
  <c r="D115" i="6"/>
  <c r="J115" i="5"/>
  <c r="L114" i="5"/>
  <c r="D116" i="6"/>
  <c r="J116" i="5"/>
  <c r="L115" i="5"/>
  <c r="D117" i="6"/>
  <c r="J117" i="6"/>
  <c r="R40" i="6"/>
  <c r="D130" i="7"/>
  <c r="J117" i="5"/>
  <c r="L116" i="5"/>
  <c r="D118" i="6"/>
  <c r="J118" i="5"/>
  <c r="L117" i="5"/>
  <c r="D119" i="6"/>
  <c r="J119" i="5"/>
  <c r="L118" i="5"/>
  <c r="D120" i="6"/>
  <c r="J120" i="6"/>
  <c r="R41" i="6"/>
  <c r="D131" i="7"/>
  <c r="J120" i="5"/>
  <c r="L119" i="5"/>
  <c r="D121" i="6"/>
  <c r="J121" i="5"/>
  <c r="L120" i="5"/>
  <c r="D122" i="6"/>
  <c r="J122" i="5"/>
  <c r="L121" i="5"/>
  <c r="D123" i="6"/>
  <c r="J123" i="6"/>
  <c r="R42" i="6"/>
  <c r="D132" i="7"/>
  <c r="J123" i="5"/>
  <c r="L122" i="5"/>
  <c r="D124" i="6"/>
  <c r="J124" i="5"/>
  <c r="L123" i="5"/>
  <c r="D125" i="6"/>
  <c r="J125" i="5"/>
  <c r="L124" i="5"/>
  <c r="D126" i="6"/>
  <c r="J126" i="6"/>
  <c r="R43" i="6"/>
  <c r="D133" i="7"/>
  <c r="J126" i="5"/>
  <c r="L125" i="5"/>
  <c r="D127" i="6"/>
  <c r="J127" i="5"/>
  <c r="L126" i="5"/>
  <c r="D128" i="6"/>
  <c r="J128" i="5"/>
  <c r="L127" i="5"/>
  <c r="D129" i="6"/>
  <c r="J129" i="6"/>
  <c r="R44" i="6"/>
  <c r="D134" i="7"/>
  <c r="J129" i="5"/>
  <c r="L128" i="5"/>
  <c r="D130" i="6"/>
  <c r="J130" i="5"/>
  <c r="L129" i="5"/>
  <c r="D131" i="6"/>
  <c r="J131" i="5"/>
  <c r="L130" i="5"/>
  <c r="D132" i="6"/>
  <c r="J132" i="6"/>
  <c r="R45" i="6"/>
  <c r="D135" i="7"/>
  <c r="J12" i="8"/>
  <c r="R4" i="8"/>
  <c r="D2" i="7"/>
  <c r="H9" i="5"/>
  <c r="B8" i="5"/>
  <c r="B10" i="6"/>
  <c r="H10" i="5"/>
  <c r="B9" i="5"/>
  <c r="B11" i="6"/>
  <c r="H11" i="5"/>
  <c r="B10" i="5"/>
  <c r="B12" i="6"/>
  <c r="H12" i="6"/>
  <c r="P5" i="6"/>
  <c r="B95" i="7"/>
  <c r="D9" i="5"/>
  <c r="G8" i="5"/>
  <c r="C10" i="6"/>
  <c r="D10" i="5"/>
  <c r="G9" i="5"/>
  <c r="C11" i="6"/>
  <c r="D11" i="5"/>
  <c r="G10" i="5"/>
  <c r="C12" i="6"/>
  <c r="I12" i="6"/>
  <c r="Q5" i="6"/>
  <c r="C95" i="7"/>
  <c r="N9" i="5"/>
  <c r="E10" i="6"/>
  <c r="N10" i="5"/>
  <c r="E11" i="6"/>
  <c r="N11" i="5"/>
  <c r="E12" i="6"/>
  <c r="K12" i="6"/>
  <c r="S5" i="6"/>
  <c r="E95" i="7"/>
  <c r="M9" i="5"/>
  <c r="F10" i="6"/>
  <c r="M10" i="5"/>
  <c r="F11" i="6"/>
  <c r="M11" i="5"/>
  <c r="F12" i="6"/>
  <c r="L12" i="6"/>
  <c r="T5" i="6"/>
  <c r="F95" i="7"/>
  <c r="E9" i="5"/>
  <c r="G10" i="6"/>
  <c r="E10" i="5"/>
  <c r="G11" i="6"/>
  <c r="E11" i="5"/>
  <c r="G12" i="6"/>
  <c r="M12" i="6"/>
  <c r="U5" i="6"/>
  <c r="G95" i="7"/>
  <c r="H12" i="5"/>
  <c r="B11" i="5"/>
  <c r="B13" i="6"/>
  <c r="H13" i="5"/>
  <c r="B12" i="5"/>
  <c r="B14" i="6"/>
  <c r="H14" i="5"/>
  <c r="B13" i="5"/>
  <c r="B15" i="6"/>
  <c r="H15" i="6"/>
  <c r="P6" i="6"/>
  <c r="B96" i="7"/>
  <c r="D12" i="5"/>
  <c r="G11" i="5"/>
  <c r="C13" i="6"/>
  <c r="D13" i="5"/>
  <c r="G12" i="5"/>
  <c r="C14" i="6"/>
  <c r="D14" i="5"/>
  <c r="G13" i="5"/>
  <c r="C15" i="6"/>
  <c r="I15" i="6"/>
  <c r="Q6" i="6"/>
  <c r="C96" i="7"/>
  <c r="N12" i="5"/>
  <c r="E13" i="6"/>
  <c r="N13" i="5"/>
  <c r="E14" i="6"/>
  <c r="N14" i="5"/>
  <c r="E15" i="6"/>
  <c r="K15" i="6"/>
  <c r="S6" i="6"/>
  <c r="E96" i="7"/>
  <c r="M12" i="5"/>
  <c r="F13" i="6"/>
  <c r="M13" i="5"/>
  <c r="F14" i="6"/>
  <c r="M14" i="5"/>
  <c r="F15" i="6"/>
  <c r="L15" i="6"/>
  <c r="T6" i="6"/>
  <c r="F96" i="7"/>
  <c r="E12" i="5"/>
  <c r="G13" i="6"/>
  <c r="E13" i="5"/>
  <c r="G14" i="6"/>
  <c r="E14" i="5"/>
  <c r="G15" i="6"/>
  <c r="M15" i="6"/>
  <c r="U6" i="6"/>
  <c r="G96" i="7"/>
  <c r="H15" i="5"/>
  <c r="B14" i="5"/>
  <c r="B16" i="6"/>
  <c r="H16" i="5"/>
  <c r="B15" i="5"/>
  <c r="B17" i="6"/>
  <c r="H17" i="5"/>
  <c r="B16" i="5"/>
  <c r="B18" i="6"/>
  <c r="H18" i="6"/>
  <c r="P7" i="6"/>
  <c r="B97" i="7"/>
  <c r="D15" i="5"/>
  <c r="G14" i="5"/>
  <c r="C16" i="6"/>
  <c r="D16" i="5"/>
  <c r="G15" i="5"/>
  <c r="C17" i="6"/>
  <c r="D17" i="5"/>
  <c r="G16" i="5"/>
  <c r="C18" i="6"/>
  <c r="I18" i="6"/>
  <c r="Q7" i="6"/>
  <c r="C97" i="7"/>
  <c r="N15" i="5"/>
  <c r="E16" i="6"/>
  <c r="N16" i="5"/>
  <c r="E17" i="6"/>
  <c r="N17" i="5"/>
  <c r="E18" i="6"/>
  <c r="K18" i="6"/>
  <c r="S7" i="6"/>
  <c r="E97" i="7"/>
  <c r="M15" i="5"/>
  <c r="F16" i="6"/>
  <c r="M16" i="5"/>
  <c r="F17" i="6"/>
  <c r="M17" i="5"/>
  <c r="F18" i="6"/>
  <c r="L18" i="6"/>
  <c r="T7" i="6"/>
  <c r="F97" i="7"/>
  <c r="E15" i="5"/>
  <c r="G16" i="6"/>
  <c r="E16" i="5"/>
  <c r="G17" i="6"/>
  <c r="E17" i="5"/>
  <c r="G18" i="6"/>
  <c r="M18" i="6"/>
  <c r="U7" i="6"/>
  <c r="G97" i="7"/>
  <c r="H18" i="5"/>
  <c r="B17" i="5"/>
  <c r="B19" i="6"/>
  <c r="H19" i="5"/>
  <c r="B18" i="5"/>
  <c r="B20" i="6"/>
  <c r="H20" i="5"/>
  <c r="B19" i="5"/>
  <c r="B21" i="6"/>
  <c r="H21" i="6"/>
  <c r="P8" i="6"/>
  <c r="B98" i="7"/>
  <c r="D18" i="5"/>
  <c r="G17" i="5"/>
  <c r="C19" i="6"/>
  <c r="D19" i="5"/>
  <c r="G18" i="5"/>
  <c r="C20" i="6"/>
  <c r="D20" i="5"/>
  <c r="G19" i="5"/>
  <c r="C21" i="6"/>
  <c r="I21" i="6"/>
  <c r="Q8" i="6"/>
  <c r="C98" i="7"/>
  <c r="N18" i="5"/>
  <c r="E19" i="6"/>
  <c r="N19" i="5"/>
  <c r="E20" i="6"/>
  <c r="N20" i="5"/>
  <c r="E21" i="6"/>
  <c r="K21" i="6"/>
  <c r="S8" i="6"/>
  <c r="E98" i="7"/>
  <c r="M18" i="5"/>
  <c r="F19" i="6"/>
  <c r="M19" i="5"/>
  <c r="F20" i="6"/>
  <c r="M20" i="5"/>
  <c r="F21" i="6"/>
  <c r="L21" i="6"/>
  <c r="T8" i="6"/>
  <c r="F98" i="7"/>
  <c r="E18" i="5"/>
  <c r="G19" i="6"/>
  <c r="E19" i="5"/>
  <c r="G20" i="6"/>
  <c r="E20" i="5"/>
  <c r="G21" i="6"/>
  <c r="M21" i="6"/>
  <c r="U8" i="6"/>
  <c r="G98" i="7"/>
  <c r="H21" i="5"/>
  <c r="B20" i="5"/>
  <c r="B22" i="6"/>
  <c r="H22" i="5"/>
  <c r="B21" i="5"/>
  <c r="B23" i="6"/>
  <c r="H23" i="5"/>
  <c r="B22" i="5"/>
  <c r="B24" i="6"/>
  <c r="H24" i="6"/>
  <c r="P9" i="6"/>
  <c r="B99" i="7"/>
  <c r="D21" i="5"/>
  <c r="G20" i="5"/>
  <c r="C22" i="6"/>
  <c r="D22" i="5"/>
  <c r="G21" i="5"/>
  <c r="C23" i="6"/>
  <c r="D23" i="5"/>
  <c r="G22" i="5"/>
  <c r="C24" i="6"/>
  <c r="I24" i="6"/>
  <c r="Q9" i="6"/>
  <c r="C99" i="7"/>
  <c r="N21" i="5"/>
  <c r="E22" i="6"/>
  <c r="N22" i="5"/>
  <c r="E23" i="6"/>
  <c r="N23" i="5"/>
  <c r="E24" i="6"/>
  <c r="K24" i="6"/>
  <c r="S9" i="6"/>
  <c r="E99" i="7"/>
  <c r="M21" i="5"/>
  <c r="F22" i="6"/>
  <c r="M22" i="5"/>
  <c r="F23" i="6"/>
  <c r="M23" i="5"/>
  <c r="F24" i="6"/>
  <c r="L24" i="6"/>
  <c r="T9" i="6"/>
  <c r="F99" i="7"/>
  <c r="E21" i="5"/>
  <c r="G22" i="6"/>
  <c r="E22" i="5"/>
  <c r="G23" i="6"/>
  <c r="E23" i="5"/>
  <c r="G24" i="6"/>
  <c r="M24" i="6"/>
  <c r="U9" i="6"/>
  <c r="G99" i="7"/>
  <c r="H24" i="5"/>
  <c r="B23" i="5"/>
  <c r="B25" i="6"/>
  <c r="H25" i="5"/>
  <c r="B24" i="5"/>
  <c r="B26" i="6"/>
  <c r="H26" i="5"/>
  <c r="B25" i="5"/>
  <c r="B27" i="6"/>
  <c r="H27" i="6"/>
  <c r="P10" i="6"/>
  <c r="B100" i="7"/>
  <c r="D24" i="5"/>
  <c r="G23" i="5"/>
  <c r="C25" i="6"/>
  <c r="D25" i="5"/>
  <c r="G24" i="5"/>
  <c r="C26" i="6"/>
  <c r="D26" i="5"/>
  <c r="G25" i="5"/>
  <c r="C27" i="6"/>
  <c r="I27" i="6"/>
  <c r="Q10" i="6"/>
  <c r="C100" i="7"/>
  <c r="N24" i="5"/>
  <c r="E25" i="6"/>
  <c r="N25" i="5"/>
  <c r="E26" i="6"/>
  <c r="N26" i="5"/>
  <c r="E27" i="6"/>
  <c r="K27" i="6"/>
  <c r="S10" i="6"/>
  <c r="E100" i="7"/>
  <c r="M24" i="5"/>
  <c r="F25" i="6"/>
  <c r="M25" i="5"/>
  <c r="F26" i="6"/>
  <c r="M26" i="5"/>
  <c r="F27" i="6"/>
  <c r="L27" i="6"/>
  <c r="T10" i="6"/>
  <c r="F100" i="7"/>
  <c r="E24" i="5"/>
  <c r="G25" i="6"/>
  <c r="E25" i="5"/>
  <c r="G26" i="6"/>
  <c r="E26" i="5"/>
  <c r="G27" i="6"/>
  <c r="M27" i="6"/>
  <c r="U10" i="6"/>
  <c r="G100" i="7"/>
  <c r="H27" i="5"/>
  <c r="B26" i="5"/>
  <c r="B28" i="6"/>
  <c r="H28" i="5"/>
  <c r="B27" i="5"/>
  <c r="B29" i="6"/>
  <c r="H29" i="5"/>
  <c r="B28" i="5"/>
  <c r="B30" i="6"/>
  <c r="H30" i="6"/>
  <c r="P11" i="6"/>
  <c r="B101" i="7"/>
  <c r="D27" i="5"/>
  <c r="G26" i="5"/>
  <c r="C28" i="6"/>
  <c r="D28" i="5"/>
  <c r="G27" i="5"/>
  <c r="C29" i="6"/>
  <c r="D29" i="5"/>
  <c r="G28" i="5"/>
  <c r="C30" i="6"/>
  <c r="I30" i="6"/>
  <c r="Q11" i="6"/>
  <c r="C101" i="7"/>
  <c r="N27" i="5"/>
  <c r="E28" i="6"/>
  <c r="N28" i="5"/>
  <c r="E29" i="6"/>
  <c r="N29" i="5"/>
  <c r="E30" i="6"/>
  <c r="K30" i="6"/>
  <c r="S11" i="6"/>
  <c r="E101" i="7"/>
  <c r="M27" i="5"/>
  <c r="F28" i="6"/>
  <c r="M28" i="5"/>
  <c r="F29" i="6"/>
  <c r="M29" i="5"/>
  <c r="F30" i="6"/>
  <c r="L30" i="6"/>
  <c r="T11" i="6"/>
  <c r="F101" i="7"/>
  <c r="E27" i="5"/>
  <c r="G28" i="6"/>
  <c r="E28" i="5"/>
  <c r="G29" i="6"/>
  <c r="E29" i="5"/>
  <c r="G30" i="6"/>
  <c r="M30" i="6"/>
  <c r="U11" i="6"/>
  <c r="G101" i="7"/>
  <c r="H30" i="5"/>
  <c r="B29" i="5"/>
  <c r="B31" i="6"/>
  <c r="H31" i="5"/>
  <c r="B30" i="5"/>
  <c r="B32" i="6"/>
  <c r="H32" i="5"/>
  <c r="B31" i="5"/>
  <c r="B33" i="6"/>
  <c r="H33" i="6"/>
  <c r="P12" i="6"/>
  <c r="B102" i="7"/>
  <c r="D30" i="5"/>
  <c r="G29" i="5"/>
  <c r="C31" i="6"/>
  <c r="D31" i="5"/>
  <c r="G30" i="5"/>
  <c r="C32" i="6"/>
  <c r="D32" i="5"/>
  <c r="G31" i="5"/>
  <c r="C33" i="6"/>
  <c r="I33" i="6"/>
  <c r="Q12" i="6"/>
  <c r="C102" i="7"/>
  <c r="N30" i="5"/>
  <c r="E31" i="6"/>
  <c r="N31" i="5"/>
  <c r="E32" i="6"/>
  <c r="N32" i="5"/>
  <c r="E33" i="6"/>
  <c r="K33" i="6"/>
  <c r="S12" i="6"/>
  <c r="E102" i="7"/>
  <c r="M30" i="5"/>
  <c r="F31" i="6"/>
  <c r="M31" i="5"/>
  <c r="F32" i="6"/>
  <c r="M32" i="5"/>
  <c r="F33" i="6"/>
  <c r="L33" i="6"/>
  <c r="T12" i="6"/>
  <c r="F102" i="7"/>
  <c r="E30" i="5"/>
  <c r="G31" i="6"/>
  <c r="E31" i="5"/>
  <c r="G32" i="6"/>
  <c r="E32" i="5"/>
  <c r="G33" i="6"/>
  <c r="M33" i="6"/>
  <c r="U12" i="6"/>
  <c r="G102" i="7"/>
  <c r="H33" i="5"/>
  <c r="B32" i="5"/>
  <c r="B34" i="6"/>
  <c r="H34" i="5"/>
  <c r="B33" i="5"/>
  <c r="B35" i="6"/>
  <c r="H35" i="5"/>
  <c r="B34" i="5"/>
  <c r="B36" i="6"/>
  <c r="H36" i="6"/>
  <c r="P13" i="6"/>
  <c r="B103" i="7"/>
  <c r="D33" i="5"/>
  <c r="G32" i="5"/>
  <c r="C34" i="6"/>
  <c r="D34" i="5"/>
  <c r="G33" i="5"/>
  <c r="C35" i="6"/>
  <c r="D35" i="5"/>
  <c r="G34" i="5"/>
  <c r="C36" i="6"/>
  <c r="I36" i="6"/>
  <c r="Q13" i="6"/>
  <c r="C103" i="7"/>
  <c r="N33" i="5"/>
  <c r="E34" i="6"/>
  <c r="N34" i="5"/>
  <c r="E35" i="6"/>
  <c r="N35" i="5"/>
  <c r="E36" i="6"/>
  <c r="K36" i="6"/>
  <c r="S13" i="6"/>
  <c r="E103" i="7"/>
  <c r="M33" i="5"/>
  <c r="F34" i="6"/>
  <c r="M34" i="5"/>
  <c r="F35" i="6"/>
  <c r="M35" i="5"/>
  <c r="F36" i="6"/>
  <c r="L36" i="6"/>
  <c r="T13" i="6"/>
  <c r="F103" i="7"/>
  <c r="E33" i="5"/>
  <c r="G34" i="6"/>
  <c r="E34" i="5"/>
  <c r="G35" i="6"/>
  <c r="E35" i="5"/>
  <c r="G36" i="6"/>
  <c r="M36" i="6"/>
  <c r="U13" i="6"/>
  <c r="G103" i="7"/>
  <c r="H36" i="5"/>
  <c r="B35" i="5"/>
  <c r="B37" i="6"/>
  <c r="H37" i="5"/>
  <c r="B36" i="5"/>
  <c r="B38" i="6"/>
  <c r="H38" i="5"/>
  <c r="B37" i="5"/>
  <c r="B39" i="6"/>
  <c r="H39" i="6"/>
  <c r="P14" i="6"/>
  <c r="B104" i="7"/>
  <c r="D36" i="5"/>
  <c r="G35" i="5"/>
  <c r="C37" i="6"/>
  <c r="D37" i="5"/>
  <c r="G36" i="5"/>
  <c r="C38" i="6"/>
  <c r="D38" i="5"/>
  <c r="G37" i="5"/>
  <c r="C39" i="6"/>
  <c r="I39" i="6"/>
  <c r="Q14" i="6"/>
  <c r="C104" i="7"/>
  <c r="N36" i="5"/>
  <c r="E37" i="6"/>
  <c r="N37" i="5"/>
  <c r="E38" i="6"/>
  <c r="N38" i="5"/>
  <c r="E39" i="6"/>
  <c r="K39" i="6"/>
  <c r="S14" i="6"/>
  <c r="E104" i="7"/>
  <c r="M36" i="5"/>
  <c r="F37" i="6"/>
  <c r="M37" i="5"/>
  <c r="F38" i="6"/>
  <c r="M38" i="5"/>
  <c r="F39" i="6"/>
  <c r="L39" i="6"/>
  <c r="T14" i="6"/>
  <c r="F104" i="7"/>
  <c r="E36" i="5"/>
  <c r="G37" i="6"/>
  <c r="E37" i="5"/>
  <c r="G38" i="6"/>
  <c r="E38" i="5"/>
  <c r="G39" i="6"/>
  <c r="M39" i="6"/>
  <c r="U14" i="6"/>
  <c r="G104" i="7"/>
  <c r="H39" i="5"/>
  <c r="B38" i="5"/>
  <c r="B40" i="6"/>
  <c r="H40" i="5"/>
  <c r="B39" i="5"/>
  <c r="B41" i="6"/>
  <c r="H41" i="5"/>
  <c r="B40" i="5"/>
  <c r="B42" i="6"/>
  <c r="H42" i="6"/>
  <c r="P15" i="6"/>
  <c r="B105" i="7"/>
  <c r="D39" i="5"/>
  <c r="G38" i="5"/>
  <c r="C40" i="6"/>
  <c r="D40" i="5"/>
  <c r="G39" i="5"/>
  <c r="C41" i="6"/>
  <c r="D41" i="5"/>
  <c r="G40" i="5"/>
  <c r="C42" i="6"/>
  <c r="I42" i="6"/>
  <c r="Q15" i="6"/>
  <c r="C105" i="7"/>
  <c r="N39" i="5"/>
  <c r="E40" i="6"/>
  <c r="N40" i="5"/>
  <c r="E41" i="6"/>
  <c r="N41" i="5"/>
  <c r="E42" i="6"/>
  <c r="K42" i="6"/>
  <c r="S15" i="6"/>
  <c r="E105" i="7"/>
  <c r="M39" i="5"/>
  <c r="F40" i="6"/>
  <c r="M40" i="5"/>
  <c r="F41" i="6"/>
  <c r="M41" i="5"/>
  <c r="F42" i="6"/>
  <c r="L42" i="6"/>
  <c r="T15" i="6"/>
  <c r="F105" i="7"/>
  <c r="E39" i="5"/>
  <c r="G40" i="6"/>
  <c r="E40" i="5"/>
  <c r="G41" i="6"/>
  <c r="E41" i="5"/>
  <c r="G42" i="6"/>
  <c r="M42" i="6"/>
  <c r="U15" i="6"/>
  <c r="G105" i="7"/>
  <c r="H42" i="5"/>
  <c r="B41" i="5"/>
  <c r="B43" i="6"/>
  <c r="H43" i="5"/>
  <c r="B42" i="5"/>
  <c r="B44" i="6"/>
  <c r="H44" i="5"/>
  <c r="B43" i="5"/>
  <c r="B45" i="6"/>
  <c r="H45" i="6"/>
  <c r="P16" i="6"/>
  <c r="B106" i="7"/>
  <c r="D42" i="5"/>
  <c r="G41" i="5"/>
  <c r="C43" i="6"/>
  <c r="D43" i="5"/>
  <c r="G42" i="5"/>
  <c r="C44" i="6"/>
  <c r="D44" i="5"/>
  <c r="G43" i="5"/>
  <c r="C45" i="6"/>
  <c r="I45" i="6"/>
  <c r="Q16" i="6"/>
  <c r="C106" i="7"/>
  <c r="N42" i="5"/>
  <c r="E43" i="6"/>
  <c r="N43" i="5"/>
  <c r="E44" i="6"/>
  <c r="N44" i="5"/>
  <c r="E45" i="6"/>
  <c r="K45" i="6"/>
  <c r="S16" i="6"/>
  <c r="E106" i="7"/>
  <c r="M42" i="5"/>
  <c r="F43" i="6"/>
  <c r="M43" i="5"/>
  <c r="F44" i="6"/>
  <c r="M44" i="5"/>
  <c r="F45" i="6"/>
  <c r="L45" i="6"/>
  <c r="T16" i="6"/>
  <c r="F106" i="7"/>
  <c r="E42" i="5"/>
  <c r="G43" i="6"/>
  <c r="E43" i="5"/>
  <c r="G44" i="6"/>
  <c r="E44" i="5"/>
  <c r="G45" i="6"/>
  <c r="M45" i="6"/>
  <c r="U16" i="6"/>
  <c r="G106" i="7"/>
  <c r="H45" i="5"/>
  <c r="B44" i="5"/>
  <c r="B46" i="6"/>
  <c r="H46" i="5"/>
  <c r="B45" i="5"/>
  <c r="B47" i="6"/>
  <c r="H47" i="5"/>
  <c r="B46" i="5"/>
  <c r="B48" i="6"/>
  <c r="H48" i="6"/>
  <c r="P17" i="6"/>
  <c r="B107" i="7"/>
  <c r="D45" i="5"/>
  <c r="G44" i="5"/>
  <c r="C46" i="6"/>
  <c r="D46" i="5"/>
  <c r="G45" i="5"/>
  <c r="C47" i="6"/>
  <c r="D47" i="5"/>
  <c r="G46" i="5"/>
  <c r="C48" i="6"/>
  <c r="I48" i="6"/>
  <c r="Q17" i="6"/>
  <c r="C107" i="7"/>
  <c r="N45" i="5"/>
  <c r="E46" i="6"/>
  <c r="N46" i="5"/>
  <c r="E47" i="6"/>
  <c r="N47" i="5"/>
  <c r="E48" i="6"/>
  <c r="K48" i="6"/>
  <c r="S17" i="6"/>
  <c r="E107" i="7"/>
  <c r="M45" i="5"/>
  <c r="F46" i="6"/>
  <c r="M46" i="5"/>
  <c r="F47" i="6"/>
  <c r="M47" i="5"/>
  <c r="F48" i="6"/>
  <c r="L48" i="6"/>
  <c r="T17" i="6"/>
  <c r="F107" i="7"/>
  <c r="E45" i="5"/>
  <c r="G46" i="6"/>
  <c r="E46" i="5"/>
  <c r="G47" i="6"/>
  <c r="E47" i="5"/>
  <c r="G48" i="6"/>
  <c r="M48" i="6"/>
  <c r="U17" i="6"/>
  <c r="G107" i="7"/>
  <c r="H48" i="5"/>
  <c r="B47" i="5"/>
  <c r="B49" i="6"/>
  <c r="H49" i="5"/>
  <c r="B48" i="5"/>
  <c r="B50" i="6"/>
  <c r="H50" i="5"/>
  <c r="B49" i="5"/>
  <c r="B51" i="6"/>
  <c r="H51" i="6"/>
  <c r="P18" i="6"/>
  <c r="B108" i="7"/>
  <c r="D48" i="5"/>
  <c r="G47" i="5"/>
  <c r="C49" i="6"/>
  <c r="D49" i="5"/>
  <c r="G48" i="5"/>
  <c r="C50" i="6"/>
  <c r="D50" i="5"/>
  <c r="G49" i="5"/>
  <c r="C51" i="6"/>
  <c r="I51" i="6"/>
  <c r="Q18" i="6"/>
  <c r="C108" i="7"/>
  <c r="N48" i="5"/>
  <c r="E49" i="6"/>
  <c r="N49" i="5"/>
  <c r="E50" i="6"/>
  <c r="N50" i="5"/>
  <c r="E51" i="6"/>
  <c r="K51" i="6"/>
  <c r="S18" i="6"/>
  <c r="E108" i="7"/>
  <c r="M48" i="5"/>
  <c r="F49" i="6"/>
  <c r="M49" i="5"/>
  <c r="F50" i="6"/>
  <c r="M50" i="5"/>
  <c r="F51" i="6"/>
  <c r="L51" i="6"/>
  <c r="T18" i="6"/>
  <c r="F108" i="7"/>
  <c r="E48" i="5"/>
  <c r="G49" i="6"/>
  <c r="E49" i="5"/>
  <c r="G50" i="6"/>
  <c r="E50" i="5"/>
  <c r="G51" i="6"/>
  <c r="M51" i="6"/>
  <c r="U18" i="6"/>
  <c r="G108" i="7"/>
  <c r="H51" i="5"/>
  <c r="B50" i="5"/>
  <c r="B52" i="6"/>
  <c r="H52" i="5"/>
  <c r="B51" i="5"/>
  <c r="B53" i="6"/>
  <c r="H53" i="5"/>
  <c r="B52" i="5"/>
  <c r="B54" i="6"/>
  <c r="H54" i="6"/>
  <c r="P19" i="6"/>
  <c r="B109" i="7"/>
  <c r="D51" i="5"/>
  <c r="G50" i="5"/>
  <c r="C52" i="6"/>
  <c r="D52" i="5"/>
  <c r="G51" i="5"/>
  <c r="C53" i="6"/>
  <c r="D53" i="5"/>
  <c r="G52" i="5"/>
  <c r="C54" i="6"/>
  <c r="I54" i="6"/>
  <c r="Q19" i="6"/>
  <c r="C109" i="7"/>
  <c r="N51" i="5"/>
  <c r="E52" i="6"/>
  <c r="N52" i="5"/>
  <c r="E53" i="6"/>
  <c r="N53" i="5"/>
  <c r="E54" i="6"/>
  <c r="K54" i="6"/>
  <c r="S19" i="6"/>
  <c r="E109" i="7"/>
  <c r="M51" i="5"/>
  <c r="F52" i="6"/>
  <c r="M52" i="5"/>
  <c r="F53" i="6"/>
  <c r="M53" i="5"/>
  <c r="F54" i="6"/>
  <c r="L54" i="6"/>
  <c r="T19" i="6"/>
  <c r="F109" i="7"/>
  <c r="E51" i="5"/>
  <c r="G52" i="6"/>
  <c r="E52" i="5"/>
  <c r="G53" i="6"/>
  <c r="E53" i="5"/>
  <c r="G54" i="6"/>
  <c r="M54" i="6"/>
  <c r="U19" i="6"/>
  <c r="G109" i="7"/>
  <c r="H54" i="5"/>
  <c r="B53" i="5"/>
  <c r="B55" i="6"/>
  <c r="H55" i="5"/>
  <c r="B54" i="5"/>
  <c r="B56" i="6"/>
  <c r="H56" i="5"/>
  <c r="B55" i="5"/>
  <c r="B57" i="6"/>
  <c r="H57" i="6"/>
  <c r="P20" i="6"/>
  <c r="B110" i="7"/>
  <c r="D54" i="5"/>
  <c r="G53" i="5"/>
  <c r="C55" i="6"/>
  <c r="D55" i="5"/>
  <c r="G54" i="5"/>
  <c r="C56" i="6"/>
  <c r="D56" i="5"/>
  <c r="G55" i="5"/>
  <c r="C57" i="6"/>
  <c r="I57" i="6"/>
  <c r="Q20" i="6"/>
  <c r="C110" i="7"/>
  <c r="N54" i="5"/>
  <c r="E55" i="6"/>
  <c r="N55" i="5"/>
  <c r="E56" i="6"/>
  <c r="N56" i="5"/>
  <c r="E57" i="6"/>
  <c r="K57" i="6"/>
  <c r="S20" i="6"/>
  <c r="E110" i="7"/>
  <c r="M54" i="5"/>
  <c r="F55" i="6"/>
  <c r="M55" i="5"/>
  <c r="F56" i="6"/>
  <c r="M56" i="5"/>
  <c r="F57" i="6"/>
  <c r="L57" i="6"/>
  <c r="T20" i="6"/>
  <c r="F110" i="7"/>
  <c r="E54" i="5"/>
  <c r="G55" i="6"/>
  <c r="E55" i="5"/>
  <c r="G56" i="6"/>
  <c r="E56" i="5"/>
  <c r="G57" i="6"/>
  <c r="M57" i="6"/>
  <c r="U20" i="6"/>
  <c r="G110" i="7"/>
  <c r="H57" i="5"/>
  <c r="B56" i="5"/>
  <c r="B58" i="6"/>
  <c r="H58" i="5"/>
  <c r="B57" i="5"/>
  <c r="B59" i="6"/>
  <c r="H59" i="5"/>
  <c r="B58" i="5"/>
  <c r="B60" i="6"/>
  <c r="H60" i="6"/>
  <c r="P21" i="6"/>
  <c r="B111" i="7"/>
  <c r="D57" i="5"/>
  <c r="G56" i="5"/>
  <c r="C58" i="6"/>
  <c r="D58" i="5"/>
  <c r="G57" i="5"/>
  <c r="C59" i="6"/>
  <c r="D59" i="5"/>
  <c r="G58" i="5"/>
  <c r="C60" i="6"/>
  <c r="I60" i="6"/>
  <c r="Q21" i="6"/>
  <c r="C111" i="7"/>
  <c r="N57" i="5"/>
  <c r="E58" i="6"/>
  <c r="N58" i="5"/>
  <c r="E59" i="6"/>
  <c r="N59" i="5"/>
  <c r="E60" i="6"/>
  <c r="K60" i="6"/>
  <c r="S21" i="6"/>
  <c r="E111" i="7"/>
  <c r="M57" i="5"/>
  <c r="F58" i="6"/>
  <c r="M58" i="5"/>
  <c r="F59" i="6"/>
  <c r="M59" i="5"/>
  <c r="F60" i="6"/>
  <c r="L60" i="6"/>
  <c r="T21" i="6"/>
  <c r="F111" i="7"/>
  <c r="E57" i="5"/>
  <c r="G58" i="6"/>
  <c r="E58" i="5"/>
  <c r="G59" i="6"/>
  <c r="E59" i="5"/>
  <c r="G60" i="6"/>
  <c r="M60" i="6"/>
  <c r="U21" i="6"/>
  <c r="G111" i="7"/>
  <c r="H60" i="5"/>
  <c r="B59" i="5"/>
  <c r="B61" i="6"/>
  <c r="H61" i="5"/>
  <c r="B60" i="5"/>
  <c r="B62" i="6"/>
  <c r="H62" i="5"/>
  <c r="B61" i="5"/>
  <c r="B63" i="6"/>
  <c r="H63" i="6"/>
  <c r="P22" i="6"/>
  <c r="B112" i="7"/>
  <c r="D60" i="5"/>
  <c r="G59" i="5"/>
  <c r="C61" i="6"/>
  <c r="D61" i="5"/>
  <c r="G60" i="5"/>
  <c r="C62" i="6"/>
  <c r="D62" i="5"/>
  <c r="G61" i="5"/>
  <c r="C63" i="6"/>
  <c r="I63" i="6"/>
  <c r="Q22" i="6"/>
  <c r="C112" i="7"/>
  <c r="N60" i="5"/>
  <c r="E61" i="6"/>
  <c r="N61" i="5"/>
  <c r="E62" i="6"/>
  <c r="N62" i="5"/>
  <c r="E63" i="6"/>
  <c r="K63" i="6"/>
  <c r="S22" i="6"/>
  <c r="E112" i="7"/>
  <c r="M60" i="5"/>
  <c r="F61" i="6"/>
  <c r="M61" i="5"/>
  <c r="F62" i="6"/>
  <c r="M62" i="5"/>
  <c r="F63" i="6"/>
  <c r="L63" i="6"/>
  <c r="T22" i="6"/>
  <c r="F112" i="7"/>
  <c r="E60" i="5"/>
  <c r="G61" i="6"/>
  <c r="E61" i="5"/>
  <c r="G62" i="6"/>
  <c r="E62" i="5"/>
  <c r="G63" i="6"/>
  <c r="M63" i="6"/>
  <c r="U22" i="6"/>
  <c r="G112" i="7"/>
  <c r="H63" i="5"/>
  <c r="B62" i="5"/>
  <c r="B64" i="6"/>
  <c r="H64" i="5"/>
  <c r="B63" i="5"/>
  <c r="B65" i="6"/>
  <c r="H65" i="5"/>
  <c r="B64" i="5"/>
  <c r="B66" i="6"/>
  <c r="H66" i="6"/>
  <c r="P23" i="6"/>
  <c r="B113" i="7"/>
  <c r="D63" i="5"/>
  <c r="G62" i="5"/>
  <c r="C64" i="6"/>
  <c r="D64" i="5"/>
  <c r="G63" i="5"/>
  <c r="C65" i="6"/>
  <c r="D65" i="5"/>
  <c r="G64" i="5"/>
  <c r="C66" i="6"/>
  <c r="I66" i="6"/>
  <c r="Q23" i="6"/>
  <c r="C113" i="7"/>
  <c r="N63" i="5"/>
  <c r="E64" i="6"/>
  <c r="N64" i="5"/>
  <c r="E65" i="6"/>
  <c r="N65" i="5"/>
  <c r="E66" i="6"/>
  <c r="K66" i="6"/>
  <c r="S23" i="6"/>
  <c r="E113" i="7"/>
  <c r="M63" i="5"/>
  <c r="F64" i="6"/>
  <c r="M64" i="5"/>
  <c r="F65" i="6"/>
  <c r="M65" i="5"/>
  <c r="F66" i="6"/>
  <c r="L66" i="6"/>
  <c r="T23" i="6"/>
  <c r="F113" i="7"/>
  <c r="E63" i="5"/>
  <c r="G64" i="6"/>
  <c r="E64" i="5"/>
  <c r="G65" i="6"/>
  <c r="E65" i="5"/>
  <c r="G66" i="6"/>
  <c r="M66" i="6"/>
  <c r="U23" i="6"/>
  <c r="G113" i="7"/>
  <c r="H66" i="5"/>
  <c r="B65" i="5"/>
  <c r="B67" i="6"/>
  <c r="H67" i="5"/>
  <c r="B66" i="5"/>
  <c r="B68" i="6"/>
  <c r="H68" i="5"/>
  <c r="B67" i="5"/>
  <c r="B69" i="6"/>
  <c r="H69" i="6"/>
  <c r="P24" i="6"/>
  <c r="B114" i="7"/>
  <c r="D66" i="5"/>
  <c r="G65" i="5"/>
  <c r="C67" i="6"/>
  <c r="D67" i="5"/>
  <c r="G66" i="5"/>
  <c r="C68" i="6"/>
  <c r="D68" i="5"/>
  <c r="G67" i="5"/>
  <c r="C69" i="6"/>
  <c r="I69" i="6"/>
  <c r="Q24" i="6"/>
  <c r="C114" i="7"/>
  <c r="N66" i="5"/>
  <c r="E67" i="6"/>
  <c r="N67" i="5"/>
  <c r="E68" i="6"/>
  <c r="N68" i="5"/>
  <c r="E69" i="6"/>
  <c r="K69" i="6"/>
  <c r="S24" i="6"/>
  <c r="E114" i="7"/>
  <c r="M66" i="5"/>
  <c r="F67" i="6"/>
  <c r="M67" i="5"/>
  <c r="F68" i="6"/>
  <c r="M68" i="5"/>
  <c r="F69" i="6"/>
  <c r="L69" i="6"/>
  <c r="T24" i="6"/>
  <c r="F114" i="7"/>
  <c r="E66" i="5"/>
  <c r="G67" i="6"/>
  <c r="E67" i="5"/>
  <c r="G68" i="6"/>
  <c r="E68" i="5"/>
  <c r="G69" i="6"/>
  <c r="M69" i="6"/>
  <c r="U24" i="6"/>
  <c r="G114" i="7"/>
  <c r="H69" i="5"/>
  <c r="B68" i="5"/>
  <c r="B70" i="6"/>
  <c r="H70" i="5"/>
  <c r="B69" i="5"/>
  <c r="B71" i="6"/>
  <c r="H71" i="5"/>
  <c r="B70" i="5"/>
  <c r="B72" i="6"/>
  <c r="H72" i="6"/>
  <c r="P25" i="6"/>
  <c r="B115" i="7"/>
  <c r="D69" i="5"/>
  <c r="G68" i="5"/>
  <c r="C70" i="6"/>
  <c r="D70" i="5"/>
  <c r="G69" i="5"/>
  <c r="C71" i="6"/>
  <c r="D71" i="5"/>
  <c r="G70" i="5"/>
  <c r="C72" i="6"/>
  <c r="I72" i="6"/>
  <c r="Q25" i="6"/>
  <c r="C115" i="7"/>
  <c r="N69" i="5"/>
  <c r="E70" i="6"/>
  <c r="N70" i="5"/>
  <c r="E71" i="6"/>
  <c r="N71" i="5"/>
  <c r="E72" i="6"/>
  <c r="K72" i="6"/>
  <c r="S25" i="6"/>
  <c r="E115" i="7"/>
  <c r="M69" i="5"/>
  <c r="F70" i="6"/>
  <c r="M70" i="5"/>
  <c r="F71" i="6"/>
  <c r="M71" i="5"/>
  <c r="F72" i="6"/>
  <c r="L72" i="6"/>
  <c r="T25" i="6"/>
  <c r="F115" i="7"/>
  <c r="E69" i="5"/>
  <c r="G70" i="6"/>
  <c r="E70" i="5"/>
  <c r="G71" i="6"/>
  <c r="E71" i="5"/>
  <c r="G72" i="6"/>
  <c r="M72" i="6"/>
  <c r="U25" i="6"/>
  <c r="G115" i="7"/>
  <c r="H72" i="5"/>
  <c r="B71" i="5"/>
  <c r="B73" i="6"/>
  <c r="H73" i="5"/>
  <c r="B72" i="5"/>
  <c r="B74" i="6"/>
  <c r="H74" i="5"/>
  <c r="B73" i="5"/>
  <c r="B75" i="6"/>
  <c r="H75" i="6"/>
  <c r="P26" i="6"/>
  <c r="B116" i="7"/>
  <c r="D72" i="5"/>
  <c r="G71" i="5"/>
  <c r="C73" i="6"/>
  <c r="D73" i="5"/>
  <c r="G72" i="5"/>
  <c r="C74" i="6"/>
  <c r="D74" i="5"/>
  <c r="G73" i="5"/>
  <c r="C75" i="6"/>
  <c r="I75" i="6"/>
  <c r="Q26" i="6"/>
  <c r="C116" i="7"/>
  <c r="N72" i="5"/>
  <c r="E73" i="6"/>
  <c r="N73" i="5"/>
  <c r="E74" i="6"/>
  <c r="N74" i="5"/>
  <c r="E75" i="6"/>
  <c r="K75" i="6"/>
  <c r="S26" i="6"/>
  <c r="E116" i="7"/>
  <c r="M72" i="5"/>
  <c r="F73" i="6"/>
  <c r="M73" i="5"/>
  <c r="F74" i="6"/>
  <c r="M74" i="5"/>
  <c r="F75" i="6"/>
  <c r="L75" i="6"/>
  <c r="T26" i="6"/>
  <c r="F116" i="7"/>
  <c r="E72" i="5"/>
  <c r="G73" i="6"/>
  <c r="E73" i="5"/>
  <c r="G74" i="6"/>
  <c r="E74" i="5"/>
  <c r="G75" i="6"/>
  <c r="M75" i="6"/>
  <c r="U26" i="6"/>
  <c r="G116" i="7"/>
  <c r="H75" i="5"/>
  <c r="B74" i="5"/>
  <c r="B76" i="6"/>
  <c r="H76" i="5"/>
  <c r="B75" i="5"/>
  <c r="B77" i="6"/>
  <c r="H77" i="5"/>
  <c r="B76" i="5"/>
  <c r="B78" i="6"/>
  <c r="H78" i="6"/>
  <c r="P27" i="6"/>
  <c r="B117" i="7"/>
  <c r="D75" i="5"/>
  <c r="G74" i="5"/>
  <c r="C76" i="6"/>
  <c r="D76" i="5"/>
  <c r="G75" i="5"/>
  <c r="C77" i="6"/>
  <c r="D77" i="5"/>
  <c r="G76" i="5"/>
  <c r="C78" i="6"/>
  <c r="I78" i="6"/>
  <c r="Q27" i="6"/>
  <c r="C117" i="7"/>
  <c r="N75" i="5"/>
  <c r="E76" i="6"/>
  <c r="N76" i="5"/>
  <c r="E77" i="6"/>
  <c r="N77" i="5"/>
  <c r="E78" i="6"/>
  <c r="K78" i="6"/>
  <c r="S27" i="6"/>
  <c r="E117" i="7"/>
  <c r="M75" i="5"/>
  <c r="F76" i="6"/>
  <c r="M76" i="5"/>
  <c r="F77" i="6"/>
  <c r="M77" i="5"/>
  <c r="F78" i="6"/>
  <c r="L78" i="6"/>
  <c r="T27" i="6"/>
  <c r="F117" i="7"/>
  <c r="E75" i="5"/>
  <c r="G76" i="6"/>
  <c r="E76" i="5"/>
  <c r="G77" i="6"/>
  <c r="E77" i="5"/>
  <c r="G78" i="6"/>
  <c r="M78" i="6"/>
  <c r="U27" i="6"/>
  <c r="G117" i="7"/>
  <c r="H78" i="5"/>
  <c r="B77" i="5"/>
  <c r="B79" i="6"/>
  <c r="H79" i="5"/>
  <c r="B78" i="5"/>
  <c r="B80" i="6"/>
  <c r="H80" i="5"/>
  <c r="B79" i="5"/>
  <c r="B81" i="6"/>
  <c r="H81" i="6"/>
  <c r="P28" i="6"/>
  <c r="B118" i="7"/>
  <c r="D78" i="5"/>
  <c r="G77" i="5"/>
  <c r="C79" i="6"/>
  <c r="D79" i="5"/>
  <c r="G78" i="5"/>
  <c r="C80" i="6"/>
  <c r="D80" i="5"/>
  <c r="G79" i="5"/>
  <c r="C81" i="6"/>
  <c r="I81" i="6"/>
  <c r="Q28" i="6"/>
  <c r="C118" i="7"/>
  <c r="N78" i="5"/>
  <c r="E79" i="6"/>
  <c r="N79" i="5"/>
  <c r="E80" i="6"/>
  <c r="N80" i="5"/>
  <c r="E81" i="6"/>
  <c r="K81" i="6"/>
  <c r="S28" i="6"/>
  <c r="E118" i="7"/>
  <c r="M78" i="5"/>
  <c r="F79" i="6"/>
  <c r="M79" i="5"/>
  <c r="F80" i="6"/>
  <c r="M80" i="5"/>
  <c r="F81" i="6"/>
  <c r="L81" i="6"/>
  <c r="T28" i="6"/>
  <c r="F118" i="7"/>
  <c r="E78" i="5"/>
  <c r="G79" i="6"/>
  <c r="E79" i="5"/>
  <c r="G80" i="6"/>
  <c r="E80" i="5"/>
  <c r="G81" i="6"/>
  <c r="M81" i="6"/>
  <c r="U28" i="6"/>
  <c r="G118" i="7"/>
  <c r="H81" i="5"/>
  <c r="B80" i="5"/>
  <c r="B82" i="6"/>
  <c r="H82" i="5"/>
  <c r="B81" i="5"/>
  <c r="B83" i="6"/>
  <c r="H83" i="5"/>
  <c r="B82" i="5"/>
  <c r="B84" i="6"/>
  <c r="H84" i="6"/>
  <c r="P29" i="6"/>
  <c r="B119" i="7"/>
  <c r="D81" i="5"/>
  <c r="G80" i="5"/>
  <c r="C82" i="6"/>
  <c r="D82" i="5"/>
  <c r="G81" i="5"/>
  <c r="C83" i="6"/>
  <c r="D83" i="5"/>
  <c r="G82" i="5"/>
  <c r="C84" i="6"/>
  <c r="I84" i="6"/>
  <c r="Q29" i="6"/>
  <c r="C119" i="7"/>
  <c r="N81" i="5"/>
  <c r="E82" i="6"/>
  <c r="N82" i="5"/>
  <c r="E83" i="6"/>
  <c r="N83" i="5"/>
  <c r="E84" i="6"/>
  <c r="K84" i="6"/>
  <c r="S29" i="6"/>
  <c r="E119" i="7"/>
  <c r="M81" i="5"/>
  <c r="F82" i="6"/>
  <c r="M82" i="5"/>
  <c r="F83" i="6"/>
  <c r="M83" i="5"/>
  <c r="F84" i="6"/>
  <c r="L84" i="6"/>
  <c r="T29" i="6"/>
  <c r="F119" i="7"/>
  <c r="E81" i="5"/>
  <c r="G82" i="6"/>
  <c r="E82" i="5"/>
  <c r="G83" i="6"/>
  <c r="E83" i="5"/>
  <c r="G84" i="6"/>
  <c r="M84" i="6"/>
  <c r="U29" i="6"/>
  <c r="G119" i="7"/>
  <c r="H84" i="5"/>
  <c r="B83" i="5"/>
  <c r="B85" i="6"/>
  <c r="H85" i="5"/>
  <c r="B84" i="5"/>
  <c r="B86" i="6"/>
  <c r="H86" i="5"/>
  <c r="B85" i="5"/>
  <c r="B87" i="6"/>
  <c r="H87" i="6"/>
  <c r="P30" i="6"/>
  <c r="B120" i="7"/>
  <c r="D84" i="5"/>
  <c r="G83" i="5"/>
  <c r="C85" i="6"/>
  <c r="D85" i="5"/>
  <c r="G84" i="5"/>
  <c r="C86" i="6"/>
  <c r="D86" i="5"/>
  <c r="G85" i="5"/>
  <c r="C87" i="6"/>
  <c r="I87" i="6"/>
  <c r="Q30" i="6"/>
  <c r="C120" i="7"/>
  <c r="N84" i="5"/>
  <c r="E85" i="6"/>
  <c r="N85" i="5"/>
  <c r="E86" i="6"/>
  <c r="N86" i="5"/>
  <c r="E87" i="6"/>
  <c r="K87" i="6"/>
  <c r="S30" i="6"/>
  <c r="E120" i="7"/>
  <c r="M84" i="5"/>
  <c r="F85" i="6"/>
  <c r="M85" i="5"/>
  <c r="F86" i="6"/>
  <c r="M86" i="5"/>
  <c r="F87" i="6"/>
  <c r="L87" i="6"/>
  <c r="T30" i="6"/>
  <c r="F120" i="7"/>
  <c r="E84" i="5"/>
  <c r="G85" i="6"/>
  <c r="E85" i="5"/>
  <c r="G86" i="6"/>
  <c r="E86" i="5"/>
  <c r="G87" i="6"/>
  <c r="M87" i="6"/>
  <c r="U30" i="6"/>
  <c r="G120" i="7"/>
  <c r="H87" i="5"/>
  <c r="B86" i="5"/>
  <c r="B88" i="6"/>
  <c r="H88" i="5"/>
  <c r="B87" i="5"/>
  <c r="B89" i="6"/>
  <c r="H89" i="5"/>
  <c r="B88" i="5"/>
  <c r="B90" i="6"/>
  <c r="H90" i="6"/>
  <c r="P31" i="6"/>
  <c r="B121" i="7"/>
  <c r="D87" i="5"/>
  <c r="G86" i="5"/>
  <c r="C88" i="6"/>
  <c r="D88" i="5"/>
  <c r="G87" i="5"/>
  <c r="C89" i="6"/>
  <c r="D89" i="5"/>
  <c r="G88" i="5"/>
  <c r="C90" i="6"/>
  <c r="I90" i="6"/>
  <c r="Q31" i="6"/>
  <c r="C121" i="7"/>
  <c r="N87" i="5"/>
  <c r="E88" i="6"/>
  <c r="N88" i="5"/>
  <c r="E89" i="6"/>
  <c r="N89" i="5"/>
  <c r="E90" i="6"/>
  <c r="K90" i="6"/>
  <c r="S31" i="6"/>
  <c r="E121" i="7"/>
  <c r="M87" i="5"/>
  <c r="F88" i="6"/>
  <c r="M88" i="5"/>
  <c r="F89" i="6"/>
  <c r="M89" i="5"/>
  <c r="F90" i="6"/>
  <c r="L90" i="6"/>
  <c r="T31" i="6"/>
  <c r="F121" i="7"/>
  <c r="E87" i="5"/>
  <c r="G88" i="6"/>
  <c r="E88" i="5"/>
  <c r="G89" i="6"/>
  <c r="E89" i="5"/>
  <c r="G90" i="6"/>
  <c r="M90" i="6"/>
  <c r="U31" i="6"/>
  <c r="G121" i="7"/>
  <c r="H90" i="5"/>
  <c r="B89" i="5"/>
  <c r="B91" i="6"/>
  <c r="H91" i="5"/>
  <c r="B90" i="5"/>
  <c r="B92" i="6"/>
  <c r="H92" i="5"/>
  <c r="B91" i="5"/>
  <c r="B93" i="6"/>
  <c r="H93" i="6"/>
  <c r="P32" i="6"/>
  <c r="B122" i="7"/>
  <c r="D90" i="5"/>
  <c r="G89" i="5"/>
  <c r="C91" i="6"/>
  <c r="D91" i="5"/>
  <c r="G90" i="5"/>
  <c r="C92" i="6"/>
  <c r="D92" i="5"/>
  <c r="G91" i="5"/>
  <c r="C93" i="6"/>
  <c r="I93" i="6"/>
  <c r="Q32" i="6"/>
  <c r="C122" i="7"/>
  <c r="N90" i="5"/>
  <c r="E91" i="6"/>
  <c r="N91" i="5"/>
  <c r="E92" i="6"/>
  <c r="N92" i="5"/>
  <c r="E93" i="6"/>
  <c r="K93" i="6"/>
  <c r="S32" i="6"/>
  <c r="E122" i="7"/>
  <c r="M90" i="5"/>
  <c r="F91" i="6"/>
  <c r="M91" i="5"/>
  <c r="F92" i="6"/>
  <c r="M92" i="5"/>
  <c r="F93" i="6"/>
  <c r="L93" i="6"/>
  <c r="T32" i="6"/>
  <c r="F122" i="7"/>
  <c r="E90" i="5"/>
  <c r="G91" i="6"/>
  <c r="E91" i="5"/>
  <c r="G92" i="6"/>
  <c r="E92" i="5"/>
  <c r="G93" i="6"/>
  <c r="M93" i="6"/>
  <c r="U32" i="6"/>
  <c r="G122" i="7"/>
  <c r="H93" i="5"/>
  <c r="B92" i="5"/>
  <c r="B94" i="6"/>
  <c r="H94" i="5"/>
  <c r="B93" i="5"/>
  <c r="B95" i="6"/>
  <c r="H95" i="5"/>
  <c r="B94" i="5"/>
  <c r="B96" i="6"/>
  <c r="H96" i="6"/>
  <c r="P33" i="6"/>
  <c r="B123" i="7"/>
  <c r="D93" i="5"/>
  <c r="G92" i="5"/>
  <c r="C94" i="6"/>
  <c r="D94" i="5"/>
  <c r="G93" i="5"/>
  <c r="C95" i="6"/>
  <c r="D95" i="5"/>
  <c r="G94" i="5"/>
  <c r="C96" i="6"/>
  <c r="I96" i="6"/>
  <c r="Q33" i="6"/>
  <c r="C123" i="7"/>
  <c r="N93" i="5"/>
  <c r="E94" i="6"/>
  <c r="N94" i="5"/>
  <c r="E95" i="6"/>
  <c r="N95" i="5"/>
  <c r="E96" i="6"/>
  <c r="K96" i="6"/>
  <c r="S33" i="6"/>
  <c r="E123" i="7"/>
  <c r="M93" i="5"/>
  <c r="F94" i="6"/>
  <c r="M94" i="5"/>
  <c r="F95" i="6"/>
  <c r="M95" i="5"/>
  <c r="F96" i="6"/>
  <c r="L96" i="6"/>
  <c r="T33" i="6"/>
  <c r="F123" i="7"/>
  <c r="E93" i="5"/>
  <c r="G94" i="6"/>
  <c r="E94" i="5"/>
  <c r="G95" i="6"/>
  <c r="E95" i="5"/>
  <c r="G96" i="6"/>
  <c r="M96" i="6"/>
  <c r="U33" i="6"/>
  <c r="G123" i="7"/>
  <c r="H96" i="5"/>
  <c r="B95" i="5"/>
  <c r="B97" i="6"/>
  <c r="H97" i="5"/>
  <c r="B96" i="5"/>
  <c r="B98" i="6"/>
  <c r="H98" i="5"/>
  <c r="B97" i="5"/>
  <c r="B99" i="6"/>
  <c r="H99" i="6"/>
  <c r="P34" i="6"/>
  <c r="B124" i="7"/>
  <c r="D96" i="5"/>
  <c r="G95" i="5"/>
  <c r="C97" i="6"/>
  <c r="D97" i="5"/>
  <c r="G96" i="5"/>
  <c r="C98" i="6"/>
  <c r="D98" i="5"/>
  <c r="G97" i="5"/>
  <c r="C99" i="6"/>
  <c r="I99" i="6"/>
  <c r="Q34" i="6"/>
  <c r="C124" i="7"/>
  <c r="N96" i="5"/>
  <c r="E97" i="6"/>
  <c r="N97" i="5"/>
  <c r="E98" i="6"/>
  <c r="N98" i="5"/>
  <c r="E99" i="6"/>
  <c r="K99" i="6"/>
  <c r="S34" i="6"/>
  <c r="E124" i="7"/>
  <c r="M96" i="5"/>
  <c r="F97" i="6"/>
  <c r="M97" i="5"/>
  <c r="F98" i="6"/>
  <c r="M98" i="5"/>
  <c r="F99" i="6"/>
  <c r="L99" i="6"/>
  <c r="T34" i="6"/>
  <c r="F124" i="7"/>
  <c r="E96" i="5"/>
  <c r="G97" i="6"/>
  <c r="E97" i="5"/>
  <c r="G98" i="6"/>
  <c r="E98" i="5"/>
  <c r="G99" i="6"/>
  <c r="M99" i="6"/>
  <c r="U34" i="6"/>
  <c r="G124" i="7"/>
  <c r="H99" i="5"/>
  <c r="B98" i="5"/>
  <c r="B100" i="6"/>
  <c r="H100" i="5"/>
  <c r="B99" i="5"/>
  <c r="B101" i="6"/>
  <c r="H101" i="5"/>
  <c r="B100" i="5"/>
  <c r="B102" i="6"/>
  <c r="H102" i="6"/>
  <c r="P35" i="6"/>
  <c r="B125" i="7"/>
  <c r="D99" i="5"/>
  <c r="G98" i="5"/>
  <c r="C100" i="6"/>
  <c r="D100" i="5"/>
  <c r="G99" i="5"/>
  <c r="C101" i="6"/>
  <c r="D101" i="5"/>
  <c r="G100" i="5"/>
  <c r="C102" i="6"/>
  <c r="I102" i="6"/>
  <c r="Q35" i="6"/>
  <c r="C125" i="7"/>
  <c r="N99" i="5"/>
  <c r="E100" i="6"/>
  <c r="N100" i="5"/>
  <c r="E101" i="6"/>
  <c r="N101" i="5"/>
  <c r="E102" i="6"/>
  <c r="K102" i="6"/>
  <c r="S35" i="6"/>
  <c r="E125" i="7"/>
  <c r="M99" i="5"/>
  <c r="F100" i="6"/>
  <c r="M100" i="5"/>
  <c r="F101" i="6"/>
  <c r="M101" i="5"/>
  <c r="F102" i="6"/>
  <c r="L102" i="6"/>
  <c r="T35" i="6"/>
  <c r="F125" i="7"/>
  <c r="E99" i="5"/>
  <c r="G100" i="6"/>
  <c r="E100" i="5"/>
  <c r="G101" i="6"/>
  <c r="E101" i="5"/>
  <c r="G102" i="6"/>
  <c r="M102" i="6"/>
  <c r="U35" i="6"/>
  <c r="G125" i="7"/>
  <c r="H102" i="5"/>
  <c r="B101" i="5"/>
  <c r="B103" i="6"/>
  <c r="H103" i="5"/>
  <c r="B102" i="5"/>
  <c r="B104" i="6"/>
  <c r="H104" i="5"/>
  <c r="B103" i="5"/>
  <c r="B105" i="6"/>
  <c r="H105" i="6"/>
  <c r="P36" i="6"/>
  <c r="B126" i="7"/>
  <c r="D102" i="5"/>
  <c r="G101" i="5"/>
  <c r="C103" i="6"/>
  <c r="D103" i="5"/>
  <c r="G102" i="5"/>
  <c r="C104" i="6"/>
  <c r="D104" i="5"/>
  <c r="G103" i="5"/>
  <c r="C105" i="6"/>
  <c r="I105" i="6"/>
  <c r="Q36" i="6"/>
  <c r="C126" i="7"/>
  <c r="N102" i="5"/>
  <c r="E103" i="6"/>
  <c r="N103" i="5"/>
  <c r="E104" i="6"/>
  <c r="N104" i="5"/>
  <c r="E105" i="6"/>
  <c r="K105" i="6"/>
  <c r="S36" i="6"/>
  <c r="E126" i="7"/>
  <c r="M102" i="5"/>
  <c r="F103" i="6"/>
  <c r="M103" i="5"/>
  <c r="F104" i="6"/>
  <c r="M104" i="5"/>
  <c r="F105" i="6"/>
  <c r="L105" i="6"/>
  <c r="T36" i="6"/>
  <c r="F126" i="7"/>
  <c r="E102" i="5"/>
  <c r="G103" i="6"/>
  <c r="E103" i="5"/>
  <c r="G104" i="6"/>
  <c r="E104" i="5"/>
  <c r="G105" i="6"/>
  <c r="M105" i="6"/>
  <c r="U36" i="6"/>
  <c r="G126" i="7"/>
  <c r="H105" i="5"/>
  <c r="B104" i="5"/>
  <c r="B106" i="6"/>
  <c r="H106" i="5"/>
  <c r="B105" i="5"/>
  <c r="B107" i="6"/>
  <c r="H107" i="5"/>
  <c r="B106" i="5"/>
  <c r="B108" i="6"/>
  <c r="H108" i="6"/>
  <c r="P37" i="6"/>
  <c r="B127" i="7"/>
  <c r="D105" i="5"/>
  <c r="G104" i="5"/>
  <c r="C106" i="6"/>
  <c r="D106" i="5"/>
  <c r="G105" i="5"/>
  <c r="C107" i="6"/>
  <c r="D107" i="5"/>
  <c r="G106" i="5"/>
  <c r="C108" i="6"/>
  <c r="I108" i="6"/>
  <c r="Q37" i="6"/>
  <c r="C127" i="7"/>
  <c r="N105" i="5"/>
  <c r="E106" i="6"/>
  <c r="N106" i="5"/>
  <c r="E107" i="6"/>
  <c r="N107" i="5"/>
  <c r="E108" i="6"/>
  <c r="K108" i="6"/>
  <c r="S37" i="6"/>
  <c r="E127" i="7"/>
  <c r="M105" i="5"/>
  <c r="F106" i="6"/>
  <c r="M106" i="5"/>
  <c r="F107" i="6"/>
  <c r="M107" i="5"/>
  <c r="F108" i="6"/>
  <c r="L108" i="6"/>
  <c r="T37" i="6"/>
  <c r="F127" i="7"/>
  <c r="E105" i="5"/>
  <c r="G106" i="6"/>
  <c r="E106" i="5"/>
  <c r="G107" i="6"/>
  <c r="E107" i="5"/>
  <c r="G108" i="6"/>
  <c r="M108" i="6"/>
  <c r="U37" i="6"/>
  <c r="G127" i="7"/>
  <c r="H108" i="5"/>
  <c r="B107" i="5"/>
  <c r="B109" i="6"/>
  <c r="H109" i="5"/>
  <c r="B108" i="5"/>
  <c r="B110" i="6"/>
  <c r="H110" i="5"/>
  <c r="B109" i="5"/>
  <c r="B111" i="6"/>
  <c r="H111" i="6"/>
  <c r="P38" i="6"/>
  <c r="B128" i="7"/>
  <c r="D108" i="5"/>
  <c r="G107" i="5"/>
  <c r="C109" i="6"/>
  <c r="D109" i="5"/>
  <c r="G108" i="5"/>
  <c r="C110" i="6"/>
  <c r="D110" i="5"/>
  <c r="G109" i="5"/>
  <c r="C111" i="6"/>
  <c r="I111" i="6"/>
  <c r="Q38" i="6"/>
  <c r="C128" i="7"/>
  <c r="N108" i="5"/>
  <c r="E109" i="6"/>
  <c r="N109" i="5"/>
  <c r="E110" i="6"/>
  <c r="N110" i="5"/>
  <c r="E111" i="6"/>
  <c r="K111" i="6"/>
  <c r="S38" i="6"/>
  <c r="E128" i="7"/>
  <c r="M108" i="5"/>
  <c r="F109" i="6"/>
  <c r="M109" i="5"/>
  <c r="F110" i="6"/>
  <c r="M110" i="5"/>
  <c r="F111" i="6"/>
  <c r="L111" i="6"/>
  <c r="T38" i="6"/>
  <c r="F128" i="7"/>
  <c r="E108" i="5"/>
  <c r="G109" i="6"/>
  <c r="E109" i="5"/>
  <c r="G110" i="6"/>
  <c r="E110" i="5"/>
  <c r="G111" i="6"/>
  <c r="M111" i="6"/>
  <c r="U38" i="6"/>
  <c r="G128" i="7"/>
  <c r="H111" i="5"/>
  <c r="B110" i="5"/>
  <c r="B112" i="6"/>
  <c r="H112" i="5"/>
  <c r="B111" i="5"/>
  <c r="B113" i="6"/>
  <c r="H113" i="5"/>
  <c r="B112" i="5"/>
  <c r="B114" i="6"/>
  <c r="H114" i="6"/>
  <c r="P39" i="6"/>
  <c r="B129" i="7"/>
  <c r="D111" i="5"/>
  <c r="G110" i="5"/>
  <c r="C112" i="6"/>
  <c r="D112" i="5"/>
  <c r="G111" i="5"/>
  <c r="C113" i="6"/>
  <c r="D113" i="5"/>
  <c r="G112" i="5"/>
  <c r="C114" i="6"/>
  <c r="I114" i="6"/>
  <c r="Q39" i="6"/>
  <c r="C129" i="7"/>
  <c r="N111" i="5"/>
  <c r="E112" i="6"/>
  <c r="N112" i="5"/>
  <c r="E113" i="6"/>
  <c r="N113" i="5"/>
  <c r="E114" i="6"/>
  <c r="K114" i="6"/>
  <c r="S39" i="6"/>
  <c r="E129" i="7"/>
  <c r="M111" i="5"/>
  <c r="F112" i="6"/>
  <c r="M112" i="5"/>
  <c r="F113" i="6"/>
  <c r="M113" i="5"/>
  <c r="F114" i="6"/>
  <c r="L114" i="6"/>
  <c r="T39" i="6"/>
  <c r="F129" i="7"/>
  <c r="E111" i="5"/>
  <c r="G112" i="6"/>
  <c r="E112" i="5"/>
  <c r="G113" i="6"/>
  <c r="E113" i="5"/>
  <c r="G114" i="6"/>
  <c r="M114" i="6"/>
  <c r="U39" i="6"/>
  <c r="G129" i="7"/>
  <c r="H114" i="5"/>
  <c r="B113" i="5"/>
  <c r="B115" i="6"/>
  <c r="H115" i="5"/>
  <c r="B114" i="5"/>
  <c r="B116" i="6"/>
  <c r="H116" i="5"/>
  <c r="B115" i="5"/>
  <c r="B117" i="6"/>
  <c r="H117" i="6"/>
  <c r="P40" i="6"/>
  <c r="B130" i="7"/>
  <c r="D114" i="5"/>
  <c r="G113" i="5"/>
  <c r="C115" i="6"/>
  <c r="D115" i="5"/>
  <c r="G114" i="5"/>
  <c r="C116" i="6"/>
  <c r="D116" i="5"/>
  <c r="G115" i="5"/>
  <c r="C117" i="6"/>
  <c r="I117" i="6"/>
  <c r="Q40" i="6"/>
  <c r="C130" i="7"/>
  <c r="N114" i="5"/>
  <c r="E115" i="6"/>
  <c r="N115" i="5"/>
  <c r="E116" i="6"/>
  <c r="N116" i="5"/>
  <c r="E117" i="6"/>
  <c r="K117" i="6"/>
  <c r="S40" i="6"/>
  <c r="E130" i="7"/>
  <c r="M114" i="5"/>
  <c r="F115" i="6"/>
  <c r="M115" i="5"/>
  <c r="F116" i="6"/>
  <c r="M116" i="5"/>
  <c r="F117" i="6"/>
  <c r="L117" i="6"/>
  <c r="T40" i="6"/>
  <c r="F130" i="7"/>
  <c r="E114" i="5"/>
  <c r="G115" i="6"/>
  <c r="E115" i="5"/>
  <c r="G116" i="6"/>
  <c r="E116" i="5"/>
  <c r="G117" i="6"/>
  <c r="M117" i="6"/>
  <c r="U40" i="6"/>
  <c r="G130" i="7"/>
  <c r="H117" i="5"/>
  <c r="B116" i="5"/>
  <c r="B118" i="6"/>
  <c r="H118" i="5"/>
  <c r="B117" i="5"/>
  <c r="B119" i="6"/>
  <c r="H119" i="5"/>
  <c r="B118" i="5"/>
  <c r="B120" i="6"/>
  <c r="H120" i="6"/>
  <c r="P41" i="6"/>
  <c r="B131" i="7"/>
  <c r="D117" i="5"/>
  <c r="G116" i="5"/>
  <c r="C118" i="6"/>
  <c r="D118" i="5"/>
  <c r="G117" i="5"/>
  <c r="C119" i="6"/>
  <c r="D119" i="5"/>
  <c r="G118" i="5"/>
  <c r="C120" i="6"/>
  <c r="I120" i="6"/>
  <c r="Q41" i="6"/>
  <c r="C131" i="7"/>
  <c r="N117" i="5"/>
  <c r="E118" i="6"/>
  <c r="N118" i="5"/>
  <c r="E119" i="6"/>
  <c r="N119" i="5"/>
  <c r="E120" i="6"/>
  <c r="K120" i="6"/>
  <c r="S41" i="6"/>
  <c r="E131" i="7"/>
  <c r="M117" i="5"/>
  <c r="F118" i="6"/>
  <c r="M118" i="5"/>
  <c r="F119" i="6"/>
  <c r="M119" i="5"/>
  <c r="F120" i="6"/>
  <c r="L120" i="6"/>
  <c r="T41" i="6"/>
  <c r="F131" i="7"/>
  <c r="E117" i="5"/>
  <c r="G118" i="6"/>
  <c r="E118" i="5"/>
  <c r="G119" i="6"/>
  <c r="E119" i="5"/>
  <c r="G120" i="6"/>
  <c r="M120" i="6"/>
  <c r="U41" i="6"/>
  <c r="G131" i="7"/>
  <c r="H120" i="5"/>
  <c r="B119" i="5"/>
  <c r="B121" i="6"/>
  <c r="H121" i="5"/>
  <c r="B120" i="5"/>
  <c r="B122" i="6"/>
  <c r="H122" i="5"/>
  <c r="B121" i="5"/>
  <c r="B123" i="6"/>
  <c r="H123" i="6"/>
  <c r="P42" i="6"/>
  <c r="B132" i="7"/>
  <c r="D120" i="5"/>
  <c r="G119" i="5"/>
  <c r="C121" i="6"/>
  <c r="D121" i="5"/>
  <c r="G120" i="5"/>
  <c r="C122" i="6"/>
  <c r="D122" i="5"/>
  <c r="G121" i="5"/>
  <c r="C123" i="6"/>
  <c r="I123" i="6"/>
  <c r="Q42" i="6"/>
  <c r="C132" i="7"/>
  <c r="N120" i="5"/>
  <c r="E121" i="6"/>
  <c r="N121" i="5"/>
  <c r="E122" i="6"/>
  <c r="N122" i="5"/>
  <c r="E123" i="6"/>
  <c r="K123" i="6"/>
  <c r="S42" i="6"/>
  <c r="E132" i="7"/>
  <c r="M120" i="5"/>
  <c r="F121" i="6"/>
  <c r="M121" i="5"/>
  <c r="F122" i="6"/>
  <c r="M122" i="5"/>
  <c r="F123" i="6"/>
  <c r="L123" i="6"/>
  <c r="T42" i="6"/>
  <c r="F132" i="7"/>
  <c r="E120" i="5"/>
  <c r="G121" i="6"/>
  <c r="E121" i="5"/>
  <c r="G122" i="6"/>
  <c r="E122" i="5"/>
  <c r="G123" i="6"/>
  <c r="M123" i="6"/>
  <c r="U42" i="6"/>
  <c r="G132" i="7"/>
  <c r="H123" i="5"/>
  <c r="B122" i="5"/>
  <c r="B124" i="6"/>
  <c r="H124" i="5"/>
  <c r="B123" i="5"/>
  <c r="B125" i="6"/>
  <c r="H125" i="5"/>
  <c r="B124" i="5"/>
  <c r="B126" i="6"/>
  <c r="H126" i="6"/>
  <c r="P43" i="6"/>
  <c r="B133" i="7"/>
  <c r="D123" i="5"/>
  <c r="G122" i="5"/>
  <c r="C124" i="6"/>
  <c r="D124" i="5"/>
  <c r="G123" i="5"/>
  <c r="C125" i="6"/>
  <c r="D125" i="5"/>
  <c r="G124" i="5"/>
  <c r="C126" i="6"/>
  <c r="I126" i="6"/>
  <c r="Q43" i="6"/>
  <c r="C133" i="7"/>
  <c r="N123" i="5"/>
  <c r="E124" i="6"/>
  <c r="N124" i="5"/>
  <c r="E125" i="6"/>
  <c r="N125" i="5"/>
  <c r="E126" i="6"/>
  <c r="K126" i="6"/>
  <c r="S43" i="6"/>
  <c r="E133" i="7"/>
  <c r="M123" i="5"/>
  <c r="F124" i="6"/>
  <c r="M124" i="5"/>
  <c r="F125" i="6"/>
  <c r="M125" i="5"/>
  <c r="F126" i="6"/>
  <c r="L126" i="6"/>
  <c r="T43" i="6"/>
  <c r="F133" i="7"/>
  <c r="E123" i="5"/>
  <c r="G124" i="6"/>
  <c r="E124" i="5"/>
  <c r="G125" i="6"/>
  <c r="E125" i="5"/>
  <c r="G126" i="6"/>
  <c r="M126" i="6"/>
  <c r="U43" i="6"/>
  <c r="G133" i="7"/>
  <c r="H126" i="5"/>
  <c r="B125" i="5"/>
  <c r="B127" i="6"/>
  <c r="H127" i="5"/>
  <c r="B126" i="5"/>
  <c r="B128" i="6"/>
  <c r="H128" i="5"/>
  <c r="B127" i="5"/>
  <c r="B129" i="6"/>
  <c r="H129" i="6"/>
  <c r="P44" i="6"/>
  <c r="B134" i="7"/>
  <c r="D126" i="5"/>
  <c r="G125" i="5"/>
  <c r="C127" i="6"/>
  <c r="D127" i="5"/>
  <c r="G126" i="5"/>
  <c r="C128" i="6"/>
  <c r="D128" i="5"/>
  <c r="G127" i="5"/>
  <c r="C129" i="6"/>
  <c r="I129" i="6"/>
  <c r="Q44" i="6"/>
  <c r="C134" i="7"/>
  <c r="N126" i="5"/>
  <c r="E127" i="6"/>
  <c r="N127" i="5"/>
  <c r="E128" i="6"/>
  <c r="N128" i="5"/>
  <c r="E129" i="6"/>
  <c r="K129" i="6"/>
  <c r="S44" i="6"/>
  <c r="E134" i="7"/>
  <c r="M126" i="5"/>
  <c r="F127" i="6"/>
  <c r="M127" i="5"/>
  <c r="F128" i="6"/>
  <c r="M128" i="5"/>
  <c r="F129" i="6"/>
  <c r="L129" i="6"/>
  <c r="T44" i="6"/>
  <c r="F134" i="7"/>
  <c r="E126" i="5"/>
  <c r="G127" i="6"/>
  <c r="E127" i="5"/>
  <c r="G128" i="6"/>
  <c r="E128" i="5"/>
  <c r="G129" i="6"/>
  <c r="M129" i="6"/>
  <c r="U44" i="6"/>
  <c r="G134" i="7"/>
  <c r="H129" i="5"/>
  <c r="B128" i="5"/>
  <c r="B130" i="6"/>
  <c r="H130" i="5"/>
  <c r="B129" i="5"/>
  <c r="B131" i="6"/>
  <c r="H131" i="5"/>
  <c r="B130" i="5"/>
  <c r="B132" i="6"/>
  <c r="H132" i="6"/>
  <c r="P45" i="6"/>
  <c r="B135" i="7"/>
  <c r="D129" i="5"/>
  <c r="G128" i="5"/>
  <c r="C130" i="6"/>
  <c r="D130" i="5"/>
  <c r="G129" i="5"/>
  <c r="C131" i="6"/>
  <c r="D131" i="5"/>
  <c r="G130" i="5"/>
  <c r="C132" i="6"/>
  <c r="I132" i="6"/>
  <c r="Q45" i="6"/>
  <c r="C135" i="7"/>
  <c r="N129" i="5"/>
  <c r="E130" i="6"/>
  <c r="N130" i="5"/>
  <c r="E131" i="6"/>
  <c r="N131" i="5"/>
  <c r="E132" i="6"/>
  <c r="K132" i="6"/>
  <c r="S45" i="6"/>
  <c r="E135" i="7"/>
  <c r="M129" i="5"/>
  <c r="F130" i="6"/>
  <c r="M130" i="5"/>
  <c r="F131" i="6"/>
  <c r="M131" i="5"/>
  <c r="F132" i="6"/>
  <c r="L132" i="6"/>
  <c r="T45" i="6"/>
  <c r="F135" i="7"/>
  <c r="E129" i="5"/>
  <c r="G130" i="6"/>
  <c r="E130" i="5"/>
  <c r="G131" i="6"/>
  <c r="E131" i="5"/>
  <c r="G132" i="6"/>
  <c r="M132" i="6"/>
  <c r="U45" i="6"/>
  <c r="G135" i="7"/>
  <c r="O98" i="6"/>
  <c r="A290" i="6"/>
  <c r="A291" i="6"/>
  <c r="A288" i="5"/>
  <c r="H288" i="5"/>
  <c r="B287" i="5"/>
  <c r="B289" i="6"/>
  <c r="H291" i="6"/>
  <c r="P98" i="6"/>
  <c r="B188" i="7"/>
  <c r="D288" i="5"/>
  <c r="G287" i="5"/>
  <c r="C289" i="6"/>
  <c r="I291" i="6"/>
  <c r="Q98" i="6"/>
  <c r="C188" i="7"/>
  <c r="J288" i="5"/>
  <c r="L287" i="5"/>
  <c r="D289" i="6"/>
  <c r="J291" i="6"/>
  <c r="R98" i="6"/>
  <c r="D188" i="7"/>
  <c r="N288" i="5"/>
  <c r="E289" i="6"/>
  <c r="K291" i="6"/>
  <c r="S98" i="6"/>
  <c r="E188" i="7"/>
  <c r="M288" i="5"/>
  <c r="F289" i="6"/>
  <c r="L291" i="6"/>
  <c r="T98" i="6"/>
  <c r="F188" i="7"/>
  <c r="E288" i="5"/>
  <c r="G289" i="6"/>
  <c r="M291" i="6"/>
  <c r="U98" i="6"/>
  <c r="G188" i="7"/>
  <c r="D6" i="5"/>
  <c r="G5" i="5"/>
  <c r="C7" i="6"/>
  <c r="D7" i="5"/>
  <c r="G6" i="5"/>
  <c r="C8" i="6"/>
  <c r="D8" i="5"/>
  <c r="G7" i="5"/>
  <c r="C9" i="6"/>
  <c r="I9" i="6"/>
  <c r="Q4" i="6"/>
  <c r="C94" i="7"/>
  <c r="N6" i="5"/>
  <c r="E7" i="6"/>
  <c r="N7" i="5"/>
  <c r="E8" i="6"/>
  <c r="N8" i="5"/>
  <c r="E9" i="6"/>
  <c r="K9" i="6"/>
  <c r="S4" i="6"/>
  <c r="E94" i="7"/>
  <c r="M6" i="5"/>
  <c r="B5" i="5"/>
  <c r="F7" i="6"/>
  <c r="M7" i="5"/>
  <c r="B6" i="5"/>
  <c r="F8" i="6"/>
  <c r="M8" i="5"/>
  <c r="B7" i="5"/>
  <c r="F9" i="6"/>
  <c r="L9" i="6"/>
  <c r="T4" i="6"/>
  <c r="F94" i="7"/>
  <c r="E6" i="5"/>
  <c r="G7" i="6"/>
  <c r="E7" i="5"/>
  <c r="G8" i="6"/>
  <c r="E8" i="5"/>
  <c r="G9" i="6"/>
  <c r="M9" i="6"/>
  <c r="U4" i="6"/>
  <c r="G94" i="7"/>
  <c r="H6" i="5"/>
  <c r="B7" i="6"/>
  <c r="H7" i="5"/>
  <c r="B8" i="6"/>
  <c r="H8" i="5"/>
  <c r="B9" i="6"/>
  <c r="H9" i="6"/>
  <c r="P4" i="6"/>
  <c r="B94" i="7"/>
  <c r="H15" i="8"/>
  <c r="P5" i="8"/>
  <c r="B3" i="7"/>
  <c r="I15" i="8"/>
  <c r="Q5" i="8"/>
  <c r="C3" i="7"/>
  <c r="K15" i="8"/>
  <c r="S5" i="8"/>
  <c r="E3" i="7"/>
  <c r="L15" i="8"/>
  <c r="T5" i="8"/>
  <c r="F3" i="7"/>
  <c r="M15" i="8"/>
  <c r="U5" i="8"/>
  <c r="G3" i="7"/>
  <c r="H18" i="8"/>
  <c r="P6" i="8"/>
  <c r="B4" i="7"/>
  <c r="I18" i="8"/>
  <c r="Q6" i="8"/>
  <c r="C4" i="7"/>
  <c r="K18" i="8"/>
  <c r="S6" i="8"/>
  <c r="E4" i="7"/>
  <c r="L18" i="8"/>
  <c r="T6" i="8"/>
  <c r="F4" i="7"/>
  <c r="M18" i="8"/>
  <c r="U6" i="8"/>
  <c r="G4" i="7"/>
  <c r="H21" i="8"/>
  <c r="P7" i="8"/>
  <c r="B5" i="7"/>
  <c r="I21" i="8"/>
  <c r="Q7" i="8"/>
  <c r="C5" i="7"/>
  <c r="K21" i="8"/>
  <c r="S7" i="8"/>
  <c r="E5" i="7"/>
  <c r="L21" i="8"/>
  <c r="T7" i="8"/>
  <c r="F5" i="7"/>
  <c r="M21" i="8"/>
  <c r="U7" i="8"/>
  <c r="G5" i="7"/>
  <c r="H24" i="8"/>
  <c r="P8" i="8"/>
  <c r="B6" i="7"/>
  <c r="I24" i="8"/>
  <c r="Q8" i="8"/>
  <c r="C6" i="7"/>
  <c r="K24" i="8"/>
  <c r="S8" i="8"/>
  <c r="E6" i="7"/>
  <c r="L24" i="8"/>
  <c r="T8" i="8"/>
  <c r="F6" i="7"/>
  <c r="M24" i="8"/>
  <c r="U8" i="8"/>
  <c r="G6" i="7"/>
  <c r="H27" i="8"/>
  <c r="P9" i="8"/>
  <c r="B7" i="7"/>
  <c r="I27" i="8"/>
  <c r="Q9" i="8"/>
  <c r="C7" i="7"/>
  <c r="K27" i="8"/>
  <c r="S9" i="8"/>
  <c r="E7" i="7"/>
  <c r="L27" i="8"/>
  <c r="T9" i="8"/>
  <c r="F7" i="7"/>
  <c r="M27" i="8"/>
  <c r="U9" i="8"/>
  <c r="G7" i="7"/>
  <c r="H30" i="8"/>
  <c r="P10" i="8"/>
  <c r="B8" i="7"/>
  <c r="I30" i="8"/>
  <c r="Q10" i="8"/>
  <c r="C8" i="7"/>
  <c r="K30" i="8"/>
  <c r="S10" i="8"/>
  <c r="E8" i="7"/>
  <c r="L30" i="8"/>
  <c r="T10" i="8"/>
  <c r="F8" i="7"/>
  <c r="M30" i="8"/>
  <c r="U10" i="8"/>
  <c r="G8" i="7"/>
  <c r="H33" i="8"/>
  <c r="P11" i="8"/>
  <c r="B9" i="7"/>
  <c r="I33" i="8"/>
  <c r="Q11" i="8"/>
  <c r="C9" i="7"/>
  <c r="K33" i="8"/>
  <c r="S11" i="8"/>
  <c r="E9" i="7"/>
  <c r="L33" i="8"/>
  <c r="T11" i="8"/>
  <c r="F9" i="7"/>
  <c r="M33" i="8"/>
  <c r="U11" i="8"/>
  <c r="G9" i="7"/>
  <c r="H36" i="8"/>
  <c r="P12" i="8"/>
  <c r="B10" i="7"/>
  <c r="I36" i="8"/>
  <c r="Q12" i="8"/>
  <c r="C10" i="7"/>
  <c r="K36" i="8"/>
  <c r="S12" i="8"/>
  <c r="E10" i="7"/>
  <c r="L36" i="8"/>
  <c r="T12" i="8"/>
  <c r="F10" i="7"/>
  <c r="M36" i="8"/>
  <c r="U12" i="8"/>
  <c r="G10" i="7"/>
  <c r="H39" i="8"/>
  <c r="P13" i="8"/>
  <c r="B11" i="7"/>
  <c r="I39" i="8"/>
  <c r="Q13" i="8"/>
  <c r="C11" i="7"/>
  <c r="K39" i="8"/>
  <c r="S13" i="8"/>
  <c r="E11" i="7"/>
  <c r="L39" i="8"/>
  <c r="T13" i="8"/>
  <c r="F11" i="7"/>
  <c r="M39" i="8"/>
  <c r="U13" i="8"/>
  <c r="G11" i="7"/>
  <c r="H42" i="8"/>
  <c r="P14" i="8"/>
  <c r="B12" i="7"/>
  <c r="I42" i="8"/>
  <c r="Q14" i="8"/>
  <c r="C12" i="7"/>
  <c r="K42" i="8"/>
  <c r="S14" i="8"/>
  <c r="E12" i="7"/>
  <c r="L42" i="8"/>
  <c r="T14" i="8"/>
  <c r="F12" i="7"/>
  <c r="M42" i="8"/>
  <c r="U14" i="8"/>
  <c r="G12" i="7"/>
  <c r="H45" i="8"/>
  <c r="P15" i="8"/>
  <c r="B13" i="7"/>
  <c r="I45" i="8"/>
  <c r="Q15" i="8"/>
  <c r="C13" i="7"/>
  <c r="K45" i="8"/>
  <c r="S15" i="8"/>
  <c r="E13" i="7"/>
  <c r="L45" i="8"/>
  <c r="T15" i="8"/>
  <c r="F13" i="7"/>
  <c r="M45" i="8"/>
  <c r="U15" i="8"/>
  <c r="G13" i="7"/>
  <c r="H48" i="8"/>
  <c r="P16" i="8"/>
  <c r="B14" i="7"/>
  <c r="I48" i="8"/>
  <c r="Q16" i="8"/>
  <c r="C14" i="7"/>
  <c r="K48" i="8"/>
  <c r="S16" i="8"/>
  <c r="E14" i="7"/>
  <c r="L48" i="8"/>
  <c r="T16" i="8"/>
  <c r="F14" i="7"/>
  <c r="M48" i="8"/>
  <c r="U16" i="8"/>
  <c r="G14" i="7"/>
  <c r="H51" i="8"/>
  <c r="P17" i="8"/>
  <c r="B15" i="7"/>
  <c r="I51" i="8"/>
  <c r="Q17" i="8"/>
  <c r="C15" i="7"/>
  <c r="K51" i="8"/>
  <c r="S17" i="8"/>
  <c r="E15" i="7"/>
  <c r="L51" i="8"/>
  <c r="T17" i="8"/>
  <c r="F15" i="7"/>
  <c r="M51" i="8"/>
  <c r="U17" i="8"/>
  <c r="G15" i="7"/>
  <c r="H54" i="8"/>
  <c r="P18" i="8"/>
  <c r="B16" i="7"/>
  <c r="I54" i="8"/>
  <c r="Q18" i="8"/>
  <c r="C16" i="7"/>
  <c r="K54" i="8"/>
  <c r="S18" i="8"/>
  <c r="E16" i="7"/>
  <c r="L54" i="8"/>
  <c r="T18" i="8"/>
  <c r="F16" i="7"/>
  <c r="M54" i="8"/>
  <c r="U18" i="8"/>
  <c r="G16" i="7"/>
  <c r="H57" i="8"/>
  <c r="P19" i="8"/>
  <c r="B17" i="7"/>
  <c r="I57" i="8"/>
  <c r="Q19" i="8"/>
  <c r="C17" i="7"/>
  <c r="K57" i="8"/>
  <c r="S19" i="8"/>
  <c r="E17" i="7"/>
  <c r="L57" i="8"/>
  <c r="T19" i="8"/>
  <c r="F17" i="7"/>
  <c r="M57" i="8"/>
  <c r="U19" i="8"/>
  <c r="G17" i="7"/>
  <c r="H60" i="8"/>
  <c r="P20" i="8"/>
  <c r="B18" i="7"/>
  <c r="I60" i="8"/>
  <c r="Q20" i="8"/>
  <c r="C18" i="7"/>
  <c r="K60" i="8"/>
  <c r="S20" i="8"/>
  <c r="E18" i="7"/>
  <c r="L60" i="8"/>
  <c r="T20" i="8"/>
  <c r="F18" i="7"/>
  <c r="M60" i="8"/>
  <c r="U20" i="8"/>
  <c r="G18" i="7"/>
  <c r="H63" i="8"/>
  <c r="P21" i="8"/>
  <c r="B19" i="7"/>
  <c r="I63" i="8"/>
  <c r="Q21" i="8"/>
  <c r="C19" i="7"/>
  <c r="K63" i="8"/>
  <c r="S21" i="8"/>
  <c r="E19" i="7"/>
  <c r="L63" i="8"/>
  <c r="T21" i="8"/>
  <c r="F19" i="7"/>
  <c r="M63" i="8"/>
  <c r="U21" i="8"/>
  <c r="G19" i="7"/>
  <c r="H66" i="8"/>
  <c r="P22" i="8"/>
  <c r="B20" i="7"/>
  <c r="I66" i="8"/>
  <c r="Q22" i="8"/>
  <c r="C20" i="7"/>
  <c r="K66" i="8"/>
  <c r="S22" i="8"/>
  <c r="E20" i="7"/>
  <c r="L66" i="8"/>
  <c r="T22" i="8"/>
  <c r="F20" i="7"/>
  <c r="M66" i="8"/>
  <c r="U22" i="8"/>
  <c r="G20" i="7"/>
  <c r="H69" i="8"/>
  <c r="P23" i="8"/>
  <c r="B21" i="7"/>
  <c r="I69" i="8"/>
  <c r="Q23" i="8"/>
  <c r="C21" i="7"/>
  <c r="K69" i="8"/>
  <c r="S23" i="8"/>
  <c r="E21" i="7"/>
  <c r="L69" i="8"/>
  <c r="T23" i="8"/>
  <c r="F21" i="7"/>
  <c r="M69" i="8"/>
  <c r="U23" i="8"/>
  <c r="G21" i="7"/>
  <c r="H72" i="8"/>
  <c r="P24" i="8"/>
  <c r="B22" i="7"/>
  <c r="I72" i="8"/>
  <c r="Q24" i="8"/>
  <c r="C22" i="7"/>
  <c r="K72" i="8"/>
  <c r="S24" i="8"/>
  <c r="E22" i="7"/>
  <c r="L72" i="8"/>
  <c r="T24" i="8"/>
  <c r="F22" i="7"/>
  <c r="M72" i="8"/>
  <c r="U24" i="8"/>
  <c r="G22" i="7"/>
  <c r="H75" i="8"/>
  <c r="P25" i="8"/>
  <c r="B23" i="7"/>
  <c r="I75" i="8"/>
  <c r="Q25" i="8"/>
  <c r="C23" i="7"/>
  <c r="K75" i="8"/>
  <c r="S25" i="8"/>
  <c r="E23" i="7"/>
  <c r="L75" i="8"/>
  <c r="T25" i="8"/>
  <c r="F23" i="7"/>
  <c r="M75" i="8"/>
  <c r="U25" i="8"/>
  <c r="G23" i="7"/>
  <c r="H78" i="8"/>
  <c r="P26" i="8"/>
  <c r="B24" i="7"/>
  <c r="I78" i="8"/>
  <c r="Q26" i="8"/>
  <c r="C24" i="7"/>
  <c r="K78" i="8"/>
  <c r="S26" i="8"/>
  <c r="E24" i="7"/>
  <c r="L78" i="8"/>
  <c r="T26" i="8"/>
  <c r="F24" i="7"/>
  <c r="M78" i="8"/>
  <c r="U26" i="8"/>
  <c r="G24" i="7"/>
  <c r="H81" i="8"/>
  <c r="P27" i="8"/>
  <c r="B25" i="7"/>
  <c r="I81" i="8"/>
  <c r="Q27" i="8"/>
  <c r="C25" i="7"/>
  <c r="K81" i="8"/>
  <c r="S27" i="8"/>
  <c r="E25" i="7"/>
  <c r="L81" i="8"/>
  <c r="T27" i="8"/>
  <c r="F25" i="7"/>
  <c r="M81" i="8"/>
  <c r="U27" i="8"/>
  <c r="G25" i="7"/>
  <c r="H84" i="8"/>
  <c r="P28" i="8"/>
  <c r="B26" i="7"/>
  <c r="I84" i="8"/>
  <c r="Q28" i="8"/>
  <c r="C26" i="7"/>
  <c r="K84" i="8"/>
  <c r="S28" i="8"/>
  <c r="E26" i="7"/>
  <c r="L84" i="8"/>
  <c r="T28" i="8"/>
  <c r="F26" i="7"/>
  <c r="M84" i="8"/>
  <c r="U28" i="8"/>
  <c r="G26" i="7"/>
  <c r="H87" i="8"/>
  <c r="P29" i="8"/>
  <c r="B27" i="7"/>
  <c r="I87" i="8"/>
  <c r="Q29" i="8"/>
  <c r="C27" i="7"/>
  <c r="K87" i="8"/>
  <c r="S29" i="8"/>
  <c r="E27" i="7"/>
  <c r="L87" i="8"/>
  <c r="T29" i="8"/>
  <c r="F27" i="7"/>
  <c r="M87" i="8"/>
  <c r="U29" i="8"/>
  <c r="G27" i="7"/>
  <c r="H90" i="8"/>
  <c r="P30" i="8"/>
  <c r="B28" i="7"/>
  <c r="I90" i="8"/>
  <c r="Q30" i="8"/>
  <c r="C28" i="7"/>
  <c r="K90" i="8"/>
  <c r="S30" i="8"/>
  <c r="E28" i="7"/>
  <c r="L90" i="8"/>
  <c r="T30" i="8"/>
  <c r="F28" i="7"/>
  <c r="M90" i="8"/>
  <c r="U30" i="8"/>
  <c r="G28" i="7"/>
  <c r="H93" i="8"/>
  <c r="P31" i="8"/>
  <c r="B29" i="7"/>
  <c r="I93" i="8"/>
  <c r="Q31" i="8"/>
  <c r="C29" i="7"/>
  <c r="K93" i="8"/>
  <c r="S31" i="8"/>
  <c r="E29" i="7"/>
  <c r="L93" i="8"/>
  <c r="T31" i="8"/>
  <c r="F29" i="7"/>
  <c r="M93" i="8"/>
  <c r="U31" i="8"/>
  <c r="G29" i="7"/>
  <c r="H96" i="8"/>
  <c r="P32" i="8"/>
  <c r="B30" i="7"/>
  <c r="I96" i="8"/>
  <c r="Q32" i="8"/>
  <c r="C30" i="7"/>
  <c r="K96" i="8"/>
  <c r="S32" i="8"/>
  <c r="E30" i="7"/>
  <c r="L96" i="8"/>
  <c r="T32" i="8"/>
  <c r="F30" i="7"/>
  <c r="M96" i="8"/>
  <c r="U32" i="8"/>
  <c r="G30" i="7"/>
  <c r="H99" i="8"/>
  <c r="P33" i="8"/>
  <c r="B31" i="7"/>
  <c r="I99" i="8"/>
  <c r="Q33" i="8"/>
  <c r="C31" i="7"/>
  <c r="K99" i="8"/>
  <c r="S33" i="8"/>
  <c r="E31" i="7"/>
  <c r="L99" i="8"/>
  <c r="T33" i="8"/>
  <c r="F31" i="7"/>
  <c r="M99" i="8"/>
  <c r="U33" i="8"/>
  <c r="G31" i="7"/>
  <c r="H102" i="8"/>
  <c r="P34" i="8"/>
  <c r="B32" i="7"/>
  <c r="I102" i="8"/>
  <c r="Q34" i="8"/>
  <c r="C32" i="7"/>
  <c r="K102" i="8"/>
  <c r="S34" i="8"/>
  <c r="E32" i="7"/>
  <c r="L102" i="8"/>
  <c r="T34" i="8"/>
  <c r="F32" i="7"/>
  <c r="M102" i="8"/>
  <c r="U34" i="8"/>
  <c r="G32" i="7"/>
  <c r="H105" i="8"/>
  <c r="P35" i="8"/>
  <c r="B33" i="7"/>
  <c r="I105" i="8"/>
  <c r="Q35" i="8"/>
  <c r="C33" i="7"/>
  <c r="K105" i="8"/>
  <c r="S35" i="8"/>
  <c r="E33" i="7"/>
  <c r="L105" i="8"/>
  <c r="T35" i="8"/>
  <c r="F33" i="7"/>
  <c r="M105" i="8"/>
  <c r="U35" i="8"/>
  <c r="G33" i="7"/>
  <c r="H108" i="8"/>
  <c r="P36" i="8"/>
  <c r="B34" i="7"/>
  <c r="I108" i="8"/>
  <c r="Q36" i="8"/>
  <c r="C34" i="7"/>
  <c r="K108" i="8"/>
  <c r="S36" i="8"/>
  <c r="E34" i="7"/>
  <c r="L108" i="8"/>
  <c r="T36" i="8"/>
  <c r="F34" i="7"/>
  <c r="M108" i="8"/>
  <c r="U36" i="8"/>
  <c r="G34" i="7"/>
  <c r="H111" i="8"/>
  <c r="P37" i="8"/>
  <c r="B35" i="7"/>
  <c r="I111" i="8"/>
  <c r="Q37" i="8"/>
  <c r="C35" i="7"/>
  <c r="K111" i="8"/>
  <c r="S37" i="8"/>
  <c r="E35" i="7"/>
  <c r="L111" i="8"/>
  <c r="T37" i="8"/>
  <c r="F35" i="7"/>
  <c r="M111" i="8"/>
  <c r="U37" i="8"/>
  <c r="G35" i="7"/>
  <c r="H114" i="8"/>
  <c r="P38" i="8"/>
  <c r="B36" i="7"/>
  <c r="I114" i="8"/>
  <c r="Q38" i="8"/>
  <c r="C36" i="7"/>
  <c r="K114" i="8"/>
  <c r="S38" i="8"/>
  <c r="E36" i="7"/>
  <c r="L114" i="8"/>
  <c r="T38" i="8"/>
  <c r="F36" i="7"/>
  <c r="M114" i="8"/>
  <c r="U38" i="8"/>
  <c r="G36" i="7"/>
  <c r="H117" i="8"/>
  <c r="P39" i="8"/>
  <c r="B37" i="7"/>
  <c r="I117" i="8"/>
  <c r="Q39" i="8"/>
  <c r="C37" i="7"/>
  <c r="K117" i="8"/>
  <c r="S39" i="8"/>
  <c r="E37" i="7"/>
  <c r="L117" i="8"/>
  <c r="T39" i="8"/>
  <c r="F37" i="7"/>
  <c r="M117" i="8"/>
  <c r="U39" i="8"/>
  <c r="G37" i="7"/>
  <c r="H120" i="8"/>
  <c r="P40" i="8"/>
  <c r="B38" i="7"/>
  <c r="I120" i="8"/>
  <c r="Q40" i="8"/>
  <c r="C38" i="7"/>
  <c r="K120" i="8"/>
  <c r="S40" i="8"/>
  <c r="E38" i="7"/>
  <c r="L120" i="8"/>
  <c r="T40" i="8"/>
  <c r="F38" i="7"/>
  <c r="M120" i="8"/>
  <c r="U40" i="8"/>
  <c r="G38" i="7"/>
  <c r="H123" i="8"/>
  <c r="P41" i="8"/>
  <c r="B39" i="7"/>
  <c r="I123" i="8"/>
  <c r="Q41" i="8"/>
  <c r="C39" i="7"/>
  <c r="K123" i="8"/>
  <c r="S41" i="8"/>
  <c r="E39" i="7"/>
  <c r="L123" i="8"/>
  <c r="T41" i="8"/>
  <c r="F39" i="7"/>
  <c r="M123" i="8"/>
  <c r="U41" i="8"/>
  <c r="G39" i="7"/>
  <c r="H126" i="8"/>
  <c r="P42" i="8"/>
  <c r="B40" i="7"/>
  <c r="I126" i="8"/>
  <c r="Q42" i="8"/>
  <c r="C40" i="7"/>
  <c r="K126" i="8"/>
  <c r="S42" i="8"/>
  <c r="E40" i="7"/>
  <c r="L126" i="8"/>
  <c r="T42" i="8"/>
  <c r="F40" i="7"/>
  <c r="M126" i="8"/>
  <c r="U42" i="8"/>
  <c r="G40" i="7"/>
  <c r="H129" i="8"/>
  <c r="P43" i="8"/>
  <c r="B41" i="7"/>
  <c r="I129" i="8"/>
  <c r="Q43" i="8"/>
  <c r="C41" i="7"/>
  <c r="K129" i="8"/>
  <c r="S43" i="8"/>
  <c r="E41" i="7"/>
  <c r="L129" i="8"/>
  <c r="T43" i="8"/>
  <c r="F41" i="7"/>
  <c r="M129" i="8"/>
  <c r="U43" i="8"/>
  <c r="G41" i="7"/>
  <c r="H132" i="8"/>
  <c r="P44" i="8"/>
  <c r="B42" i="7"/>
  <c r="I132" i="8"/>
  <c r="Q44" i="8"/>
  <c r="C42" i="7"/>
  <c r="K132" i="8"/>
  <c r="S44" i="8"/>
  <c r="E42" i="7"/>
  <c r="L132" i="8"/>
  <c r="T44" i="8"/>
  <c r="F42" i="7"/>
  <c r="M132" i="8"/>
  <c r="U44" i="8"/>
  <c r="G42" i="7"/>
  <c r="H135" i="8"/>
  <c r="P45" i="8"/>
  <c r="B43" i="7"/>
  <c r="I135" i="8"/>
  <c r="Q45" i="8"/>
  <c r="C43" i="7"/>
  <c r="K135" i="8"/>
  <c r="S45" i="8"/>
  <c r="E43" i="7"/>
  <c r="L135" i="8"/>
  <c r="T45" i="8"/>
  <c r="F43" i="7"/>
  <c r="M135" i="8"/>
  <c r="U45" i="8"/>
  <c r="G43" i="7"/>
  <c r="H138" i="8"/>
  <c r="P46" i="8"/>
  <c r="B44" i="7"/>
  <c r="I138" i="8"/>
  <c r="Q46" i="8"/>
  <c r="C44" i="7"/>
  <c r="K138" i="8"/>
  <c r="S46" i="8"/>
  <c r="E44" i="7"/>
  <c r="L138" i="8"/>
  <c r="T46" i="8"/>
  <c r="F44" i="7"/>
  <c r="M138" i="8"/>
  <c r="U46" i="8"/>
  <c r="G44" i="7"/>
  <c r="H141" i="8"/>
  <c r="P47" i="8"/>
  <c r="B45" i="7"/>
  <c r="I141" i="8"/>
  <c r="Q47" i="8"/>
  <c r="C45" i="7"/>
  <c r="K141" i="8"/>
  <c r="S47" i="8"/>
  <c r="E45" i="7"/>
  <c r="L141" i="8"/>
  <c r="T47" i="8"/>
  <c r="F45" i="7"/>
  <c r="M141" i="8"/>
  <c r="U47" i="8"/>
  <c r="G45" i="7"/>
  <c r="H144" i="8"/>
  <c r="P48" i="8"/>
  <c r="B46" i="7"/>
  <c r="I144" i="8"/>
  <c r="Q48" i="8"/>
  <c r="C46" i="7"/>
  <c r="K144" i="8"/>
  <c r="S48" i="8"/>
  <c r="E46" i="7"/>
  <c r="L144" i="8"/>
  <c r="T48" i="8"/>
  <c r="F46" i="7"/>
  <c r="M144" i="8"/>
  <c r="U48" i="8"/>
  <c r="G46" i="7"/>
  <c r="H147" i="8"/>
  <c r="P49" i="8"/>
  <c r="B47" i="7"/>
  <c r="I147" i="8"/>
  <c r="Q49" i="8"/>
  <c r="C47" i="7"/>
  <c r="K147" i="8"/>
  <c r="S49" i="8"/>
  <c r="E47" i="7"/>
  <c r="L147" i="8"/>
  <c r="T49" i="8"/>
  <c r="F47" i="7"/>
  <c r="M147" i="8"/>
  <c r="U49" i="8"/>
  <c r="G47" i="7"/>
  <c r="H150" i="8"/>
  <c r="P50" i="8"/>
  <c r="B48" i="7"/>
  <c r="I150" i="8"/>
  <c r="Q50" i="8"/>
  <c r="C48" i="7"/>
  <c r="K150" i="8"/>
  <c r="S50" i="8"/>
  <c r="E48" i="7"/>
  <c r="L150" i="8"/>
  <c r="T50" i="8"/>
  <c r="F48" i="7"/>
  <c r="M150" i="8"/>
  <c r="U50" i="8"/>
  <c r="G48" i="7"/>
  <c r="H153" i="8"/>
  <c r="P51" i="8"/>
  <c r="B49" i="7"/>
  <c r="I153" i="8"/>
  <c r="Q51" i="8"/>
  <c r="C49" i="7"/>
  <c r="K153" i="8"/>
  <c r="S51" i="8"/>
  <c r="E49" i="7"/>
  <c r="L153" i="8"/>
  <c r="T51" i="8"/>
  <c r="F49" i="7"/>
  <c r="M153" i="8"/>
  <c r="U51" i="8"/>
  <c r="G49" i="7"/>
  <c r="H156" i="8"/>
  <c r="P52" i="8"/>
  <c r="B50" i="7"/>
  <c r="I156" i="8"/>
  <c r="Q52" i="8"/>
  <c r="C50" i="7"/>
  <c r="K156" i="8"/>
  <c r="S52" i="8"/>
  <c r="E50" i="7"/>
  <c r="L156" i="8"/>
  <c r="T52" i="8"/>
  <c r="F50" i="7"/>
  <c r="M156" i="8"/>
  <c r="U52" i="8"/>
  <c r="G50" i="7"/>
  <c r="H159" i="8"/>
  <c r="P53" i="8"/>
  <c r="B51" i="7"/>
  <c r="I159" i="8"/>
  <c r="Q53" i="8"/>
  <c r="C51" i="7"/>
  <c r="K159" i="8"/>
  <c r="S53" i="8"/>
  <c r="E51" i="7"/>
  <c r="L159" i="8"/>
  <c r="T53" i="8"/>
  <c r="F51" i="7"/>
  <c r="M159" i="8"/>
  <c r="U53" i="8"/>
  <c r="G51" i="7"/>
  <c r="H162" i="8"/>
  <c r="P54" i="8"/>
  <c r="B52" i="7"/>
  <c r="I162" i="8"/>
  <c r="Q54" i="8"/>
  <c r="C52" i="7"/>
  <c r="K162" i="8"/>
  <c r="S54" i="8"/>
  <c r="E52" i="7"/>
  <c r="L162" i="8"/>
  <c r="T54" i="8"/>
  <c r="F52" i="7"/>
  <c r="M162" i="8"/>
  <c r="U54" i="8"/>
  <c r="G52" i="7"/>
  <c r="H165" i="8"/>
  <c r="P55" i="8"/>
  <c r="B53" i="7"/>
  <c r="I165" i="8"/>
  <c r="Q55" i="8"/>
  <c r="C53" i="7"/>
  <c r="K165" i="8"/>
  <c r="S55" i="8"/>
  <c r="E53" i="7"/>
  <c r="L165" i="8"/>
  <c r="T55" i="8"/>
  <c r="F53" i="7"/>
  <c r="M165" i="8"/>
  <c r="U55" i="8"/>
  <c r="G53" i="7"/>
  <c r="H168" i="8"/>
  <c r="P56" i="8"/>
  <c r="B54" i="7"/>
  <c r="I168" i="8"/>
  <c r="Q56" i="8"/>
  <c r="C54" i="7"/>
  <c r="K168" i="8"/>
  <c r="S56" i="8"/>
  <c r="E54" i="7"/>
  <c r="L168" i="8"/>
  <c r="T56" i="8"/>
  <c r="F54" i="7"/>
  <c r="M168" i="8"/>
  <c r="U56" i="8"/>
  <c r="G54" i="7"/>
  <c r="H171" i="8"/>
  <c r="P57" i="8"/>
  <c r="B55" i="7"/>
  <c r="I171" i="8"/>
  <c r="Q57" i="8"/>
  <c r="C55" i="7"/>
  <c r="K171" i="8"/>
  <c r="S57" i="8"/>
  <c r="E55" i="7"/>
  <c r="L171" i="8"/>
  <c r="T57" i="8"/>
  <c r="F55" i="7"/>
  <c r="M171" i="8"/>
  <c r="U57" i="8"/>
  <c r="G55" i="7"/>
  <c r="H174" i="8"/>
  <c r="P58" i="8"/>
  <c r="B56" i="7"/>
  <c r="I174" i="8"/>
  <c r="Q58" i="8"/>
  <c r="C56" i="7"/>
  <c r="K174" i="8"/>
  <c r="S58" i="8"/>
  <c r="E56" i="7"/>
  <c r="L174" i="8"/>
  <c r="T58" i="8"/>
  <c r="F56" i="7"/>
  <c r="M174" i="8"/>
  <c r="U58" i="8"/>
  <c r="G56" i="7"/>
  <c r="H177" i="8"/>
  <c r="P59" i="8"/>
  <c r="B57" i="7"/>
  <c r="I177" i="8"/>
  <c r="Q59" i="8"/>
  <c r="C57" i="7"/>
  <c r="K177" i="8"/>
  <c r="S59" i="8"/>
  <c r="E57" i="7"/>
  <c r="L177" i="8"/>
  <c r="T59" i="8"/>
  <c r="F57" i="7"/>
  <c r="M177" i="8"/>
  <c r="U59" i="8"/>
  <c r="G57" i="7"/>
  <c r="H180" i="8"/>
  <c r="P60" i="8"/>
  <c r="B58" i="7"/>
  <c r="I180" i="8"/>
  <c r="Q60" i="8"/>
  <c r="C58" i="7"/>
  <c r="K180" i="8"/>
  <c r="S60" i="8"/>
  <c r="E58" i="7"/>
  <c r="L180" i="8"/>
  <c r="T60" i="8"/>
  <c r="F58" i="7"/>
  <c r="M180" i="8"/>
  <c r="U60" i="8"/>
  <c r="G58" i="7"/>
  <c r="H183" i="8"/>
  <c r="P61" i="8"/>
  <c r="B59" i="7"/>
  <c r="I183" i="8"/>
  <c r="Q61" i="8"/>
  <c r="C59" i="7"/>
  <c r="K183" i="8"/>
  <c r="S61" i="8"/>
  <c r="E59" i="7"/>
  <c r="L183" i="8"/>
  <c r="T61" i="8"/>
  <c r="F59" i="7"/>
  <c r="M183" i="8"/>
  <c r="U61" i="8"/>
  <c r="G59" i="7"/>
  <c r="H186" i="8"/>
  <c r="P62" i="8"/>
  <c r="B60" i="7"/>
  <c r="I186" i="8"/>
  <c r="Q62" i="8"/>
  <c r="C60" i="7"/>
  <c r="K186" i="8"/>
  <c r="S62" i="8"/>
  <c r="E60" i="7"/>
  <c r="L186" i="8"/>
  <c r="T62" i="8"/>
  <c r="F60" i="7"/>
  <c r="M186" i="8"/>
  <c r="U62" i="8"/>
  <c r="G60" i="7"/>
  <c r="H189" i="8"/>
  <c r="P63" i="8"/>
  <c r="B61" i="7"/>
  <c r="I189" i="8"/>
  <c r="Q63" i="8"/>
  <c r="C61" i="7"/>
  <c r="K189" i="8"/>
  <c r="S63" i="8"/>
  <c r="E61" i="7"/>
  <c r="L189" i="8"/>
  <c r="T63" i="8"/>
  <c r="F61" i="7"/>
  <c r="M189" i="8"/>
  <c r="U63" i="8"/>
  <c r="G61" i="7"/>
  <c r="H192" i="8"/>
  <c r="P64" i="8"/>
  <c r="B62" i="7"/>
  <c r="I192" i="8"/>
  <c r="Q64" i="8"/>
  <c r="C62" i="7"/>
  <c r="K192" i="8"/>
  <c r="S64" i="8"/>
  <c r="E62" i="7"/>
  <c r="L192" i="8"/>
  <c r="T64" i="8"/>
  <c r="F62" i="7"/>
  <c r="M192" i="8"/>
  <c r="U64" i="8"/>
  <c r="G62" i="7"/>
  <c r="H195" i="8"/>
  <c r="P65" i="8"/>
  <c r="B63" i="7"/>
  <c r="I195" i="8"/>
  <c r="Q65" i="8"/>
  <c r="C63" i="7"/>
  <c r="K195" i="8"/>
  <c r="S65" i="8"/>
  <c r="E63" i="7"/>
  <c r="L195" i="8"/>
  <c r="T65" i="8"/>
  <c r="F63" i="7"/>
  <c r="M195" i="8"/>
  <c r="U65" i="8"/>
  <c r="G63" i="7"/>
  <c r="H198" i="8"/>
  <c r="P66" i="8"/>
  <c r="B64" i="7"/>
  <c r="I198" i="8"/>
  <c r="Q66" i="8"/>
  <c r="C64" i="7"/>
  <c r="K198" i="8"/>
  <c r="S66" i="8"/>
  <c r="E64" i="7"/>
  <c r="L198" i="8"/>
  <c r="T66" i="8"/>
  <c r="F64" i="7"/>
  <c r="M198" i="8"/>
  <c r="U66" i="8"/>
  <c r="G64" i="7"/>
  <c r="H201" i="8"/>
  <c r="P67" i="8"/>
  <c r="B65" i="7"/>
  <c r="I201" i="8"/>
  <c r="Q67" i="8"/>
  <c r="C65" i="7"/>
  <c r="K201" i="8"/>
  <c r="S67" i="8"/>
  <c r="E65" i="7"/>
  <c r="L201" i="8"/>
  <c r="T67" i="8"/>
  <c r="F65" i="7"/>
  <c r="M201" i="8"/>
  <c r="U67" i="8"/>
  <c r="G65" i="7"/>
  <c r="H204" i="8"/>
  <c r="P68" i="8"/>
  <c r="B66" i="7"/>
  <c r="I204" i="8"/>
  <c r="Q68" i="8"/>
  <c r="C66" i="7"/>
  <c r="K204" i="8"/>
  <c r="S68" i="8"/>
  <c r="E66" i="7"/>
  <c r="L204" i="8"/>
  <c r="T68" i="8"/>
  <c r="F66" i="7"/>
  <c r="M204" i="8"/>
  <c r="U68" i="8"/>
  <c r="G66" i="7"/>
  <c r="H207" i="8"/>
  <c r="P69" i="8"/>
  <c r="B67" i="7"/>
  <c r="I207" i="8"/>
  <c r="Q69" i="8"/>
  <c r="C67" i="7"/>
  <c r="K207" i="8"/>
  <c r="S69" i="8"/>
  <c r="E67" i="7"/>
  <c r="L207" i="8"/>
  <c r="T69" i="8"/>
  <c r="F67" i="7"/>
  <c r="M207" i="8"/>
  <c r="U69" i="8"/>
  <c r="G67" i="7"/>
  <c r="H210" i="8"/>
  <c r="P70" i="8"/>
  <c r="B68" i="7"/>
  <c r="I210" i="8"/>
  <c r="Q70" i="8"/>
  <c r="C68" i="7"/>
  <c r="K210" i="8"/>
  <c r="S70" i="8"/>
  <c r="E68" i="7"/>
  <c r="L210" i="8"/>
  <c r="T70" i="8"/>
  <c r="F68" i="7"/>
  <c r="M210" i="8"/>
  <c r="U70" i="8"/>
  <c r="G68" i="7"/>
  <c r="H213" i="8"/>
  <c r="P71" i="8"/>
  <c r="B69" i="7"/>
  <c r="I213" i="8"/>
  <c r="Q71" i="8"/>
  <c r="C69" i="7"/>
  <c r="K213" i="8"/>
  <c r="S71" i="8"/>
  <c r="E69" i="7"/>
  <c r="L213" i="8"/>
  <c r="T71" i="8"/>
  <c r="F69" i="7"/>
  <c r="M213" i="8"/>
  <c r="U71" i="8"/>
  <c r="G69" i="7"/>
  <c r="H216" i="8"/>
  <c r="P72" i="8"/>
  <c r="B70" i="7"/>
  <c r="I216" i="8"/>
  <c r="Q72" i="8"/>
  <c r="C70" i="7"/>
  <c r="K216" i="8"/>
  <c r="S72" i="8"/>
  <c r="E70" i="7"/>
  <c r="L216" i="8"/>
  <c r="T72" i="8"/>
  <c r="F70" i="7"/>
  <c r="M216" i="8"/>
  <c r="U72" i="8"/>
  <c r="G70" i="7"/>
  <c r="H219" i="8"/>
  <c r="P73" i="8"/>
  <c r="B71" i="7"/>
  <c r="I219" i="8"/>
  <c r="Q73" i="8"/>
  <c r="C71" i="7"/>
  <c r="K219" i="8"/>
  <c r="S73" i="8"/>
  <c r="E71" i="7"/>
  <c r="L219" i="8"/>
  <c r="T73" i="8"/>
  <c r="F71" i="7"/>
  <c r="M219" i="8"/>
  <c r="U73" i="8"/>
  <c r="G71" i="7"/>
  <c r="H222" i="8"/>
  <c r="P74" i="8"/>
  <c r="B72" i="7"/>
  <c r="I222" i="8"/>
  <c r="Q74" i="8"/>
  <c r="C72" i="7"/>
  <c r="K222" i="8"/>
  <c r="S74" i="8"/>
  <c r="E72" i="7"/>
  <c r="L222" i="8"/>
  <c r="T74" i="8"/>
  <c r="F72" i="7"/>
  <c r="M222" i="8"/>
  <c r="U74" i="8"/>
  <c r="G72" i="7"/>
  <c r="H225" i="8"/>
  <c r="P75" i="8"/>
  <c r="B73" i="7"/>
  <c r="I225" i="8"/>
  <c r="Q75" i="8"/>
  <c r="C73" i="7"/>
  <c r="K225" i="8"/>
  <c r="S75" i="8"/>
  <c r="E73" i="7"/>
  <c r="L225" i="8"/>
  <c r="T75" i="8"/>
  <c r="F73" i="7"/>
  <c r="M225" i="8"/>
  <c r="U75" i="8"/>
  <c r="G73" i="7"/>
  <c r="H228" i="8"/>
  <c r="P76" i="8"/>
  <c r="B74" i="7"/>
  <c r="I228" i="8"/>
  <c r="Q76" i="8"/>
  <c r="C74" i="7"/>
  <c r="K228" i="8"/>
  <c r="S76" i="8"/>
  <c r="E74" i="7"/>
  <c r="L228" i="8"/>
  <c r="T76" i="8"/>
  <c r="F74" i="7"/>
  <c r="M228" i="8"/>
  <c r="U76" i="8"/>
  <c r="G74" i="7"/>
  <c r="H231" i="8"/>
  <c r="P77" i="8"/>
  <c r="B75" i="7"/>
  <c r="I231" i="8"/>
  <c r="Q77" i="8"/>
  <c r="C75" i="7"/>
  <c r="K231" i="8"/>
  <c r="S77" i="8"/>
  <c r="E75" i="7"/>
  <c r="L231" i="8"/>
  <c r="T77" i="8"/>
  <c r="F75" i="7"/>
  <c r="M231" i="8"/>
  <c r="U77" i="8"/>
  <c r="G75" i="7"/>
  <c r="H234" i="8"/>
  <c r="P78" i="8"/>
  <c r="B76" i="7"/>
  <c r="I234" i="8"/>
  <c r="Q78" i="8"/>
  <c r="C76" i="7"/>
  <c r="K234" i="8"/>
  <c r="S78" i="8"/>
  <c r="E76" i="7"/>
  <c r="L234" i="8"/>
  <c r="T78" i="8"/>
  <c r="F76" i="7"/>
  <c r="M234" i="8"/>
  <c r="U78" i="8"/>
  <c r="G76" i="7"/>
  <c r="H237" i="8"/>
  <c r="P79" i="8"/>
  <c r="B77" i="7"/>
  <c r="I237" i="8"/>
  <c r="Q79" i="8"/>
  <c r="C77" i="7"/>
  <c r="K237" i="8"/>
  <c r="S79" i="8"/>
  <c r="E77" i="7"/>
  <c r="L237" i="8"/>
  <c r="T79" i="8"/>
  <c r="F77" i="7"/>
  <c r="M237" i="8"/>
  <c r="U79" i="8"/>
  <c r="G77" i="7"/>
  <c r="H240" i="8"/>
  <c r="P80" i="8"/>
  <c r="B78" i="7"/>
  <c r="I240" i="8"/>
  <c r="Q80" i="8"/>
  <c r="C78" i="7"/>
  <c r="K240" i="8"/>
  <c r="S80" i="8"/>
  <c r="E78" i="7"/>
  <c r="L240" i="8"/>
  <c r="T80" i="8"/>
  <c r="F78" i="7"/>
  <c r="M240" i="8"/>
  <c r="U80" i="8"/>
  <c r="G78" i="7"/>
  <c r="H243" i="8"/>
  <c r="P81" i="8"/>
  <c r="B79" i="7"/>
  <c r="I243" i="8"/>
  <c r="Q81" i="8"/>
  <c r="C79" i="7"/>
  <c r="K243" i="8"/>
  <c r="S81" i="8"/>
  <c r="E79" i="7"/>
  <c r="L243" i="8"/>
  <c r="T81" i="8"/>
  <c r="F79" i="7"/>
  <c r="M243" i="8"/>
  <c r="U81" i="8"/>
  <c r="G79" i="7"/>
  <c r="H246" i="8"/>
  <c r="P82" i="8"/>
  <c r="B80" i="7"/>
  <c r="I246" i="8"/>
  <c r="Q82" i="8"/>
  <c r="C80" i="7"/>
  <c r="K246" i="8"/>
  <c r="S82" i="8"/>
  <c r="E80" i="7"/>
  <c r="L246" i="8"/>
  <c r="T82" i="8"/>
  <c r="F80" i="7"/>
  <c r="M246" i="8"/>
  <c r="U82" i="8"/>
  <c r="G80" i="7"/>
  <c r="H249" i="8"/>
  <c r="P83" i="8"/>
  <c r="B81" i="7"/>
  <c r="I249" i="8"/>
  <c r="Q83" i="8"/>
  <c r="C81" i="7"/>
  <c r="K249" i="8"/>
  <c r="S83" i="8"/>
  <c r="E81" i="7"/>
  <c r="L249" i="8"/>
  <c r="T83" i="8"/>
  <c r="F81" i="7"/>
  <c r="M249" i="8"/>
  <c r="U83" i="8"/>
  <c r="G81" i="7"/>
  <c r="H252" i="8"/>
  <c r="P84" i="8"/>
  <c r="B82" i="7"/>
  <c r="I252" i="8"/>
  <c r="Q84" i="8"/>
  <c r="C82" i="7"/>
  <c r="K252" i="8"/>
  <c r="S84" i="8"/>
  <c r="E82" i="7"/>
  <c r="L252" i="8"/>
  <c r="T84" i="8"/>
  <c r="F82" i="7"/>
  <c r="M252" i="8"/>
  <c r="U84" i="8"/>
  <c r="G82" i="7"/>
  <c r="H255" i="8"/>
  <c r="P85" i="8"/>
  <c r="B83" i="7"/>
  <c r="I255" i="8"/>
  <c r="Q85" i="8"/>
  <c r="C83" i="7"/>
  <c r="K255" i="8"/>
  <c r="S85" i="8"/>
  <c r="E83" i="7"/>
  <c r="L255" i="8"/>
  <c r="T85" i="8"/>
  <c r="F83" i="7"/>
  <c r="M255" i="8"/>
  <c r="U85" i="8"/>
  <c r="G83" i="7"/>
  <c r="H258" i="8"/>
  <c r="P86" i="8"/>
  <c r="B84" i="7"/>
  <c r="I258" i="8"/>
  <c r="Q86" i="8"/>
  <c r="C84" i="7"/>
  <c r="K258" i="8"/>
  <c r="S86" i="8"/>
  <c r="E84" i="7"/>
  <c r="L258" i="8"/>
  <c r="T86" i="8"/>
  <c r="F84" i="7"/>
  <c r="M258" i="8"/>
  <c r="U86" i="8"/>
  <c r="G84" i="7"/>
  <c r="H261" i="8"/>
  <c r="P87" i="8"/>
  <c r="B85" i="7"/>
  <c r="I261" i="8"/>
  <c r="Q87" i="8"/>
  <c r="C85" i="7"/>
  <c r="K261" i="8"/>
  <c r="S87" i="8"/>
  <c r="E85" i="7"/>
  <c r="L261" i="8"/>
  <c r="T87" i="8"/>
  <c r="F85" i="7"/>
  <c r="M261" i="8"/>
  <c r="U87" i="8"/>
  <c r="G85" i="7"/>
  <c r="H264" i="8"/>
  <c r="P88" i="8"/>
  <c r="B86" i="7"/>
  <c r="I264" i="8"/>
  <c r="Q88" i="8"/>
  <c r="C86" i="7"/>
  <c r="K264" i="8"/>
  <c r="S88" i="8"/>
  <c r="E86" i="7"/>
  <c r="L264" i="8"/>
  <c r="T88" i="8"/>
  <c r="F86" i="7"/>
  <c r="M264" i="8"/>
  <c r="U88" i="8"/>
  <c r="G86" i="7"/>
  <c r="H267" i="8"/>
  <c r="P89" i="8"/>
  <c r="B87" i="7"/>
  <c r="I267" i="8"/>
  <c r="Q89" i="8"/>
  <c r="C87" i="7"/>
  <c r="K267" i="8"/>
  <c r="S89" i="8"/>
  <c r="E87" i="7"/>
  <c r="L267" i="8"/>
  <c r="T89" i="8"/>
  <c r="F87" i="7"/>
  <c r="M267" i="8"/>
  <c r="U89" i="8"/>
  <c r="G87" i="7"/>
  <c r="H270" i="8"/>
  <c r="P90" i="8"/>
  <c r="B88" i="7"/>
  <c r="I270" i="8"/>
  <c r="Q90" i="8"/>
  <c r="C88" i="7"/>
  <c r="K270" i="8"/>
  <c r="S90" i="8"/>
  <c r="E88" i="7"/>
  <c r="L270" i="8"/>
  <c r="T90" i="8"/>
  <c r="F88" i="7"/>
  <c r="M270" i="8"/>
  <c r="U90" i="8"/>
  <c r="G88" i="7"/>
  <c r="H273" i="8"/>
  <c r="P91" i="8"/>
  <c r="B89" i="7"/>
  <c r="I273" i="8"/>
  <c r="Q91" i="8"/>
  <c r="C89" i="7"/>
  <c r="K273" i="8"/>
  <c r="S91" i="8"/>
  <c r="E89" i="7"/>
  <c r="L273" i="8"/>
  <c r="T91" i="8"/>
  <c r="F89" i="7"/>
  <c r="M273" i="8"/>
  <c r="U91" i="8"/>
  <c r="G89" i="7"/>
  <c r="H276" i="8"/>
  <c r="P92" i="8"/>
  <c r="B90" i="7"/>
  <c r="I276" i="8"/>
  <c r="Q92" i="8"/>
  <c r="C90" i="7"/>
  <c r="K276" i="8"/>
  <c r="S92" i="8"/>
  <c r="E90" i="7"/>
  <c r="L276" i="8"/>
  <c r="T92" i="8"/>
  <c r="F90" i="7"/>
  <c r="M276" i="8"/>
  <c r="U92" i="8"/>
  <c r="G90" i="7"/>
  <c r="H279" i="8"/>
  <c r="P93" i="8"/>
  <c r="B91" i="7"/>
  <c r="I279" i="8"/>
  <c r="Q93" i="8"/>
  <c r="C91" i="7"/>
  <c r="K279" i="8"/>
  <c r="S93" i="8"/>
  <c r="E91" i="7"/>
  <c r="L279" i="8"/>
  <c r="T93" i="8"/>
  <c r="F91" i="7"/>
  <c r="M279" i="8"/>
  <c r="U93" i="8"/>
  <c r="G91" i="7"/>
  <c r="H282" i="8"/>
  <c r="P94" i="8"/>
  <c r="B92" i="7"/>
  <c r="I282" i="8"/>
  <c r="Q94" i="8"/>
  <c r="C92" i="7"/>
  <c r="K282" i="8"/>
  <c r="S94" i="8"/>
  <c r="E92" i="7"/>
  <c r="L282" i="8"/>
  <c r="T94" i="8"/>
  <c r="F92" i="7"/>
  <c r="M282" i="8"/>
  <c r="U94" i="8"/>
  <c r="G92" i="7"/>
  <c r="H285" i="8"/>
  <c r="P95" i="8"/>
  <c r="B93" i="7"/>
  <c r="I285" i="8"/>
  <c r="Q95" i="8"/>
  <c r="C93" i="7"/>
  <c r="K285" i="8"/>
  <c r="S95" i="8"/>
  <c r="E93" i="7"/>
  <c r="L285" i="8"/>
  <c r="T95" i="8"/>
  <c r="F93" i="7"/>
  <c r="M285" i="8"/>
  <c r="U95" i="8"/>
  <c r="G93" i="7"/>
  <c r="I12" i="8"/>
  <c r="Q4" i="8"/>
  <c r="C2" i="7"/>
  <c r="K12" i="8"/>
  <c r="S4" i="8"/>
  <c r="E2" i="7"/>
  <c r="L12" i="8"/>
  <c r="T4" i="8"/>
  <c r="F2" i="7"/>
  <c r="M12" i="8"/>
  <c r="U4" i="8"/>
  <c r="G2" i="7"/>
  <c r="H12" i="8"/>
  <c r="P4" i="8"/>
  <c r="B2" i="7"/>
  <c r="O96" i="8"/>
  <c r="H288" i="8"/>
  <c r="P96" i="8"/>
  <c r="I288" i="8"/>
  <c r="Q96" i="8"/>
  <c r="J288" i="8"/>
  <c r="R96" i="8"/>
  <c r="K288" i="8"/>
  <c r="S96" i="8"/>
  <c r="L288" i="8"/>
  <c r="T96" i="8"/>
  <c r="M288" i="8"/>
  <c r="U96" i="8"/>
  <c r="O97" i="8"/>
  <c r="H291" i="8"/>
  <c r="P97" i="8"/>
  <c r="I291" i="8"/>
  <c r="Q97" i="8"/>
  <c r="J291" i="8"/>
  <c r="R97" i="8"/>
  <c r="K291" i="8"/>
  <c r="S97" i="8"/>
  <c r="L291" i="8"/>
  <c r="T97" i="8"/>
  <c r="M291" i="8"/>
  <c r="U97" i="8"/>
  <c r="O98" i="8"/>
  <c r="H294" i="8"/>
  <c r="P98" i="8"/>
  <c r="I294" i="8"/>
  <c r="Q98" i="8"/>
  <c r="J294" i="8"/>
  <c r="R98" i="8"/>
  <c r="K294" i="8"/>
  <c r="S98" i="8"/>
  <c r="L294" i="8"/>
  <c r="T98" i="8"/>
  <c r="M294" i="8"/>
  <c r="U98" i="8"/>
  <c r="O99" i="8"/>
  <c r="H297" i="8"/>
  <c r="P99" i="8"/>
  <c r="I297" i="8"/>
  <c r="Q99" i="8"/>
  <c r="J297" i="8"/>
  <c r="R99" i="8"/>
  <c r="K297" i="8"/>
  <c r="S99" i="8"/>
  <c r="L297" i="8"/>
  <c r="T99" i="8"/>
  <c r="M297" i="8"/>
  <c r="U99" i="8"/>
  <c r="O100" i="8"/>
  <c r="H300" i="8"/>
  <c r="P100" i="8"/>
  <c r="I300" i="8"/>
  <c r="Q100" i="8"/>
  <c r="J300" i="8"/>
  <c r="R100" i="8"/>
  <c r="K300" i="8"/>
  <c r="S100" i="8"/>
  <c r="L300" i="8"/>
  <c r="T100" i="8"/>
  <c r="M300" i="8"/>
  <c r="U100" i="8"/>
  <c r="O101" i="8"/>
  <c r="H303" i="8"/>
  <c r="P101" i="8"/>
  <c r="I303" i="8"/>
  <c r="Q101" i="8"/>
  <c r="J303" i="8"/>
  <c r="R101" i="8"/>
  <c r="K303" i="8"/>
  <c r="S101" i="8"/>
  <c r="L303" i="8"/>
  <c r="T101" i="8"/>
  <c r="M303" i="8"/>
  <c r="U101" i="8"/>
  <c r="O102" i="8"/>
  <c r="H306" i="8"/>
  <c r="P102" i="8"/>
  <c r="I306" i="8"/>
  <c r="Q102" i="8"/>
  <c r="J306" i="8"/>
  <c r="R102" i="8"/>
  <c r="K306" i="8"/>
  <c r="S102" i="8"/>
  <c r="L306" i="8"/>
  <c r="T102" i="8"/>
  <c r="M306" i="8"/>
  <c r="U102" i="8"/>
  <c r="O103" i="8"/>
  <c r="H309" i="8"/>
  <c r="P103" i="8"/>
  <c r="I309" i="8"/>
  <c r="Q103" i="8"/>
  <c r="J309" i="8"/>
  <c r="R103" i="8"/>
  <c r="K309" i="8"/>
  <c r="S103" i="8"/>
  <c r="L309" i="8"/>
  <c r="T103" i="8"/>
  <c r="M309" i="8"/>
  <c r="U103" i="8"/>
  <c r="O104" i="8"/>
  <c r="H312" i="8"/>
  <c r="P104" i="8"/>
  <c r="I312" i="8"/>
  <c r="Q104" i="8"/>
  <c r="J312" i="8"/>
  <c r="R104" i="8"/>
  <c r="K312" i="8"/>
  <c r="S104" i="8"/>
  <c r="L312" i="8"/>
  <c r="T104" i="8"/>
  <c r="M312" i="8"/>
  <c r="U104" i="8"/>
  <c r="O105" i="8"/>
  <c r="H315" i="8"/>
  <c r="P105" i="8"/>
  <c r="I315" i="8"/>
  <c r="Q105" i="8"/>
  <c r="J315" i="8"/>
  <c r="R105" i="8"/>
  <c r="K315" i="8"/>
  <c r="S105" i="8"/>
  <c r="L315" i="8"/>
  <c r="T105" i="8"/>
  <c r="M315" i="8"/>
  <c r="U105" i="8"/>
  <c r="O106" i="8"/>
  <c r="A319" i="8"/>
  <c r="H318" i="8"/>
  <c r="P106" i="8"/>
  <c r="I318" i="8"/>
  <c r="Q106" i="8"/>
  <c r="J318" i="8"/>
  <c r="R106" i="8"/>
  <c r="K318" i="8"/>
  <c r="S106" i="8"/>
  <c r="L318" i="8"/>
  <c r="T106" i="8"/>
  <c r="M318" i="8"/>
  <c r="U106" i="8"/>
  <c r="O107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H321" i="8"/>
  <c r="P107" i="8"/>
  <c r="I321" i="8"/>
  <c r="Q107" i="8"/>
  <c r="J321" i="8"/>
  <c r="R107" i="8"/>
  <c r="K321" i="8"/>
  <c r="S107" i="8"/>
  <c r="L321" i="8"/>
  <c r="T107" i="8"/>
  <c r="M321" i="8"/>
  <c r="U107" i="8"/>
  <c r="O108" i="8"/>
  <c r="H324" i="8"/>
  <c r="P108" i="8"/>
  <c r="I324" i="8"/>
  <c r="Q108" i="8"/>
  <c r="J324" i="8"/>
  <c r="R108" i="8"/>
  <c r="K324" i="8"/>
  <c r="S108" i="8"/>
  <c r="L324" i="8"/>
  <c r="T108" i="8"/>
  <c r="M324" i="8"/>
  <c r="U108" i="8"/>
  <c r="O109" i="8"/>
  <c r="H327" i="8"/>
  <c r="P109" i="8"/>
  <c r="I327" i="8"/>
  <c r="Q109" i="8"/>
  <c r="J327" i="8"/>
  <c r="R109" i="8"/>
  <c r="K327" i="8"/>
  <c r="S109" i="8"/>
  <c r="L327" i="8"/>
  <c r="T109" i="8"/>
  <c r="M327" i="8"/>
  <c r="U109" i="8"/>
  <c r="O110" i="8"/>
  <c r="H330" i="8"/>
  <c r="P110" i="8"/>
  <c r="I330" i="8"/>
  <c r="Q110" i="8"/>
  <c r="J330" i="8"/>
  <c r="R110" i="8"/>
  <c r="K330" i="8"/>
  <c r="S110" i="8"/>
  <c r="L330" i="8"/>
  <c r="T110" i="8"/>
  <c r="M330" i="8"/>
  <c r="U110" i="8"/>
  <c r="O111" i="8"/>
  <c r="H333" i="8"/>
  <c r="P111" i="8"/>
  <c r="I333" i="8"/>
  <c r="Q111" i="8"/>
  <c r="J333" i="8"/>
  <c r="R111" i="8"/>
  <c r="K333" i="8"/>
  <c r="S111" i="8"/>
  <c r="L333" i="8"/>
  <c r="T111" i="8"/>
  <c r="M333" i="8"/>
  <c r="U111" i="8"/>
  <c r="O112" i="8"/>
  <c r="H336" i="8"/>
  <c r="P112" i="8"/>
  <c r="I336" i="8"/>
  <c r="Q112" i="8"/>
  <c r="J336" i="8"/>
  <c r="R112" i="8"/>
  <c r="K336" i="8"/>
  <c r="S112" i="8"/>
  <c r="L336" i="8"/>
  <c r="T112" i="8"/>
  <c r="M336" i="8"/>
  <c r="U112" i="8"/>
  <c r="O113" i="8"/>
  <c r="H339" i="8"/>
  <c r="P113" i="8"/>
  <c r="I339" i="8"/>
  <c r="Q113" i="8"/>
  <c r="J339" i="8"/>
  <c r="R113" i="8"/>
  <c r="K339" i="8"/>
  <c r="S113" i="8"/>
  <c r="L339" i="8"/>
  <c r="T113" i="8"/>
  <c r="M339" i="8"/>
  <c r="U113" i="8"/>
  <c r="O114" i="8"/>
  <c r="H342" i="8"/>
  <c r="P114" i="8"/>
  <c r="I342" i="8"/>
  <c r="Q114" i="8"/>
  <c r="J342" i="8"/>
  <c r="R114" i="8"/>
  <c r="K342" i="8"/>
  <c r="S114" i="8"/>
  <c r="L342" i="8"/>
  <c r="T114" i="8"/>
  <c r="M342" i="8"/>
  <c r="U114" i="8"/>
  <c r="O115" i="8"/>
  <c r="H345" i="8"/>
  <c r="P115" i="8"/>
  <c r="I345" i="8"/>
  <c r="Q115" i="8"/>
  <c r="J345" i="8"/>
  <c r="R115" i="8"/>
  <c r="K345" i="8"/>
  <c r="S115" i="8"/>
  <c r="L345" i="8"/>
  <c r="T115" i="8"/>
  <c r="M345" i="8"/>
  <c r="U115" i="8"/>
  <c r="O116" i="8"/>
  <c r="H348" i="8"/>
  <c r="P116" i="8"/>
  <c r="I348" i="8"/>
  <c r="Q116" i="8"/>
  <c r="J348" i="8"/>
  <c r="R116" i="8"/>
  <c r="K348" i="8"/>
  <c r="S116" i="8"/>
  <c r="L348" i="8"/>
  <c r="T116" i="8"/>
  <c r="M348" i="8"/>
  <c r="U116" i="8"/>
  <c r="O117" i="8"/>
  <c r="H351" i="8"/>
  <c r="P117" i="8"/>
  <c r="I351" i="8"/>
  <c r="Q117" i="8"/>
  <c r="J351" i="8"/>
  <c r="R117" i="8"/>
  <c r="K351" i="8"/>
  <c r="S117" i="8"/>
  <c r="L351" i="8"/>
  <c r="T117" i="8"/>
  <c r="M351" i="8"/>
  <c r="U117" i="8"/>
  <c r="O118" i="8"/>
  <c r="H354" i="8"/>
  <c r="P118" i="8"/>
  <c r="I354" i="8"/>
  <c r="Q118" i="8"/>
  <c r="J354" i="8"/>
  <c r="R118" i="8"/>
  <c r="K354" i="8"/>
  <c r="S118" i="8"/>
  <c r="L354" i="8"/>
  <c r="T118" i="8"/>
  <c r="M354" i="8"/>
  <c r="U118" i="8"/>
  <c r="O119" i="8"/>
  <c r="H357" i="8"/>
  <c r="P119" i="8"/>
  <c r="I357" i="8"/>
  <c r="Q119" i="8"/>
  <c r="J357" i="8"/>
  <c r="R119" i="8"/>
  <c r="K357" i="8"/>
  <c r="S119" i="8"/>
  <c r="L357" i="8"/>
  <c r="T119" i="8"/>
  <c r="M357" i="8"/>
  <c r="U119" i="8"/>
  <c r="O120" i="8"/>
  <c r="H360" i="8"/>
  <c r="P120" i="8"/>
  <c r="I360" i="8"/>
  <c r="Q120" i="8"/>
  <c r="J360" i="8"/>
  <c r="R120" i="8"/>
  <c r="K360" i="8"/>
  <c r="S120" i="8"/>
  <c r="L360" i="8"/>
  <c r="T120" i="8"/>
  <c r="M360" i="8"/>
  <c r="U120" i="8"/>
  <c r="O121" i="8"/>
  <c r="H363" i="8"/>
  <c r="P121" i="8"/>
  <c r="I363" i="8"/>
  <c r="Q121" i="8"/>
  <c r="J363" i="8"/>
  <c r="R121" i="8"/>
  <c r="K363" i="8"/>
  <c r="S121" i="8"/>
  <c r="L363" i="8"/>
  <c r="T121" i="8"/>
  <c r="M363" i="8"/>
  <c r="U121" i="8"/>
  <c r="O122" i="8"/>
  <c r="H366" i="8"/>
  <c r="P122" i="8"/>
  <c r="I366" i="8"/>
  <c r="Q122" i="8"/>
  <c r="J366" i="8"/>
  <c r="R122" i="8"/>
  <c r="K366" i="8"/>
  <c r="S122" i="8"/>
  <c r="L366" i="8"/>
  <c r="T122" i="8"/>
  <c r="M366" i="8"/>
  <c r="U122" i="8"/>
  <c r="O123" i="8"/>
  <c r="H369" i="8"/>
  <c r="P123" i="8"/>
  <c r="I369" i="8"/>
  <c r="Q123" i="8"/>
  <c r="J369" i="8"/>
  <c r="R123" i="8"/>
  <c r="K369" i="8"/>
  <c r="S123" i="8"/>
  <c r="L369" i="8"/>
  <c r="T123" i="8"/>
  <c r="M369" i="8"/>
  <c r="U123" i="8"/>
  <c r="O124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H372" i="8"/>
  <c r="P124" i="8"/>
  <c r="I372" i="8"/>
  <c r="Q124" i="8"/>
  <c r="J372" i="8"/>
  <c r="R124" i="8"/>
  <c r="K372" i="8"/>
  <c r="S124" i="8"/>
  <c r="L372" i="8"/>
  <c r="T124" i="8"/>
  <c r="M372" i="8"/>
  <c r="U124" i="8"/>
  <c r="O125" i="8"/>
  <c r="H375" i="8"/>
  <c r="P125" i="8"/>
  <c r="I375" i="8"/>
  <c r="Q125" i="8"/>
  <c r="J375" i="8"/>
  <c r="R125" i="8"/>
  <c r="K375" i="8"/>
  <c r="S125" i="8"/>
  <c r="L375" i="8"/>
  <c r="T125" i="8"/>
  <c r="M375" i="8"/>
  <c r="U125" i="8"/>
  <c r="O126" i="8"/>
  <c r="H378" i="8"/>
  <c r="P126" i="8"/>
  <c r="I378" i="8"/>
  <c r="Q126" i="8"/>
  <c r="J378" i="8"/>
  <c r="R126" i="8"/>
  <c r="K378" i="8"/>
  <c r="S126" i="8"/>
  <c r="L378" i="8"/>
  <c r="T126" i="8"/>
  <c r="M378" i="8"/>
  <c r="U126" i="8"/>
  <c r="O127" i="8"/>
  <c r="H381" i="8"/>
  <c r="P127" i="8"/>
  <c r="I381" i="8"/>
  <c r="Q127" i="8"/>
  <c r="J381" i="8"/>
  <c r="R127" i="8"/>
  <c r="K381" i="8"/>
  <c r="S127" i="8"/>
  <c r="L381" i="8"/>
  <c r="T127" i="8"/>
  <c r="M381" i="8"/>
  <c r="U127" i="8"/>
  <c r="O128" i="8"/>
  <c r="H384" i="8"/>
  <c r="P128" i="8"/>
  <c r="I384" i="8"/>
  <c r="Q128" i="8"/>
  <c r="J384" i="8"/>
  <c r="R128" i="8"/>
  <c r="K384" i="8"/>
  <c r="S128" i="8"/>
  <c r="L384" i="8"/>
  <c r="T128" i="8"/>
  <c r="M384" i="8"/>
  <c r="U128" i="8"/>
  <c r="O129" i="8"/>
  <c r="H387" i="8"/>
  <c r="P129" i="8"/>
  <c r="I387" i="8"/>
  <c r="Q129" i="8"/>
  <c r="J387" i="8"/>
  <c r="R129" i="8"/>
  <c r="K387" i="8"/>
  <c r="S129" i="8"/>
  <c r="L387" i="8"/>
  <c r="T129" i="8"/>
  <c r="M387" i="8"/>
  <c r="U129" i="8"/>
  <c r="O130" i="8"/>
  <c r="H390" i="8"/>
  <c r="P130" i="8"/>
  <c r="I390" i="8"/>
  <c r="Q130" i="8"/>
  <c r="J390" i="8"/>
  <c r="R130" i="8"/>
  <c r="K390" i="8"/>
  <c r="S130" i="8"/>
  <c r="L390" i="8"/>
  <c r="T130" i="8"/>
  <c r="M390" i="8"/>
  <c r="U130" i="8"/>
  <c r="O131" i="8"/>
  <c r="H393" i="8"/>
  <c r="P131" i="8"/>
  <c r="I393" i="8"/>
  <c r="Q131" i="8"/>
  <c r="J393" i="8"/>
  <c r="R131" i="8"/>
  <c r="K393" i="8"/>
  <c r="S131" i="8"/>
  <c r="L393" i="8"/>
  <c r="T131" i="8"/>
  <c r="M393" i="8"/>
  <c r="U131" i="8"/>
  <c r="O132" i="8"/>
  <c r="H396" i="8"/>
  <c r="P132" i="8"/>
  <c r="I396" i="8"/>
  <c r="Q132" i="8"/>
  <c r="J396" i="8"/>
  <c r="R132" i="8"/>
  <c r="K396" i="8"/>
  <c r="S132" i="8"/>
  <c r="L396" i="8"/>
  <c r="T132" i="8"/>
  <c r="M396" i="8"/>
  <c r="U132" i="8"/>
  <c r="O133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H399" i="8"/>
  <c r="P133" i="8"/>
  <c r="I399" i="8"/>
  <c r="Q133" i="8"/>
  <c r="J399" i="8"/>
  <c r="R133" i="8"/>
  <c r="K399" i="8"/>
  <c r="S133" i="8"/>
  <c r="L399" i="8"/>
  <c r="T133" i="8"/>
  <c r="M399" i="8"/>
  <c r="U133" i="8"/>
  <c r="O134" i="8"/>
  <c r="H402" i="8"/>
  <c r="P134" i="8"/>
  <c r="I402" i="8"/>
  <c r="Q134" i="8"/>
  <c r="J402" i="8"/>
  <c r="R134" i="8"/>
  <c r="K402" i="8"/>
  <c r="S134" i="8"/>
  <c r="L402" i="8"/>
  <c r="T134" i="8"/>
  <c r="M402" i="8"/>
  <c r="U134" i="8"/>
  <c r="O135" i="8"/>
  <c r="H405" i="8"/>
  <c r="P135" i="8"/>
  <c r="I405" i="8"/>
  <c r="Q135" i="8"/>
  <c r="J405" i="8"/>
  <c r="R135" i="8"/>
  <c r="K405" i="8"/>
  <c r="S135" i="8"/>
  <c r="L405" i="8"/>
  <c r="T135" i="8"/>
  <c r="M405" i="8"/>
  <c r="U135" i="8"/>
  <c r="O136" i="8"/>
  <c r="H408" i="8"/>
  <c r="P136" i="8"/>
  <c r="I408" i="8"/>
  <c r="Q136" i="8"/>
  <c r="J408" i="8"/>
  <c r="R136" i="8"/>
  <c r="K408" i="8"/>
  <c r="S136" i="8"/>
  <c r="L408" i="8"/>
  <c r="T136" i="8"/>
  <c r="M408" i="8"/>
  <c r="U136" i="8"/>
  <c r="O137" i="8"/>
  <c r="A411" i="8"/>
  <c r="A412" i="8"/>
  <c r="A413" i="8"/>
  <c r="A414" i="8"/>
  <c r="A415" i="8"/>
  <c r="A416" i="8"/>
  <c r="A417" i="8"/>
  <c r="H411" i="8"/>
  <c r="P137" i="8"/>
  <c r="I411" i="8"/>
  <c r="Q137" i="8"/>
  <c r="J411" i="8"/>
  <c r="R137" i="8"/>
  <c r="K411" i="8"/>
  <c r="S137" i="8"/>
  <c r="L411" i="8"/>
  <c r="T137" i="8"/>
  <c r="M411" i="8"/>
  <c r="U137" i="8"/>
  <c r="O138" i="8"/>
  <c r="H414" i="8"/>
  <c r="P138" i="8"/>
  <c r="I414" i="8"/>
  <c r="Q138" i="8"/>
  <c r="J414" i="8"/>
  <c r="R138" i="8"/>
  <c r="K414" i="8"/>
  <c r="S138" i="8"/>
  <c r="L414" i="8"/>
  <c r="T138" i="8"/>
  <c r="M414" i="8"/>
  <c r="U138" i="8"/>
  <c r="O139" i="8"/>
  <c r="A418" i="8"/>
  <c r="H417" i="8"/>
  <c r="P139" i="8"/>
  <c r="I417" i="8"/>
  <c r="Q139" i="8"/>
  <c r="J417" i="8"/>
  <c r="R139" i="8"/>
  <c r="K417" i="8"/>
  <c r="S139" i="8"/>
  <c r="L417" i="8"/>
  <c r="T139" i="8"/>
  <c r="M417" i="8"/>
  <c r="U139" i="8"/>
  <c r="O140" i="8"/>
  <c r="A419" i="8"/>
  <c r="A420" i="8"/>
  <c r="A421" i="8"/>
  <c r="H420" i="8"/>
  <c r="P140" i="8"/>
  <c r="I420" i="8"/>
  <c r="Q140" i="8"/>
  <c r="J420" i="8"/>
  <c r="R140" i="8"/>
  <c r="K420" i="8"/>
  <c r="S140" i="8"/>
  <c r="L420" i="8"/>
  <c r="T140" i="8"/>
  <c r="M420" i="8"/>
  <c r="U140" i="8"/>
  <c r="O141" i="8"/>
  <c r="A422" i="8"/>
  <c r="A423" i="8"/>
  <c r="H423" i="8"/>
  <c r="P141" i="8"/>
  <c r="I423" i="8"/>
  <c r="Q141" i="8"/>
  <c r="J423" i="8"/>
  <c r="R141" i="8"/>
  <c r="K423" i="8"/>
  <c r="S141" i="8"/>
  <c r="L423" i="8"/>
  <c r="T141" i="8"/>
  <c r="M423" i="8"/>
  <c r="U141" i="8"/>
  <c r="H5" i="8"/>
  <c r="I5" i="8"/>
  <c r="J5" i="8"/>
  <c r="K5" i="8"/>
  <c r="L5" i="8"/>
  <c r="M5" i="8"/>
  <c r="I4" i="8"/>
  <c r="J4" i="8"/>
  <c r="K4" i="8"/>
  <c r="L4" i="8"/>
  <c r="M4" i="8"/>
  <c r="H4" i="8"/>
  <c r="H7" i="8"/>
  <c r="I7" i="8"/>
  <c r="J7" i="8"/>
  <c r="K7" i="8"/>
  <c r="L7" i="8"/>
  <c r="M7" i="8"/>
  <c r="H8" i="8"/>
  <c r="I8" i="8"/>
  <c r="J8" i="8"/>
  <c r="K8" i="8"/>
  <c r="L8" i="8"/>
  <c r="M8" i="8"/>
  <c r="H9" i="8"/>
  <c r="I9" i="8"/>
  <c r="J9" i="8"/>
  <c r="K9" i="8"/>
  <c r="L9" i="8"/>
  <c r="M9" i="8"/>
  <c r="H10" i="8"/>
  <c r="I10" i="8"/>
  <c r="J10" i="8"/>
  <c r="K10" i="8"/>
  <c r="L10" i="8"/>
  <c r="M10" i="8"/>
  <c r="H11" i="8"/>
  <c r="I11" i="8"/>
  <c r="J11" i="8"/>
  <c r="K11" i="8"/>
  <c r="L11" i="8"/>
  <c r="M11" i="8"/>
  <c r="H13" i="8"/>
  <c r="I13" i="8"/>
  <c r="J13" i="8"/>
  <c r="K13" i="8"/>
  <c r="L13" i="8"/>
  <c r="M13" i="8"/>
  <c r="H14" i="8"/>
  <c r="I14" i="8"/>
  <c r="J14" i="8"/>
  <c r="K14" i="8"/>
  <c r="L14" i="8"/>
  <c r="M14" i="8"/>
  <c r="H16" i="8"/>
  <c r="I16" i="8"/>
  <c r="J16" i="8"/>
  <c r="K16" i="8"/>
  <c r="L16" i="8"/>
  <c r="M16" i="8"/>
  <c r="H17" i="8"/>
  <c r="I17" i="8"/>
  <c r="J17" i="8"/>
  <c r="K17" i="8"/>
  <c r="L17" i="8"/>
  <c r="M17" i="8"/>
  <c r="H19" i="8"/>
  <c r="I19" i="8"/>
  <c r="J19" i="8"/>
  <c r="K19" i="8"/>
  <c r="L19" i="8"/>
  <c r="M19" i="8"/>
  <c r="H20" i="8"/>
  <c r="I20" i="8"/>
  <c r="J20" i="8"/>
  <c r="K20" i="8"/>
  <c r="L20" i="8"/>
  <c r="M20" i="8"/>
  <c r="H22" i="8"/>
  <c r="I22" i="8"/>
  <c r="J22" i="8"/>
  <c r="K22" i="8"/>
  <c r="L22" i="8"/>
  <c r="M22" i="8"/>
  <c r="H23" i="8"/>
  <c r="I23" i="8"/>
  <c r="J23" i="8"/>
  <c r="K23" i="8"/>
  <c r="L23" i="8"/>
  <c r="M23" i="8"/>
  <c r="H25" i="8"/>
  <c r="I25" i="8"/>
  <c r="J25" i="8"/>
  <c r="K25" i="8"/>
  <c r="L25" i="8"/>
  <c r="M25" i="8"/>
  <c r="H26" i="8"/>
  <c r="I26" i="8"/>
  <c r="J26" i="8"/>
  <c r="K26" i="8"/>
  <c r="L26" i="8"/>
  <c r="M26" i="8"/>
  <c r="H28" i="8"/>
  <c r="I28" i="8"/>
  <c r="J28" i="8"/>
  <c r="K28" i="8"/>
  <c r="L28" i="8"/>
  <c r="M28" i="8"/>
  <c r="H29" i="8"/>
  <c r="I29" i="8"/>
  <c r="J29" i="8"/>
  <c r="K29" i="8"/>
  <c r="L29" i="8"/>
  <c r="M29" i="8"/>
  <c r="H31" i="8"/>
  <c r="I31" i="8"/>
  <c r="J31" i="8"/>
  <c r="K31" i="8"/>
  <c r="L31" i="8"/>
  <c r="M31" i="8"/>
  <c r="H32" i="8"/>
  <c r="I32" i="8"/>
  <c r="J32" i="8"/>
  <c r="K32" i="8"/>
  <c r="L32" i="8"/>
  <c r="M32" i="8"/>
  <c r="H34" i="8"/>
  <c r="I34" i="8"/>
  <c r="J34" i="8"/>
  <c r="K34" i="8"/>
  <c r="L34" i="8"/>
  <c r="M34" i="8"/>
  <c r="H35" i="8"/>
  <c r="I35" i="8"/>
  <c r="J35" i="8"/>
  <c r="K35" i="8"/>
  <c r="L35" i="8"/>
  <c r="M35" i="8"/>
  <c r="H37" i="8"/>
  <c r="I37" i="8"/>
  <c r="J37" i="8"/>
  <c r="K37" i="8"/>
  <c r="L37" i="8"/>
  <c r="M37" i="8"/>
  <c r="H38" i="8"/>
  <c r="I38" i="8"/>
  <c r="J38" i="8"/>
  <c r="K38" i="8"/>
  <c r="L38" i="8"/>
  <c r="M38" i="8"/>
  <c r="H40" i="8"/>
  <c r="I40" i="8"/>
  <c r="J40" i="8"/>
  <c r="K40" i="8"/>
  <c r="L40" i="8"/>
  <c r="M40" i="8"/>
  <c r="H41" i="8"/>
  <c r="I41" i="8"/>
  <c r="J41" i="8"/>
  <c r="K41" i="8"/>
  <c r="L41" i="8"/>
  <c r="M41" i="8"/>
  <c r="H43" i="8"/>
  <c r="I43" i="8"/>
  <c r="J43" i="8"/>
  <c r="K43" i="8"/>
  <c r="L43" i="8"/>
  <c r="M43" i="8"/>
  <c r="H44" i="8"/>
  <c r="I44" i="8"/>
  <c r="J44" i="8"/>
  <c r="K44" i="8"/>
  <c r="L44" i="8"/>
  <c r="M44" i="8"/>
  <c r="H46" i="8"/>
  <c r="I46" i="8"/>
  <c r="J46" i="8"/>
  <c r="K46" i="8"/>
  <c r="L46" i="8"/>
  <c r="M46" i="8"/>
  <c r="H47" i="8"/>
  <c r="I47" i="8"/>
  <c r="J47" i="8"/>
  <c r="K47" i="8"/>
  <c r="L47" i="8"/>
  <c r="M47" i="8"/>
  <c r="H49" i="8"/>
  <c r="I49" i="8"/>
  <c r="J49" i="8"/>
  <c r="K49" i="8"/>
  <c r="L49" i="8"/>
  <c r="M49" i="8"/>
  <c r="H50" i="8"/>
  <c r="I50" i="8"/>
  <c r="J50" i="8"/>
  <c r="K50" i="8"/>
  <c r="L50" i="8"/>
  <c r="M50" i="8"/>
  <c r="H52" i="8"/>
  <c r="I52" i="8"/>
  <c r="J52" i="8"/>
  <c r="K52" i="8"/>
  <c r="L52" i="8"/>
  <c r="M52" i="8"/>
  <c r="H53" i="8"/>
  <c r="I53" i="8"/>
  <c r="J53" i="8"/>
  <c r="K53" i="8"/>
  <c r="L53" i="8"/>
  <c r="M53" i="8"/>
  <c r="H55" i="8"/>
  <c r="I55" i="8"/>
  <c r="J55" i="8"/>
  <c r="K55" i="8"/>
  <c r="L55" i="8"/>
  <c r="M55" i="8"/>
  <c r="H56" i="8"/>
  <c r="I56" i="8"/>
  <c r="J56" i="8"/>
  <c r="K56" i="8"/>
  <c r="L56" i="8"/>
  <c r="M56" i="8"/>
  <c r="H58" i="8"/>
  <c r="I58" i="8"/>
  <c r="J58" i="8"/>
  <c r="K58" i="8"/>
  <c r="L58" i="8"/>
  <c r="M58" i="8"/>
  <c r="H59" i="8"/>
  <c r="I59" i="8"/>
  <c r="J59" i="8"/>
  <c r="K59" i="8"/>
  <c r="L59" i="8"/>
  <c r="M59" i="8"/>
  <c r="H61" i="8"/>
  <c r="I61" i="8"/>
  <c r="J61" i="8"/>
  <c r="K61" i="8"/>
  <c r="L61" i="8"/>
  <c r="M61" i="8"/>
  <c r="H62" i="8"/>
  <c r="I62" i="8"/>
  <c r="J62" i="8"/>
  <c r="K62" i="8"/>
  <c r="L62" i="8"/>
  <c r="M62" i="8"/>
  <c r="H64" i="8"/>
  <c r="I64" i="8"/>
  <c r="J64" i="8"/>
  <c r="K64" i="8"/>
  <c r="L64" i="8"/>
  <c r="M64" i="8"/>
  <c r="H65" i="8"/>
  <c r="I65" i="8"/>
  <c r="J65" i="8"/>
  <c r="K65" i="8"/>
  <c r="L65" i="8"/>
  <c r="M65" i="8"/>
  <c r="H67" i="8"/>
  <c r="I67" i="8"/>
  <c r="J67" i="8"/>
  <c r="K67" i="8"/>
  <c r="L67" i="8"/>
  <c r="M67" i="8"/>
  <c r="H68" i="8"/>
  <c r="I68" i="8"/>
  <c r="J68" i="8"/>
  <c r="K68" i="8"/>
  <c r="L68" i="8"/>
  <c r="M68" i="8"/>
  <c r="H70" i="8"/>
  <c r="I70" i="8"/>
  <c r="J70" i="8"/>
  <c r="K70" i="8"/>
  <c r="L70" i="8"/>
  <c r="M70" i="8"/>
  <c r="H71" i="8"/>
  <c r="I71" i="8"/>
  <c r="J71" i="8"/>
  <c r="K71" i="8"/>
  <c r="L71" i="8"/>
  <c r="M71" i="8"/>
  <c r="H73" i="8"/>
  <c r="I73" i="8"/>
  <c r="J73" i="8"/>
  <c r="K73" i="8"/>
  <c r="L73" i="8"/>
  <c r="M73" i="8"/>
  <c r="H74" i="8"/>
  <c r="I74" i="8"/>
  <c r="J74" i="8"/>
  <c r="K74" i="8"/>
  <c r="L74" i="8"/>
  <c r="M74" i="8"/>
  <c r="H76" i="8"/>
  <c r="I76" i="8"/>
  <c r="J76" i="8"/>
  <c r="K76" i="8"/>
  <c r="L76" i="8"/>
  <c r="M76" i="8"/>
  <c r="H77" i="8"/>
  <c r="I77" i="8"/>
  <c r="J77" i="8"/>
  <c r="K77" i="8"/>
  <c r="L77" i="8"/>
  <c r="M77" i="8"/>
  <c r="H79" i="8"/>
  <c r="I79" i="8"/>
  <c r="J79" i="8"/>
  <c r="K79" i="8"/>
  <c r="L79" i="8"/>
  <c r="M79" i="8"/>
  <c r="H80" i="8"/>
  <c r="I80" i="8"/>
  <c r="J80" i="8"/>
  <c r="K80" i="8"/>
  <c r="L80" i="8"/>
  <c r="M80" i="8"/>
  <c r="H82" i="8"/>
  <c r="I82" i="8"/>
  <c r="J82" i="8"/>
  <c r="K82" i="8"/>
  <c r="L82" i="8"/>
  <c r="M82" i="8"/>
  <c r="H83" i="8"/>
  <c r="I83" i="8"/>
  <c r="J83" i="8"/>
  <c r="K83" i="8"/>
  <c r="L83" i="8"/>
  <c r="M83" i="8"/>
  <c r="H85" i="8"/>
  <c r="I85" i="8"/>
  <c r="J85" i="8"/>
  <c r="K85" i="8"/>
  <c r="L85" i="8"/>
  <c r="M85" i="8"/>
  <c r="H86" i="8"/>
  <c r="I86" i="8"/>
  <c r="J86" i="8"/>
  <c r="K86" i="8"/>
  <c r="L86" i="8"/>
  <c r="M86" i="8"/>
  <c r="H88" i="8"/>
  <c r="I88" i="8"/>
  <c r="J88" i="8"/>
  <c r="K88" i="8"/>
  <c r="L88" i="8"/>
  <c r="M88" i="8"/>
  <c r="H89" i="8"/>
  <c r="I89" i="8"/>
  <c r="J89" i="8"/>
  <c r="K89" i="8"/>
  <c r="L89" i="8"/>
  <c r="M89" i="8"/>
  <c r="H91" i="8"/>
  <c r="I91" i="8"/>
  <c r="J91" i="8"/>
  <c r="K91" i="8"/>
  <c r="L91" i="8"/>
  <c r="M91" i="8"/>
  <c r="H92" i="8"/>
  <c r="I92" i="8"/>
  <c r="J92" i="8"/>
  <c r="K92" i="8"/>
  <c r="L92" i="8"/>
  <c r="M92" i="8"/>
  <c r="H94" i="8"/>
  <c r="I94" i="8"/>
  <c r="J94" i="8"/>
  <c r="K94" i="8"/>
  <c r="L94" i="8"/>
  <c r="M94" i="8"/>
  <c r="H95" i="8"/>
  <c r="I95" i="8"/>
  <c r="J95" i="8"/>
  <c r="K95" i="8"/>
  <c r="L95" i="8"/>
  <c r="M95" i="8"/>
  <c r="H97" i="8"/>
  <c r="I97" i="8"/>
  <c r="J97" i="8"/>
  <c r="K97" i="8"/>
  <c r="L97" i="8"/>
  <c r="M97" i="8"/>
  <c r="H98" i="8"/>
  <c r="I98" i="8"/>
  <c r="J98" i="8"/>
  <c r="K98" i="8"/>
  <c r="L98" i="8"/>
  <c r="M98" i="8"/>
  <c r="H100" i="8"/>
  <c r="I100" i="8"/>
  <c r="J100" i="8"/>
  <c r="K100" i="8"/>
  <c r="L100" i="8"/>
  <c r="M100" i="8"/>
  <c r="H101" i="8"/>
  <c r="I101" i="8"/>
  <c r="J101" i="8"/>
  <c r="K101" i="8"/>
  <c r="L101" i="8"/>
  <c r="M101" i="8"/>
  <c r="H103" i="8"/>
  <c r="I103" i="8"/>
  <c r="J103" i="8"/>
  <c r="K103" i="8"/>
  <c r="L103" i="8"/>
  <c r="M103" i="8"/>
  <c r="H104" i="8"/>
  <c r="I104" i="8"/>
  <c r="J104" i="8"/>
  <c r="K104" i="8"/>
  <c r="L104" i="8"/>
  <c r="M104" i="8"/>
  <c r="H106" i="8"/>
  <c r="I106" i="8"/>
  <c r="J106" i="8"/>
  <c r="K106" i="8"/>
  <c r="L106" i="8"/>
  <c r="M106" i="8"/>
  <c r="H107" i="8"/>
  <c r="I107" i="8"/>
  <c r="J107" i="8"/>
  <c r="K107" i="8"/>
  <c r="L107" i="8"/>
  <c r="M107" i="8"/>
  <c r="H109" i="8"/>
  <c r="I109" i="8"/>
  <c r="J109" i="8"/>
  <c r="K109" i="8"/>
  <c r="L109" i="8"/>
  <c r="M109" i="8"/>
  <c r="H110" i="8"/>
  <c r="I110" i="8"/>
  <c r="J110" i="8"/>
  <c r="K110" i="8"/>
  <c r="L110" i="8"/>
  <c r="M110" i="8"/>
  <c r="H112" i="8"/>
  <c r="I112" i="8"/>
  <c r="J112" i="8"/>
  <c r="K112" i="8"/>
  <c r="L112" i="8"/>
  <c r="M112" i="8"/>
  <c r="H113" i="8"/>
  <c r="I113" i="8"/>
  <c r="J113" i="8"/>
  <c r="K113" i="8"/>
  <c r="L113" i="8"/>
  <c r="M113" i="8"/>
  <c r="H115" i="8"/>
  <c r="I115" i="8"/>
  <c r="J115" i="8"/>
  <c r="K115" i="8"/>
  <c r="L115" i="8"/>
  <c r="M115" i="8"/>
  <c r="H116" i="8"/>
  <c r="I116" i="8"/>
  <c r="J116" i="8"/>
  <c r="K116" i="8"/>
  <c r="L116" i="8"/>
  <c r="M116" i="8"/>
  <c r="H118" i="8"/>
  <c r="I118" i="8"/>
  <c r="J118" i="8"/>
  <c r="K118" i="8"/>
  <c r="L118" i="8"/>
  <c r="M118" i="8"/>
  <c r="H119" i="8"/>
  <c r="I119" i="8"/>
  <c r="J119" i="8"/>
  <c r="K119" i="8"/>
  <c r="L119" i="8"/>
  <c r="M119" i="8"/>
  <c r="H121" i="8"/>
  <c r="I121" i="8"/>
  <c r="J121" i="8"/>
  <c r="K121" i="8"/>
  <c r="L121" i="8"/>
  <c r="M121" i="8"/>
  <c r="H122" i="8"/>
  <c r="I122" i="8"/>
  <c r="J122" i="8"/>
  <c r="K122" i="8"/>
  <c r="L122" i="8"/>
  <c r="M122" i="8"/>
  <c r="H124" i="8"/>
  <c r="I124" i="8"/>
  <c r="J124" i="8"/>
  <c r="K124" i="8"/>
  <c r="L124" i="8"/>
  <c r="M124" i="8"/>
  <c r="H125" i="8"/>
  <c r="I125" i="8"/>
  <c r="J125" i="8"/>
  <c r="K125" i="8"/>
  <c r="L125" i="8"/>
  <c r="M125" i="8"/>
  <c r="H127" i="8"/>
  <c r="I127" i="8"/>
  <c r="J127" i="8"/>
  <c r="K127" i="8"/>
  <c r="L127" i="8"/>
  <c r="M127" i="8"/>
  <c r="H128" i="8"/>
  <c r="I128" i="8"/>
  <c r="J128" i="8"/>
  <c r="K128" i="8"/>
  <c r="L128" i="8"/>
  <c r="M128" i="8"/>
  <c r="H130" i="8"/>
  <c r="I130" i="8"/>
  <c r="J130" i="8"/>
  <c r="K130" i="8"/>
  <c r="L130" i="8"/>
  <c r="M130" i="8"/>
  <c r="H131" i="8"/>
  <c r="I131" i="8"/>
  <c r="J131" i="8"/>
  <c r="K131" i="8"/>
  <c r="L131" i="8"/>
  <c r="M131" i="8"/>
  <c r="H133" i="8"/>
  <c r="I133" i="8"/>
  <c r="J133" i="8"/>
  <c r="K133" i="8"/>
  <c r="L133" i="8"/>
  <c r="M133" i="8"/>
  <c r="H134" i="8"/>
  <c r="I134" i="8"/>
  <c r="J134" i="8"/>
  <c r="K134" i="8"/>
  <c r="L134" i="8"/>
  <c r="M134" i="8"/>
  <c r="H136" i="8"/>
  <c r="I136" i="8"/>
  <c r="J136" i="8"/>
  <c r="K136" i="8"/>
  <c r="L136" i="8"/>
  <c r="M136" i="8"/>
  <c r="H137" i="8"/>
  <c r="I137" i="8"/>
  <c r="J137" i="8"/>
  <c r="K137" i="8"/>
  <c r="L137" i="8"/>
  <c r="M137" i="8"/>
  <c r="H139" i="8"/>
  <c r="I139" i="8"/>
  <c r="J139" i="8"/>
  <c r="K139" i="8"/>
  <c r="L139" i="8"/>
  <c r="M139" i="8"/>
  <c r="H140" i="8"/>
  <c r="I140" i="8"/>
  <c r="J140" i="8"/>
  <c r="K140" i="8"/>
  <c r="L140" i="8"/>
  <c r="M140" i="8"/>
  <c r="H142" i="8"/>
  <c r="I142" i="8"/>
  <c r="J142" i="8"/>
  <c r="K142" i="8"/>
  <c r="L142" i="8"/>
  <c r="M142" i="8"/>
  <c r="H143" i="8"/>
  <c r="I143" i="8"/>
  <c r="J143" i="8"/>
  <c r="K143" i="8"/>
  <c r="L143" i="8"/>
  <c r="M143" i="8"/>
  <c r="H145" i="8"/>
  <c r="I145" i="8"/>
  <c r="J145" i="8"/>
  <c r="K145" i="8"/>
  <c r="L145" i="8"/>
  <c r="M145" i="8"/>
  <c r="H146" i="8"/>
  <c r="I146" i="8"/>
  <c r="J146" i="8"/>
  <c r="K146" i="8"/>
  <c r="L146" i="8"/>
  <c r="M146" i="8"/>
  <c r="H148" i="8"/>
  <c r="I148" i="8"/>
  <c r="J148" i="8"/>
  <c r="K148" i="8"/>
  <c r="L148" i="8"/>
  <c r="M148" i="8"/>
  <c r="H149" i="8"/>
  <c r="I149" i="8"/>
  <c r="J149" i="8"/>
  <c r="K149" i="8"/>
  <c r="L149" i="8"/>
  <c r="M149" i="8"/>
  <c r="H151" i="8"/>
  <c r="I151" i="8"/>
  <c r="J151" i="8"/>
  <c r="K151" i="8"/>
  <c r="L151" i="8"/>
  <c r="M151" i="8"/>
  <c r="H152" i="8"/>
  <c r="I152" i="8"/>
  <c r="J152" i="8"/>
  <c r="K152" i="8"/>
  <c r="L152" i="8"/>
  <c r="M152" i="8"/>
  <c r="H154" i="8"/>
  <c r="I154" i="8"/>
  <c r="J154" i="8"/>
  <c r="K154" i="8"/>
  <c r="L154" i="8"/>
  <c r="M154" i="8"/>
  <c r="H155" i="8"/>
  <c r="I155" i="8"/>
  <c r="J155" i="8"/>
  <c r="K155" i="8"/>
  <c r="L155" i="8"/>
  <c r="M155" i="8"/>
  <c r="H157" i="8"/>
  <c r="I157" i="8"/>
  <c r="J157" i="8"/>
  <c r="K157" i="8"/>
  <c r="L157" i="8"/>
  <c r="M157" i="8"/>
  <c r="H158" i="8"/>
  <c r="I158" i="8"/>
  <c r="J158" i="8"/>
  <c r="K158" i="8"/>
  <c r="L158" i="8"/>
  <c r="M158" i="8"/>
  <c r="H160" i="8"/>
  <c r="I160" i="8"/>
  <c r="J160" i="8"/>
  <c r="K160" i="8"/>
  <c r="L160" i="8"/>
  <c r="M160" i="8"/>
  <c r="H161" i="8"/>
  <c r="I161" i="8"/>
  <c r="J161" i="8"/>
  <c r="K161" i="8"/>
  <c r="L161" i="8"/>
  <c r="M161" i="8"/>
  <c r="H163" i="8"/>
  <c r="I163" i="8"/>
  <c r="J163" i="8"/>
  <c r="K163" i="8"/>
  <c r="L163" i="8"/>
  <c r="M163" i="8"/>
  <c r="H164" i="8"/>
  <c r="I164" i="8"/>
  <c r="J164" i="8"/>
  <c r="K164" i="8"/>
  <c r="L164" i="8"/>
  <c r="M164" i="8"/>
  <c r="H166" i="8"/>
  <c r="I166" i="8"/>
  <c r="J166" i="8"/>
  <c r="K166" i="8"/>
  <c r="L166" i="8"/>
  <c r="M166" i="8"/>
  <c r="H167" i="8"/>
  <c r="I167" i="8"/>
  <c r="J167" i="8"/>
  <c r="K167" i="8"/>
  <c r="L167" i="8"/>
  <c r="M167" i="8"/>
  <c r="H169" i="8"/>
  <c r="I169" i="8"/>
  <c r="J169" i="8"/>
  <c r="K169" i="8"/>
  <c r="L169" i="8"/>
  <c r="M169" i="8"/>
  <c r="H170" i="8"/>
  <c r="I170" i="8"/>
  <c r="J170" i="8"/>
  <c r="K170" i="8"/>
  <c r="L170" i="8"/>
  <c r="M170" i="8"/>
  <c r="H172" i="8"/>
  <c r="I172" i="8"/>
  <c r="J172" i="8"/>
  <c r="K172" i="8"/>
  <c r="L172" i="8"/>
  <c r="M172" i="8"/>
  <c r="H173" i="8"/>
  <c r="I173" i="8"/>
  <c r="J173" i="8"/>
  <c r="K173" i="8"/>
  <c r="L173" i="8"/>
  <c r="M173" i="8"/>
  <c r="H175" i="8"/>
  <c r="I175" i="8"/>
  <c r="J175" i="8"/>
  <c r="K175" i="8"/>
  <c r="L175" i="8"/>
  <c r="M175" i="8"/>
  <c r="H176" i="8"/>
  <c r="I176" i="8"/>
  <c r="J176" i="8"/>
  <c r="K176" i="8"/>
  <c r="L176" i="8"/>
  <c r="M176" i="8"/>
  <c r="H178" i="8"/>
  <c r="I178" i="8"/>
  <c r="J178" i="8"/>
  <c r="K178" i="8"/>
  <c r="L178" i="8"/>
  <c r="M178" i="8"/>
  <c r="H179" i="8"/>
  <c r="I179" i="8"/>
  <c r="J179" i="8"/>
  <c r="K179" i="8"/>
  <c r="L179" i="8"/>
  <c r="M179" i="8"/>
  <c r="H181" i="8"/>
  <c r="I181" i="8"/>
  <c r="J181" i="8"/>
  <c r="K181" i="8"/>
  <c r="L181" i="8"/>
  <c r="M181" i="8"/>
  <c r="H182" i="8"/>
  <c r="I182" i="8"/>
  <c r="J182" i="8"/>
  <c r="K182" i="8"/>
  <c r="L182" i="8"/>
  <c r="M182" i="8"/>
  <c r="H184" i="8"/>
  <c r="I184" i="8"/>
  <c r="J184" i="8"/>
  <c r="K184" i="8"/>
  <c r="L184" i="8"/>
  <c r="M184" i="8"/>
  <c r="H185" i="8"/>
  <c r="I185" i="8"/>
  <c r="J185" i="8"/>
  <c r="K185" i="8"/>
  <c r="L185" i="8"/>
  <c r="M185" i="8"/>
  <c r="H187" i="8"/>
  <c r="I187" i="8"/>
  <c r="J187" i="8"/>
  <c r="K187" i="8"/>
  <c r="L187" i="8"/>
  <c r="M187" i="8"/>
  <c r="H188" i="8"/>
  <c r="I188" i="8"/>
  <c r="J188" i="8"/>
  <c r="K188" i="8"/>
  <c r="L188" i="8"/>
  <c r="M188" i="8"/>
  <c r="H190" i="8"/>
  <c r="I190" i="8"/>
  <c r="J190" i="8"/>
  <c r="K190" i="8"/>
  <c r="L190" i="8"/>
  <c r="M190" i="8"/>
  <c r="H191" i="8"/>
  <c r="I191" i="8"/>
  <c r="J191" i="8"/>
  <c r="K191" i="8"/>
  <c r="L191" i="8"/>
  <c r="M191" i="8"/>
  <c r="H193" i="8"/>
  <c r="I193" i="8"/>
  <c r="J193" i="8"/>
  <c r="K193" i="8"/>
  <c r="L193" i="8"/>
  <c r="M193" i="8"/>
  <c r="H194" i="8"/>
  <c r="I194" i="8"/>
  <c r="J194" i="8"/>
  <c r="K194" i="8"/>
  <c r="L194" i="8"/>
  <c r="M194" i="8"/>
  <c r="H196" i="8"/>
  <c r="I196" i="8"/>
  <c r="J196" i="8"/>
  <c r="K196" i="8"/>
  <c r="L196" i="8"/>
  <c r="M196" i="8"/>
  <c r="H197" i="8"/>
  <c r="I197" i="8"/>
  <c r="J197" i="8"/>
  <c r="K197" i="8"/>
  <c r="L197" i="8"/>
  <c r="M197" i="8"/>
  <c r="H199" i="8"/>
  <c r="I199" i="8"/>
  <c r="J199" i="8"/>
  <c r="K199" i="8"/>
  <c r="L199" i="8"/>
  <c r="M199" i="8"/>
  <c r="H200" i="8"/>
  <c r="I200" i="8"/>
  <c r="J200" i="8"/>
  <c r="K200" i="8"/>
  <c r="L200" i="8"/>
  <c r="M200" i="8"/>
  <c r="H202" i="8"/>
  <c r="I202" i="8"/>
  <c r="J202" i="8"/>
  <c r="K202" i="8"/>
  <c r="L202" i="8"/>
  <c r="M202" i="8"/>
  <c r="H203" i="8"/>
  <c r="I203" i="8"/>
  <c r="J203" i="8"/>
  <c r="K203" i="8"/>
  <c r="L203" i="8"/>
  <c r="M203" i="8"/>
  <c r="H205" i="8"/>
  <c r="I205" i="8"/>
  <c r="J205" i="8"/>
  <c r="K205" i="8"/>
  <c r="L205" i="8"/>
  <c r="M205" i="8"/>
  <c r="H206" i="8"/>
  <c r="I206" i="8"/>
  <c r="J206" i="8"/>
  <c r="K206" i="8"/>
  <c r="L206" i="8"/>
  <c r="M206" i="8"/>
  <c r="H208" i="8"/>
  <c r="I208" i="8"/>
  <c r="J208" i="8"/>
  <c r="K208" i="8"/>
  <c r="L208" i="8"/>
  <c r="M208" i="8"/>
  <c r="H209" i="8"/>
  <c r="I209" i="8"/>
  <c r="J209" i="8"/>
  <c r="K209" i="8"/>
  <c r="L209" i="8"/>
  <c r="M209" i="8"/>
  <c r="H211" i="8"/>
  <c r="I211" i="8"/>
  <c r="J211" i="8"/>
  <c r="K211" i="8"/>
  <c r="L211" i="8"/>
  <c r="M211" i="8"/>
  <c r="H212" i="8"/>
  <c r="I212" i="8"/>
  <c r="J212" i="8"/>
  <c r="K212" i="8"/>
  <c r="L212" i="8"/>
  <c r="M212" i="8"/>
  <c r="H214" i="8"/>
  <c r="I214" i="8"/>
  <c r="J214" i="8"/>
  <c r="K214" i="8"/>
  <c r="L214" i="8"/>
  <c r="M214" i="8"/>
  <c r="H215" i="8"/>
  <c r="I215" i="8"/>
  <c r="J215" i="8"/>
  <c r="K215" i="8"/>
  <c r="L215" i="8"/>
  <c r="M215" i="8"/>
  <c r="H217" i="8"/>
  <c r="I217" i="8"/>
  <c r="J217" i="8"/>
  <c r="K217" i="8"/>
  <c r="L217" i="8"/>
  <c r="M217" i="8"/>
  <c r="H218" i="8"/>
  <c r="I218" i="8"/>
  <c r="J218" i="8"/>
  <c r="K218" i="8"/>
  <c r="L218" i="8"/>
  <c r="M218" i="8"/>
  <c r="H220" i="8"/>
  <c r="I220" i="8"/>
  <c r="J220" i="8"/>
  <c r="K220" i="8"/>
  <c r="L220" i="8"/>
  <c r="M220" i="8"/>
  <c r="H221" i="8"/>
  <c r="I221" i="8"/>
  <c r="J221" i="8"/>
  <c r="K221" i="8"/>
  <c r="L221" i="8"/>
  <c r="M221" i="8"/>
  <c r="H223" i="8"/>
  <c r="I223" i="8"/>
  <c r="J223" i="8"/>
  <c r="K223" i="8"/>
  <c r="L223" i="8"/>
  <c r="M223" i="8"/>
  <c r="H224" i="8"/>
  <c r="I224" i="8"/>
  <c r="J224" i="8"/>
  <c r="K224" i="8"/>
  <c r="L224" i="8"/>
  <c r="M224" i="8"/>
  <c r="H226" i="8"/>
  <c r="I226" i="8"/>
  <c r="J226" i="8"/>
  <c r="K226" i="8"/>
  <c r="L226" i="8"/>
  <c r="M226" i="8"/>
  <c r="H227" i="8"/>
  <c r="I227" i="8"/>
  <c r="J227" i="8"/>
  <c r="K227" i="8"/>
  <c r="L227" i="8"/>
  <c r="M227" i="8"/>
  <c r="H229" i="8"/>
  <c r="I229" i="8"/>
  <c r="J229" i="8"/>
  <c r="K229" i="8"/>
  <c r="L229" i="8"/>
  <c r="M229" i="8"/>
  <c r="H230" i="8"/>
  <c r="I230" i="8"/>
  <c r="J230" i="8"/>
  <c r="K230" i="8"/>
  <c r="L230" i="8"/>
  <c r="M230" i="8"/>
  <c r="H232" i="8"/>
  <c r="I232" i="8"/>
  <c r="J232" i="8"/>
  <c r="K232" i="8"/>
  <c r="L232" i="8"/>
  <c r="M232" i="8"/>
  <c r="H233" i="8"/>
  <c r="I233" i="8"/>
  <c r="J233" i="8"/>
  <c r="K233" i="8"/>
  <c r="L233" i="8"/>
  <c r="M233" i="8"/>
  <c r="H235" i="8"/>
  <c r="I235" i="8"/>
  <c r="J235" i="8"/>
  <c r="K235" i="8"/>
  <c r="L235" i="8"/>
  <c r="M235" i="8"/>
  <c r="H236" i="8"/>
  <c r="I236" i="8"/>
  <c r="J236" i="8"/>
  <c r="K236" i="8"/>
  <c r="L236" i="8"/>
  <c r="M236" i="8"/>
  <c r="H238" i="8"/>
  <c r="I238" i="8"/>
  <c r="J238" i="8"/>
  <c r="K238" i="8"/>
  <c r="L238" i="8"/>
  <c r="M238" i="8"/>
  <c r="H239" i="8"/>
  <c r="I239" i="8"/>
  <c r="J239" i="8"/>
  <c r="K239" i="8"/>
  <c r="L239" i="8"/>
  <c r="M239" i="8"/>
  <c r="H241" i="8"/>
  <c r="I241" i="8"/>
  <c r="J241" i="8"/>
  <c r="K241" i="8"/>
  <c r="L241" i="8"/>
  <c r="M241" i="8"/>
  <c r="H242" i="8"/>
  <c r="I242" i="8"/>
  <c r="J242" i="8"/>
  <c r="K242" i="8"/>
  <c r="L242" i="8"/>
  <c r="M242" i="8"/>
  <c r="H244" i="8"/>
  <c r="I244" i="8"/>
  <c r="J244" i="8"/>
  <c r="K244" i="8"/>
  <c r="L244" i="8"/>
  <c r="M244" i="8"/>
  <c r="H245" i="8"/>
  <c r="I245" i="8"/>
  <c r="J245" i="8"/>
  <c r="K245" i="8"/>
  <c r="L245" i="8"/>
  <c r="M245" i="8"/>
  <c r="H247" i="8"/>
  <c r="I247" i="8"/>
  <c r="J247" i="8"/>
  <c r="K247" i="8"/>
  <c r="L247" i="8"/>
  <c r="M247" i="8"/>
  <c r="H248" i="8"/>
  <c r="I248" i="8"/>
  <c r="J248" i="8"/>
  <c r="K248" i="8"/>
  <c r="L248" i="8"/>
  <c r="M248" i="8"/>
  <c r="H250" i="8"/>
  <c r="I250" i="8"/>
  <c r="J250" i="8"/>
  <c r="K250" i="8"/>
  <c r="L250" i="8"/>
  <c r="M250" i="8"/>
  <c r="H251" i="8"/>
  <c r="I251" i="8"/>
  <c r="J251" i="8"/>
  <c r="K251" i="8"/>
  <c r="L251" i="8"/>
  <c r="M251" i="8"/>
  <c r="H253" i="8"/>
  <c r="I253" i="8"/>
  <c r="J253" i="8"/>
  <c r="K253" i="8"/>
  <c r="L253" i="8"/>
  <c r="M253" i="8"/>
  <c r="H254" i="8"/>
  <c r="I254" i="8"/>
  <c r="J254" i="8"/>
  <c r="K254" i="8"/>
  <c r="L254" i="8"/>
  <c r="M254" i="8"/>
  <c r="H256" i="8"/>
  <c r="I256" i="8"/>
  <c r="J256" i="8"/>
  <c r="K256" i="8"/>
  <c r="L256" i="8"/>
  <c r="M256" i="8"/>
  <c r="H257" i="8"/>
  <c r="I257" i="8"/>
  <c r="J257" i="8"/>
  <c r="K257" i="8"/>
  <c r="L257" i="8"/>
  <c r="M257" i="8"/>
  <c r="H259" i="8"/>
  <c r="I259" i="8"/>
  <c r="J259" i="8"/>
  <c r="K259" i="8"/>
  <c r="L259" i="8"/>
  <c r="M259" i="8"/>
  <c r="H260" i="8"/>
  <c r="I260" i="8"/>
  <c r="J260" i="8"/>
  <c r="K260" i="8"/>
  <c r="L260" i="8"/>
  <c r="M260" i="8"/>
  <c r="H262" i="8"/>
  <c r="I262" i="8"/>
  <c r="J262" i="8"/>
  <c r="K262" i="8"/>
  <c r="L262" i="8"/>
  <c r="M262" i="8"/>
  <c r="H263" i="8"/>
  <c r="I263" i="8"/>
  <c r="J263" i="8"/>
  <c r="K263" i="8"/>
  <c r="L263" i="8"/>
  <c r="M263" i="8"/>
  <c r="H265" i="8"/>
  <c r="I265" i="8"/>
  <c r="J265" i="8"/>
  <c r="K265" i="8"/>
  <c r="L265" i="8"/>
  <c r="M265" i="8"/>
  <c r="H266" i="8"/>
  <c r="I266" i="8"/>
  <c r="J266" i="8"/>
  <c r="K266" i="8"/>
  <c r="L266" i="8"/>
  <c r="M266" i="8"/>
  <c r="H268" i="8"/>
  <c r="I268" i="8"/>
  <c r="J268" i="8"/>
  <c r="K268" i="8"/>
  <c r="L268" i="8"/>
  <c r="M268" i="8"/>
  <c r="H269" i="8"/>
  <c r="I269" i="8"/>
  <c r="J269" i="8"/>
  <c r="K269" i="8"/>
  <c r="L269" i="8"/>
  <c r="M269" i="8"/>
  <c r="H271" i="8"/>
  <c r="I271" i="8"/>
  <c r="J271" i="8"/>
  <c r="K271" i="8"/>
  <c r="L271" i="8"/>
  <c r="M271" i="8"/>
  <c r="H272" i="8"/>
  <c r="I272" i="8"/>
  <c r="J272" i="8"/>
  <c r="K272" i="8"/>
  <c r="L272" i="8"/>
  <c r="M272" i="8"/>
  <c r="H274" i="8"/>
  <c r="I274" i="8"/>
  <c r="J274" i="8"/>
  <c r="K274" i="8"/>
  <c r="L274" i="8"/>
  <c r="M274" i="8"/>
  <c r="H275" i="8"/>
  <c r="I275" i="8"/>
  <c r="J275" i="8"/>
  <c r="K275" i="8"/>
  <c r="L275" i="8"/>
  <c r="M275" i="8"/>
  <c r="H277" i="8"/>
  <c r="I277" i="8"/>
  <c r="J277" i="8"/>
  <c r="K277" i="8"/>
  <c r="L277" i="8"/>
  <c r="M277" i="8"/>
  <c r="H278" i="8"/>
  <c r="I278" i="8"/>
  <c r="J278" i="8"/>
  <c r="K278" i="8"/>
  <c r="L278" i="8"/>
  <c r="M278" i="8"/>
  <c r="H280" i="8"/>
  <c r="I280" i="8"/>
  <c r="J280" i="8"/>
  <c r="K280" i="8"/>
  <c r="L280" i="8"/>
  <c r="M280" i="8"/>
  <c r="H281" i="8"/>
  <c r="I281" i="8"/>
  <c r="J281" i="8"/>
  <c r="K281" i="8"/>
  <c r="L281" i="8"/>
  <c r="M281" i="8"/>
  <c r="H283" i="8"/>
  <c r="I283" i="8"/>
  <c r="J283" i="8"/>
  <c r="K283" i="8"/>
  <c r="L283" i="8"/>
  <c r="M283" i="8"/>
  <c r="H284" i="8"/>
  <c r="I284" i="8"/>
  <c r="J284" i="8"/>
  <c r="K284" i="8"/>
  <c r="L284" i="8"/>
  <c r="M284" i="8"/>
  <c r="H286" i="8"/>
  <c r="I286" i="8"/>
  <c r="J286" i="8"/>
  <c r="K286" i="8"/>
  <c r="L286" i="8"/>
  <c r="M286" i="8"/>
  <c r="H287" i="8"/>
  <c r="I287" i="8"/>
  <c r="J287" i="8"/>
  <c r="K287" i="8"/>
  <c r="L287" i="8"/>
  <c r="M287" i="8"/>
  <c r="H289" i="8"/>
  <c r="I289" i="8"/>
  <c r="J289" i="8"/>
  <c r="K289" i="8"/>
  <c r="L289" i="8"/>
  <c r="M289" i="8"/>
  <c r="H290" i="8"/>
  <c r="I290" i="8"/>
  <c r="J290" i="8"/>
  <c r="K290" i="8"/>
  <c r="L290" i="8"/>
  <c r="M290" i="8"/>
  <c r="H292" i="8"/>
  <c r="I292" i="8"/>
  <c r="J292" i="8"/>
  <c r="K292" i="8"/>
  <c r="L292" i="8"/>
  <c r="M292" i="8"/>
  <c r="H293" i="8"/>
  <c r="I293" i="8"/>
  <c r="J293" i="8"/>
  <c r="K293" i="8"/>
  <c r="L293" i="8"/>
  <c r="M293" i="8"/>
  <c r="H295" i="8"/>
  <c r="I295" i="8"/>
  <c r="J295" i="8"/>
  <c r="K295" i="8"/>
  <c r="L295" i="8"/>
  <c r="M295" i="8"/>
  <c r="H296" i="8"/>
  <c r="I296" i="8"/>
  <c r="J296" i="8"/>
  <c r="K296" i="8"/>
  <c r="L296" i="8"/>
  <c r="M296" i="8"/>
  <c r="H298" i="8"/>
  <c r="I298" i="8"/>
  <c r="J298" i="8"/>
  <c r="K298" i="8"/>
  <c r="L298" i="8"/>
  <c r="M298" i="8"/>
  <c r="H299" i="8"/>
  <c r="I299" i="8"/>
  <c r="J299" i="8"/>
  <c r="K299" i="8"/>
  <c r="L299" i="8"/>
  <c r="M299" i="8"/>
  <c r="H301" i="8"/>
  <c r="I301" i="8"/>
  <c r="J301" i="8"/>
  <c r="K301" i="8"/>
  <c r="L301" i="8"/>
  <c r="M301" i="8"/>
  <c r="H302" i="8"/>
  <c r="I302" i="8"/>
  <c r="J302" i="8"/>
  <c r="K302" i="8"/>
  <c r="L302" i="8"/>
  <c r="M302" i="8"/>
  <c r="H304" i="8"/>
  <c r="I304" i="8"/>
  <c r="J304" i="8"/>
  <c r="K304" i="8"/>
  <c r="L304" i="8"/>
  <c r="M304" i="8"/>
  <c r="H305" i="8"/>
  <c r="I305" i="8"/>
  <c r="J305" i="8"/>
  <c r="K305" i="8"/>
  <c r="L305" i="8"/>
  <c r="M305" i="8"/>
  <c r="H307" i="8"/>
  <c r="I307" i="8"/>
  <c r="J307" i="8"/>
  <c r="K307" i="8"/>
  <c r="L307" i="8"/>
  <c r="M307" i="8"/>
  <c r="H308" i="8"/>
  <c r="I308" i="8"/>
  <c r="J308" i="8"/>
  <c r="K308" i="8"/>
  <c r="L308" i="8"/>
  <c r="M308" i="8"/>
  <c r="H310" i="8"/>
  <c r="I310" i="8"/>
  <c r="J310" i="8"/>
  <c r="K310" i="8"/>
  <c r="L310" i="8"/>
  <c r="M310" i="8"/>
  <c r="H311" i="8"/>
  <c r="I311" i="8"/>
  <c r="J311" i="8"/>
  <c r="K311" i="8"/>
  <c r="L311" i="8"/>
  <c r="M311" i="8"/>
  <c r="H313" i="8"/>
  <c r="I313" i="8"/>
  <c r="J313" i="8"/>
  <c r="K313" i="8"/>
  <c r="L313" i="8"/>
  <c r="M313" i="8"/>
  <c r="H314" i="8"/>
  <c r="I314" i="8"/>
  <c r="J314" i="8"/>
  <c r="K314" i="8"/>
  <c r="L314" i="8"/>
  <c r="M314" i="8"/>
  <c r="H316" i="8"/>
  <c r="I316" i="8"/>
  <c r="J316" i="8"/>
  <c r="K316" i="8"/>
  <c r="L316" i="8"/>
  <c r="M316" i="8"/>
  <c r="H317" i="8"/>
  <c r="I317" i="8"/>
  <c r="J317" i="8"/>
  <c r="K317" i="8"/>
  <c r="L317" i="8"/>
  <c r="M317" i="8"/>
  <c r="H319" i="8"/>
  <c r="I319" i="8"/>
  <c r="J319" i="8"/>
  <c r="K319" i="8"/>
  <c r="L319" i="8"/>
  <c r="M319" i="8"/>
  <c r="H320" i="8"/>
  <c r="I320" i="8"/>
  <c r="J320" i="8"/>
  <c r="K320" i="8"/>
  <c r="L320" i="8"/>
  <c r="M320" i="8"/>
  <c r="H322" i="8"/>
  <c r="I322" i="8"/>
  <c r="J322" i="8"/>
  <c r="K322" i="8"/>
  <c r="L322" i="8"/>
  <c r="M322" i="8"/>
  <c r="H323" i="8"/>
  <c r="I323" i="8"/>
  <c r="J323" i="8"/>
  <c r="K323" i="8"/>
  <c r="L323" i="8"/>
  <c r="M323" i="8"/>
  <c r="H325" i="8"/>
  <c r="I325" i="8"/>
  <c r="J325" i="8"/>
  <c r="K325" i="8"/>
  <c r="L325" i="8"/>
  <c r="M325" i="8"/>
  <c r="H326" i="8"/>
  <c r="I326" i="8"/>
  <c r="J326" i="8"/>
  <c r="K326" i="8"/>
  <c r="L326" i="8"/>
  <c r="M326" i="8"/>
  <c r="H328" i="8"/>
  <c r="I328" i="8"/>
  <c r="J328" i="8"/>
  <c r="K328" i="8"/>
  <c r="L328" i="8"/>
  <c r="M328" i="8"/>
  <c r="H329" i="8"/>
  <c r="I329" i="8"/>
  <c r="J329" i="8"/>
  <c r="K329" i="8"/>
  <c r="L329" i="8"/>
  <c r="M329" i="8"/>
  <c r="H331" i="8"/>
  <c r="I331" i="8"/>
  <c r="J331" i="8"/>
  <c r="K331" i="8"/>
  <c r="L331" i="8"/>
  <c r="M331" i="8"/>
  <c r="H332" i="8"/>
  <c r="I332" i="8"/>
  <c r="J332" i="8"/>
  <c r="K332" i="8"/>
  <c r="L332" i="8"/>
  <c r="M332" i="8"/>
  <c r="H334" i="8"/>
  <c r="I334" i="8"/>
  <c r="J334" i="8"/>
  <c r="K334" i="8"/>
  <c r="L334" i="8"/>
  <c r="M334" i="8"/>
  <c r="H335" i="8"/>
  <c r="I335" i="8"/>
  <c r="J335" i="8"/>
  <c r="K335" i="8"/>
  <c r="L335" i="8"/>
  <c r="M335" i="8"/>
  <c r="H337" i="8"/>
  <c r="I337" i="8"/>
  <c r="J337" i="8"/>
  <c r="K337" i="8"/>
  <c r="L337" i="8"/>
  <c r="M337" i="8"/>
  <c r="H338" i="8"/>
  <c r="I338" i="8"/>
  <c r="J338" i="8"/>
  <c r="K338" i="8"/>
  <c r="L338" i="8"/>
  <c r="M338" i="8"/>
  <c r="H340" i="8"/>
  <c r="I340" i="8"/>
  <c r="J340" i="8"/>
  <c r="K340" i="8"/>
  <c r="L340" i="8"/>
  <c r="M340" i="8"/>
  <c r="H341" i="8"/>
  <c r="I341" i="8"/>
  <c r="J341" i="8"/>
  <c r="K341" i="8"/>
  <c r="L341" i="8"/>
  <c r="M341" i="8"/>
  <c r="H343" i="8"/>
  <c r="I343" i="8"/>
  <c r="J343" i="8"/>
  <c r="K343" i="8"/>
  <c r="L343" i="8"/>
  <c r="M343" i="8"/>
  <c r="H344" i="8"/>
  <c r="I344" i="8"/>
  <c r="J344" i="8"/>
  <c r="K344" i="8"/>
  <c r="L344" i="8"/>
  <c r="M344" i="8"/>
  <c r="H346" i="8"/>
  <c r="I346" i="8"/>
  <c r="J346" i="8"/>
  <c r="K346" i="8"/>
  <c r="L346" i="8"/>
  <c r="M346" i="8"/>
  <c r="H347" i="8"/>
  <c r="I347" i="8"/>
  <c r="J347" i="8"/>
  <c r="K347" i="8"/>
  <c r="L347" i="8"/>
  <c r="M347" i="8"/>
  <c r="H349" i="8"/>
  <c r="I349" i="8"/>
  <c r="J349" i="8"/>
  <c r="K349" i="8"/>
  <c r="L349" i="8"/>
  <c r="M349" i="8"/>
  <c r="H350" i="8"/>
  <c r="I350" i="8"/>
  <c r="J350" i="8"/>
  <c r="K350" i="8"/>
  <c r="L350" i="8"/>
  <c r="M350" i="8"/>
  <c r="H352" i="8"/>
  <c r="I352" i="8"/>
  <c r="J352" i="8"/>
  <c r="K352" i="8"/>
  <c r="L352" i="8"/>
  <c r="M352" i="8"/>
  <c r="H353" i="8"/>
  <c r="I353" i="8"/>
  <c r="J353" i="8"/>
  <c r="K353" i="8"/>
  <c r="L353" i="8"/>
  <c r="M353" i="8"/>
  <c r="H355" i="8"/>
  <c r="I355" i="8"/>
  <c r="J355" i="8"/>
  <c r="K355" i="8"/>
  <c r="L355" i="8"/>
  <c r="M355" i="8"/>
  <c r="H356" i="8"/>
  <c r="I356" i="8"/>
  <c r="J356" i="8"/>
  <c r="K356" i="8"/>
  <c r="L356" i="8"/>
  <c r="M356" i="8"/>
  <c r="H358" i="8"/>
  <c r="I358" i="8"/>
  <c r="J358" i="8"/>
  <c r="K358" i="8"/>
  <c r="L358" i="8"/>
  <c r="M358" i="8"/>
  <c r="H359" i="8"/>
  <c r="I359" i="8"/>
  <c r="J359" i="8"/>
  <c r="K359" i="8"/>
  <c r="L359" i="8"/>
  <c r="M359" i="8"/>
  <c r="H361" i="8"/>
  <c r="I361" i="8"/>
  <c r="J361" i="8"/>
  <c r="K361" i="8"/>
  <c r="L361" i="8"/>
  <c r="M361" i="8"/>
  <c r="H362" i="8"/>
  <c r="I362" i="8"/>
  <c r="J362" i="8"/>
  <c r="K362" i="8"/>
  <c r="L362" i="8"/>
  <c r="M362" i="8"/>
  <c r="H364" i="8"/>
  <c r="I364" i="8"/>
  <c r="J364" i="8"/>
  <c r="K364" i="8"/>
  <c r="L364" i="8"/>
  <c r="M364" i="8"/>
  <c r="H365" i="8"/>
  <c r="I365" i="8"/>
  <c r="J365" i="8"/>
  <c r="K365" i="8"/>
  <c r="L365" i="8"/>
  <c r="M365" i="8"/>
  <c r="H367" i="8"/>
  <c r="I367" i="8"/>
  <c r="J367" i="8"/>
  <c r="K367" i="8"/>
  <c r="L367" i="8"/>
  <c r="M367" i="8"/>
  <c r="H368" i="8"/>
  <c r="I368" i="8"/>
  <c r="J368" i="8"/>
  <c r="K368" i="8"/>
  <c r="L368" i="8"/>
  <c r="M368" i="8"/>
  <c r="H370" i="8"/>
  <c r="I370" i="8"/>
  <c r="J370" i="8"/>
  <c r="K370" i="8"/>
  <c r="L370" i="8"/>
  <c r="M370" i="8"/>
  <c r="H371" i="8"/>
  <c r="I371" i="8"/>
  <c r="J371" i="8"/>
  <c r="K371" i="8"/>
  <c r="L371" i="8"/>
  <c r="M371" i="8"/>
  <c r="H373" i="8"/>
  <c r="I373" i="8"/>
  <c r="J373" i="8"/>
  <c r="K373" i="8"/>
  <c r="L373" i="8"/>
  <c r="M373" i="8"/>
  <c r="H374" i="8"/>
  <c r="I374" i="8"/>
  <c r="J374" i="8"/>
  <c r="K374" i="8"/>
  <c r="L374" i="8"/>
  <c r="M374" i="8"/>
  <c r="H376" i="8"/>
  <c r="I376" i="8"/>
  <c r="J376" i="8"/>
  <c r="K376" i="8"/>
  <c r="L376" i="8"/>
  <c r="M376" i="8"/>
  <c r="H377" i="8"/>
  <c r="I377" i="8"/>
  <c r="J377" i="8"/>
  <c r="K377" i="8"/>
  <c r="L377" i="8"/>
  <c r="M377" i="8"/>
  <c r="H379" i="8"/>
  <c r="I379" i="8"/>
  <c r="J379" i="8"/>
  <c r="K379" i="8"/>
  <c r="L379" i="8"/>
  <c r="M379" i="8"/>
  <c r="H380" i="8"/>
  <c r="I380" i="8"/>
  <c r="J380" i="8"/>
  <c r="K380" i="8"/>
  <c r="L380" i="8"/>
  <c r="M380" i="8"/>
  <c r="H382" i="8"/>
  <c r="I382" i="8"/>
  <c r="J382" i="8"/>
  <c r="K382" i="8"/>
  <c r="L382" i="8"/>
  <c r="M382" i="8"/>
  <c r="H383" i="8"/>
  <c r="I383" i="8"/>
  <c r="J383" i="8"/>
  <c r="K383" i="8"/>
  <c r="L383" i="8"/>
  <c r="M383" i="8"/>
  <c r="H385" i="8"/>
  <c r="I385" i="8"/>
  <c r="J385" i="8"/>
  <c r="K385" i="8"/>
  <c r="L385" i="8"/>
  <c r="M385" i="8"/>
  <c r="H386" i="8"/>
  <c r="I386" i="8"/>
  <c r="J386" i="8"/>
  <c r="K386" i="8"/>
  <c r="L386" i="8"/>
  <c r="M386" i="8"/>
  <c r="H388" i="8"/>
  <c r="I388" i="8"/>
  <c r="J388" i="8"/>
  <c r="K388" i="8"/>
  <c r="L388" i="8"/>
  <c r="M388" i="8"/>
  <c r="H389" i="8"/>
  <c r="I389" i="8"/>
  <c r="J389" i="8"/>
  <c r="K389" i="8"/>
  <c r="L389" i="8"/>
  <c r="M389" i="8"/>
  <c r="H391" i="8"/>
  <c r="I391" i="8"/>
  <c r="J391" i="8"/>
  <c r="K391" i="8"/>
  <c r="L391" i="8"/>
  <c r="M391" i="8"/>
  <c r="H392" i="8"/>
  <c r="I392" i="8"/>
  <c r="J392" i="8"/>
  <c r="K392" i="8"/>
  <c r="L392" i="8"/>
  <c r="M392" i="8"/>
  <c r="H394" i="8"/>
  <c r="I394" i="8"/>
  <c r="J394" i="8"/>
  <c r="K394" i="8"/>
  <c r="L394" i="8"/>
  <c r="M394" i="8"/>
  <c r="H395" i="8"/>
  <c r="I395" i="8"/>
  <c r="J395" i="8"/>
  <c r="K395" i="8"/>
  <c r="L395" i="8"/>
  <c r="M395" i="8"/>
  <c r="H397" i="8"/>
  <c r="I397" i="8"/>
  <c r="J397" i="8"/>
  <c r="K397" i="8"/>
  <c r="L397" i="8"/>
  <c r="M397" i="8"/>
  <c r="H398" i="8"/>
  <c r="I398" i="8"/>
  <c r="J398" i="8"/>
  <c r="K398" i="8"/>
  <c r="L398" i="8"/>
  <c r="M398" i="8"/>
  <c r="H400" i="8"/>
  <c r="I400" i="8"/>
  <c r="J400" i="8"/>
  <c r="K400" i="8"/>
  <c r="L400" i="8"/>
  <c r="M400" i="8"/>
  <c r="H401" i="8"/>
  <c r="I401" i="8"/>
  <c r="J401" i="8"/>
  <c r="K401" i="8"/>
  <c r="L401" i="8"/>
  <c r="M401" i="8"/>
  <c r="H403" i="8"/>
  <c r="I403" i="8"/>
  <c r="J403" i="8"/>
  <c r="K403" i="8"/>
  <c r="L403" i="8"/>
  <c r="M403" i="8"/>
  <c r="H404" i="8"/>
  <c r="I404" i="8"/>
  <c r="J404" i="8"/>
  <c r="K404" i="8"/>
  <c r="L404" i="8"/>
  <c r="M404" i="8"/>
  <c r="H406" i="8"/>
  <c r="I406" i="8"/>
  <c r="J406" i="8"/>
  <c r="K406" i="8"/>
  <c r="L406" i="8"/>
  <c r="M406" i="8"/>
  <c r="H407" i="8"/>
  <c r="I407" i="8"/>
  <c r="J407" i="8"/>
  <c r="K407" i="8"/>
  <c r="L407" i="8"/>
  <c r="M407" i="8"/>
  <c r="H409" i="8"/>
  <c r="I409" i="8"/>
  <c r="J409" i="8"/>
  <c r="K409" i="8"/>
  <c r="L409" i="8"/>
  <c r="M409" i="8"/>
  <c r="H410" i="8"/>
  <c r="I410" i="8"/>
  <c r="J410" i="8"/>
  <c r="K410" i="8"/>
  <c r="L410" i="8"/>
  <c r="M410" i="8"/>
  <c r="H412" i="8"/>
  <c r="I412" i="8"/>
  <c r="J412" i="8"/>
  <c r="K412" i="8"/>
  <c r="L412" i="8"/>
  <c r="M412" i="8"/>
  <c r="H413" i="8"/>
  <c r="I413" i="8"/>
  <c r="J413" i="8"/>
  <c r="K413" i="8"/>
  <c r="L413" i="8"/>
  <c r="M413" i="8"/>
  <c r="H415" i="8"/>
  <c r="I415" i="8"/>
  <c r="J415" i="8"/>
  <c r="K415" i="8"/>
  <c r="L415" i="8"/>
  <c r="M415" i="8"/>
  <c r="H416" i="8"/>
  <c r="I416" i="8"/>
  <c r="J416" i="8"/>
  <c r="K416" i="8"/>
  <c r="L416" i="8"/>
  <c r="M416" i="8"/>
  <c r="H418" i="8"/>
  <c r="I418" i="8"/>
  <c r="J418" i="8"/>
  <c r="K418" i="8"/>
  <c r="L418" i="8"/>
  <c r="M418" i="8"/>
  <c r="H419" i="8"/>
  <c r="I419" i="8"/>
  <c r="J419" i="8"/>
  <c r="K419" i="8"/>
  <c r="L419" i="8"/>
  <c r="M419" i="8"/>
  <c r="H421" i="8"/>
  <c r="I421" i="8"/>
  <c r="J421" i="8"/>
  <c r="K421" i="8"/>
  <c r="L421" i="8"/>
  <c r="M421" i="8"/>
  <c r="H422" i="8"/>
  <c r="I422" i="8"/>
  <c r="J422" i="8"/>
  <c r="K422" i="8"/>
  <c r="L422" i="8"/>
  <c r="M422" i="8"/>
  <c r="I6" i="8"/>
  <c r="J6" i="8"/>
  <c r="K6" i="8"/>
  <c r="L6" i="8"/>
  <c r="M6" i="8"/>
  <c r="H6" i="8"/>
  <c r="A3" i="7"/>
  <c r="A4" i="7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H5" i="6"/>
  <c r="I5" i="6"/>
  <c r="J5" i="6"/>
  <c r="K5" i="6"/>
  <c r="L5" i="6"/>
  <c r="M5" i="6"/>
  <c r="I4" i="6"/>
  <c r="J4" i="6"/>
  <c r="K4" i="6"/>
  <c r="L4" i="6"/>
  <c r="M4" i="6"/>
  <c r="H4" i="6"/>
  <c r="H4" i="5"/>
  <c r="B3" i="5"/>
  <c r="B5" i="6"/>
  <c r="H5" i="5"/>
  <c r="B4" i="5"/>
  <c r="B6" i="6"/>
  <c r="H7" i="6"/>
  <c r="D4" i="5"/>
  <c r="G3" i="5"/>
  <c r="C5" i="6"/>
  <c r="D5" i="5"/>
  <c r="G4" i="5"/>
  <c r="C6" i="6"/>
  <c r="I7" i="6"/>
  <c r="J4" i="5"/>
  <c r="L3" i="5"/>
  <c r="D5" i="6"/>
  <c r="J5" i="5"/>
  <c r="L4" i="5"/>
  <c r="D6" i="6"/>
  <c r="J7" i="6"/>
  <c r="N4" i="5"/>
  <c r="E5" i="6"/>
  <c r="N5" i="5"/>
  <c r="E6" i="6"/>
  <c r="K7" i="6"/>
  <c r="M4" i="5"/>
  <c r="F5" i="6"/>
  <c r="M5" i="5"/>
  <c r="F6" i="6"/>
  <c r="L7" i="6"/>
  <c r="E4" i="5"/>
  <c r="G5" i="6"/>
  <c r="E5" i="5"/>
  <c r="G6" i="6"/>
  <c r="M7" i="6"/>
  <c r="H8" i="6"/>
  <c r="I8" i="6"/>
  <c r="J8" i="6"/>
  <c r="K8" i="6"/>
  <c r="L8" i="6"/>
  <c r="M8" i="6"/>
  <c r="H10" i="6"/>
  <c r="I10" i="6"/>
  <c r="J10" i="6"/>
  <c r="K10" i="6"/>
  <c r="L10" i="6"/>
  <c r="M10" i="6"/>
  <c r="H11" i="6"/>
  <c r="I11" i="6"/>
  <c r="J11" i="6"/>
  <c r="K11" i="6"/>
  <c r="L11" i="6"/>
  <c r="M11" i="6"/>
  <c r="H13" i="6"/>
  <c r="I13" i="6"/>
  <c r="J13" i="6"/>
  <c r="K13" i="6"/>
  <c r="L13" i="6"/>
  <c r="M13" i="6"/>
  <c r="H14" i="6"/>
  <c r="I14" i="6"/>
  <c r="J14" i="6"/>
  <c r="K14" i="6"/>
  <c r="L14" i="6"/>
  <c r="M14" i="6"/>
  <c r="H16" i="6"/>
  <c r="I16" i="6"/>
  <c r="J16" i="6"/>
  <c r="K16" i="6"/>
  <c r="L16" i="6"/>
  <c r="M16" i="6"/>
  <c r="H17" i="6"/>
  <c r="I17" i="6"/>
  <c r="J17" i="6"/>
  <c r="K17" i="6"/>
  <c r="L17" i="6"/>
  <c r="M17" i="6"/>
  <c r="H19" i="6"/>
  <c r="I19" i="6"/>
  <c r="J19" i="6"/>
  <c r="K19" i="6"/>
  <c r="L19" i="6"/>
  <c r="M19" i="6"/>
  <c r="H20" i="6"/>
  <c r="I20" i="6"/>
  <c r="J20" i="6"/>
  <c r="K20" i="6"/>
  <c r="L20" i="6"/>
  <c r="M20" i="6"/>
  <c r="H22" i="6"/>
  <c r="I22" i="6"/>
  <c r="J22" i="6"/>
  <c r="K22" i="6"/>
  <c r="L22" i="6"/>
  <c r="M22" i="6"/>
  <c r="H23" i="6"/>
  <c r="I23" i="6"/>
  <c r="J23" i="6"/>
  <c r="K23" i="6"/>
  <c r="L23" i="6"/>
  <c r="M23" i="6"/>
  <c r="H25" i="6"/>
  <c r="I25" i="6"/>
  <c r="J25" i="6"/>
  <c r="K25" i="6"/>
  <c r="L25" i="6"/>
  <c r="M25" i="6"/>
  <c r="H26" i="6"/>
  <c r="I26" i="6"/>
  <c r="J26" i="6"/>
  <c r="K26" i="6"/>
  <c r="L26" i="6"/>
  <c r="M26" i="6"/>
  <c r="H28" i="6"/>
  <c r="I28" i="6"/>
  <c r="J28" i="6"/>
  <c r="K28" i="6"/>
  <c r="L28" i="6"/>
  <c r="M28" i="6"/>
  <c r="H29" i="6"/>
  <c r="I29" i="6"/>
  <c r="J29" i="6"/>
  <c r="K29" i="6"/>
  <c r="L29" i="6"/>
  <c r="M29" i="6"/>
  <c r="H31" i="6"/>
  <c r="I31" i="6"/>
  <c r="J31" i="6"/>
  <c r="K31" i="6"/>
  <c r="L31" i="6"/>
  <c r="M31" i="6"/>
  <c r="H32" i="6"/>
  <c r="I32" i="6"/>
  <c r="J32" i="6"/>
  <c r="K32" i="6"/>
  <c r="L32" i="6"/>
  <c r="M32" i="6"/>
  <c r="H34" i="6"/>
  <c r="I34" i="6"/>
  <c r="J34" i="6"/>
  <c r="K34" i="6"/>
  <c r="L34" i="6"/>
  <c r="M34" i="6"/>
  <c r="H35" i="6"/>
  <c r="I35" i="6"/>
  <c r="J35" i="6"/>
  <c r="K35" i="6"/>
  <c r="L35" i="6"/>
  <c r="M35" i="6"/>
  <c r="H37" i="6"/>
  <c r="I37" i="6"/>
  <c r="J37" i="6"/>
  <c r="K37" i="6"/>
  <c r="L37" i="6"/>
  <c r="M37" i="6"/>
  <c r="H38" i="6"/>
  <c r="I38" i="6"/>
  <c r="J38" i="6"/>
  <c r="K38" i="6"/>
  <c r="L38" i="6"/>
  <c r="M38" i="6"/>
  <c r="H40" i="6"/>
  <c r="I40" i="6"/>
  <c r="J40" i="6"/>
  <c r="K40" i="6"/>
  <c r="L40" i="6"/>
  <c r="M40" i="6"/>
  <c r="H41" i="6"/>
  <c r="I41" i="6"/>
  <c r="J41" i="6"/>
  <c r="K41" i="6"/>
  <c r="L41" i="6"/>
  <c r="M41" i="6"/>
  <c r="H43" i="6"/>
  <c r="I43" i="6"/>
  <c r="J43" i="6"/>
  <c r="K43" i="6"/>
  <c r="L43" i="6"/>
  <c r="M43" i="6"/>
  <c r="H44" i="6"/>
  <c r="I44" i="6"/>
  <c r="J44" i="6"/>
  <c r="K44" i="6"/>
  <c r="L44" i="6"/>
  <c r="M44" i="6"/>
  <c r="H46" i="6"/>
  <c r="I46" i="6"/>
  <c r="J46" i="6"/>
  <c r="K46" i="6"/>
  <c r="L46" i="6"/>
  <c r="M46" i="6"/>
  <c r="H47" i="6"/>
  <c r="I47" i="6"/>
  <c r="J47" i="6"/>
  <c r="K47" i="6"/>
  <c r="L47" i="6"/>
  <c r="M47" i="6"/>
  <c r="H49" i="6"/>
  <c r="I49" i="6"/>
  <c r="J49" i="6"/>
  <c r="K49" i="6"/>
  <c r="L49" i="6"/>
  <c r="M49" i="6"/>
  <c r="H50" i="6"/>
  <c r="I50" i="6"/>
  <c r="J50" i="6"/>
  <c r="K50" i="6"/>
  <c r="L50" i="6"/>
  <c r="M50" i="6"/>
  <c r="H52" i="6"/>
  <c r="I52" i="6"/>
  <c r="J52" i="6"/>
  <c r="K52" i="6"/>
  <c r="L52" i="6"/>
  <c r="M52" i="6"/>
  <c r="H53" i="6"/>
  <c r="I53" i="6"/>
  <c r="J53" i="6"/>
  <c r="K53" i="6"/>
  <c r="L53" i="6"/>
  <c r="M53" i="6"/>
  <c r="H55" i="6"/>
  <c r="I55" i="6"/>
  <c r="J55" i="6"/>
  <c r="K55" i="6"/>
  <c r="L55" i="6"/>
  <c r="M55" i="6"/>
  <c r="H56" i="6"/>
  <c r="I56" i="6"/>
  <c r="J56" i="6"/>
  <c r="K56" i="6"/>
  <c r="L56" i="6"/>
  <c r="M56" i="6"/>
  <c r="H58" i="6"/>
  <c r="I58" i="6"/>
  <c r="J58" i="6"/>
  <c r="K58" i="6"/>
  <c r="L58" i="6"/>
  <c r="M58" i="6"/>
  <c r="H59" i="6"/>
  <c r="I59" i="6"/>
  <c r="J59" i="6"/>
  <c r="K59" i="6"/>
  <c r="L59" i="6"/>
  <c r="M59" i="6"/>
  <c r="H61" i="6"/>
  <c r="I61" i="6"/>
  <c r="J61" i="6"/>
  <c r="K61" i="6"/>
  <c r="L61" i="6"/>
  <c r="M61" i="6"/>
  <c r="H62" i="6"/>
  <c r="I62" i="6"/>
  <c r="J62" i="6"/>
  <c r="K62" i="6"/>
  <c r="L62" i="6"/>
  <c r="M62" i="6"/>
  <c r="H64" i="6"/>
  <c r="I64" i="6"/>
  <c r="J64" i="6"/>
  <c r="K64" i="6"/>
  <c r="L64" i="6"/>
  <c r="M64" i="6"/>
  <c r="H65" i="6"/>
  <c r="I65" i="6"/>
  <c r="J65" i="6"/>
  <c r="K65" i="6"/>
  <c r="L65" i="6"/>
  <c r="M65" i="6"/>
  <c r="H67" i="6"/>
  <c r="I67" i="6"/>
  <c r="J67" i="6"/>
  <c r="K67" i="6"/>
  <c r="L67" i="6"/>
  <c r="M67" i="6"/>
  <c r="H68" i="6"/>
  <c r="I68" i="6"/>
  <c r="J68" i="6"/>
  <c r="K68" i="6"/>
  <c r="L68" i="6"/>
  <c r="M68" i="6"/>
  <c r="H70" i="6"/>
  <c r="I70" i="6"/>
  <c r="J70" i="6"/>
  <c r="K70" i="6"/>
  <c r="L70" i="6"/>
  <c r="M70" i="6"/>
  <c r="H71" i="6"/>
  <c r="I71" i="6"/>
  <c r="J71" i="6"/>
  <c r="K71" i="6"/>
  <c r="L71" i="6"/>
  <c r="M71" i="6"/>
  <c r="H73" i="6"/>
  <c r="I73" i="6"/>
  <c r="J73" i="6"/>
  <c r="K73" i="6"/>
  <c r="L73" i="6"/>
  <c r="M73" i="6"/>
  <c r="H74" i="6"/>
  <c r="I74" i="6"/>
  <c r="J74" i="6"/>
  <c r="K74" i="6"/>
  <c r="L74" i="6"/>
  <c r="M74" i="6"/>
  <c r="H76" i="6"/>
  <c r="I76" i="6"/>
  <c r="J76" i="6"/>
  <c r="K76" i="6"/>
  <c r="L76" i="6"/>
  <c r="M76" i="6"/>
  <c r="H77" i="6"/>
  <c r="I77" i="6"/>
  <c r="J77" i="6"/>
  <c r="K77" i="6"/>
  <c r="L77" i="6"/>
  <c r="M77" i="6"/>
  <c r="H79" i="6"/>
  <c r="I79" i="6"/>
  <c r="J79" i="6"/>
  <c r="K79" i="6"/>
  <c r="L79" i="6"/>
  <c r="M79" i="6"/>
  <c r="H80" i="6"/>
  <c r="I80" i="6"/>
  <c r="J80" i="6"/>
  <c r="K80" i="6"/>
  <c r="L80" i="6"/>
  <c r="M80" i="6"/>
  <c r="H82" i="6"/>
  <c r="I82" i="6"/>
  <c r="J82" i="6"/>
  <c r="K82" i="6"/>
  <c r="L82" i="6"/>
  <c r="M82" i="6"/>
  <c r="H83" i="6"/>
  <c r="I83" i="6"/>
  <c r="J83" i="6"/>
  <c r="K83" i="6"/>
  <c r="L83" i="6"/>
  <c r="M83" i="6"/>
  <c r="H85" i="6"/>
  <c r="I85" i="6"/>
  <c r="J85" i="6"/>
  <c r="K85" i="6"/>
  <c r="L85" i="6"/>
  <c r="M85" i="6"/>
  <c r="H86" i="6"/>
  <c r="I86" i="6"/>
  <c r="J86" i="6"/>
  <c r="K86" i="6"/>
  <c r="L86" i="6"/>
  <c r="M86" i="6"/>
  <c r="H88" i="6"/>
  <c r="I88" i="6"/>
  <c r="J88" i="6"/>
  <c r="K88" i="6"/>
  <c r="L88" i="6"/>
  <c r="M88" i="6"/>
  <c r="H89" i="6"/>
  <c r="I89" i="6"/>
  <c r="J89" i="6"/>
  <c r="K89" i="6"/>
  <c r="L89" i="6"/>
  <c r="M89" i="6"/>
  <c r="H91" i="6"/>
  <c r="I91" i="6"/>
  <c r="J91" i="6"/>
  <c r="K91" i="6"/>
  <c r="L91" i="6"/>
  <c r="M91" i="6"/>
  <c r="H92" i="6"/>
  <c r="I92" i="6"/>
  <c r="J92" i="6"/>
  <c r="K92" i="6"/>
  <c r="L92" i="6"/>
  <c r="M92" i="6"/>
  <c r="H94" i="6"/>
  <c r="I94" i="6"/>
  <c r="J94" i="6"/>
  <c r="K94" i="6"/>
  <c r="L94" i="6"/>
  <c r="M94" i="6"/>
  <c r="H95" i="6"/>
  <c r="I95" i="6"/>
  <c r="J95" i="6"/>
  <c r="K95" i="6"/>
  <c r="L95" i="6"/>
  <c r="M95" i="6"/>
  <c r="H97" i="6"/>
  <c r="I97" i="6"/>
  <c r="J97" i="6"/>
  <c r="K97" i="6"/>
  <c r="L97" i="6"/>
  <c r="M97" i="6"/>
  <c r="H98" i="6"/>
  <c r="I98" i="6"/>
  <c r="J98" i="6"/>
  <c r="K98" i="6"/>
  <c r="L98" i="6"/>
  <c r="M98" i="6"/>
  <c r="H100" i="6"/>
  <c r="I100" i="6"/>
  <c r="J100" i="6"/>
  <c r="K100" i="6"/>
  <c r="L100" i="6"/>
  <c r="M100" i="6"/>
  <c r="H101" i="6"/>
  <c r="I101" i="6"/>
  <c r="J101" i="6"/>
  <c r="K101" i="6"/>
  <c r="L101" i="6"/>
  <c r="M101" i="6"/>
  <c r="H103" i="6"/>
  <c r="I103" i="6"/>
  <c r="J103" i="6"/>
  <c r="K103" i="6"/>
  <c r="L103" i="6"/>
  <c r="M103" i="6"/>
  <c r="H104" i="6"/>
  <c r="I104" i="6"/>
  <c r="J104" i="6"/>
  <c r="K104" i="6"/>
  <c r="L104" i="6"/>
  <c r="M104" i="6"/>
  <c r="H106" i="6"/>
  <c r="I106" i="6"/>
  <c r="J106" i="6"/>
  <c r="K106" i="6"/>
  <c r="L106" i="6"/>
  <c r="M106" i="6"/>
  <c r="H107" i="6"/>
  <c r="I107" i="6"/>
  <c r="J107" i="6"/>
  <c r="K107" i="6"/>
  <c r="L107" i="6"/>
  <c r="M107" i="6"/>
  <c r="H109" i="6"/>
  <c r="I109" i="6"/>
  <c r="J109" i="6"/>
  <c r="K109" i="6"/>
  <c r="L109" i="6"/>
  <c r="M109" i="6"/>
  <c r="H110" i="6"/>
  <c r="I110" i="6"/>
  <c r="J110" i="6"/>
  <c r="K110" i="6"/>
  <c r="L110" i="6"/>
  <c r="M110" i="6"/>
  <c r="H112" i="6"/>
  <c r="I112" i="6"/>
  <c r="J112" i="6"/>
  <c r="K112" i="6"/>
  <c r="L112" i="6"/>
  <c r="M112" i="6"/>
  <c r="H113" i="6"/>
  <c r="I113" i="6"/>
  <c r="J113" i="6"/>
  <c r="K113" i="6"/>
  <c r="L113" i="6"/>
  <c r="M113" i="6"/>
  <c r="H115" i="6"/>
  <c r="I115" i="6"/>
  <c r="J115" i="6"/>
  <c r="K115" i="6"/>
  <c r="L115" i="6"/>
  <c r="M115" i="6"/>
  <c r="H116" i="6"/>
  <c r="I116" i="6"/>
  <c r="J116" i="6"/>
  <c r="K116" i="6"/>
  <c r="L116" i="6"/>
  <c r="M116" i="6"/>
  <c r="H118" i="6"/>
  <c r="I118" i="6"/>
  <c r="J118" i="6"/>
  <c r="K118" i="6"/>
  <c r="L118" i="6"/>
  <c r="M118" i="6"/>
  <c r="H119" i="6"/>
  <c r="I119" i="6"/>
  <c r="J119" i="6"/>
  <c r="K119" i="6"/>
  <c r="L119" i="6"/>
  <c r="M119" i="6"/>
  <c r="H121" i="6"/>
  <c r="I121" i="6"/>
  <c r="J121" i="6"/>
  <c r="K121" i="6"/>
  <c r="L121" i="6"/>
  <c r="M121" i="6"/>
  <c r="H122" i="6"/>
  <c r="I122" i="6"/>
  <c r="J122" i="6"/>
  <c r="K122" i="6"/>
  <c r="L122" i="6"/>
  <c r="M122" i="6"/>
  <c r="H124" i="6"/>
  <c r="I124" i="6"/>
  <c r="J124" i="6"/>
  <c r="K124" i="6"/>
  <c r="L124" i="6"/>
  <c r="M124" i="6"/>
  <c r="H125" i="6"/>
  <c r="I125" i="6"/>
  <c r="J125" i="6"/>
  <c r="K125" i="6"/>
  <c r="L125" i="6"/>
  <c r="M125" i="6"/>
  <c r="H127" i="6"/>
  <c r="I127" i="6"/>
  <c r="J127" i="6"/>
  <c r="K127" i="6"/>
  <c r="L127" i="6"/>
  <c r="M127" i="6"/>
  <c r="H128" i="6"/>
  <c r="I128" i="6"/>
  <c r="J128" i="6"/>
  <c r="K128" i="6"/>
  <c r="L128" i="6"/>
  <c r="M128" i="6"/>
  <c r="H130" i="6"/>
  <c r="I130" i="6"/>
  <c r="J130" i="6"/>
  <c r="K130" i="6"/>
  <c r="L130" i="6"/>
  <c r="M130" i="6"/>
  <c r="H131" i="6"/>
  <c r="I131" i="6"/>
  <c r="J131" i="6"/>
  <c r="K131" i="6"/>
  <c r="L131" i="6"/>
  <c r="M131" i="6"/>
  <c r="H133" i="6"/>
  <c r="I133" i="6"/>
  <c r="J133" i="6"/>
  <c r="K133" i="6"/>
  <c r="L133" i="6"/>
  <c r="M133" i="6"/>
  <c r="H134" i="6"/>
  <c r="I134" i="6"/>
  <c r="J134" i="6"/>
  <c r="K134" i="6"/>
  <c r="L134" i="6"/>
  <c r="M134" i="6"/>
  <c r="H136" i="6"/>
  <c r="I136" i="6"/>
  <c r="J136" i="6"/>
  <c r="K136" i="6"/>
  <c r="L136" i="6"/>
  <c r="M136" i="6"/>
  <c r="H137" i="6"/>
  <c r="I137" i="6"/>
  <c r="J137" i="6"/>
  <c r="K137" i="6"/>
  <c r="L137" i="6"/>
  <c r="M137" i="6"/>
  <c r="H139" i="6"/>
  <c r="I139" i="6"/>
  <c r="J139" i="6"/>
  <c r="K139" i="6"/>
  <c r="L139" i="6"/>
  <c r="M139" i="6"/>
  <c r="H140" i="6"/>
  <c r="I140" i="6"/>
  <c r="J140" i="6"/>
  <c r="K140" i="6"/>
  <c r="L140" i="6"/>
  <c r="M140" i="6"/>
  <c r="H142" i="6"/>
  <c r="I142" i="6"/>
  <c r="J142" i="6"/>
  <c r="K142" i="6"/>
  <c r="L142" i="6"/>
  <c r="M142" i="6"/>
  <c r="H143" i="6"/>
  <c r="I143" i="6"/>
  <c r="J143" i="6"/>
  <c r="K143" i="6"/>
  <c r="L143" i="6"/>
  <c r="M143" i="6"/>
  <c r="H145" i="6"/>
  <c r="I145" i="6"/>
  <c r="J145" i="6"/>
  <c r="K145" i="6"/>
  <c r="L145" i="6"/>
  <c r="M145" i="6"/>
  <c r="H146" i="6"/>
  <c r="I146" i="6"/>
  <c r="J146" i="6"/>
  <c r="K146" i="6"/>
  <c r="L146" i="6"/>
  <c r="M146" i="6"/>
  <c r="H148" i="6"/>
  <c r="I148" i="6"/>
  <c r="J148" i="6"/>
  <c r="K148" i="6"/>
  <c r="L148" i="6"/>
  <c r="M148" i="6"/>
  <c r="H149" i="6"/>
  <c r="I149" i="6"/>
  <c r="J149" i="6"/>
  <c r="K149" i="6"/>
  <c r="L149" i="6"/>
  <c r="M149" i="6"/>
  <c r="H151" i="6"/>
  <c r="I151" i="6"/>
  <c r="J151" i="6"/>
  <c r="K151" i="6"/>
  <c r="L151" i="6"/>
  <c r="M151" i="6"/>
  <c r="H152" i="6"/>
  <c r="I152" i="6"/>
  <c r="J152" i="6"/>
  <c r="K152" i="6"/>
  <c r="L152" i="6"/>
  <c r="M152" i="6"/>
  <c r="H154" i="6"/>
  <c r="I154" i="6"/>
  <c r="J154" i="6"/>
  <c r="K154" i="6"/>
  <c r="L154" i="6"/>
  <c r="M154" i="6"/>
  <c r="H155" i="6"/>
  <c r="I155" i="6"/>
  <c r="J155" i="6"/>
  <c r="K155" i="6"/>
  <c r="L155" i="6"/>
  <c r="M155" i="6"/>
  <c r="H157" i="6"/>
  <c r="I157" i="6"/>
  <c r="J157" i="6"/>
  <c r="K157" i="6"/>
  <c r="L157" i="6"/>
  <c r="M157" i="6"/>
  <c r="H158" i="6"/>
  <c r="I158" i="6"/>
  <c r="J158" i="6"/>
  <c r="K158" i="6"/>
  <c r="L158" i="6"/>
  <c r="M158" i="6"/>
  <c r="H160" i="6"/>
  <c r="I160" i="6"/>
  <c r="J160" i="6"/>
  <c r="K160" i="6"/>
  <c r="L160" i="6"/>
  <c r="M160" i="6"/>
  <c r="H161" i="6"/>
  <c r="I161" i="6"/>
  <c r="J161" i="6"/>
  <c r="K161" i="6"/>
  <c r="L161" i="6"/>
  <c r="M161" i="6"/>
  <c r="H163" i="6"/>
  <c r="I163" i="6"/>
  <c r="J163" i="6"/>
  <c r="K163" i="6"/>
  <c r="L163" i="6"/>
  <c r="M163" i="6"/>
  <c r="H164" i="6"/>
  <c r="I164" i="6"/>
  <c r="J164" i="6"/>
  <c r="K164" i="6"/>
  <c r="L164" i="6"/>
  <c r="M164" i="6"/>
  <c r="H166" i="6"/>
  <c r="I166" i="6"/>
  <c r="J166" i="6"/>
  <c r="K166" i="6"/>
  <c r="L166" i="6"/>
  <c r="M166" i="6"/>
  <c r="H167" i="6"/>
  <c r="I167" i="6"/>
  <c r="J167" i="6"/>
  <c r="K167" i="6"/>
  <c r="L167" i="6"/>
  <c r="M167" i="6"/>
  <c r="H169" i="6"/>
  <c r="I169" i="6"/>
  <c r="J169" i="6"/>
  <c r="K169" i="6"/>
  <c r="L169" i="6"/>
  <c r="M169" i="6"/>
  <c r="H170" i="6"/>
  <c r="I170" i="6"/>
  <c r="J170" i="6"/>
  <c r="K170" i="6"/>
  <c r="L170" i="6"/>
  <c r="M170" i="6"/>
  <c r="H172" i="6"/>
  <c r="I172" i="6"/>
  <c r="J172" i="6"/>
  <c r="K172" i="6"/>
  <c r="L172" i="6"/>
  <c r="M172" i="6"/>
  <c r="H173" i="6"/>
  <c r="I173" i="6"/>
  <c r="J173" i="6"/>
  <c r="K173" i="6"/>
  <c r="L173" i="6"/>
  <c r="M173" i="6"/>
  <c r="H175" i="6"/>
  <c r="I175" i="6"/>
  <c r="J175" i="6"/>
  <c r="K175" i="6"/>
  <c r="L175" i="6"/>
  <c r="M175" i="6"/>
  <c r="H176" i="6"/>
  <c r="I176" i="6"/>
  <c r="J176" i="6"/>
  <c r="K176" i="6"/>
  <c r="L176" i="6"/>
  <c r="M176" i="6"/>
  <c r="H178" i="6"/>
  <c r="I178" i="6"/>
  <c r="J178" i="6"/>
  <c r="K178" i="6"/>
  <c r="L178" i="6"/>
  <c r="M178" i="6"/>
  <c r="H179" i="6"/>
  <c r="I179" i="6"/>
  <c r="J179" i="6"/>
  <c r="K179" i="6"/>
  <c r="L179" i="6"/>
  <c r="M179" i="6"/>
  <c r="H181" i="6"/>
  <c r="I181" i="6"/>
  <c r="J181" i="6"/>
  <c r="K181" i="6"/>
  <c r="L181" i="6"/>
  <c r="M181" i="6"/>
  <c r="H182" i="6"/>
  <c r="I182" i="6"/>
  <c r="J182" i="6"/>
  <c r="K182" i="6"/>
  <c r="L182" i="6"/>
  <c r="M182" i="6"/>
  <c r="H184" i="6"/>
  <c r="I184" i="6"/>
  <c r="J184" i="6"/>
  <c r="K184" i="6"/>
  <c r="L184" i="6"/>
  <c r="M184" i="6"/>
  <c r="H185" i="6"/>
  <c r="I185" i="6"/>
  <c r="J185" i="6"/>
  <c r="K185" i="6"/>
  <c r="L185" i="6"/>
  <c r="M185" i="6"/>
  <c r="H187" i="6"/>
  <c r="I187" i="6"/>
  <c r="J187" i="6"/>
  <c r="K187" i="6"/>
  <c r="L187" i="6"/>
  <c r="M187" i="6"/>
  <c r="H188" i="6"/>
  <c r="I188" i="6"/>
  <c r="J188" i="6"/>
  <c r="K188" i="6"/>
  <c r="L188" i="6"/>
  <c r="M188" i="6"/>
  <c r="H190" i="6"/>
  <c r="I190" i="6"/>
  <c r="J190" i="6"/>
  <c r="K190" i="6"/>
  <c r="L190" i="6"/>
  <c r="M190" i="6"/>
  <c r="H191" i="6"/>
  <c r="I191" i="6"/>
  <c r="J191" i="6"/>
  <c r="K191" i="6"/>
  <c r="L191" i="6"/>
  <c r="M191" i="6"/>
  <c r="H193" i="6"/>
  <c r="I193" i="6"/>
  <c r="J193" i="6"/>
  <c r="K193" i="6"/>
  <c r="L193" i="6"/>
  <c r="M193" i="6"/>
  <c r="H194" i="6"/>
  <c r="I194" i="6"/>
  <c r="J194" i="6"/>
  <c r="K194" i="6"/>
  <c r="L194" i="6"/>
  <c r="M194" i="6"/>
  <c r="H196" i="6"/>
  <c r="I196" i="6"/>
  <c r="J196" i="6"/>
  <c r="K196" i="6"/>
  <c r="L196" i="6"/>
  <c r="M196" i="6"/>
  <c r="H197" i="6"/>
  <c r="I197" i="6"/>
  <c r="J197" i="6"/>
  <c r="K197" i="6"/>
  <c r="L197" i="6"/>
  <c r="M197" i="6"/>
  <c r="H199" i="6"/>
  <c r="I199" i="6"/>
  <c r="J199" i="6"/>
  <c r="K199" i="6"/>
  <c r="L199" i="6"/>
  <c r="M199" i="6"/>
  <c r="H200" i="6"/>
  <c r="I200" i="6"/>
  <c r="J200" i="6"/>
  <c r="K200" i="6"/>
  <c r="L200" i="6"/>
  <c r="M200" i="6"/>
  <c r="H202" i="6"/>
  <c r="I202" i="6"/>
  <c r="J202" i="6"/>
  <c r="K202" i="6"/>
  <c r="L202" i="6"/>
  <c r="M202" i="6"/>
  <c r="H203" i="6"/>
  <c r="I203" i="6"/>
  <c r="J203" i="6"/>
  <c r="K203" i="6"/>
  <c r="L203" i="6"/>
  <c r="M203" i="6"/>
  <c r="H205" i="6"/>
  <c r="I205" i="6"/>
  <c r="J205" i="6"/>
  <c r="K205" i="6"/>
  <c r="L205" i="6"/>
  <c r="M205" i="6"/>
  <c r="H206" i="6"/>
  <c r="I206" i="6"/>
  <c r="J206" i="6"/>
  <c r="K206" i="6"/>
  <c r="L206" i="6"/>
  <c r="M206" i="6"/>
  <c r="H208" i="6"/>
  <c r="I208" i="6"/>
  <c r="J208" i="6"/>
  <c r="K208" i="6"/>
  <c r="L208" i="6"/>
  <c r="M208" i="6"/>
  <c r="H209" i="6"/>
  <c r="I209" i="6"/>
  <c r="J209" i="6"/>
  <c r="K209" i="6"/>
  <c r="L209" i="6"/>
  <c r="M209" i="6"/>
  <c r="H211" i="6"/>
  <c r="I211" i="6"/>
  <c r="J211" i="6"/>
  <c r="K211" i="6"/>
  <c r="L211" i="6"/>
  <c r="M211" i="6"/>
  <c r="H212" i="6"/>
  <c r="I212" i="6"/>
  <c r="J212" i="6"/>
  <c r="K212" i="6"/>
  <c r="L212" i="6"/>
  <c r="M212" i="6"/>
  <c r="H214" i="6"/>
  <c r="I214" i="6"/>
  <c r="J214" i="6"/>
  <c r="K214" i="6"/>
  <c r="L214" i="6"/>
  <c r="M214" i="6"/>
  <c r="H215" i="6"/>
  <c r="I215" i="6"/>
  <c r="J215" i="6"/>
  <c r="K215" i="6"/>
  <c r="L215" i="6"/>
  <c r="M215" i="6"/>
  <c r="H217" i="6"/>
  <c r="I217" i="6"/>
  <c r="J217" i="6"/>
  <c r="K217" i="6"/>
  <c r="L217" i="6"/>
  <c r="M217" i="6"/>
  <c r="H218" i="6"/>
  <c r="I218" i="6"/>
  <c r="J218" i="6"/>
  <c r="K218" i="6"/>
  <c r="L218" i="6"/>
  <c r="M218" i="6"/>
  <c r="H220" i="6"/>
  <c r="I220" i="6"/>
  <c r="J220" i="6"/>
  <c r="K220" i="6"/>
  <c r="L220" i="6"/>
  <c r="M220" i="6"/>
  <c r="H221" i="6"/>
  <c r="I221" i="6"/>
  <c r="J221" i="6"/>
  <c r="K221" i="6"/>
  <c r="L221" i="6"/>
  <c r="M221" i="6"/>
  <c r="H223" i="6"/>
  <c r="I223" i="6"/>
  <c r="J223" i="6"/>
  <c r="K223" i="6"/>
  <c r="L223" i="6"/>
  <c r="M223" i="6"/>
  <c r="H224" i="6"/>
  <c r="I224" i="6"/>
  <c r="J224" i="6"/>
  <c r="K224" i="6"/>
  <c r="L224" i="6"/>
  <c r="M224" i="6"/>
  <c r="H226" i="6"/>
  <c r="I226" i="6"/>
  <c r="J226" i="6"/>
  <c r="K226" i="6"/>
  <c r="L226" i="6"/>
  <c r="M226" i="6"/>
  <c r="H227" i="6"/>
  <c r="I227" i="6"/>
  <c r="J227" i="6"/>
  <c r="K227" i="6"/>
  <c r="L227" i="6"/>
  <c r="M227" i="6"/>
  <c r="H229" i="6"/>
  <c r="I229" i="6"/>
  <c r="J229" i="6"/>
  <c r="K229" i="6"/>
  <c r="L229" i="6"/>
  <c r="M229" i="6"/>
  <c r="H230" i="6"/>
  <c r="I230" i="6"/>
  <c r="J230" i="6"/>
  <c r="K230" i="6"/>
  <c r="L230" i="6"/>
  <c r="M230" i="6"/>
  <c r="H232" i="6"/>
  <c r="I232" i="6"/>
  <c r="J232" i="6"/>
  <c r="K232" i="6"/>
  <c r="L232" i="6"/>
  <c r="M232" i="6"/>
  <c r="H233" i="6"/>
  <c r="I233" i="6"/>
  <c r="J233" i="6"/>
  <c r="K233" i="6"/>
  <c r="L233" i="6"/>
  <c r="M233" i="6"/>
  <c r="H235" i="6"/>
  <c r="I235" i="6"/>
  <c r="J235" i="6"/>
  <c r="K235" i="6"/>
  <c r="L235" i="6"/>
  <c r="M235" i="6"/>
  <c r="H236" i="6"/>
  <c r="I236" i="6"/>
  <c r="J236" i="6"/>
  <c r="K236" i="6"/>
  <c r="L236" i="6"/>
  <c r="M236" i="6"/>
  <c r="H238" i="6"/>
  <c r="I238" i="6"/>
  <c r="J238" i="6"/>
  <c r="K238" i="6"/>
  <c r="L238" i="6"/>
  <c r="M238" i="6"/>
  <c r="H239" i="6"/>
  <c r="I239" i="6"/>
  <c r="J239" i="6"/>
  <c r="K239" i="6"/>
  <c r="L239" i="6"/>
  <c r="M239" i="6"/>
  <c r="H241" i="6"/>
  <c r="I241" i="6"/>
  <c r="J241" i="6"/>
  <c r="K241" i="6"/>
  <c r="L241" i="6"/>
  <c r="M241" i="6"/>
  <c r="H242" i="6"/>
  <c r="I242" i="6"/>
  <c r="J242" i="6"/>
  <c r="K242" i="6"/>
  <c r="L242" i="6"/>
  <c r="M242" i="6"/>
  <c r="H244" i="6"/>
  <c r="I244" i="6"/>
  <c r="J244" i="6"/>
  <c r="K244" i="6"/>
  <c r="L244" i="6"/>
  <c r="M244" i="6"/>
  <c r="H245" i="6"/>
  <c r="I245" i="6"/>
  <c r="J245" i="6"/>
  <c r="K245" i="6"/>
  <c r="L245" i="6"/>
  <c r="M245" i="6"/>
  <c r="H247" i="6"/>
  <c r="I247" i="6"/>
  <c r="J247" i="6"/>
  <c r="K247" i="6"/>
  <c r="L247" i="6"/>
  <c r="M247" i="6"/>
  <c r="H248" i="6"/>
  <c r="I248" i="6"/>
  <c r="J248" i="6"/>
  <c r="K248" i="6"/>
  <c r="L248" i="6"/>
  <c r="M248" i="6"/>
  <c r="H250" i="6"/>
  <c r="I250" i="6"/>
  <c r="J250" i="6"/>
  <c r="K250" i="6"/>
  <c r="L250" i="6"/>
  <c r="M250" i="6"/>
  <c r="H251" i="6"/>
  <c r="I251" i="6"/>
  <c r="J251" i="6"/>
  <c r="K251" i="6"/>
  <c r="L251" i="6"/>
  <c r="M251" i="6"/>
  <c r="H253" i="6"/>
  <c r="I253" i="6"/>
  <c r="J253" i="6"/>
  <c r="K253" i="6"/>
  <c r="L253" i="6"/>
  <c r="M253" i="6"/>
  <c r="H254" i="6"/>
  <c r="I254" i="6"/>
  <c r="J254" i="6"/>
  <c r="K254" i="6"/>
  <c r="L254" i="6"/>
  <c r="M254" i="6"/>
  <c r="H256" i="6"/>
  <c r="I256" i="6"/>
  <c r="J256" i="6"/>
  <c r="K256" i="6"/>
  <c r="L256" i="6"/>
  <c r="M256" i="6"/>
  <c r="H257" i="6"/>
  <c r="I257" i="6"/>
  <c r="J257" i="6"/>
  <c r="K257" i="6"/>
  <c r="L257" i="6"/>
  <c r="M257" i="6"/>
  <c r="H259" i="6"/>
  <c r="I259" i="6"/>
  <c r="J259" i="6"/>
  <c r="K259" i="6"/>
  <c r="L259" i="6"/>
  <c r="M259" i="6"/>
  <c r="H260" i="6"/>
  <c r="I260" i="6"/>
  <c r="J260" i="6"/>
  <c r="K260" i="6"/>
  <c r="L260" i="6"/>
  <c r="M260" i="6"/>
  <c r="H262" i="6"/>
  <c r="I262" i="6"/>
  <c r="J262" i="6"/>
  <c r="K262" i="6"/>
  <c r="L262" i="6"/>
  <c r="M262" i="6"/>
  <c r="H263" i="6"/>
  <c r="I263" i="6"/>
  <c r="J263" i="6"/>
  <c r="K263" i="6"/>
  <c r="L263" i="6"/>
  <c r="M263" i="6"/>
  <c r="H265" i="6"/>
  <c r="I265" i="6"/>
  <c r="J265" i="6"/>
  <c r="K265" i="6"/>
  <c r="L265" i="6"/>
  <c r="M265" i="6"/>
  <c r="H266" i="6"/>
  <c r="I266" i="6"/>
  <c r="J266" i="6"/>
  <c r="K266" i="6"/>
  <c r="L266" i="6"/>
  <c r="M266" i="6"/>
  <c r="H268" i="6"/>
  <c r="I268" i="6"/>
  <c r="J268" i="6"/>
  <c r="K268" i="6"/>
  <c r="L268" i="6"/>
  <c r="M268" i="6"/>
  <c r="H269" i="6"/>
  <c r="I269" i="6"/>
  <c r="J269" i="6"/>
  <c r="K269" i="6"/>
  <c r="L269" i="6"/>
  <c r="M269" i="6"/>
  <c r="H271" i="6"/>
  <c r="I271" i="6"/>
  <c r="J271" i="6"/>
  <c r="K271" i="6"/>
  <c r="L271" i="6"/>
  <c r="M271" i="6"/>
  <c r="H272" i="6"/>
  <c r="I272" i="6"/>
  <c r="J272" i="6"/>
  <c r="K272" i="6"/>
  <c r="L272" i="6"/>
  <c r="M272" i="6"/>
  <c r="H274" i="6"/>
  <c r="I274" i="6"/>
  <c r="J274" i="6"/>
  <c r="K274" i="6"/>
  <c r="L274" i="6"/>
  <c r="M274" i="6"/>
  <c r="H275" i="6"/>
  <c r="I275" i="6"/>
  <c r="J275" i="6"/>
  <c r="K275" i="6"/>
  <c r="L275" i="6"/>
  <c r="M275" i="6"/>
  <c r="H277" i="6"/>
  <c r="I277" i="6"/>
  <c r="J277" i="6"/>
  <c r="K277" i="6"/>
  <c r="L277" i="6"/>
  <c r="M277" i="6"/>
  <c r="H278" i="6"/>
  <c r="I278" i="6"/>
  <c r="J278" i="6"/>
  <c r="K278" i="6"/>
  <c r="L278" i="6"/>
  <c r="M278" i="6"/>
  <c r="H280" i="6"/>
  <c r="I280" i="6"/>
  <c r="J280" i="6"/>
  <c r="K280" i="6"/>
  <c r="L280" i="6"/>
  <c r="M280" i="6"/>
  <c r="H281" i="6"/>
  <c r="I281" i="6"/>
  <c r="J281" i="6"/>
  <c r="K281" i="6"/>
  <c r="L281" i="6"/>
  <c r="M281" i="6"/>
  <c r="H283" i="6"/>
  <c r="I283" i="6"/>
  <c r="J283" i="6"/>
  <c r="K283" i="6"/>
  <c r="L283" i="6"/>
  <c r="M283" i="6"/>
  <c r="H284" i="6"/>
  <c r="I284" i="6"/>
  <c r="J284" i="6"/>
  <c r="K284" i="6"/>
  <c r="L284" i="6"/>
  <c r="M284" i="6"/>
  <c r="H286" i="6"/>
  <c r="I286" i="6"/>
  <c r="J286" i="6"/>
  <c r="K286" i="6"/>
  <c r="L286" i="6"/>
  <c r="M286" i="6"/>
  <c r="H287" i="6"/>
  <c r="I287" i="6"/>
  <c r="J287" i="6"/>
  <c r="K287" i="6"/>
  <c r="L287" i="6"/>
  <c r="M287" i="6"/>
  <c r="H289" i="6"/>
  <c r="I289" i="6"/>
  <c r="J289" i="6"/>
  <c r="K289" i="6"/>
  <c r="L289" i="6"/>
  <c r="M289" i="6"/>
  <c r="H290" i="6"/>
  <c r="I290" i="6"/>
  <c r="J290" i="6"/>
  <c r="K290" i="6"/>
  <c r="L290" i="6"/>
  <c r="M290" i="6"/>
  <c r="C4" i="6"/>
  <c r="I6" i="6"/>
  <c r="D4" i="6"/>
  <c r="J6" i="6"/>
  <c r="E4" i="6"/>
  <c r="K6" i="6"/>
  <c r="F4" i="6"/>
  <c r="L6" i="6"/>
  <c r="G4" i="6"/>
  <c r="M6" i="6"/>
  <c r="B4" i="6"/>
  <c r="H6" i="6"/>
  <c r="A289" i="5"/>
  <c r="A290" i="5"/>
  <c r="N290" i="5"/>
  <c r="G289" i="5"/>
  <c r="E291" i="6"/>
  <c r="M290" i="5"/>
  <c r="B289" i="5"/>
  <c r="F291" i="6"/>
  <c r="J290" i="5"/>
  <c r="L289" i="5"/>
  <c r="D291" i="6"/>
  <c r="H290" i="5"/>
  <c r="B291" i="6"/>
  <c r="E290" i="5"/>
  <c r="G291" i="6"/>
  <c r="D290" i="5"/>
  <c r="C291" i="6"/>
  <c r="N289" i="5"/>
  <c r="G288" i="5"/>
  <c r="E290" i="6"/>
  <c r="M289" i="5"/>
  <c r="B288" i="5"/>
  <c r="F290" i="6"/>
  <c r="J289" i="5"/>
  <c r="L288" i="5"/>
  <c r="D290" i="6"/>
  <c r="H289" i="5"/>
  <c r="B290" i="6"/>
  <c r="E289" i="5"/>
  <c r="G290" i="6"/>
  <c r="D289" i="5"/>
  <c r="C290" i="6"/>
  <c r="O1" i="5"/>
  <c r="P1" i="5"/>
  <c r="Q1" i="5"/>
  <c r="R1" i="5"/>
  <c r="S1" i="5"/>
  <c r="S290" i="5"/>
  <c r="R290" i="5"/>
  <c r="Q290" i="5"/>
  <c r="P290" i="5"/>
  <c r="O290" i="5"/>
  <c r="L290" i="5"/>
  <c r="K290" i="5"/>
  <c r="I290" i="5"/>
  <c r="G290" i="5"/>
  <c r="F290" i="5"/>
  <c r="C290" i="5"/>
  <c r="B290" i="5"/>
  <c r="S289" i="5"/>
  <c r="R289" i="5"/>
  <c r="Q289" i="5"/>
  <c r="P289" i="5"/>
  <c r="O289" i="5"/>
  <c r="K289" i="5"/>
  <c r="I289" i="5"/>
  <c r="F289" i="5"/>
  <c r="C289" i="5"/>
  <c r="S288" i="5"/>
  <c r="R288" i="5"/>
  <c r="Q288" i="5"/>
  <c r="P288" i="5"/>
  <c r="O288" i="5"/>
  <c r="K288" i="5"/>
  <c r="I288" i="5"/>
  <c r="F288" i="5"/>
  <c r="C288" i="5"/>
  <c r="S287" i="5"/>
  <c r="R287" i="5"/>
  <c r="Q287" i="5"/>
  <c r="P287" i="5"/>
  <c r="O287" i="5"/>
  <c r="K287" i="5"/>
  <c r="I287" i="5"/>
  <c r="F287" i="5"/>
  <c r="C287" i="5"/>
  <c r="S286" i="5"/>
  <c r="R286" i="5"/>
  <c r="Q286" i="5"/>
  <c r="P286" i="5"/>
  <c r="O286" i="5"/>
  <c r="K286" i="5"/>
  <c r="I286" i="5"/>
  <c r="F286" i="5"/>
  <c r="C286" i="5"/>
  <c r="S285" i="5"/>
  <c r="R285" i="5"/>
  <c r="Q285" i="5"/>
  <c r="P285" i="5"/>
  <c r="O285" i="5"/>
  <c r="K285" i="5"/>
  <c r="I285" i="5"/>
  <c r="F285" i="5"/>
  <c r="C285" i="5"/>
  <c r="S284" i="5"/>
  <c r="R284" i="5"/>
  <c r="Q284" i="5"/>
  <c r="P284" i="5"/>
  <c r="O284" i="5"/>
  <c r="K284" i="5"/>
  <c r="I284" i="5"/>
  <c r="F284" i="5"/>
  <c r="C284" i="5"/>
  <c r="S283" i="5"/>
  <c r="R283" i="5"/>
  <c r="Q283" i="5"/>
  <c r="P283" i="5"/>
  <c r="O283" i="5"/>
  <c r="K283" i="5"/>
  <c r="I283" i="5"/>
  <c r="F283" i="5"/>
  <c r="C283" i="5"/>
  <c r="S282" i="5"/>
  <c r="R282" i="5"/>
  <c r="Q282" i="5"/>
  <c r="P282" i="5"/>
  <c r="O282" i="5"/>
  <c r="K282" i="5"/>
  <c r="I282" i="5"/>
  <c r="F282" i="5"/>
  <c r="C282" i="5"/>
  <c r="S281" i="5"/>
  <c r="R281" i="5"/>
  <c r="Q281" i="5"/>
  <c r="P281" i="5"/>
  <c r="O281" i="5"/>
  <c r="K281" i="5"/>
  <c r="I281" i="5"/>
  <c r="F281" i="5"/>
  <c r="C281" i="5"/>
  <c r="S280" i="5"/>
  <c r="R280" i="5"/>
  <c r="Q280" i="5"/>
  <c r="P280" i="5"/>
  <c r="O280" i="5"/>
  <c r="K280" i="5"/>
  <c r="I280" i="5"/>
  <c r="F280" i="5"/>
  <c r="C280" i="5"/>
  <c r="S279" i="5"/>
  <c r="R279" i="5"/>
  <c r="Q279" i="5"/>
  <c r="P279" i="5"/>
  <c r="O279" i="5"/>
  <c r="K279" i="5"/>
  <c r="I279" i="5"/>
  <c r="F279" i="5"/>
  <c r="C279" i="5"/>
  <c r="S278" i="5"/>
  <c r="R278" i="5"/>
  <c r="Q278" i="5"/>
  <c r="P278" i="5"/>
  <c r="O278" i="5"/>
  <c r="K278" i="5"/>
  <c r="I278" i="5"/>
  <c r="F278" i="5"/>
  <c r="C278" i="5"/>
  <c r="S277" i="5"/>
  <c r="R277" i="5"/>
  <c r="Q277" i="5"/>
  <c r="P277" i="5"/>
  <c r="O277" i="5"/>
  <c r="K277" i="5"/>
  <c r="I277" i="5"/>
  <c r="F277" i="5"/>
  <c r="C277" i="5"/>
  <c r="S276" i="5"/>
  <c r="R276" i="5"/>
  <c r="Q276" i="5"/>
  <c r="P276" i="5"/>
  <c r="O276" i="5"/>
  <c r="K276" i="5"/>
  <c r="I276" i="5"/>
  <c r="F276" i="5"/>
  <c r="C276" i="5"/>
  <c r="S275" i="5"/>
  <c r="R275" i="5"/>
  <c r="Q275" i="5"/>
  <c r="P275" i="5"/>
  <c r="O275" i="5"/>
  <c r="K275" i="5"/>
  <c r="I275" i="5"/>
  <c r="F275" i="5"/>
  <c r="C275" i="5"/>
  <c r="S274" i="5"/>
  <c r="R274" i="5"/>
  <c r="Q274" i="5"/>
  <c r="P274" i="5"/>
  <c r="O274" i="5"/>
  <c r="K274" i="5"/>
  <c r="I274" i="5"/>
  <c r="F274" i="5"/>
  <c r="C274" i="5"/>
  <c r="S273" i="5"/>
  <c r="R273" i="5"/>
  <c r="Q273" i="5"/>
  <c r="P273" i="5"/>
  <c r="O273" i="5"/>
  <c r="K273" i="5"/>
  <c r="I273" i="5"/>
  <c r="F273" i="5"/>
  <c r="C273" i="5"/>
  <c r="S272" i="5"/>
  <c r="R272" i="5"/>
  <c r="Q272" i="5"/>
  <c r="P272" i="5"/>
  <c r="O272" i="5"/>
  <c r="K272" i="5"/>
  <c r="I272" i="5"/>
  <c r="F272" i="5"/>
  <c r="C272" i="5"/>
  <c r="S271" i="5"/>
  <c r="R271" i="5"/>
  <c r="Q271" i="5"/>
  <c r="P271" i="5"/>
  <c r="O271" i="5"/>
  <c r="K271" i="5"/>
  <c r="I271" i="5"/>
  <c r="F271" i="5"/>
  <c r="C271" i="5"/>
  <c r="S270" i="5"/>
  <c r="R270" i="5"/>
  <c r="Q270" i="5"/>
  <c r="P270" i="5"/>
  <c r="O270" i="5"/>
  <c r="K270" i="5"/>
  <c r="I270" i="5"/>
  <c r="F270" i="5"/>
  <c r="C270" i="5"/>
  <c r="S269" i="5"/>
  <c r="R269" i="5"/>
  <c r="Q269" i="5"/>
  <c r="P269" i="5"/>
  <c r="O269" i="5"/>
  <c r="K269" i="5"/>
  <c r="I269" i="5"/>
  <c r="F269" i="5"/>
  <c r="C269" i="5"/>
  <c r="S268" i="5"/>
  <c r="R268" i="5"/>
  <c r="Q268" i="5"/>
  <c r="P268" i="5"/>
  <c r="O268" i="5"/>
  <c r="K268" i="5"/>
  <c r="I268" i="5"/>
  <c r="F268" i="5"/>
  <c r="C268" i="5"/>
  <c r="S267" i="5"/>
  <c r="R267" i="5"/>
  <c r="Q267" i="5"/>
  <c r="P267" i="5"/>
  <c r="O267" i="5"/>
  <c r="K267" i="5"/>
  <c r="I267" i="5"/>
  <c r="F267" i="5"/>
  <c r="C267" i="5"/>
  <c r="S266" i="5"/>
  <c r="R266" i="5"/>
  <c r="Q266" i="5"/>
  <c r="P266" i="5"/>
  <c r="O266" i="5"/>
  <c r="K266" i="5"/>
  <c r="I266" i="5"/>
  <c r="F266" i="5"/>
  <c r="C266" i="5"/>
  <c r="S265" i="5"/>
  <c r="R265" i="5"/>
  <c r="Q265" i="5"/>
  <c r="P265" i="5"/>
  <c r="O265" i="5"/>
  <c r="K265" i="5"/>
  <c r="I265" i="5"/>
  <c r="F265" i="5"/>
  <c r="C265" i="5"/>
  <c r="S264" i="5"/>
  <c r="R264" i="5"/>
  <c r="Q264" i="5"/>
  <c r="P264" i="5"/>
  <c r="O264" i="5"/>
  <c r="K264" i="5"/>
  <c r="I264" i="5"/>
  <c r="F264" i="5"/>
  <c r="C264" i="5"/>
  <c r="S263" i="5"/>
  <c r="R263" i="5"/>
  <c r="Q263" i="5"/>
  <c r="P263" i="5"/>
  <c r="O263" i="5"/>
  <c r="K263" i="5"/>
  <c r="I263" i="5"/>
  <c r="F263" i="5"/>
  <c r="C263" i="5"/>
  <c r="S262" i="5"/>
  <c r="R262" i="5"/>
  <c r="Q262" i="5"/>
  <c r="P262" i="5"/>
  <c r="O262" i="5"/>
  <c r="K262" i="5"/>
  <c r="I262" i="5"/>
  <c r="F262" i="5"/>
  <c r="C262" i="5"/>
  <c r="S261" i="5"/>
  <c r="R261" i="5"/>
  <c r="Q261" i="5"/>
  <c r="P261" i="5"/>
  <c r="O261" i="5"/>
  <c r="K261" i="5"/>
  <c r="I261" i="5"/>
  <c r="F261" i="5"/>
  <c r="C261" i="5"/>
  <c r="S260" i="5"/>
  <c r="R260" i="5"/>
  <c r="Q260" i="5"/>
  <c r="P260" i="5"/>
  <c r="O260" i="5"/>
  <c r="K260" i="5"/>
  <c r="I260" i="5"/>
  <c r="F260" i="5"/>
  <c r="C260" i="5"/>
  <c r="S259" i="5"/>
  <c r="R259" i="5"/>
  <c r="Q259" i="5"/>
  <c r="P259" i="5"/>
  <c r="O259" i="5"/>
  <c r="K259" i="5"/>
  <c r="I259" i="5"/>
  <c r="F259" i="5"/>
  <c r="C259" i="5"/>
  <c r="S258" i="5"/>
  <c r="R258" i="5"/>
  <c r="Q258" i="5"/>
  <c r="P258" i="5"/>
  <c r="O258" i="5"/>
  <c r="K258" i="5"/>
  <c r="I258" i="5"/>
  <c r="F258" i="5"/>
  <c r="C258" i="5"/>
  <c r="S257" i="5"/>
  <c r="R257" i="5"/>
  <c r="Q257" i="5"/>
  <c r="P257" i="5"/>
  <c r="O257" i="5"/>
  <c r="K257" i="5"/>
  <c r="I257" i="5"/>
  <c r="F257" i="5"/>
  <c r="C257" i="5"/>
  <c r="S256" i="5"/>
  <c r="R256" i="5"/>
  <c r="Q256" i="5"/>
  <c r="P256" i="5"/>
  <c r="O256" i="5"/>
  <c r="K256" i="5"/>
  <c r="I256" i="5"/>
  <c r="F256" i="5"/>
  <c r="C256" i="5"/>
  <c r="S255" i="5"/>
  <c r="R255" i="5"/>
  <c r="Q255" i="5"/>
  <c r="P255" i="5"/>
  <c r="O255" i="5"/>
  <c r="K255" i="5"/>
  <c r="I255" i="5"/>
  <c r="F255" i="5"/>
  <c r="C255" i="5"/>
  <c r="S254" i="5"/>
  <c r="R254" i="5"/>
  <c r="Q254" i="5"/>
  <c r="P254" i="5"/>
  <c r="O254" i="5"/>
  <c r="K254" i="5"/>
  <c r="I254" i="5"/>
  <c r="F254" i="5"/>
  <c r="C254" i="5"/>
  <c r="S253" i="5"/>
  <c r="R253" i="5"/>
  <c r="Q253" i="5"/>
  <c r="P253" i="5"/>
  <c r="O253" i="5"/>
  <c r="K253" i="5"/>
  <c r="I253" i="5"/>
  <c r="F253" i="5"/>
  <c r="C253" i="5"/>
  <c r="S252" i="5"/>
  <c r="R252" i="5"/>
  <c r="Q252" i="5"/>
  <c r="P252" i="5"/>
  <c r="O252" i="5"/>
  <c r="K252" i="5"/>
  <c r="I252" i="5"/>
  <c r="F252" i="5"/>
  <c r="C252" i="5"/>
  <c r="S251" i="5"/>
  <c r="R251" i="5"/>
  <c r="Q251" i="5"/>
  <c r="P251" i="5"/>
  <c r="O251" i="5"/>
  <c r="K251" i="5"/>
  <c r="I251" i="5"/>
  <c r="F251" i="5"/>
  <c r="C251" i="5"/>
  <c r="S250" i="5"/>
  <c r="R250" i="5"/>
  <c r="Q250" i="5"/>
  <c r="P250" i="5"/>
  <c r="O250" i="5"/>
  <c r="K250" i="5"/>
  <c r="I250" i="5"/>
  <c r="F250" i="5"/>
  <c r="C250" i="5"/>
  <c r="S249" i="5"/>
  <c r="R249" i="5"/>
  <c r="Q249" i="5"/>
  <c r="P249" i="5"/>
  <c r="O249" i="5"/>
  <c r="K249" i="5"/>
  <c r="I249" i="5"/>
  <c r="F249" i="5"/>
  <c r="C249" i="5"/>
  <c r="S248" i="5"/>
  <c r="R248" i="5"/>
  <c r="Q248" i="5"/>
  <c r="P248" i="5"/>
  <c r="O248" i="5"/>
  <c r="K248" i="5"/>
  <c r="I248" i="5"/>
  <c r="F248" i="5"/>
  <c r="C248" i="5"/>
  <c r="S247" i="5"/>
  <c r="R247" i="5"/>
  <c r="Q247" i="5"/>
  <c r="P247" i="5"/>
  <c r="O247" i="5"/>
  <c r="K247" i="5"/>
  <c r="I247" i="5"/>
  <c r="F247" i="5"/>
  <c r="C247" i="5"/>
  <c r="S246" i="5"/>
  <c r="R246" i="5"/>
  <c r="Q246" i="5"/>
  <c r="P246" i="5"/>
  <c r="O246" i="5"/>
  <c r="K246" i="5"/>
  <c r="I246" i="5"/>
  <c r="F246" i="5"/>
  <c r="C246" i="5"/>
  <c r="S245" i="5"/>
  <c r="R245" i="5"/>
  <c r="Q245" i="5"/>
  <c r="P245" i="5"/>
  <c r="O245" i="5"/>
  <c r="K245" i="5"/>
  <c r="I245" i="5"/>
  <c r="F245" i="5"/>
  <c r="C245" i="5"/>
  <c r="S244" i="5"/>
  <c r="R244" i="5"/>
  <c r="Q244" i="5"/>
  <c r="P244" i="5"/>
  <c r="O244" i="5"/>
  <c r="K244" i="5"/>
  <c r="I244" i="5"/>
  <c r="F244" i="5"/>
  <c r="C244" i="5"/>
  <c r="S243" i="5"/>
  <c r="R243" i="5"/>
  <c r="Q243" i="5"/>
  <c r="P243" i="5"/>
  <c r="O243" i="5"/>
  <c r="K243" i="5"/>
  <c r="I243" i="5"/>
  <c r="F243" i="5"/>
  <c r="C243" i="5"/>
  <c r="S242" i="5"/>
  <c r="R242" i="5"/>
  <c r="Q242" i="5"/>
  <c r="P242" i="5"/>
  <c r="O242" i="5"/>
  <c r="K242" i="5"/>
  <c r="I242" i="5"/>
  <c r="F242" i="5"/>
  <c r="C242" i="5"/>
  <c r="S241" i="5"/>
  <c r="R241" i="5"/>
  <c r="Q241" i="5"/>
  <c r="P241" i="5"/>
  <c r="O241" i="5"/>
  <c r="K241" i="5"/>
  <c r="I241" i="5"/>
  <c r="F241" i="5"/>
  <c r="C241" i="5"/>
  <c r="S240" i="5"/>
  <c r="R240" i="5"/>
  <c r="Q240" i="5"/>
  <c r="P240" i="5"/>
  <c r="O240" i="5"/>
  <c r="K240" i="5"/>
  <c r="I240" i="5"/>
  <c r="F240" i="5"/>
  <c r="C240" i="5"/>
  <c r="S239" i="5"/>
  <c r="R239" i="5"/>
  <c r="Q239" i="5"/>
  <c r="P239" i="5"/>
  <c r="O239" i="5"/>
  <c r="K239" i="5"/>
  <c r="I239" i="5"/>
  <c r="F239" i="5"/>
  <c r="C239" i="5"/>
  <c r="S238" i="5"/>
  <c r="R238" i="5"/>
  <c r="Q238" i="5"/>
  <c r="P238" i="5"/>
  <c r="O238" i="5"/>
  <c r="K238" i="5"/>
  <c r="I238" i="5"/>
  <c r="F238" i="5"/>
  <c r="C238" i="5"/>
  <c r="S237" i="5"/>
  <c r="R237" i="5"/>
  <c r="Q237" i="5"/>
  <c r="P237" i="5"/>
  <c r="O237" i="5"/>
  <c r="K237" i="5"/>
  <c r="I237" i="5"/>
  <c r="F237" i="5"/>
  <c r="C237" i="5"/>
  <c r="S236" i="5"/>
  <c r="R236" i="5"/>
  <c r="Q236" i="5"/>
  <c r="P236" i="5"/>
  <c r="O236" i="5"/>
  <c r="K236" i="5"/>
  <c r="I236" i="5"/>
  <c r="F236" i="5"/>
  <c r="C236" i="5"/>
  <c r="S235" i="5"/>
  <c r="R235" i="5"/>
  <c r="Q235" i="5"/>
  <c r="P235" i="5"/>
  <c r="O235" i="5"/>
  <c r="K235" i="5"/>
  <c r="I235" i="5"/>
  <c r="F235" i="5"/>
  <c r="C235" i="5"/>
  <c r="S234" i="5"/>
  <c r="R234" i="5"/>
  <c r="Q234" i="5"/>
  <c r="P234" i="5"/>
  <c r="O234" i="5"/>
  <c r="K234" i="5"/>
  <c r="I234" i="5"/>
  <c r="F234" i="5"/>
  <c r="C234" i="5"/>
  <c r="S233" i="5"/>
  <c r="R233" i="5"/>
  <c r="Q233" i="5"/>
  <c r="P233" i="5"/>
  <c r="O233" i="5"/>
  <c r="K233" i="5"/>
  <c r="I233" i="5"/>
  <c r="F233" i="5"/>
  <c r="C233" i="5"/>
  <c r="S232" i="5"/>
  <c r="R232" i="5"/>
  <c r="Q232" i="5"/>
  <c r="P232" i="5"/>
  <c r="O232" i="5"/>
  <c r="K232" i="5"/>
  <c r="I232" i="5"/>
  <c r="F232" i="5"/>
  <c r="C232" i="5"/>
  <c r="S231" i="5"/>
  <c r="R231" i="5"/>
  <c r="Q231" i="5"/>
  <c r="P231" i="5"/>
  <c r="O231" i="5"/>
  <c r="K231" i="5"/>
  <c r="I231" i="5"/>
  <c r="F231" i="5"/>
  <c r="C231" i="5"/>
  <c r="S230" i="5"/>
  <c r="R230" i="5"/>
  <c r="Q230" i="5"/>
  <c r="P230" i="5"/>
  <c r="O230" i="5"/>
  <c r="K230" i="5"/>
  <c r="I230" i="5"/>
  <c r="F230" i="5"/>
  <c r="C230" i="5"/>
  <c r="S229" i="5"/>
  <c r="R229" i="5"/>
  <c r="Q229" i="5"/>
  <c r="P229" i="5"/>
  <c r="O229" i="5"/>
  <c r="K229" i="5"/>
  <c r="I229" i="5"/>
  <c r="F229" i="5"/>
  <c r="C229" i="5"/>
  <c r="S228" i="5"/>
  <c r="R228" i="5"/>
  <c r="Q228" i="5"/>
  <c r="P228" i="5"/>
  <c r="O228" i="5"/>
  <c r="K228" i="5"/>
  <c r="I228" i="5"/>
  <c r="F228" i="5"/>
  <c r="C228" i="5"/>
  <c r="S227" i="5"/>
  <c r="R227" i="5"/>
  <c r="Q227" i="5"/>
  <c r="P227" i="5"/>
  <c r="O227" i="5"/>
  <c r="K227" i="5"/>
  <c r="I227" i="5"/>
  <c r="F227" i="5"/>
  <c r="C227" i="5"/>
  <c r="S226" i="5"/>
  <c r="R226" i="5"/>
  <c r="Q226" i="5"/>
  <c r="P226" i="5"/>
  <c r="O226" i="5"/>
  <c r="K226" i="5"/>
  <c r="I226" i="5"/>
  <c r="F226" i="5"/>
  <c r="C226" i="5"/>
  <c r="S225" i="5"/>
  <c r="R225" i="5"/>
  <c r="Q225" i="5"/>
  <c r="P225" i="5"/>
  <c r="O225" i="5"/>
  <c r="K225" i="5"/>
  <c r="I225" i="5"/>
  <c r="F225" i="5"/>
  <c r="C225" i="5"/>
  <c r="S224" i="5"/>
  <c r="R224" i="5"/>
  <c r="Q224" i="5"/>
  <c r="P224" i="5"/>
  <c r="O224" i="5"/>
  <c r="K224" i="5"/>
  <c r="I224" i="5"/>
  <c r="F224" i="5"/>
  <c r="C224" i="5"/>
  <c r="S223" i="5"/>
  <c r="R223" i="5"/>
  <c r="Q223" i="5"/>
  <c r="P223" i="5"/>
  <c r="O223" i="5"/>
  <c r="K223" i="5"/>
  <c r="I223" i="5"/>
  <c r="F223" i="5"/>
  <c r="C223" i="5"/>
  <c r="S222" i="5"/>
  <c r="R222" i="5"/>
  <c r="Q222" i="5"/>
  <c r="P222" i="5"/>
  <c r="O222" i="5"/>
  <c r="K222" i="5"/>
  <c r="I222" i="5"/>
  <c r="F222" i="5"/>
  <c r="C222" i="5"/>
  <c r="S221" i="5"/>
  <c r="R221" i="5"/>
  <c r="Q221" i="5"/>
  <c r="P221" i="5"/>
  <c r="O221" i="5"/>
  <c r="K221" i="5"/>
  <c r="I221" i="5"/>
  <c r="F221" i="5"/>
  <c r="C221" i="5"/>
  <c r="S220" i="5"/>
  <c r="R220" i="5"/>
  <c r="Q220" i="5"/>
  <c r="P220" i="5"/>
  <c r="O220" i="5"/>
  <c r="K220" i="5"/>
  <c r="I220" i="5"/>
  <c r="F220" i="5"/>
  <c r="C220" i="5"/>
  <c r="S219" i="5"/>
  <c r="R219" i="5"/>
  <c r="Q219" i="5"/>
  <c r="P219" i="5"/>
  <c r="O219" i="5"/>
  <c r="K219" i="5"/>
  <c r="I219" i="5"/>
  <c r="F219" i="5"/>
  <c r="C219" i="5"/>
  <c r="S218" i="5"/>
  <c r="R218" i="5"/>
  <c r="Q218" i="5"/>
  <c r="P218" i="5"/>
  <c r="O218" i="5"/>
  <c r="K218" i="5"/>
  <c r="I218" i="5"/>
  <c r="F218" i="5"/>
  <c r="C218" i="5"/>
  <c r="S217" i="5"/>
  <c r="R217" i="5"/>
  <c r="Q217" i="5"/>
  <c r="P217" i="5"/>
  <c r="O217" i="5"/>
  <c r="K217" i="5"/>
  <c r="I217" i="5"/>
  <c r="F217" i="5"/>
  <c r="C217" i="5"/>
  <c r="S216" i="5"/>
  <c r="R216" i="5"/>
  <c r="Q216" i="5"/>
  <c r="P216" i="5"/>
  <c r="O216" i="5"/>
  <c r="K216" i="5"/>
  <c r="I216" i="5"/>
  <c r="F216" i="5"/>
  <c r="C216" i="5"/>
  <c r="S215" i="5"/>
  <c r="R215" i="5"/>
  <c r="Q215" i="5"/>
  <c r="P215" i="5"/>
  <c r="O215" i="5"/>
  <c r="K215" i="5"/>
  <c r="I215" i="5"/>
  <c r="F215" i="5"/>
  <c r="C215" i="5"/>
  <c r="S214" i="5"/>
  <c r="R214" i="5"/>
  <c r="Q214" i="5"/>
  <c r="P214" i="5"/>
  <c r="O214" i="5"/>
  <c r="K214" i="5"/>
  <c r="I214" i="5"/>
  <c r="F214" i="5"/>
  <c r="C214" i="5"/>
  <c r="S213" i="5"/>
  <c r="R213" i="5"/>
  <c r="Q213" i="5"/>
  <c r="P213" i="5"/>
  <c r="O213" i="5"/>
  <c r="K213" i="5"/>
  <c r="I213" i="5"/>
  <c r="F213" i="5"/>
  <c r="C213" i="5"/>
  <c r="S212" i="5"/>
  <c r="R212" i="5"/>
  <c r="Q212" i="5"/>
  <c r="P212" i="5"/>
  <c r="O212" i="5"/>
  <c r="K212" i="5"/>
  <c r="I212" i="5"/>
  <c r="F212" i="5"/>
  <c r="C212" i="5"/>
  <c r="S211" i="5"/>
  <c r="R211" i="5"/>
  <c r="Q211" i="5"/>
  <c r="P211" i="5"/>
  <c r="O211" i="5"/>
  <c r="K211" i="5"/>
  <c r="I211" i="5"/>
  <c r="F211" i="5"/>
  <c r="C211" i="5"/>
  <c r="S210" i="5"/>
  <c r="R210" i="5"/>
  <c r="Q210" i="5"/>
  <c r="P210" i="5"/>
  <c r="O210" i="5"/>
  <c r="K210" i="5"/>
  <c r="I210" i="5"/>
  <c r="F210" i="5"/>
  <c r="C210" i="5"/>
  <c r="S209" i="5"/>
  <c r="R209" i="5"/>
  <c r="Q209" i="5"/>
  <c r="P209" i="5"/>
  <c r="O209" i="5"/>
  <c r="K209" i="5"/>
  <c r="I209" i="5"/>
  <c r="F209" i="5"/>
  <c r="C209" i="5"/>
  <c r="S208" i="5"/>
  <c r="R208" i="5"/>
  <c r="Q208" i="5"/>
  <c r="P208" i="5"/>
  <c r="O208" i="5"/>
  <c r="K208" i="5"/>
  <c r="I208" i="5"/>
  <c r="F208" i="5"/>
  <c r="C208" i="5"/>
  <c r="S207" i="5"/>
  <c r="R207" i="5"/>
  <c r="Q207" i="5"/>
  <c r="P207" i="5"/>
  <c r="O207" i="5"/>
  <c r="K207" i="5"/>
  <c r="I207" i="5"/>
  <c r="F207" i="5"/>
  <c r="C207" i="5"/>
  <c r="S206" i="5"/>
  <c r="R206" i="5"/>
  <c r="Q206" i="5"/>
  <c r="P206" i="5"/>
  <c r="O206" i="5"/>
  <c r="K206" i="5"/>
  <c r="I206" i="5"/>
  <c r="F206" i="5"/>
  <c r="C206" i="5"/>
  <c r="S205" i="5"/>
  <c r="R205" i="5"/>
  <c r="Q205" i="5"/>
  <c r="P205" i="5"/>
  <c r="O205" i="5"/>
  <c r="K205" i="5"/>
  <c r="I205" i="5"/>
  <c r="F205" i="5"/>
  <c r="C205" i="5"/>
  <c r="S204" i="5"/>
  <c r="R204" i="5"/>
  <c r="Q204" i="5"/>
  <c r="P204" i="5"/>
  <c r="O204" i="5"/>
  <c r="K204" i="5"/>
  <c r="I204" i="5"/>
  <c r="F204" i="5"/>
  <c r="C204" i="5"/>
  <c r="S203" i="5"/>
  <c r="R203" i="5"/>
  <c r="Q203" i="5"/>
  <c r="P203" i="5"/>
  <c r="O203" i="5"/>
  <c r="K203" i="5"/>
  <c r="I203" i="5"/>
  <c r="F203" i="5"/>
  <c r="C203" i="5"/>
  <c r="S202" i="5"/>
  <c r="R202" i="5"/>
  <c r="Q202" i="5"/>
  <c r="P202" i="5"/>
  <c r="O202" i="5"/>
  <c r="K202" i="5"/>
  <c r="I202" i="5"/>
  <c r="F202" i="5"/>
  <c r="C202" i="5"/>
  <c r="S201" i="5"/>
  <c r="R201" i="5"/>
  <c r="Q201" i="5"/>
  <c r="P201" i="5"/>
  <c r="O201" i="5"/>
  <c r="K201" i="5"/>
  <c r="I201" i="5"/>
  <c r="F201" i="5"/>
  <c r="C201" i="5"/>
  <c r="S200" i="5"/>
  <c r="R200" i="5"/>
  <c r="Q200" i="5"/>
  <c r="P200" i="5"/>
  <c r="O200" i="5"/>
  <c r="K200" i="5"/>
  <c r="I200" i="5"/>
  <c r="F200" i="5"/>
  <c r="C200" i="5"/>
  <c r="S199" i="5"/>
  <c r="R199" i="5"/>
  <c r="Q199" i="5"/>
  <c r="P199" i="5"/>
  <c r="O199" i="5"/>
  <c r="K199" i="5"/>
  <c r="I199" i="5"/>
  <c r="F199" i="5"/>
  <c r="C199" i="5"/>
  <c r="S198" i="5"/>
  <c r="R198" i="5"/>
  <c r="Q198" i="5"/>
  <c r="P198" i="5"/>
  <c r="O198" i="5"/>
  <c r="K198" i="5"/>
  <c r="I198" i="5"/>
  <c r="F198" i="5"/>
  <c r="C198" i="5"/>
  <c r="S197" i="5"/>
  <c r="R197" i="5"/>
  <c r="Q197" i="5"/>
  <c r="P197" i="5"/>
  <c r="O197" i="5"/>
  <c r="K197" i="5"/>
  <c r="I197" i="5"/>
  <c r="F197" i="5"/>
  <c r="C197" i="5"/>
  <c r="S196" i="5"/>
  <c r="R196" i="5"/>
  <c r="Q196" i="5"/>
  <c r="P196" i="5"/>
  <c r="O196" i="5"/>
  <c r="K196" i="5"/>
  <c r="I196" i="5"/>
  <c r="F196" i="5"/>
  <c r="C196" i="5"/>
  <c r="S195" i="5"/>
  <c r="R195" i="5"/>
  <c r="Q195" i="5"/>
  <c r="P195" i="5"/>
  <c r="O195" i="5"/>
  <c r="K195" i="5"/>
  <c r="I195" i="5"/>
  <c r="F195" i="5"/>
  <c r="C195" i="5"/>
  <c r="S194" i="5"/>
  <c r="R194" i="5"/>
  <c r="Q194" i="5"/>
  <c r="P194" i="5"/>
  <c r="O194" i="5"/>
  <c r="K194" i="5"/>
  <c r="I194" i="5"/>
  <c r="F194" i="5"/>
  <c r="C194" i="5"/>
  <c r="S193" i="5"/>
  <c r="R193" i="5"/>
  <c r="Q193" i="5"/>
  <c r="P193" i="5"/>
  <c r="O193" i="5"/>
  <c r="K193" i="5"/>
  <c r="I193" i="5"/>
  <c r="F193" i="5"/>
  <c r="C193" i="5"/>
  <c r="S192" i="5"/>
  <c r="R192" i="5"/>
  <c r="Q192" i="5"/>
  <c r="P192" i="5"/>
  <c r="O192" i="5"/>
  <c r="K192" i="5"/>
  <c r="I192" i="5"/>
  <c r="F192" i="5"/>
  <c r="C192" i="5"/>
  <c r="S191" i="5"/>
  <c r="R191" i="5"/>
  <c r="Q191" i="5"/>
  <c r="P191" i="5"/>
  <c r="O191" i="5"/>
  <c r="K191" i="5"/>
  <c r="I191" i="5"/>
  <c r="F191" i="5"/>
  <c r="C191" i="5"/>
  <c r="S190" i="5"/>
  <c r="R190" i="5"/>
  <c r="Q190" i="5"/>
  <c r="P190" i="5"/>
  <c r="O190" i="5"/>
  <c r="K190" i="5"/>
  <c r="I190" i="5"/>
  <c r="F190" i="5"/>
  <c r="C190" i="5"/>
  <c r="S189" i="5"/>
  <c r="R189" i="5"/>
  <c r="Q189" i="5"/>
  <c r="P189" i="5"/>
  <c r="O189" i="5"/>
  <c r="K189" i="5"/>
  <c r="I189" i="5"/>
  <c r="F189" i="5"/>
  <c r="C189" i="5"/>
  <c r="S188" i="5"/>
  <c r="R188" i="5"/>
  <c r="Q188" i="5"/>
  <c r="P188" i="5"/>
  <c r="O188" i="5"/>
  <c r="K188" i="5"/>
  <c r="I188" i="5"/>
  <c r="F188" i="5"/>
  <c r="C188" i="5"/>
  <c r="S187" i="5"/>
  <c r="R187" i="5"/>
  <c r="Q187" i="5"/>
  <c r="P187" i="5"/>
  <c r="O187" i="5"/>
  <c r="K187" i="5"/>
  <c r="I187" i="5"/>
  <c r="F187" i="5"/>
  <c r="C187" i="5"/>
  <c r="S186" i="5"/>
  <c r="R186" i="5"/>
  <c r="Q186" i="5"/>
  <c r="P186" i="5"/>
  <c r="O186" i="5"/>
  <c r="K186" i="5"/>
  <c r="I186" i="5"/>
  <c r="F186" i="5"/>
  <c r="C186" i="5"/>
  <c r="S185" i="5"/>
  <c r="R185" i="5"/>
  <c r="Q185" i="5"/>
  <c r="P185" i="5"/>
  <c r="O185" i="5"/>
  <c r="K185" i="5"/>
  <c r="I185" i="5"/>
  <c r="F185" i="5"/>
  <c r="C185" i="5"/>
  <c r="S184" i="5"/>
  <c r="R184" i="5"/>
  <c r="Q184" i="5"/>
  <c r="P184" i="5"/>
  <c r="O184" i="5"/>
  <c r="K184" i="5"/>
  <c r="I184" i="5"/>
  <c r="F184" i="5"/>
  <c r="C184" i="5"/>
  <c r="S183" i="5"/>
  <c r="R183" i="5"/>
  <c r="Q183" i="5"/>
  <c r="P183" i="5"/>
  <c r="O183" i="5"/>
  <c r="K183" i="5"/>
  <c r="I183" i="5"/>
  <c r="F183" i="5"/>
  <c r="C183" i="5"/>
  <c r="S182" i="5"/>
  <c r="R182" i="5"/>
  <c r="Q182" i="5"/>
  <c r="P182" i="5"/>
  <c r="O182" i="5"/>
  <c r="K182" i="5"/>
  <c r="I182" i="5"/>
  <c r="F182" i="5"/>
  <c r="C182" i="5"/>
  <c r="S181" i="5"/>
  <c r="R181" i="5"/>
  <c r="Q181" i="5"/>
  <c r="P181" i="5"/>
  <c r="O181" i="5"/>
  <c r="K181" i="5"/>
  <c r="I181" i="5"/>
  <c r="F181" i="5"/>
  <c r="C181" i="5"/>
  <c r="S180" i="5"/>
  <c r="R180" i="5"/>
  <c r="Q180" i="5"/>
  <c r="P180" i="5"/>
  <c r="O180" i="5"/>
  <c r="K180" i="5"/>
  <c r="I180" i="5"/>
  <c r="F180" i="5"/>
  <c r="C180" i="5"/>
  <c r="S179" i="5"/>
  <c r="R179" i="5"/>
  <c r="Q179" i="5"/>
  <c r="P179" i="5"/>
  <c r="O179" i="5"/>
  <c r="K179" i="5"/>
  <c r="I179" i="5"/>
  <c r="F179" i="5"/>
  <c r="C179" i="5"/>
  <c r="S178" i="5"/>
  <c r="R178" i="5"/>
  <c r="Q178" i="5"/>
  <c r="P178" i="5"/>
  <c r="O178" i="5"/>
  <c r="K178" i="5"/>
  <c r="I178" i="5"/>
  <c r="F178" i="5"/>
  <c r="C178" i="5"/>
  <c r="S177" i="5"/>
  <c r="R177" i="5"/>
  <c r="Q177" i="5"/>
  <c r="P177" i="5"/>
  <c r="O177" i="5"/>
  <c r="K177" i="5"/>
  <c r="I177" i="5"/>
  <c r="F177" i="5"/>
  <c r="C177" i="5"/>
  <c r="S176" i="5"/>
  <c r="R176" i="5"/>
  <c r="Q176" i="5"/>
  <c r="P176" i="5"/>
  <c r="O176" i="5"/>
  <c r="K176" i="5"/>
  <c r="I176" i="5"/>
  <c r="F176" i="5"/>
  <c r="C176" i="5"/>
  <c r="S175" i="5"/>
  <c r="R175" i="5"/>
  <c r="Q175" i="5"/>
  <c r="P175" i="5"/>
  <c r="O175" i="5"/>
  <c r="K175" i="5"/>
  <c r="I175" i="5"/>
  <c r="F175" i="5"/>
  <c r="C175" i="5"/>
  <c r="S174" i="5"/>
  <c r="R174" i="5"/>
  <c r="Q174" i="5"/>
  <c r="P174" i="5"/>
  <c r="O174" i="5"/>
  <c r="K174" i="5"/>
  <c r="I174" i="5"/>
  <c r="F174" i="5"/>
  <c r="C174" i="5"/>
  <c r="S173" i="5"/>
  <c r="R173" i="5"/>
  <c r="Q173" i="5"/>
  <c r="P173" i="5"/>
  <c r="O173" i="5"/>
  <c r="K173" i="5"/>
  <c r="I173" i="5"/>
  <c r="F173" i="5"/>
  <c r="C173" i="5"/>
  <c r="S172" i="5"/>
  <c r="R172" i="5"/>
  <c r="Q172" i="5"/>
  <c r="P172" i="5"/>
  <c r="O172" i="5"/>
  <c r="K172" i="5"/>
  <c r="I172" i="5"/>
  <c r="F172" i="5"/>
  <c r="C172" i="5"/>
  <c r="S171" i="5"/>
  <c r="R171" i="5"/>
  <c r="Q171" i="5"/>
  <c r="P171" i="5"/>
  <c r="O171" i="5"/>
  <c r="K171" i="5"/>
  <c r="I171" i="5"/>
  <c r="F171" i="5"/>
  <c r="C171" i="5"/>
  <c r="S170" i="5"/>
  <c r="R170" i="5"/>
  <c r="Q170" i="5"/>
  <c r="P170" i="5"/>
  <c r="O170" i="5"/>
  <c r="K170" i="5"/>
  <c r="I170" i="5"/>
  <c r="F170" i="5"/>
  <c r="C170" i="5"/>
  <c r="S169" i="5"/>
  <c r="R169" i="5"/>
  <c r="Q169" i="5"/>
  <c r="P169" i="5"/>
  <c r="O169" i="5"/>
  <c r="K169" i="5"/>
  <c r="I169" i="5"/>
  <c r="F169" i="5"/>
  <c r="C169" i="5"/>
  <c r="S168" i="5"/>
  <c r="R168" i="5"/>
  <c r="Q168" i="5"/>
  <c r="P168" i="5"/>
  <c r="O168" i="5"/>
  <c r="K168" i="5"/>
  <c r="I168" i="5"/>
  <c r="F168" i="5"/>
  <c r="C168" i="5"/>
  <c r="S167" i="5"/>
  <c r="R167" i="5"/>
  <c r="Q167" i="5"/>
  <c r="P167" i="5"/>
  <c r="O167" i="5"/>
  <c r="K167" i="5"/>
  <c r="I167" i="5"/>
  <c r="F167" i="5"/>
  <c r="C167" i="5"/>
  <c r="S166" i="5"/>
  <c r="R166" i="5"/>
  <c r="Q166" i="5"/>
  <c r="P166" i="5"/>
  <c r="O166" i="5"/>
  <c r="K166" i="5"/>
  <c r="I166" i="5"/>
  <c r="F166" i="5"/>
  <c r="C166" i="5"/>
  <c r="S165" i="5"/>
  <c r="R165" i="5"/>
  <c r="Q165" i="5"/>
  <c r="P165" i="5"/>
  <c r="O165" i="5"/>
  <c r="K165" i="5"/>
  <c r="I165" i="5"/>
  <c r="F165" i="5"/>
  <c r="C165" i="5"/>
  <c r="S164" i="5"/>
  <c r="R164" i="5"/>
  <c r="Q164" i="5"/>
  <c r="P164" i="5"/>
  <c r="O164" i="5"/>
  <c r="K164" i="5"/>
  <c r="I164" i="5"/>
  <c r="F164" i="5"/>
  <c r="C164" i="5"/>
  <c r="S163" i="5"/>
  <c r="R163" i="5"/>
  <c r="Q163" i="5"/>
  <c r="P163" i="5"/>
  <c r="O163" i="5"/>
  <c r="K163" i="5"/>
  <c r="I163" i="5"/>
  <c r="F163" i="5"/>
  <c r="C163" i="5"/>
  <c r="S162" i="5"/>
  <c r="R162" i="5"/>
  <c r="Q162" i="5"/>
  <c r="P162" i="5"/>
  <c r="O162" i="5"/>
  <c r="K162" i="5"/>
  <c r="I162" i="5"/>
  <c r="F162" i="5"/>
  <c r="C162" i="5"/>
  <c r="S161" i="5"/>
  <c r="R161" i="5"/>
  <c r="Q161" i="5"/>
  <c r="P161" i="5"/>
  <c r="O161" i="5"/>
  <c r="K161" i="5"/>
  <c r="I161" i="5"/>
  <c r="F161" i="5"/>
  <c r="C161" i="5"/>
  <c r="S160" i="5"/>
  <c r="R160" i="5"/>
  <c r="Q160" i="5"/>
  <c r="P160" i="5"/>
  <c r="O160" i="5"/>
  <c r="K160" i="5"/>
  <c r="I160" i="5"/>
  <c r="F160" i="5"/>
  <c r="C160" i="5"/>
  <c r="S159" i="5"/>
  <c r="R159" i="5"/>
  <c r="Q159" i="5"/>
  <c r="P159" i="5"/>
  <c r="O159" i="5"/>
  <c r="K159" i="5"/>
  <c r="I159" i="5"/>
  <c r="F159" i="5"/>
  <c r="C159" i="5"/>
  <c r="S158" i="5"/>
  <c r="R158" i="5"/>
  <c r="Q158" i="5"/>
  <c r="P158" i="5"/>
  <c r="O158" i="5"/>
  <c r="K158" i="5"/>
  <c r="I158" i="5"/>
  <c r="F158" i="5"/>
  <c r="C158" i="5"/>
  <c r="S157" i="5"/>
  <c r="R157" i="5"/>
  <c r="Q157" i="5"/>
  <c r="P157" i="5"/>
  <c r="O157" i="5"/>
  <c r="K157" i="5"/>
  <c r="I157" i="5"/>
  <c r="F157" i="5"/>
  <c r="C157" i="5"/>
  <c r="S156" i="5"/>
  <c r="R156" i="5"/>
  <c r="Q156" i="5"/>
  <c r="P156" i="5"/>
  <c r="O156" i="5"/>
  <c r="K156" i="5"/>
  <c r="I156" i="5"/>
  <c r="F156" i="5"/>
  <c r="C156" i="5"/>
  <c r="S155" i="5"/>
  <c r="R155" i="5"/>
  <c r="Q155" i="5"/>
  <c r="P155" i="5"/>
  <c r="O155" i="5"/>
  <c r="K155" i="5"/>
  <c r="I155" i="5"/>
  <c r="F155" i="5"/>
  <c r="C155" i="5"/>
  <c r="S154" i="5"/>
  <c r="R154" i="5"/>
  <c r="Q154" i="5"/>
  <c r="P154" i="5"/>
  <c r="O154" i="5"/>
  <c r="K154" i="5"/>
  <c r="I154" i="5"/>
  <c r="F154" i="5"/>
  <c r="C154" i="5"/>
  <c r="S153" i="5"/>
  <c r="R153" i="5"/>
  <c r="Q153" i="5"/>
  <c r="P153" i="5"/>
  <c r="O153" i="5"/>
  <c r="K153" i="5"/>
  <c r="I153" i="5"/>
  <c r="F153" i="5"/>
  <c r="C153" i="5"/>
  <c r="S152" i="5"/>
  <c r="R152" i="5"/>
  <c r="Q152" i="5"/>
  <c r="P152" i="5"/>
  <c r="O152" i="5"/>
  <c r="K152" i="5"/>
  <c r="I152" i="5"/>
  <c r="F152" i="5"/>
  <c r="C152" i="5"/>
  <c r="S151" i="5"/>
  <c r="R151" i="5"/>
  <c r="Q151" i="5"/>
  <c r="P151" i="5"/>
  <c r="O151" i="5"/>
  <c r="K151" i="5"/>
  <c r="I151" i="5"/>
  <c r="F151" i="5"/>
  <c r="C151" i="5"/>
  <c r="S150" i="5"/>
  <c r="R150" i="5"/>
  <c r="Q150" i="5"/>
  <c r="P150" i="5"/>
  <c r="O150" i="5"/>
  <c r="K150" i="5"/>
  <c r="I150" i="5"/>
  <c r="F150" i="5"/>
  <c r="C150" i="5"/>
  <c r="S149" i="5"/>
  <c r="R149" i="5"/>
  <c r="Q149" i="5"/>
  <c r="P149" i="5"/>
  <c r="O149" i="5"/>
  <c r="K149" i="5"/>
  <c r="I149" i="5"/>
  <c r="F149" i="5"/>
  <c r="C149" i="5"/>
  <c r="S148" i="5"/>
  <c r="R148" i="5"/>
  <c r="Q148" i="5"/>
  <c r="P148" i="5"/>
  <c r="O148" i="5"/>
  <c r="K148" i="5"/>
  <c r="I148" i="5"/>
  <c r="F148" i="5"/>
  <c r="C148" i="5"/>
  <c r="S147" i="5"/>
  <c r="R147" i="5"/>
  <c r="Q147" i="5"/>
  <c r="P147" i="5"/>
  <c r="O147" i="5"/>
  <c r="K147" i="5"/>
  <c r="I147" i="5"/>
  <c r="F147" i="5"/>
  <c r="C147" i="5"/>
  <c r="S146" i="5"/>
  <c r="R146" i="5"/>
  <c r="Q146" i="5"/>
  <c r="P146" i="5"/>
  <c r="O146" i="5"/>
  <c r="K146" i="5"/>
  <c r="I146" i="5"/>
  <c r="F146" i="5"/>
  <c r="C146" i="5"/>
  <c r="S145" i="5"/>
  <c r="R145" i="5"/>
  <c r="Q145" i="5"/>
  <c r="P145" i="5"/>
  <c r="O145" i="5"/>
  <c r="K145" i="5"/>
  <c r="I145" i="5"/>
  <c r="F145" i="5"/>
  <c r="C145" i="5"/>
  <c r="S144" i="5"/>
  <c r="R144" i="5"/>
  <c r="Q144" i="5"/>
  <c r="P144" i="5"/>
  <c r="O144" i="5"/>
  <c r="K144" i="5"/>
  <c r="I144" i="5"/>
  <c r="F144" i="5"/>
  <c r="C144" i="5"/>
  <c r="S143" i="5"/>
  <c r="R143" i="5"/>
  <c r="Q143" i="5"/>
  <c r="P143" i="5"/>
  <c r="O143" i="5"/>
  <c r="K143" i="5"/>
  <c r="I143" i="5"/>
  <c r="F143" i="5"/>
  <c r="C143" i="5"/>
  <c r="S142" i="5"/>
  <c r="R142" i="5"/>
  <c r="Q142" i="5"/>
  <c r="P142" i="5"/>
  <c r="O142" i="5"/>
  <c r="K142" i="5"/>
  <c r="I142" i="5"/>
  <c r="F142" i="5"/>
  <c r="C142" i="5"/>
  <c r="S141" i="5"/>
  <c r="R141" i="5"/>
  <c r="Q141" i="5"/>
  <c r="P141" i="5"/>
  <c r="O141" i="5"/>
  <c r="K141" i="5"/>
  <c r="I141" i="5"/>
  <c r="F141" i="5"/>
  <c r="C141" i="5"/>
  <c r="S140" i="5"/>
  <c r="R140" i="5"/>
  <c r="Q140" i="5"/>
  <c r="P140" i="5"/>
  <c r="O140" i="5"/>
  <c r="K140" i="5"/>
  <c r="I140" i="5"/>
  <c r="F140" i="5"/>
  <c r="C140" i="5"/>
  <c r="S139" i="5"/>
  <c r="R139" i="5"/>
  <c r="Q139" i="5"/>
  <c r="P139" i="5"/>
  <c r="O139" i="5"/>
  <c r="K139" i="5"/>
  <c r="I139" i="5"/>
  <c r="F139" i="5"/>
  <c r="C139" i="5"/>
  <c r="S138" i="5"/>
  <c r="R138" i="5"/>
  <c r="Q138" i="5"/>
  <c r="P138" i="5"/>
  <c r="O138" i="5"/>
  <c r="K138" i="5"/>
  <c r="I138" i="5"/>
  <c r="F138" i="5"/>
  <c r="C138" i="5"/>
  <c r="S137" i="5"/>
  <c r="R137" i="5"/>
  <c r="Q137" i="5"/>
  <c r="P137" i="5"/>
  <c r="O137" i="5"/>
  <c r="K137" i="5"/>
  <c r="I137" i="5"/>
  <c r="F137" i="5"/>
  <c r="C137" i="5"/>
  <c r="S136" i="5"/>
  <c r="R136" i="5"/>
  <c r="Q136" i="5"/>
  <c r="P136" i="5"/>
  <c r="O136" i="5"/>
  <c r="K136" i="5"/>
  <c r="I136" i="5"/>
  <c r="F136" i="5"/>
  <c r="C136" i="5"/>
  <c r="S135" i="5"/>
  <c r="R135" i="5"/>
  <c r="Q135" i="5"/>
  <c r="P135" i="5"/>
  <c r="O135" i="5"/>
  <c r="K135" i="5"/>
  <c r="I135" i="5"/>
  <c r="F135" i="5"/>
  <c r="C135" i="5"/>
  <c r="S134" i="5"/>
  <c r="R134" i="5"/>
  <c r="Q134" i="5"/>
  <c r="P134" i="5"/>
  <c r="O134" i="5"/>
  <c r="K134" i="5"/>
  <c r="I134" i="5"/>
  <c r="F134" i="5"/>
  <c r="C134" i="5"/>
  <c r="S133" i="5"/>
  <c r="R133" i="5"/>
  <c r="Q133" i="5"/>
  <c r="P133" i="5"/>
  <c r="O133" i="5"/>
  <c r="K133" i="5"/>
  <c r="I133" i="5"/>
  <c r="F133" i="5"/>
  <c r="C133" i="5"/>
  <c r="S132" i="5"/>
  <c r="R132" i="5"/>
  <c r="Q132" i="5"/>
  <c r="P132" i="5"/>
  <c r="O132" i="5"/>
  <c r="K132" i="5"/>
  <c r="I132" i="5"/>
  <c r="F132" i="5"/>
  <c r="C132" i="5"/>
  <c r="S131" i="5"/>
  <c r="R131" i="5"/>
  <c r="Q131" i="5"/>
  <c r="P131" i="5"/>
  <c r="O131" i="5"/>
  <c r="K131" i="5"/>
  <c r="I131" i="5"/>
  <c r="F131" i="5"/>
  <c r="C131" i="5"/>
  <c r="S130" i="5"/>
  <c r="R130" i="5"/>
  <c r="Q130" i="5"/>
  <c r="P130" i="5"/>
  <c r="O130" i="5"/>
  <c r="K130" i="5"/>
  <c r="I130" i="5"/>
  <c r="F130" i="5"/>
  <c r="C130" i="5"/>
  <c r="S129" i="5"/>
  <c r="R129" i="5"/>
  <c r="Q129" i="5"/>
  <c r="P129" i="5"/>
  <c r="O129" i="5"/>
  <c r="K129" i="5"/>
  <c r="I129" i="5"/>
  <c r="F129" i="5"/>
  <c r="C129" i="5"/>
  <c r="S128" i="5"/>
  <c r="R128" i="5"/>
  <c r="Q128" i="5"/>
  <c r="P128" i="5"/>
  <c r="O128" i="5"/>
  <c r="K128" i="5"/>
  <c r="I128" i="5"/>
  <c r="F128" i="5"/>
  <c r="C128" i="5"/>
  <c r="S127" i="5"/>
  <c r="R127" i="5"/>
  <c r="Q127" i="5"/>
  <c r="P127" i="5"/>
  <c r="O127" i="5"/>
  <c r="K127" i="5"/>
  <c r="I127" i="5"/>
  <c r="F127" i="5"/>
  <c r="C127" i="5"/>
  <c r="S126" i="5"/>
  <c r="R126" i="5"/>
  <c r="Q126" i="5"/>
  <c r="P126" i="5"/>
  <c r="O126" i="5"/>
  <c r="K126" i="5"/>
  <c r="I126" i="5"/>
  <c r="F126" i="5"/>
  <c r="C126" i="5"/>
  <c r="S125" i="5"/>
  <c r="R125" i="5"/>
  <c r="Q125" i="5"/>
  <c r="P125" i="5"/>
  <c r="O125" i="5"/>
  <c r="K125" i="5"/>
  <c r="I125" i="5"/>
  <c r="F125" i="5"/>
  <c r="C125" i="5"/>
  <c r="S124" i="5"/>
  <c r="R124" i="5"/>
  <c r="Q124" i="5"/>
  <c r="P124" i="5"/>
  <c r="O124" i="5"/>
  <c r="K124" i="5"/>
  <c r="I124" i="5"/>
  <c r="F124" i="5"/>
  <c r="C124" i="5"/>
  <c r="S123" i="5"/>
  <c r="R123" i="5"/>
  <c r="Q123" i="5"/>
  <c r="P123" i="5"/>
  <c r="O123" i="5"/>
  <c r="K123" i="5"/>
  <c r="I123" i="5"/>
  <c r="F123" i="5"/>
  <c r="C123" i="5"/>
  <c r="S122" i="5"/>
  <c r="R122" i="5"/>
  <c r="Q122" i="5"/>
  <c r="P122" i="5"/>
  <c r="O122" i="5"/>
  <c r="K122" i="5"/>
  <c r="I122" i="5"/>
  <c r="F122" i="5"/>
  <c r="C122" i="5"/>
  <c r="S121" i="5"/>
  <c r="R121" i="5"/>
  <c r="Q121" i="5"/>
  <c r="P121" i="5"/>
  <c r="O121" i="5"/>
  <c r="K121" i="5"/>
  <c r="I121" i="5"/>
  <c r="F121" i="5"/>
  <c r="C121" i="5"/>
  <c r="S120" i="5"/>
  <c r="R120" i="5"/>
  <c r="Q120" i="5"/>
  <c r="P120" i="5"/>
  <c r="O120" i="5"/>
  <c r="K120" i="5"/>
  <c r="I120" i="5"/>
  <c r="F120" i="5"/>
  <c r="C120" i="5"/>
  <c r="S119" i="5"/>
  <c r="R119" i="5"/>
  <c r="Q119" i="5"/>
  <c r="P119" i="5"/>
  <c r="O119" i="5"/>
  <c r="K119" i="5"/>
  <c r="I119" i="5"/>
  <c r="F119" i="5"/>
  <c r="C119" i="5"/>
  <c r="S118" i="5"/>
  <c r="R118" i="5"/>
  <c r="Q118" i="5"/>
  <c r="P118" i="5"/>
  <c r="O118" i="5"/>
  <c r="K118" i="5"/>
  <c r="I118" i="5"/>
  <c r="F118" i="5"/>
  <c r="C118" i="5"/>
  <c r="S117" i="5"/>
  <c r="R117" i="5"/>
  <c r="Q117" i="5"/>
  <c r="P117" i="5"/>
  <c r="O117" i="5"/>
  <c r="K117" i="5"/>
  <c r="I117" i="5"/>
  <c r="F117" i="5"/>
  <c r="C117" i="5"/>
  <c r="S116" i="5"/>
  <c r="R116" i="5"/>
  <c r="Q116" i="5"/>
  <c r="P116" i="5"/>
  <c r="O116" i="5"/>
  <c r="K116" i="5"/>
  <c r="I116" i="5"/>
  <c r="F116" i="5"/>
  <c r="C116" i="5"/>
  <c r="S115" i="5"/>
  <c r="R115" i="5"/>
  <c r="Q115" i="5"/>
  <c r="P115" i="5"/>
  <c r="O115" i="5"/>
  <c r="K115" i="5"/>
  <c r="I115" i="5"/>
  <c r="F115" i="5"/>
  <c r="C115" i="5"/>
  <c r="S114" i="5"/>
  <c r="R114" i="5"/>
  <c r="Q114" i="5"/>
  <c r="P114" i="5"/>
  <c r="O114" i="5"/>
  <c r="K114" i="5"/>
  <c r="I114" i="5"/>
  <c r="F114" i="5"/>
  <c r="C114" i="5"/>
  <c r="S113" i="5"/>
  <c r="R113" i="5"/>
  <c r="Q113" i="5"/>
  <c r="P113" i="5"/>
  <c r="O113" i="5"/>
  <c r="K113" i="5"/>
  <c r="I113" i="5"/>
  <c r="F113" i="5"/>
  <c r="C113" i="5"/>
  <c r="S112" i="5"/>
  <c r="R112" i="5"/>
  <c r="Q112" i="5"/>
  <c r="P112" i="5"/>
  <c r="O112" i="5"/>
  <c r="K112" i="5"/>
  <c r="I112" i="5"/>
  <c r="F112" i="5"/>
  <c r="C112" i="5"/>
  <c r="S111" i="5"/>
  <c r="R111" i="5"/>
  <c r="Q111" i="5"/>
  <c r="P111" i="5"/>
  <c r="O111" i="5"/>
  <c r="K111" i="5"/>
  <c r="I111" i="5"/>
  <c r="F111" i="5"/>
  <c r="C111" i="5"/>
  <c r="S110" i="5"/>
  <c r="R110" i="5"/>
  <c r="Q110" i="5"/>
  <c r="P110" i="5"/>
  <c r="O110" i="5"/>
  <c r="K110" i="5"/>
  <c r="I110" i="5"/>
  <c r="F110" i="5"/>
  <c r="C110" i="5"/>
  <c r="S109" i="5"/>
  <c r="R109" i="5"/>
  <c r="Q109" i="5"/>
  <c r="P109" i="5"/>
  <c r="O109" i="5"/>
  <c r="K109" i="5"/>
  <c r="I109" i="5"/>
  <c r="F109" i="5"/>
  <c r="C109" i="5"/>
  <c r="S108" i="5"/>
  <c r="R108" i="5"/>
  <c r="Q108" i="5"/>
  <c r="P108" i="5"/>
  <c r="O108" i="5"/>
  <c r="K108" i="5"/>
  <c r="I108" i="5"/>
  <c r="F108" i="5"/>
  <c r="C108" i="5"/>
  <c r="S107" i="5"/>
  <c r="R107" i="5"/>
  <c r="Q107" i="5"/>
  <c r="P107" i="5"/>
  <c r="O107" i="5"/>
  <c r="K107" i="5"/>
  <c r="I107" i="5"/>
  <c r="F107" i="5"/>
  <c r="C107" i="5"/>
  <c r="S106" i="5"/>
  <c r="R106" i="5"/>
  <c r="Q106" i="5"/>
  <c r="P106" i="5"/>
  <c r="O106" i="5"/>
  <c r="K106" i="5"/>
  <c r="I106" i="5"/>
  <c r="F106" i="5"/>
  <c r="C106" i="5"/>
  <c r="S105" i="5"/>
  <c r="R105" i="5"/>
  <c r="Q105" i="5"/>
  <c r="P105" i="5"/>
  <c r="O105" i="5"/>
  <c r="K105" i="5"/>
  <c r="I105" i="5"/>
  <c r="F105" i="5"/>
  <c r="C105" i="5"/>
  <c r="S104" i="5"/>
  <c r="R104" i="5"/>
  <c r="Q104" i="5"/>
  <c r="P104" i="5"/>
  <c r="O104" i="5"/>
  <c r="K104" i="5"/>
  <c r="I104" i="5"/>
  <c r="F104" i="5"/>
  <c r="C104" i="5"/>
  <c r="S103" i="5"/>
  <c r="R103" i="5"/>
  <c r="Q103" i="5"/>
  <c r="P103" i="5"/>
  <c r="O103" i="5"/>
  <c r="K103" i="5"/>
  <c r="I103" i="5"/>
  <c r="F103" i="5"/>
  <c r="C103" i="5"/>
  <c r="S102" i="5"/>
  <c r="R102" i="5"/>
  <c r="Q102" i="5"/>
  <c r="P102" i="5"/>
  <c r="O102" i="5"/>
  <c r="K102" i="5"/>
  <c r="I102" i="5"/>
  <c r="F102" i="5"/>
  <c r="C102" i="5"/>
  <c r="S101" i="5"/>
  <c r="R101" i="5"/>
  <c r="Q101" i="5"/>
  <c r="P101" i="5"/>
  <c r="O101" i="5"/>
  <c r="K101" i="5"/>
  <c r="I101" i="5"/>
  <c r="F101" i="5"/>
  <c r="C101" i="5"/>
  <c r="S100" i="5"/>
  <c r="R100" i="5"/>
  <c r="Q100" i="5"/>
  <c r="P100" i="5"/>
  <c r="O100" i="5"/>
  <c r="K100" i="5"/>
  <c r="I100" i="5"/>
  <c r="F100" i="5"/>
  <c r="C100" i="5"/>
  <c r="S99" i="5"/>
  <c r="R99" i="5"/>
  <c r="Q99" i="5"/>
  <c r="P99" i="5"/>
  <c r="O99" i="5"/>
  <c r="K99" i="5"/>
  <c r="I99" i="5"/>
  <c r="F99" i="5"/>
  <c r="C99" i="5"/>
  <c r="S98" i="5"/>
  <c r="R98" i="5"/>
  <c r="Q98" i="5"/>
  <c r="P98" i="5"/>
  <c r="O98" i="5"/>
  <c r="K98" i="5"/>
  <c r="I98" i="5"/>
  <c r="F98" i="5"/>
  <c r="C98" i="5"/>
  <c r="S97" i="5"/>
  <c r="R97" i="5"/>
  <c r="Q97" i="5"/>
  <c r="P97" i="5"/>
  <c r="O97" i="5"/>
  <c r="K97" i="5"/>
  <c r="I97" i="5"/>
  <c r="F97" i="5"/>
  <c r="C97" i="5"/>
  <c r="S96" i="5"/>
  <c r="R96" i="5"/>
  <c r="Q96" i="5"/>
  <c r="P96" i="5"/>
  <c r="O96" i="5"/>
  <c r="K96" i="5"/>
  <c r="I96" i="5"/>
  <c r="F96" i="5"/>
  <c r="C96" i="5"/>
  <c r="S95" i="5"/>
  <c r="R95" i="5"/>
  <c r="Q95" i="5"/>
  <c r="P95" i="5"/>
  <c r="O95" i="5"/>
  <c r="K95" i="5"/>
  <c r="I95" i="5"/>
  <c r="F95" i="5"/>
  <c r="C95" i="5"/>
  <c r="S94" i="5"/>
  <c r="R94" i="5"/>
  <c r="Q94" i="5"/>
  <c r="P94" i="5"/>
  <c r="O94" i="5"/>
  <c r="K94" i="5"/>
  <c r="I94" i="5"/>
  <c r="F94" i="5"/>
  <c r="C94" i="5"/>
  <c r="S93" i="5"/>
  <c r="R93" i="5"/>
  <c r="Q93" i="5"/>
  <c r="P93" i="5"/>
  <c r="O93" i="5"/>
  <c r="K93" i="5"/>
  <c r="I93" i="5"/>
  <c r="F93" i="5"/>
  <c r="C93" i="5"/>
  <c r="S92" i="5"/>
  <c r="R92" i="5"/>
  <c r="Q92" i="5"/>
  <c r="P92" i="5"/>
  <c r="O92" i="5"/>
  <c r="K92" i="5"/>
  <c r="I92" i="5"/>
  <c r="F92" i="5"/>
  <c r="C92" i="5"/>
  <c r="S91" i="5"/>
  <c r="R91" i="5"/>
  <c r="Q91" i="5"/>
  <c r="P91" i="5"/>
  <c r="O91" i="5"/>
  <c r="K91" i="5"/>
  <c r="I91" i="5"/>
  <c r="F91" i="5"/>
  <c r="C91" i="5"/>
  <c r="S90" i="5"/>
  <c r="R90" i="5"/>
  <c r="Q90" i="5"/>
  <c r="P90" i="5"/>
  <c r="O90" i="5"/>
  <c r="K90" i="5"/>
  <c r="I90" i="5"/>
  <c r="F90" i="5"/>
  <c r="C90" i="5"/>
  <c r="S89" i="5"/>
  <c r="R89" i="5"/>
  <c r="Q89" i="5"/>
  <c r="P89" i="5"/>
  <c r="O89" i="5"/>
  <c r="K89" i="5"/>
  <c r="I89" i="5"/>
  <c r="F89" i="5"/>
  <c r="C89" i="5"/>
  <c r="S88" i="5"/>
  <c r="R88" i="5"/>
  <c r="Q88" i="5"/>
  <c r="P88" i="5"/>
  <c r="O88" i="5"/>
  <c r="K88" i="5"/>
  <c r="I88" i="5"/>
  <c r="F88" i="5"/>
  <c r="C88" i="5"/>
  <c r="S87" i="5"/>
  <c r="R87" i="5"/>
  <c r="Q87" i="5"/>
  <c r="P87" i="5"/>
  <c r="O87" i="5"/>
  <c r="K87" i="5"/>
  <c r="I87" i="5"/>
  <c r="F87" i="5"/>
  <c r="C87" i="5"/>
  <c r="S86" i="5"/>
  <c r="R86" i="5"/>
  <c r="Q86" i="5"/>
  <c r="P86" i="5"/>
  <c r="O86" i="5"/>
  <c r="K86" i="5"/>
  <c r="I86" i="5"/>
  <c r="F86" i="5"/>
  <c r="C86" i="5"/>
  <c r="S85" i="5"/>
  <c r="R85" i="5"/>
  <c r="Q85" i="5"/>
  <c r="P85" i="5"/>
  <c r="O85" i="5"/>
  <c r="K85" i="5"/>
  <c r="I85" i="5"/>
  <c r="F85" i="5"/>
  <c r="C85" i="5"/>
  <c r="S84" i="5"/>
  <c r="R84" i="5"/>
  <c r="Q84" i="5"/>
  <c r="P84" i="5"/>
  <c r="O84" i="5"/>
  <c r="K84" i="5"/>
  <c r="I84" i="5"/>
  <c r="F84" i="5"/>
  <c r="C84" i="5"/>
  <c r="S83" i="5"/>
  <c r="R83" i="5"/>
  <c r="Q83" i="5"/>
  <c r="P83" i="5"/>
  <c r="O83" i="5"/>
  <c r="K83" i="5"/>
  <c r="I83" i="5"/>
  <c r="F83" i="5"/>
  <c r="C83" i="5"/>
  <c r="S82" i="5"/>
  <c r="R82" i="5"/>
  <c r="Q82" i="5"/>
  <c r="P82" i="5"/>
  <c r="O82" i="5"/>
  <c r="K82" i="5"/>
  <c r="I82" i="5"/>
  <c r="F82" i="5"/>
  <c r="C82" i="5"/>
  <c r="S81" i="5"/>
  <c r="R81" i="5"/>
  <c r="Q81" i="5"/>
  <c r="P81" i="5"/>
  <c r="O81" i="5"/>
  <c r="K81" i="5"/>
  <c r="I81" i="5"/>
  <c r="F81" i="5"/>
  <c r="C81" i="5"/>
  <c r="S80" i="5"/>
  <c r="R80" i="5"/>
  <c r="Q80" i="5"/>
  <c r="P80" i="5"/>
  <c r="O80" i="5"/>
  <c r="K80" i="5"/>
  <c r="I80" i="5"/>
  <c r="F80" i="5"/>
  <c r="C80" i="5"/>
  <c r="S79" i="5"/>
  <c r="R79" i="5"/>
  <c r="Q79" i="5"/>
  <c r="P79" i="5"/>
  <c r="O79" i="5"/>
  <c r="K79" i="5"/>
  <c r="I79" i="5"/>
  <c r="F79" i="5"/>
  <c r="C79" i="5"/>
  <c r="S78" i="5"/>
  <c r="R78" i="5"/>
  <c r="Q78" i="5"/>
  <c r="P78" i="5"/>
  <c r="O78" i="5"/>
  <c r="K78" i="5"/>
  <c r="I78" i="5"/>
  <c r="F78" i="5"/>
  <c r="C78" i="5"/>
  <c r="S77" i="5"/>
  <c r="R77" i="5"/>
  <c r="Q77" i="5"/>
  <c r="P77" i="5"/>
  <c r="O77" i="5"/>
  <c r="K77" i="5"/>
  <c r="I77" i="5"/>
  <c r="F77" i="5"/>
  <c r="C77" i="5"/>
  <c r="S76" i="5"/>
  <c r="R76" i="5"/>
  <c r="Q76" i="5"/>
  <c r="P76" i="5"/>
  <c r="O76" i="5"/>
  <c r="K76" i="5"/>
  <c r="I76" i="5"/>
  <c r="F76" i="5"/>
  <c r="C76" i="5"/>
  <c r="S75" i="5"/>
  <c r="R75" i="5"/>
  <c r="Q75" i="5"/>
  <c r="P75" i="5"/>
  <c r="O75" i="5"/>
  <c r="K75" i="5"/>
  <c r="I75" i="5"/>
  <c r="F75" i="5"/>
  <c r="C75" i="5"/>
  <c r="S74" i="5"/>
  <c r="R74" i="5"/>
  <c r="Q74" i="5"/>
  <c r="P74" i="5"/>
  <c r="O74" i="5"/>
  <c r="K74" i="5"/>
  <c r="I74" i="5"/>
  <c r="F74" i="5"/>
  <c r="C74" i="5"/>
  <c r="S73" i="5"/>
  <c r="R73" i="5"/>
  <c r="Q73" i="5"/>
  <c r="P73" i="5"/>
  <c r="O73" i="5"/>
  <c r="K73" i="5"/>
  <c r="I73" i="5"/>
  <c r="F73" i="5"/>
  <c r="C73" i="5"/>
  <c r="S72" i="5"/>
  <c r="R72" i="5"/>
  <c r="Q72" i="5"/>
  <c r="P72" i="5"/>
  <c r="O72" i="5"/>
  <c r="K72" i="5"/>
  <c r="I72" i="5"/>
  <c r="F72" i="5"/>
  <c r="C72" i="5"/>
  <c r="S71" i="5"/>
  <c r="R71" i="5"/>
  <c r="Q71" i="5"/>
  <c r="P71" i="5"/>
  <c r="O71" i="5"/>
  <c r="K71" i="5"/>
  <c r="I71" i="5"/>
  <c r="F71" i="5"/>
  <c r="C71" i="5"/>
  <c r="S70" i="5"/>
  <c r="R70" i="5"/>
  <c r="Q70" i="5"/>
  <c r="P70" i="5"/>
  <c r="O70" i="5"/>
  <c r="K70" i="5"/>
  <c r="I70" i="5"/>
  <c r="F70" i="5"/>
  <c r="C70" i="5"/>
  <c r="S69" i="5"/>
  <c r="R69" i="5"/>
  <c r="Q69" i="5"/>
  <c r="P69" i="5"/>
  <c r="O69" i="5"/>
  <c r="K69" i="5"/>
  <c r="I69" i="5"/>
  <c r="F69" i="5"/>
  <c r="C69" i="5"/>
  <c r="S68" i="5"/>
  <c r="R68" i="5"/>
  <c r="Q68" i="5"/>
  <c r="P68" i="5"/>
  <c r="O68" i="5"/>
  <c r="K68" i="5"/>
  <c r="I68" i="5"/>
  <c r="F68" i="5"/>
  <c r="C68" i="5"/>
  <c r="S67" i="5"/>
  <c r="R67" i="5"/>
  <c r="Q67" i="5"/>
  <c r="P67" i="5"/>
  <c r="O67" i="5"/>
  <c r="K67" i="5"/>
  <c r="I67" i="5"/>
  <c r="F67" i="5"/>
  <c r="C67" i="5"/>
  <c r="S66" i="5"/>
  <c r="R66" i="5"/>
  <c r="Q66" i="5"/>
  <c r="P66" i="5"/>
  <c r="O66" i="5"/>
  <c r="K66" i="5"/>
  <c r="I66" i="5"/>
  <c r="F66" i="5"/>
  <c r="C66" i="5"/>
  <c r="S65" i="5"/>
  <c r="R65" i="5"/>
  <c r="Q65" i="5"/>
  <c r="P65" i="5"/>
  <c r="O65" i="5"/>
  <c r="K65" i="5"/>
  <c r="I65" i="5"/>
  <c r="F65" i="5"/>
  <c r="C65" i="5"/>
  <c r="S64" i="5"/>
  <c r="R64" i="5"/>
  <c r="Q64" i="5"/>
  <c r="P64" i="5"/>
  <c r="O64" i="5"/>
  <c r="K64" i="5"/>
  <c r="I64" i="5"/>
  <c r="F64" i="5"/>
  <c r="C64" i="5"/>
  <c r="S63" i="5"/>
  <c r="R63" i="5"/>
  <c r="Q63" i="5"/>
  <c r="P63" i="5"/>
  <c r="O63" i="5"/>
  <c r="K63" i="5"/>
  <c r="I63" i="5"/>
  <c r="F63" i="5"/>
  <c r="C63" i="5"/>
  <c r="S62" i="5"/>
  <c r="R62" i="5"/>
  <c r="Q62" i="5"/>
  <c r="P62" i="5"/>
  <c r="O62" i="5"/>
  <c r="K62" i="5"/>
  <c r="I62" i="5"/>
  <c r="F62" i="5"/>
  <c r="C62" i="5"/>
  <c r="S61" i="5"/>
  <c r="R61" i="5"/>
  <c r="Q61" i="5"/>
  <c r="P61" i="5"/>
  <c r="O61" i="5"/>
  <c r="K61" i="5"/>
  <c r="I61" i="5"/>
  <c r="F61" i="5"/>
  <c r="C61" i="5"/>
  <c r="S60" i="5"/>
  <c r="R60" i="5"/>
  <c r="Q60" i="5"/>
  <c r="P60" i="5"/>
  <c r="O60" i="5"/>
  <c r="K60" i="5"/>
  <c r="I60" i="5"/>
  <c r="F60" i="5"/>
  <c r="C60" i="5"/>
  <c r="S59" i="5"/>
  <c r="R59" i="5"/>
  <c r="Q59" i="5"/>
  <c r="P59" i="5"/>
  <c r="O59" i="5"/>
  <c r="K59" i="5"/>
  <c r="I59" i="5"/>
  <c r="F59" i="5"/>
  <c r="C59" i="5"/>
  <c r="S58" i="5"/>
  <c r="R58" i="5"/>
  <c r="Q58" i="5"/>
  <c r="P58" i="5"/>
  <c r="O58" i="5"/>
  <c r="K58" i="5"/>
  <c r="I58" i="5"/>
  <c r="F58" i="5"/>
  <c r="C58" i="5"/>
  <c r="S57" i="5"/>
  <c r="R57" i="5"/>
  <c r="Q57" i="5"/>
  <c r="P57" i="5"/>
  <c r="O57" i="5"/>
  <c r="K57" i="5"/>
  <c r="I57" i="5"/>
  <c r="F57" i="5"/>
  <c r="C57" i="5"/>
  <c r="S56" i="5"/>
  <c r="R56" i="5"/>
  <c r="Q56" i="5"/>
  <c r="P56" i="5"/>
  <c r="O56" i="5"/>
  <c r="K56" i="5"/>
  <c r="I56" i="5"/>
  <c r="F56" i="5"/>
  <c r="C56" i="5"/>
  <c r="S55" i="5"/>
  <c r="R55" i="5"/>
  <c r="Q55" i="5"/>
  <c r="P55" i="5"/>
  <c r="O55" i="5"/>
  <c r="K55" i="5"/>
  <c r="I55" i="5"/>
  <c r="F55" i="5"/>
  <c r="C55" i="5"/>
  <c r="S54" i="5"/>
  <c r="R54" i="5"/>
  <c r="Q54" i="5"/>
  <c r="P54" i="5"/>
  <c r="O54" i="5"/>
  <c r="K54" i="5"/>
  <c r="I54" i="5"/>
  <c r="F54" i="5"/>
  <c r="C54" i="5"/>
  <c r="S53" i="5"/>
  <c r="R53" i="5"/>
  <c r="Q53" i="5"/>
  <c r="P53" i="5"/>
  <c r="O53" i="5"/>
  <c r="K53" i="5"/>
  <c r="I53" i="5"/>
  <c r="F53" i="5"/>
  <c r="C53" i="5"/>
  <c r="S52" i="5"/>
  <c r="R52" i="5"/>
  <c r="Q52" i="5"/>
  <c r="P52" i="5"/>
  <c r="O52" i="5"/>
  <c r="K52" i="5"/>
  <c r="I52" i="5"/>
  <c r="F52" i="5"/>
  <c r="C52" i="5"/>
  <c r="S51" i="5"/>
  <c r="R51" i="5"/>
  <c r="Q51" i="5"/>
  <c r="P51" i="5"/>
  <c r="O51" i="5"/>
  <c r="K51" i="5"/>
  <c r="I51" i="5"/>
  <c r="F51" i="5"/>
  <c r="C51" i="5"/>
  <c r="S50" i="5"/>
  <c r="R50" i="5"/>
  <c r="Q50" i="5"/>
  <c r="P50" i="5"/>
  <c r="O50" i="5"/>
  <c r="K50" i="5"/>
  <c r="I50" i="5"/>
  <c r="F50" i="5"/>
  <c r="C50" i="5"/>
  <c r="S49" i="5"/>
  <c r="R49" i="5"/>
  <c r="Q49" i="5"/>
  <c r="P49" i="5"/>
  <c r="O49" i="5"/>
  <c r="K49" i="5"/>
  <c r="I49" i="5"/>
  <c r="F49" i="5"/>
  <c r="C49" i="5"/>
  <c r="S48" i="5"/>
  <c r="R48" i="5"/>
  <c r="Q48" i="5"/>
  <c r="P48" i="5"/>
  <c r="O48" i="5"/>
  <c r="K48" i="5"/>
  <c r="I48" i="5"/>
  <c r="F48" i="5"/>
  <c r="C48" i="5"/>
  <c r="S47" i="5"/>
  <c r="R47" i="5"/>
  <c r="Q47" i="5"/>
  <c r="P47" i="5"/>
  <c r="O47" i="5"/>
  <c r="K47" i="5"/>
  <c r="I47" i="5"/>
  <c r="F47" i="5"/>
  <c r="C47" i="5"/>
  <c r="S46" i="5"/>
  <c r="R46" i="5"/>
  <c r="Q46" i="5"/>
  <c r="P46" i="5"/>
  <c r="O46" i="5"/>
  <c r="K46" i="5"/>
  <c r="I46" i="5"/>
  <c r="F46" i="5"/>
  <c r="C46" i="5"/>
  <c r="S45" i="5"/>
  <c r="R45" i="5"/>
  <c r="Q45" i="5"/>
  <c r="P45" i="5"/>
  <c r="O45" i="5"/>
  <c r="K45" i="5"/>
  <c r="I45" i="5"/>
  <c r="F45" i="5"/>
  <c r="C45" i="5"/>
  <c r="S44" i="5"/>
  <c r="R44" i="5"/>
  <c r="Q44" i="5"/>
  <c r="P44" i="5"/>
  <c r="O44" i="5"/>
  <c r="K44" i="5"/>
  <c r="I44" i="5"/>
  <c r="F44" i="5"/>
  <c r="C44" i="5"/>
  <c r="S43" i="5"/>
  <c r="R43" i="5"/>
  <c r="Q43" i="5"/>
  <c r="P43" i="5"/>
  <c r="O43" i="5"/>
  <c r="K43" i="5"/>
  <c r="I43" i="5"/>
  <c r="F43" i="5"/>
  <c r="C43" i="5"/>
  <c r="S42" i="5"/>
  <c r="R42" i="5"/>
  <c r="Q42" i="5"/>
  <c r="P42" i="5"/>
  <c r="O42" i="5"/>
  <c r="K42" i="5"/>
  <c r="I42" i="5"/>
  <c r="F42" i="5"/>
  <c r="C42" i="5"/>
  <c r="S41" i="5"/>
  <c r="R41" i="5"/>
  <c r="Q41" i="5"/>
  <c r="P41" i="5"/>
  <c r="O41" i="5"/>
  <c r="K41" i="5"/>
  <c r="I41" i="5"/>
  <c r="F41" i="5"/>
  <c r="C41" i="5"/>
  <c r="S40" i="5"/>
  <c r="R40" i="5"/>
  <c r="Q40" i="5"/>
  <c r="P40" i="5"/>
  <c r="O40" i="5"/>
  <c r="K40" i="5"/>
  <c r="I40" i="5"/>
  <c r="F40" i="5"/>
  <c r="C40" i="5"/>
  <c r="S39" i="5"/>
  <c r="R39" i="5"/>
  <c r="Q39" i="5"/>
  <c r="P39" i="5"/>
  <c r="O39" i="5"/>
  <c r="K39" i="5"/>
  <c r="I39" i="5"/>
  <c r="F39" i="5"/>
  <c r="C39" i="5"/>
  <c r="S38" i="5"/>
  <c r="R38" i="5"/>
  <c r="Q38" i="5"/>
  <c r="P38" i="5"/>
  <c r="O38" i="5"/>
  <c r="K38" i="5"/>
  <c r="I38" i="5"/>
  <c r="F38" i="5"/>
  <c r="C38" i="5"/>
  <c r="S37" i="5"/>
  <c r="R37" i="5"/>
  <c r="Q37" i="5"/>
  <c r="P37" i="5"/>
  <c r="O37" i="5"/>
  <c r="K37" i="5"/>
  <c r="I37" i="5"/>
  <c r="F37" i="5"/>
  <c r="C37" i="5"/>
  <c r="S36" i="5"/>
  <c r="R36" i="5"/>
  <c r="Q36" i="5"/>
  <c r="P36" i="5"/>
  <c r="O36" i="5"/>
  <c r="K36" i="5"/>
  <c r="I36" i="5"/>
  <c r="F36" i="5"/>
  <c r="C36" i="5"/>
  <c r="S35" i="5"/>
  <c r="R35" i="5"/>
  <c r="Q35" i="5"/>
  <c r="P35" i="5"/>
  <c r="O35" i="5"/>
  <c r="K35" i="5"/>
  <c r="I35" i="5"/>
  <c r="F35" i="5"/>
  <c r="C35" i="5"/>
  <c r="S34" i="5"/>
  <c r="R34" i="5"/>
  <c r="Q34" i="5"/>
  <c r="P34" i="5"/>
  <c r="O34" i="5"/>
  <c r="K34" i="5"/>
  <c r="I34" i="5"/>
  <c r="F34" i="5"/>
  <c r="C34" i="5"/>
  <c r="S33" i="5"/>
  <c r="R33" i="5"/>
  <c r="Q33" i="5"/>
  <c r="P33" i="5"/>
  <c r="O33" i="5"/>
  <c r="K33" i="5"/>
  <c r="I33" i="5"/>
  <c r="F33" i="5"/>
  <c r="C33" i="5"/>
  <c r="S32" i="5"/>
  <c r="R32" i="5"/>
  <c r="Q32" i="5"/>
  <c r="P32" i="5"/>
  <c r="O32" i="5"/>
  <c r="K32" i="5"/>
  <c r="I32" i="5"/>
  <c r="F32" i="5"/>
  <c r="C32" i="5"/>
  <c r="S31" i="5"/>
  <c r="R31" i="5"/>
  <c r="Q31" i="5"/>
  <c r="P31" i="5"/>
  <c r="O31" i="5"/>
  <c r="K31" i="5"/>
  <c r="I31" i="5"/>
  <c r="F31" i="5"/>
  <c r="C31" i="5"/>
  <c r="S30" i="5"/>
  <c r="R30" i="5"/>
  <c r="Q30" i="5"/>
  <c r="P30" i="5"/>
  <c r="O30" i="5"/>
  <c r="K30" i="5"/>
  <c r="I30" i="5"/>
  <c r="F30" i="5"/>
  <c r="C30" i="5"/>
  <c r="S29" i="5"/>
  <c r="R29" i="5"/>
  <c r="Q29" i="5"/>
  <c r="P29" i="5"/>
  <c r="O29" i="5"/>
  <c r="K29" i="5"/>
  <c r="I29" i="5"/>
  <c r="F29" i="5"/>
  <c r="C29" i="5"/>
  <c r="S28" i="5"/>
  <c r="R28" i="5"/>
  <c r="Q28" i="5"/>
  <c r="P28" i="5"/>
  <c r="O28" i="5"/>
  <c r="K28" i="5"/>
  <c r="I28" i="5"/>
  <c r="F28" i="5"/>
  <c r="C28" i="5"/>
  <c r="S27" i="5"/>
  <c r="R27" i="5"/>
  <c r="Q27" i="5"/>
  <c r="P27" i="5"/>
  <c r="O27" i="5"/>
  <c r="K27" i="5"/>
  <c r="I27" i="5"/>
  <c r="F27" i="5"/>
  <c r="C27" i="5"/>
  <c r="S26" i="5"/>
  <c r="R26" i="5"/>
  <c r="Q26" i="5"/>
  <c r="P26" i="5"/>
  <c r="O26" i="5"/>
  <c r="K26" i="5"/>
  <c r="I26" i="5"/>
  <c r="F26" i="5"/>
  <c r="C26" i="5"/>
  <c r="S25" i="5"/>
  <c r="R25" i="5"/>
  <c r="Q25" i="5"/>
  <c r="P25" i="5"/>
  <c r="O25" i="5"/>
  <c r="K25" i="5"/>
  <c r="I25" i="5"/>
  <c r="F25" i="5"/>
  <c r="C25" i="5"/>
  <c r="S24" i="5"/>
  <c r="R24" i="5"/>
  <c r="Q24" i="5"/>
  <c r="P24" i="5"/>
  <c r="O24" i="5"/>
  <c r="K24" i="5"/>
  <c r="I24" i="5"/>
  <c r="F24" i="5"/>
  <c r="C24" i="5"/>
  <c r="S23" i="5"/>
  <c r="R23" i="5"/>
  <c r="Q23" i="5"/>
  <c r="P23" i="5"/>
  <c r="O23" i="5"/>
  <c r="K23" i="5"/>
  <c r="I23" i="5"/>
  <c r="F23" i="5"/>
  <c r="C23" i="5"/>
  <c r="S22" i="5"/>
  <c r="R22" i="5"/>
  <c r="Q22" i="5"/>
  <c r="P22" i="5"/>
  <c r="O22" i="5"/>
  <c r="K22" i="5"/>
  <c r="I22" i="5"/>
  <c r="F22" i="5"/>
  <c r="C22" i="5"/>
  <c r="S21" i="5"/>
  <c r="R21" i="5"/>
  <c r="Q21" i="5"/>
  <c r="P21" i="5"/>
  <c r="O21" i="5"/>
  <c r="K21" i="5"/>
  <c r="I21" i="5"/>
  <c r="F21" i="5"/>
  <c r="C21" i="5"/>
  <c r="S20" i="5"/>
  <c r="R20" i="5"/>
  <c r="Q20" i="5"/>
  <c r="P20" i="5"/>
  <c r="O20" i="5"/>
  <c r="K20" i="5"/>
  <c r="I20" i="5"/>
  <c r="F20" i="5"/>
  <c r="C20" i="5"/>
  <c r="S19" i="5"/>
  <c r="R19" i="5"/>
  <c r="Q19" i="5"/>
  <c r="P19" i="5"/>
  <c r="O19" i="5"/>
  <c r="K19" i="5"/>
  <c r="I19" i="5"/>
  <c r="F19" i="5"/>
  <c r="C19" i="5"/>
  <c r="S18" i="5"/>
  <c r="R18" i="5"/>
  <c r="Q18" i="5"/>
  <c r="P18" i="5"/>
  <c r="O18" i="5"/>
  <c r="K18" i="5"/>
  <c r="I18" i="5"/>
  <c r="F18" i="5"/>
  <c r="C18" i="5"/>
  <c r="S17" i="5"/>
  <c r="R17" i="5"/>
  <c r="Q17" i="5"/>
  <c r="P17" i="5"/>
  <c r="O17" i="5"/>
  <c r="K17" i="5"/>
  <c r="I17" i="5"/>
  <c r="F17" i="5"/>
  <c r="C17" i="5"/>
  <c r="S16" i="5"/>
  <c r="R16" i="5"/>
  <c r="Q16" i="5"/>
  <c r="P16" i="5"/>
  <c r="O16" i="5"/>
  <c r="K16" i="5"/>
  <c r="I16" i="5"/>
  <c r="F16" i="5"/>
  <c r="C16" i="5"/>
  <c r="S15" i="5"/>
  <c r="R15" i="5"/>
  <c r="Q15" i="5"/>
  <c r="P15" i="5"/>
  <c r="O15" i="5"/>
  <c r="K15" i="5"/>
  <c r="I15" i="5"/>
  <c r="F15" i="5"/>
  <c r="C15" i="5"/>
  <c r="S14" i="5"/>
  <c r="R14" i="5"/>
  <c r="Q14" i="5"/>
  <c r="P14" i="5"/>
  <c r="O14" i="5"/>
  <c r="K14" i="5"/>
  <c r="I14" i="5"/>
  <c r="F14" i="5"/>
  <c r="C14" i="5"/>
  <c r="S13" i="5"/>
  <c r="R13" i="5"/>
  <c r="Q13" i="5"/>
  <c r="P13" i="5"/>
  <c r="O13" i="5"/>
  <c r="K13" i="5"/>
  <c r="I13" i="5"/>
  <c r="F13" i="5"/>
  <c r="C13" i="5"/>
  <c r="S12" i="5"/>
  <c r="R12" i="5"/>
  <c r="Q12" i="5"/>
  <c r="P12" i="5"/>
  <c r="O12" i="5"/>
  <c r="K12" i="5"/>
  <c r="I12" i="5"/>
  <c r="F12" i="5"/>
  <c r="C12" i="5"/>
  <c r="S11" i="5"/>
  <c r="R11" i="5"/>
  <c r="Q11" i="5"/>
  <c r="P11" i="5"/>
  <c r="O11" i="5"/>
  <c r="K11" i="5"/>
  <c r="I11" i="5"/>
  <c r="F11" i="5"/>
  <c r="C11" i="5"/>
  <c r="S10" i="5"/>
  <c r="R10" i="5"/>
  <c r="Q10" i="5"/>
  <c r="P10" i="5"/>
  <c r="O10" i="5"/>
  <c r="K10" i="5"/>
  <c r="I10" i="5"/>
  <c r="F10" i="5"/>
  <c r="C10" i="5"/>
  <c r="S9" i="5"/>
  <c r="R9" i="5"/>
  <c r="Q9" i="5"/>
  <c r="P9" i="5"/>
  <c r="O9" i="5"/>
  <c r="K9" i="5"/>
  <c r="I9" i="5"/>
  <c r="F9" i="5"/>
  <c r="C9" i="5"/>
  <c r="S8" i="5"/>
  <c r="R8" i="5"/>
  <c r="Q8" i="5"/>
  <c r="P8" i="5"/>
  <c r="O8" i="5"/>
  <c r="K8" i="5"/>
  <c r="I8" i="5"/>
  <c r="F8" i="5"/>
  <c r="C8" i="5"/>
  <c r="S7" i="5"/>
  <c r="R7" i="5"/>
  <c r="Q7" i="5"/>
  <c r="P7" i="5"/>
  <c r="O7" i="5"/>
  <c r="K7" i="5"/>
  <c r="I7" i="5"/>
  <c r="F7" i="5"/>
  <c r="C7" i="5"/>
  <c r="S6" i="5"/>
  <c r="R6" i="5"/>
  <c r="Q6" i="5"/>
  <c r="P6" i="5"/>
  <c r="O6" i="5"/>
  <c r="K6" i="5"/>
  <c r="I6" i="5"/>
  <c r="F6" i="5"/>
  <c r="C6" i="5"/>
  <c r="S5" i="5"/>
  <c r="R5" i="5"/>
  <c r="Q5" i="5"/>
  <c r="P5" i="5"/>
  <c r="O5" i="5"/>
  <c r="K5" i="5"/>
  <c r="I5" i="5"/>
  <c r="F5" i="5"/>
  <c r="C5" i="5"/>
  <c r="S4" i="5"/>
  <c r="R4" i="5"/>
  <c r="Q4" i="5"/>
  <c r="P4" i="5"/>
  <c r="O4" i="5"/>
  <c r="K4" i="5"/>
  <c r="I4" i="5"/>
  <c r="F4" i="5"/>
  <c r="C4" i="5"/>
  <c r="S3" i="5"/>
  <c r="R3" i="5"/>
  <c r="Q3" i="5"/>
  <c r="P3" i="5"/>
  <c r="O3" i="5"/>
  <c r="N3" i="5"/>
  <c r="M3" i="5"/>
  <c r="K3" i="5"/>
  <c r="J3" i="5"/>
  <c r="I3" i="5"/>
  <c r="H3" i="5"/>
  <c r="F3" i="5"/>
  <c r="E3" i="5"/>
  <c r="D3" i="5"/>
  <c r="C3" i="5"/>
</calcChain>
</file>

<file path=xl/comments1.xml><?xml version="1.0" encoding="utf-8"?>
<comments xmlns="http://schemas.openxmlformats.org/spreadsheetml/2006/main">
  <authors>
    <author>Bart Hobijn</author>
  </authors>
  <commentList>
    <comment ref="B328" authorId="0">
      <text>
        <r>
          <rPr>
            <b/>
            <sz val="9"/>
            <color indexed="81"/>
            <rFont val="Tahoma"/>
            <family val="2"/>
          </rPr>
          <t>Bart Hobijn:</t>
        </r>
        <r>
          <rPr>
            <sz val="9"/>
            <color indexed="81"/>
            <rFont val="Tahoma"/>
            <family val="2"/>
          </rPr>
          <t xml:space="preserve">
These numbers in red are interpolations of the original source data</t>
        </r>
      </text>
    </comment>
  </commentList>
</comments>
</file>

<file path=xl/sharedStrings.xml><?xml version="1.0" encoding="utf-8"?>
<sst xmlns="http://schemas.openxmlformats.org/spreadsheetml/2006/main" count="253" uniqueCount="135">
  <si>
    <t>EU</t>
  </si>
  <si>
    <t>EN</t>
  </si>
  <si>
    <t>UE</t>
  </si>
  <si>
    <t>UN</t>
  </si>
  <si>
    <t>NE</t>
  </si>
  <si>
    <t>NU</t>
  </si>
  <si>
    <t>Data extracted on: October 28, 2013 (10:18:38 AM)</t>
  </si>
  <si>
    <t>Labor Force Statistics from the Current Population Survey</t>
  </si>
  <si>
    <t xml:space="preserve">Original Data Value </t>
  </si>
  <si>
    <t xml:space="preserve">Download: </t>
  </si>
  <si>
    <t>Series ID</t>
  </si>
  <si>
    <t>Annual 1948</t>
  </si>
  <si>
    <t>Annual 1949</t>
  </si>
  <si>
    <t>Annual 1950</t>
  </si>
  <si>
    <t>Annual 1951</t>
  </si>
  <si>
    <t>Annual 1952</t>
  </si>
  <si>
    <t>Annual 1953</t>
  </si>
  <si>
    <t>Annual 1954</t>
  </si>
  <si>
    <t>Annual 1955</t>
  </si>
  <si>
    <t>Annual 1956</t>
  </si>
  <si>
    <t>Annual 1957</t>
  </si>
  <si>
    <t>Annual 1958</t>
  </si>
  <si>
    <t>Annual 1959</t>
  </si>
  <si>
    <t>Annual 1960</t>
  </si>
  <si>
    <t>Annual 1961</t>
  </si>
  <si>
    <t>Annual 1962</t>
  </si>
  <si>
    <t>Annual 1963</t>
  </si>
  <si>
    <t>Annual 1964</t>
  </si>
  <si>
    <t>Annual 1965</t>
  </si>
  <si>
    <t>Annual 1966</t>
  </si>
  <si>
    <t>Annual 1967</t>
  </si>
  <si>
    <t>Annual 1968</t>
  </si>
  <si>
    <t>Annual 1969</t>
  </si>
  <si>
    <t>Annual 1970</t>
  </si>
  <si>
    <t>Annual 1971</t>
  </si>
  <si>
    <t>Annual 1972</t>
  </si>
  <si>
    <t>Annual 1973</t>
  </si>
  <si>
    <t>Annual 1974</t>
  </si>
  <si>
    <t>Annual 1975</t>
  </si>
  <si>
    <t>Annual 1976</t>
  </si>
  <si>
    <t>Annual 1977</t>
  </si>
  <si>
    <t>Annual 1978</t>
  </si>
  <si>
    <t>Annual 1979</t>
  </si>
  <si>
    <t>Annual 1980</t>
  </si>
  <si>
    <t>Annual 1981</t>
  </si>
  <si>
    <t>Annual 1982</t>
  </si>
  <si>
    <t>Annual 1983</t>
  </si>
  <si>
    <t>Annual 1984</t>
  </si>
  <si>
    <t>Annual 1985</t>
  </si>
  <si>
    <t>Annual 1986</t>
  </si>
  <si>
    <t>Annual 1987</t>
  </si>
  <si>
    <t>Annual 1988</t>
  </si>
  <si>
    <t>Annual 1989</t>
  </si>
  <si>
    <t>Annual 1990</t>
  </si>
  <si>
    <t>Annual 1991</t>
  </si>
  <si>
    <t>Annual 1992</t>
  </si>
  <si>
    <t>Annual 1993</t>
  </si>
  <si>
    <t>Annual 1994</t>
  </si>
  <si>
    <t>Annual 1995</t>
  </si>
  <si>
    <t>Annual 1996</t>
  </si>
  <si>
    <t>Annual 1997</t>
  </si>
  <si>
    <t>Annual 1998</t>
  </si>
  <si>
    <t>Annual 1999</t>
  </si>
  <si>
    <t>Annual 2000</t>
  </si>
  <si>
    <t>Annual 2001</t>
  </si>
  <si>
    <t>Annual 2002</t>
  </si>
  <si>
    <t>Annual 2003</t>
  </si>
  <si>
    <t>Annual 2004</t>
  </si>
  <si>
    <t>Annual 2005</t>
  </si>
  <si>
    <t>Annual 2006</t>
  </si>
  <si>
    <t>Annual 2007</t>
  </si>
  <si>
    <t>Annual 2008</t>
  </si>
  <si>
    <t>Annual 2009</t>
  </si>
  <si>
    <t>Annual 2010</t>
  </si>
  <si>
    <t>Annual 2011</t>
  </si>
  <si>
    <t>Annual 2012</t>
  </si>
  <si>
    <t>Annual 2013</t>
  </si>
  <si>
    <t>LNS12000000</t>
  </si>
  <si>
    <t>136559(1)</t>
  </si>
  <si>
    <t>137417(1)</t>
  </si>
  <si>
    <t>138472(1)</t>
  </si>
  <si>
    <t>140245(1)</t>
  </si>
  <si>
    <t>143150(1)</t>
  </si>
  <si>
    <t>146028(1)</t>
  </si>
  <si>
    <t>146378(1)</t>
  </si>
  <si>
    <t>142153(1)</t>
  </si>
  <si>
    <t>138439(1)</t>
  </si>
  <si>
    <t>139253(1)</t>
  </si>
  <si>
    <t>141608(1)</t>
  </si>
  <si>
    <t>143322(1)</t>
  </si>
  <si>
    <t>LNS17000000</t>
  </si>
  <si>
    <t>LNS17100000</t>
  </si>
  <si>
    <t>LNS17200000</t>
  </si>
  <si>
    <t>LNS17300000</t>
  </si>
  <si>
    <t>LNS13000000</t>
  </si>
  <si>
    <t>LNS17400000</t>
  </si>
  <si>
    <t>LNS17500000</t>
  </si>
  <si>
    <t>LNS17600000</t>
  </si>
  <si>
    <t>LNS17700000</t>
  </si>
  <si>
    <t>LNS15000000</t>
  </si>
  <si>
    <t>LNS17800000</t>
  </si>
  <si>
    <t>LNS17900000</t>
  </si>
  <si>
    <t>LNS18000000</t>
  </si>
  <si>
    <t>LNS18100000</t>
  </si>
  <si>
    <t>LNS18200000</t>
  </si>
  <si>
    <t>LNS18300000</t>
  </si>
  <si>
    <t>LNS18400000</t>
  </si>
  <si>
    <t>1 : Data affected by changes in population controls.</t>
  </si>
  <si>
    <t>E</t>
  </si>
  <si>
    <t>EE</t>
  </si>
  <si>
    <t>.E</t>
  </si>
  <si>
    <t>U</t>
  </si>
  <si>
    <t>UU</t>
  </si>
  <si>
    <t>.U</t>
  </si>
  <si>
    <t>N</t>
  </si>
  <si>
    <t>NN</t>
  </si>
  <si>
    <t>.N</t>
  </si>
  <si>
    <t>E.</t>
  </si>
  <si>
    <t>U.</t>
  </si>
  <si>
    <t>N.</t>
  </si>
  <si>
    <t>P[UE]</t>
  </si>
  <si>
    <t>P[NE]</t>
  </si>
  <si>
    <t>P[EU]</t>
  </si>
  <si>
    <t>P[NU]</t>
  </si>
  <si>
    <t>P[EN]</t>
  </si>
  <si>
    <t>P[UN]</t>
  </si>
  <si>
    <t>Monthly data</t>
  </si>
  <si>
    <t>3m moving average</t>
  </si>
  <si>
    <t>Quarterly averaged data</t>
  </si>
  <si>
    <t>P(EU)</t>
  </si>
  <si>
    <t>P(EN)</t>
  </si>
  <si>
    <t>P(UE)</t>
  </si>
  <si>
    <t>P(UN)</t>
  </si>
  <si>
    <t>P(NE)</t>
  </si>
  <si>
    <t>P(NU)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</si>
</sst>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6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17" fontId="0" fillId="0" borderId="0" xfId="0" applyNumberFormat="1"/>
    <xf numFmtId="14" fontId="0" fillId="0" borderId="0" xfId="0" applyNumberFormat="1"/>
    <xf numFmtId="0" fontId="1" fillId="0" borderId="0" xfId="0" applyFont="1"/>
    <xf numFmtId="0" fontId="1" fillId="0" borderId="0" xfId="30" applyFont="1" applyAlignment="1">
      <alignment horizontal="center"/>
    </xf>
    <xf numFmtId="14" fontId="1" fillId="0" borderId="0" xfId="30" applyNumberFormat="1" applyFont="1" applyAlignment="1">
      <alignment horizontal="center"/>
    </xf>
    <xf numFmtId="0" fontId="2" fillId="0" borderId="0" xfId="30" applyFont="1" applyAlignment="1">
      <alignment horizontal="center"/>
    </xf>
    <xf numFmtId="0" fontId="1" fillId="0" borderId="0" xfId="30" applyFont="1" applyFill="1" applyAlignment="1">
      <alignment horizontal="center"/>
    </xf>
    <xf numFmtId="0" fontId="1" fillId="0" borderId="0" xfId="30" applyFont="1"/>
    <xf numFmtId="14" fontId="1" fillId="0" borderId="0" xfId="30" applyNumberFormat="1" applyFont="1"/>
    <xf numFmtId="0" fontId="0" fillId="0" borderId="0" xfId="0" applyAlignment="1">
      <alignment horizontal="center"/>
    </xf>
    <xf numFmtId="0" fontId="1" fillId="0" borderId="0" xfId="30" applyFont="1" applyAlignment="1">
      <alignment horizontal="center"/>
    </xf>
    <xf numFmtId="0" fontId="0" fillId="0" borderId="0" xfId="30" applyFont="1" applyAlignment="1">
      <alignment horizontal="center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  <cellStyle name="Normal 2" xfId="9"/>
    <cellStyle name="Normal 3" xfId="3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chartsheet" Target="chartsheets/sheet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4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image" Target="../media/image1.emf"/></Relationships>
</file>

<file path=xl/charts/_rels/chart2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4.xml"/><Relationship Id="rId1" Type="http://schemas.openxmlformats.org/officeDocument/2006/relationships/image" Target="../media/image2.emf"/></Relationships>
</file>

<file path=xl/charts/_rels/chart3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6.xml"/><Relationship Id="rId1" Type="http://schemas.openxmlformats.org/officeDocument/2006/relationships/image" Target="../media/image3.emf"/></Relationships>
</file>

<file path=xl/charts/_rels/chart4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8.xml"/><Relationship Id="rId1" Type="http://schemas.openxmlformats.org/officeDocument/2006/relationships/image" Target="../media/image4.emf"/></Relationships>
</file>

<file path=xl/charts/_rels/chart5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0.xml"/><Relationship Id="rId1" Type="http://schemas.openxmlformats.org/officeDocument/2006/relationships/image" Target="../media/image5.emf"/></Relationships>
</file>

<file path=xl/charts/_rels/chart6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12.xml"/><Relationship Id="rId1" Type="http://schemas.openxmlformats.org/officeDocument/2006/relationships/image" Target="../media/image4.emf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xMode val="edge"/>
          <c:yMode val="edge"/>
          <c:x val="1.49980181573716E-2"/>
          <c:y val="5.0127471243045701E-2"/>
          <c:w val="0.97000396368525699"/>
          <c:h val="0.94987252875695405"/>
        </c:manualLayout>
      </c:layout>
      <c:lineChart>
        <c:grouping val="standard"/>
        <c:varyColors val="0"/>
        <c:ser>
          <c:idx val="0"/>
          <c:order val="0"/>
          <c:tx>
            <c:strRef>
              <c:f>'Spliced data'!$B$1</c:f>
              <c:strCache>
                <c:ptCount val="1"/>
                <c:pt idx="0">
                  <c:v>P[EU]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'Spliced data'!$A$2:$A$188</c:f>
              <c:numCache>
                <c:formatCode>m/d/yyyy</c:formatCode>
                <c:ptCount val="187"/>
                <c:pt idx="0">
                  <c:v>24624</c:v>
                </c:pt>
                <c:pt idx="1">
                  <c:v>24716</c:v>
                </c:pt>
                <c:pt idx="2">
                  <c:v>24807</c:v>
                </c:pt>
                <c:pt idx="3">
                  <c:v>24898</c:v>
                </c:pt>
                <c:pt idx="4">
                  <c:v>24990</c:v>
                </c:pt>
                <c:pt idx="5">
                  <c:v>25082</c:v>
                </c:pt>
                <c:pt idx="6">
                  <c:v>25173</c:v>
                </c:pt>
                <c:pt idx="7">
                  <c:v>25263</c:v>
                </c:pt>
                <c:pt idx="8">
                  <c:v>25355</c:v>
                </c:pt>
                <c:pt idx="9">
                  <c:v>25447</c:v>
                </c:pt>
                <c:pt idx="10">
                  <c:v>25538</c:v>
                </c:pt>
                <c:pt idx="11">
                  <c:v>25628</c:v>
                </c:pt>
                <c:pt idx="12">
                  <c:v>25720</c:v>
                </c:pt>
                <c:pt idx="13">
                  <c:v>25812</c:v>
                </c:pt>
                <c:pt idx="14">
                  <c:v>25903</c:v>
                </c:pt>
                <c:pt idx="15">
                  <c:v>25993</c:v>
                </c:pt>
                <c:pt idx="16">
                  <c:v>26085</c:v>
                </c:pt>
                <c:pt idx="17">
                  <c:v>26177</c:v>
                </c:pt>
                <c:pt idx="18">
                  <c:v>26268</c:v>
                </c:pt>
                <c:pt idx="19">
                  <c:v>26359</c:v>
                </c:pt>
                <c:pt idx="20">
                  <c:v>26451</c:v>
                </c:pt>
                <c:pt idx="21">
                  <c:v>26543</c:v>
                </c:pt>
                <c:pt idx="22">
                  <c:v>26634</c:v>
                </c:pt>
                <c:pt idx="23">
                  <c:v>26724</c:v>
                </c:pt>
                <c:pt idx="24">
                  <c:v>26816</c:v>
                </c:pt>
                <c:pt idx="25">
                  <c:v>26908</c:v>
                </c:pt>
                <c:pt idx="26">
                  <c:v>26999</c:v>
                </c:pt>
                <c:pt idx="27">
                  <c:v>27089</c:v>
                </c:pt>
                <c:pt idx="28">
                  <c:v>27181</c:v>
                </c:pt>
                <c:pt idx="29">
                  <c:v>27273</c:v>
                </c:pt>
                <c:pt idx="30">
                  <c:v>27364</c:v>
                </c:pt>
                <c:pt idx="31">
                  <c:v>27454</c:v>
                </c:pt>
                <c:pt idx="32">
                  <c:v>27546</c:v>
                </c:pt>
                <c:pt idx="33">
                  <c:v>27638</c:v>
                </c:pt>
                <c:pt idx="34">
                  <c:v>27729</c:v>
                </c:pt>
                <c:pt idx="35">
                  <c:v>27820</c:v>
                </c:pt>
                <c:pt idx="36">
                  <c:v>27912</c:v>
                </c:pt>
                <c:pt idx="37">
                  <c:v>28004</c:v>
                </c:pt>
                <c:pt idx="38">
                  <c:v>28095</c:v>
                </c:pt>
                <c:pt idx="39">
                  <c:v>28185</c:v>
                </c:pt>
                <c:pt idx="40">
                  <c:v>28277</c:v>
                </c:pt>
                <c:pt idx="41">
                  <c:v>28369</c:v>
                </c:pt>
                <c:pt idx="42">
                  <c:v>28460</c:v>
                </c:pt>
                <c:pt idx="43">
                  <c:v>28550</c:v>
                </c:pt>
                <c:pt idx="44">
                  <c:v>28642</c:v>
                </c:pt>
                <c:pt idx="45">
                  <c:v>28734</c:v>
                </c:pt>
                <c:pt idx="46">
                  <c:v>28825</c:v>
                </c:pt>
                <c:pt idx="47">
                  <c:v>28915</c:v>
                </c:pt>
                <c:pt idx="48">
                  <c:v>29007</c:v>
                </c:pt>
                <c:pt idx="49">
                  <c:v>29099</c:v>
                </c:pt>
                <c:pt idx="50">
                  <c:v>29190</c:v>
                </c:pt>
                <c:pt idx="51">
                  <c:v>29281</c:v>
                </c:pt>
                <c:pt idx="52">
                  <c:v>29373</c:v>
                </c:pt>
                <c:pt idx="53">
                  <c:v>29465</c:v>
                </c:pt>
                <c:pt idx="54">
                  <c:v>29556</c:v>
                </c:pt>
                <c:pt idx="55">
                  <c:v>29646</c:v>
                </c:pt>
                <c:pt idx="56">
                  <c:v>29738</c:v>
                </c:pt>
                <c:pt idx="57">
                  <c:v>29830</c:v>
                </c:pt>
                <c:pt idx="58">
                  <c:v>29921</c:v>
                </c:pt>
                <c:pt idx="59">
                  <c:v>30011</c:v>
                </c:pt>
                <c:pt idx="60">
                  <c:v>30103</c:v>
                </c:pt>
                <c:pt idx="61">
                  <c:v>30195</c:v>
                </c:pt>
                <c:pt idx="62">
                  <c:v>30286</c:v>
                </c:pt>
                <c:pt idx="63">
                  <c:v>30376</c:v>
                </c:pt>
                <c:pt idx="64">
                  <c:v>30468</c:v>
                </c:pt>
                <c:pt idx="65">
                  <c:v>30560</c:v>
                </c:pt>
                <c:pt idx="66">
                  <c:v>30651</c:v>
                </c:pt>
                <c:pt idx="67">
                  <c:v>30742</c:v>
                </c:pt>
                <c:pt idx="68">
                  <c:v>30834</c:v>
                </c:pt>
                <c:pt idx="69">
                  <c:v>30926</c:v>
                </c:pt>
                <c:pt idx="70">
                  <c:v>31017</c:v>
                </c:pt>
                <c:pt idx="71">
                  <c:v>31107</c:v>
                </c:pt>
                <c:pt idx="72">
                  <c:v>31199</c:v>
                </c:pt>
                <c:pt idx="73">
                  <c:v>31291</c:v>
                </c:pt>
                <c:pt idx="74">
                  <c:v>31382</c:v>
                </c:pt>
                <c:pt idx="75">
                  <c:v>31472</c:v>
                </c:pt>
                <c:pt idx="76">
                  <c:v>31564</c:v>
                </c:pt>
                <c:pt idx="77">
                  <c:v>31656</c:v>
                </c:pt>
                <c:pt idx="78">
                  <c:v>31747</c:v>
                </c:pt>
                <c:pt idx="79">
                  <c:v>31837</c:v>
                </c:pt>
                <c:pt idx="80">
                  <c:v>31929</c:v>
                </c:pt>
                <c:pt idx="81">
                  <c:v>32021</c:v>
                </c:pt>
                <c:pt idx="82">
                  <c:v>32112</c:v>
                </c:pt>
                <c:pt idx="83">
                  <c:v>32203</c:v>
                </c:pt>
                <c:pt idx="84">
                  <c:v>32295</c:v>
                </c:pt>
                <c:pt idx="85">
                  <c:v>32387</c:v>
                </c:pt>
                <c:pt idx="86">
                  <c:v>32478</c:v>
                </c:pt>
                <c:pt idx="87">
                  <c:v>32568</c:v>
                </c:pt>
                <c:pt idx="88">
                  <c:v>32660</c:v>
                </c:pt>
                <c:pt idx="89">
                  <c:v>32752</c:v>
                </c:pt>
                <c:pt idx="90">
                  <c:v>32843</c:v>
                </c:pt>
                <c:pt idx="91">
                  <c:v>32933</c:v>
                </c:pt>
                <c:pt idx="92">
                  <c:v>33025</c:v>
                </c:pt>
                <c:pt idx="93">
                  <c:v>33117</c:v>
                </c:pt>
                <c:pt idx="94">
                  <c:v>33208</c:v>
                </c:pt>
                <c:pt idx="95">
                  <c:v>33298</c:v>
                </c:pt>
                <c:pt idx="96">
                  <c:v>33390</c:v>
                </c:pt>
                <c:pt idx="97">
                  <c:v>33482</c:v>
                </c:pt>
                <c:pt idx="98">
                  <c:v>33573</c:v>
                </c:pt>
                <c:pt idx="99">
                  <c:v>33664</c:v>
                </c:pt>
                <c:pt idx="100">
                  <c:v>33756</c:v>
                </c:pt>
                <c:pt idx="101">
                  <c:v>33848</c:v>
                </c:pt>
                <c:pt idx="102">
                  <c:v>33939</c:v>
                </c:pt>
                <c:pt idx="103">
                  <c:v>34029</c:v>
                </c:pt>
                <c:pt idx="104">
                  <c:v>34121</c:v>
                </c:pt>
                <c:pt idx="105">
                  <c:v>34213</c:v>
                </c:pt>
                <c:pt idx="106">
                  <c:v>34304</c:v>
                </c:pt>
                <c:pt idx="107">
                  <c:v>34394</c:v>
                </c:pt>
                <c:pt idx="108">
                  <c:v>34486</c:v>
                </c:pt>
                <c:pt idx="109">
                  <c:v>34578</c:v>
                </c:pt>
                <c:pt idx="110">
                  <c:v>34669</c:v>
                </c:pt>
                <c:pt idx="111">
                  <c:v>34759</c:v>
                </c:pt>
                <c:pt idx="112">
                  <c:v>34851</c:v>
                </c:pt>
                <c:pt idx="113">
                  <c:v>34943</c:v>
                </c:pt>
                <c:pt idx="114">
                  <c:v>35034</c:v>
                </c:pt>
                <c:pt idx="115">
                  <c:v>35125</c:v>
                </c:pt>
                <c:pt idx="116">
                  <c:v>35217</c:v>
                </c:pt>
                <c:pt idx="117">
                  <c:v>35309</c:v>
                </c:pt>
                <c:pt idx="118">
                  <c:v>35400</c:v>
                </c:pt>
                <c:pt idx="119">
                  <c:v>35490</c:v>
                </c:pt>
                <c:pt idx="120">
                  <c:v>35582</c:v>
                </c:pt>
                <c:pt idx="121">
                  <c:v>35674</c:v>
                </c:pt>
                <c:pt idx="122">
                  <c:v>35765</c:v>
                </c:pt>
                <c:pt idx="123">
                  <c:v>35855</c:v>
                </c:pt>
                <c:pt idx="124">
                  <c:v>35947</c:v>
                </c:pt>
                <c:pt idx="125">
                  <c:v>36039</c:v>
                </c:pt>
                <c:pt idx="126">
                  <c:v>36130</c:v>
                </c:pt>
                <c:pt idx="127">
                  <c:v>36220</c:v>
                </c:pt>
                <c:pt idx="128">
                  <c:v>36312</c:v>
                </c:pt>
                <c:pt idx="129">
                  <c:v>36404</c:v>
                </c:pt>
                <c:pt idx="130">
                  <c:v>36495</c:v>
                </c:pt>
                <c:pt idx="131">
                  <c:v>36586</c:v>
                </c:pt>
                <c:pt idx="132">
                  <c:v>36678</c:v>
                </c:pt>
                <c:pt idx="133">
                  <c:v>36770</c:v>
                </c:pt>
                <c:pt idx="134">
                  <c:v>36861</c:v>
                </c:pt>
                <c:pt idx="135">
                  <c:v>36951</c:v>
                </c:pt>
                <c:pt idx="136">
                  <c:v>37043</c:v>
                </c:pt>
                <c:pt idx="137">
                  <c:v>37135</c:v>
                </c:pt>
                <c:pt idx="138">
                  <c:v>37226</c:v>
                </c:pt>
                <c:pt idx="139">
                  <c:v>37316</c:v>
                </c:pt>
                <c:pt idx="140">
                  <c:v>37408</c:v>
                </c:pt>
                <c:pt idx="141">
                  <c:v>37500</c:v>
                </c:pt>
                <c:pt idx="142">
                  <c:v>37591</c:v>
                </c:pt>
                <c:pt idx="143">
                  <c:v>37681</c:v>
                </c:pt>
                <c:pt idx="144">
                  <c:v>37773</c:v>
                </c:pt>
                <c:pt idx="145">
                  <c:v>37865</c:v>
                </c:pt>
                <c:pt idx="146">
                  <c:v>37956</c:v>
                </c:pt>
                <c:pt idx="147">
                  <c:v>38047</c:v>
                </c:pt>
                <c:pt idx="148">
                  <c:v>38139</c:v>
                </c:pt>
                <c:pt idx="149">
                  <c:v>38231</c:v>
                </c:pt>
                <c:pt idx="150">
                  <c:v>38322</c:v>
                </c:pt>
                <c:pt idx="151">
                  <c:v>38412</c:v>
                </c:pt>
                <c:pt idx="152">
                  <c:v>38504</c:v>
                </c:pt>
                <c:pt idx="153">
                  <c:v>38596</c:v>
                </c:pt>
                <c:pt idx="154">
                  <c:v>38687</c:v>
                </c:pt>
                <c:pt idx="155">
                  <c:v>38777</c:v>
                </c:pt>
                <c:pt idx="156">
                  <c:v>38869</c:v>
                </c:pt>
                <c:pt idx="157">
                  <c:v>38961</c:v>
                </c:pt>
                <c:pt idx="158">
                  <c:v>39052</c:v>
                </c:pt>
                <c:pt idx="159">
                  <c:v>39142</c:v>
                </c:pt>
                <c:pt idx="160">
                  <c:v>39234</c:v>
                </c:pt>
                <c:pt idx="161">
                  <c:v>39326</c:v>
                </c:pt>
                <c:pt idx="162">
                  <c:v>39417</c:v>
                </c:pt>
                <c:pt idx="163">
                  <c:v>39508</c:v>
                </c:pt>
                <c:pt idx="164">
                  <c:v>39600</c:v>
                </c:pt>
                <c:pt idx="165">
                  <c:v>39692</c:v>
                </c:pt>
                <c:pt idx="166">
                  <c:v>39783</c:v>
                </c:pt>
                <c:pt idx="167">
                  <c:v>39873</c:v>
                </c:pt>
                <c:pt idx="168">
                  <c:v>39965</c:v>
                </c:pt>
                <c:pt idx="169">
                  <c:v>40057</c:v>
                </c:pt>
                <c:pt idx="170">
                  <c:v>40148</c:v>
                </c:pt>
                <c:pt idx="171">
                  <c:v>40238</c:v>
                </c:pt>
                <c:pt idx="172">
                  <c:v>40330</c:v>
                </c:pt>
                <c:pt idx="173">
                  <c:v>40422</c:v>
                </c:pt>
                <c:pt idx="174">
                  <c:v>40513</c:v>
                </c:pt>
                <c:pt idx="175">
                  <c:v>40603</c:v>
                </c:pt>
                <c:pt idx="176">
                  <c:v>40695</c:v>
                </c:pt>
                <c:pt idx="177">
                  <c:v>40787</c:v>
                </c:pt>
                <c:pt idx="178">
                  <c:v>40878</c:v>
                </c:pt>
                <c:pt idx="179">
                  <c:v>40969</c:v>
                </c:pt>
                <c:pt idx="180">
                  <c:v>41061</c:v>
                </c:pt>
                <c:pt idx="181">
                  <c:v>41153</c:v>
                </c:pt>
                <c:pt idx="182">
                  <c:v>41244</c:v>
                </c:pt>
                <c:pt idx="183">
                  <c:v>41334</c:v>
                </c:pt>
                <c:pt idx="184">
                  <c:v>41426</c:v>
                </c:pt>
                <c:pt idx="185">
                  <c:v>41518</c:v>
                </c:pt>
                <c:pt idx="186">
                  <c:v>41609</c:v>
                </c:pt>
              </c:numCache>
            </c:numRef>
          </c:cat>
          <c:val>
            <c:numRef>
              <c:f>'Spliced data'!$B$2:$B$188</c:f>
              <c:numCache>
                <c:formatCode>General</c:formatCode>
                <c:ptCount val="187"/>
                <c:pt idx="0">
                  <c:v>1.1082466666666665E-2</c:v>
                </c:pt>
                <c:pt idx="1">
                  <c:v>1.0446733333333333E-2</c:v>
                </c:pt>
                <c:pt idx="2">
                  <c:v>1.10177E-2</c:v>
                </c:pt>
                <c:pt idx="3">
                  <c:v>9.6167666666666669E-3</c:v>
                </c:pt>
                <c:pt idx="4">
                  <c:v>9.9575666666666673E-3</c:v>
                </c:pt>
                <c:pt idx="5">
                  <c:v>8.6788999999999981E-3</c:v>
                </c:pt>
                <c:pt idx="6">
                  <c:v>9.5053666666666658E-3</c:v>
                </c:pt>
                <c:pt idx="7">
                  <c:v>9.9031333333333329E-3</c:v>
                </c:pt>
                <c:pt idx="8">
                  <c:v>1.0218266666666668E-2</c:v>
                </c:pt>
                <c:pt idx="9">
                  <c:v>1.0051733333333333E-2</c:v>
                </c:pt>
                <c:pt idx="10">
                  <c:v>1.2100100000000001E-2</c:v>
                </c:pt>
                <c:pt idx="11">
                  <c:v>1.28837E-2</c:v>
                </c:pt>
                <c:pt idx="12">
                  <c:v>1.4452899999999999E-2</c:v>
                </c:pt>
                <c:pt idx="13">
                  <c:v>1.5573833333333334E-2</c:v>
                </c:pt>
                <c:pt idx="14">
                  <c:v>1.4108533333333333E-2</c:v>
                </c:pt>
                <c:pt idx="15">
                  <c:v>1.3430333333333334E-2</c:v>
                </c:pt>
                <c:pt idx="16">
                  <c:v>1.4534266666666665E-2</c:v>
                </c:pt>
                <c:pt idx="17">
                  <c:v>1.3265833333333333E-2</c:v>
                </c:pt>
                <c:pt idx="18">
                  <c:v>1.3659066666666666E-2</c:v>
                </c:pt>
                <c:pt idx="19">
                  <c:v>1.30904E-2</c:v>
                </c:pt>
                <c:pt idx="20">
                  <c:v>1.3767800000000002E-2</c:v>
                </c:pt>
                <c:pt idx="21">
                  <c:v>1.2365266666666666E-2</c:v>
                </c:pt>
                <c:pt idx="22">
                  <c:v>1.26769E-2</c:v>
                </c:pt>
                <c:pt idx="23">
                  <c:v>1.1997866666666667E-2</c:v>
                </c:pt>
                <c:pt idx="24">
                  <c:v>1.1761633333333334E-2</c:v>
                </c:pt>
                <c:pt idx="25">
                  <c:v>1.2213399999999999E-2</c:v>
                </c:pt>
                <c:pt idx="26">
                  <c:v>1.3962466666666666E-2</c:v>
                </c:pt>
                <c:pt idx="27">
                  <c:v>1.2903633333333333E-2</c:v>
                </c:pt>
                <c:pt idx="28">
                  <c:v>1.4129733333333333E-2</c:v>
                </c:pt>
                <c:pt idx="29">
                  <c:v>1.8444199999999997E-2</c:v>
                </c:pt>
                <c:pt idx="30">
                  <c:v>2.1518433333333333E-2</c:v>
                </c:pt>
                <c:pt idx="31">
                  <c:v>1.8693500000000002E-2</c:v>
                </c:pt>
                <c:pt idx="32">
                  <c:v>1.78444E-2</c:v>
                </c:pt>
                <c:pt idx="33">
                  <c:v>1.7050733333333335E-2</c:v>
                </c:pt>
                <c:pt idx="34">
                  <c:v>1.5124833333333332E-2</c:v>
                </c:pt>
                <c:pt idx="35">
                  <c:v>1.5261499999999999E-2</c:v>
                </c:pt>
                <c:pt idx="36">
                  <c:v>1.6468899999999998E-2</c:v>
                </c:pt>
                <c:pt idx="37">
                  <c:v>1.6550466666666666E-2</c:v>
                </c:pt>
                <c:pt idx="38">
                  <c:v>1.6122299999999999E-2</c:v>
                </c:pt>
                <c:pt idx="39">
                  <c:v>1.5198799999999998E-2</c:v>
                </c:pt>
                <c:pt idx="40">
                  <c:v>1.5814400000000003E-2</c:v>
                </c:pt>
                <c:pt idx="41">
                  <c:v>1.5042566666666667E-2</c:v>
                </c:pt>
                <c:pt idx="42">
                  <c:v>1.4563266666666666E-2</c:v>
                </c:pt>
                <c:pt idx="43">
                  <c:v>1.3744433333333334E-2</c:v>
                </c:pt>
                <c:pt idx="44">
                  <c:v>1.51808E-2</c:v>
                </c:pt>
                <c:pt idx="45">
                  <c:v>1.3886033333333332E-2</c:v>
                </c:pt>
                <c:pt idx="46">
                  <c:v>1.3790266666666667E-2</c:v>
                </c:pt>
                <c:pt idx="47">
                  <c:v>1.4514966666666665E-2</c:v>
                </c:pt>
                <c:pt idx="48">
                  <c:v>1.4938366666666666E-2</c:v>
                </c:pt>
                <c:pt idx="49">
                  <c:v>1.4869066666666667E-2</c:v>
                </c:pt>
                <c:pt idx="50">
                  <c:v>1.5599633333333333E-2</c:v>
                </c:pt>
                <c:pt idx="51">
                  <c:v>1.9691133333333333E-2</c:v>
                </c:pt>
                <c:pt idx="52">
                  <c:v>1.8265699999999999E-2</c:v>
                </c:pt>
                <c:pt idx="53">
                  <c:v>1.6921466666666666E-2</c:v>
                </c:pt>
                <c:pt idx="54">
                  <c:v>1.65626E-2</c:v>
                </c:pt>
                <c:pt idx="55">
                  <c:v>1.70073E-2</c:v>
                </c:pt>
                <c:pt idx="56">
                  <c:v>1.7127733333333336E-2</c:v>
                </c:pt>
                <c:pt idx="57">
                  <c:v>2.14524E-2</c:v>
                </c:pt>
                <c:pt idx="58">
                  <c:v>2.004336666666667E-2</c:v>
                </c:pt>
                <c:pt idx="59">
                  <c:v>2.1484699999999999E-2</c:v>
                </c:pt>
                <c:pt idx="60">
                  <c:v>2.2032099999999999E-2</c:v>
                </c:pt>
                <c:pt idx="61">
                  <c:v>2.2672033333333331E-2</c:v>
                </c:pt>
                <c:pt idx="62">
                  <c:v>1.9149633333333336E-2</c:v>
                </c:pt>
                <c:pt idx="63">
                  <c:v>1.9577800000000003E-2</c:v>
                </c:pt>
                <c:pt idx="64">
                  <c:v>1.9058866666666664E-2</c:v>
                </c:pt>
                <c:pt idx="65">
                  <c:v>1.8493733333333331E-2</c:v>
                </c:pt>
                <c:pt idx="66">
                  <c:v>1.6564133333333331E-2</c:v>
                </c:pt>
                <c:pt idx="67">
                  <c:v>1.5950333333333334E-2</c:v>
                </c:pt>
                <c:pt idx="68">
                  <c:v>1.7160433333333332E-2</c:v>
                </c:pt>
                <c:pt idx="69">
                  <c:v>1.6744100000000001E-2</c:v>
                </c:pt>
                <c:pt idx="70">
                  <c:v>1.6964533333333334E-2</c:v>
                </c:pt>
                <c:pt idx="71">
                  <c:v>1.8022E-2</c:v>
                </c:pt>
                <c:pt idx="72">
                  <c:v>1.7038533333333331E-2</c:v>
                </c:pt>
                <c:pt idx="73">
                  <c:v>1.6519166666666668E-2</c:v>
                </c:pt>
                <c:pt idx="74">
                  <c:v>1.6423066666666666E-2</c:v>
                </c:pt>
                <c:pt idx="75">
                  <c:v>1.7017100000000004E-2</c:v>
                </c:pt>
                <c:pt idx="76">
                  <c:v>1.6070399999999999E-2</c:v>
                </c:pt>
                <c:pt idx="77">
                  <c:v>1.7211333333333332E-2</c:v>
                </c:pt>
                <c:pt idx="78">
                  <c:v>1.58966E-2</c:v>
                </c:pt>
                <c:pt idx="79">
                  <c:v>1.4898833333333333E-2</c:v>
                </c:pt>
                <c:pt idx="80">
                  <c:v>1.4807500000000001E-2</c:v>
                </c:pt>
                <c:pt idx="81">
                  <c:v>1.4980033333333332E-2</c:v>
                </c:pt>
                <c:pt idx="82">
                  <c:v>1.3817366666666666E-2</c:v>
                </c:pt>
                <c:pt idx="83">
                  <c:v>1.4375633333333332E-2</c:v>
                </c:pt>
                <c:pt idx="84">
                  <c:v>1.3737366666666667E-2</c:v>
                </c:pt>
                <c:pt idx="85">
                  <c:v>1.3580533333333334E-2</c:v>
                </c:pt>
                <c:pt idx="86">
                  <c:v>1.3768166666666666E-2</c:v>
                </c:pt>
                <c:pt idx="87">
                  <c:v>1.39918E-2</c:v>
                </c:pt>
                <c:pt idx="88">
                  <c:v>1.3730166666666668E-2</c:v>
                </c:pt>
                <c:pt idx="89">
                  <c:v>1.4821266666666668E-2</c:v>
                </c:pt>
                <c:pt idx="90">
                  <c:v>1.4526066666666665E-2</c:v>
                </c:pt>
                <c:pt idx="91">
                  <c:v>1.42005E-2</c:v>
                </c:pt>
                <c:pt idx="92">
                  <c:v>1.4892585346788981E-2</c:v>
                </c:pt>
                <c:pt idx="93">
                  <c:v>1.5619604928668783E-2</c:v>
                </c:pt>
                <c:pt idx="94">
                  <c:v>1.6349001801623141E-2</c:v>
                </c:pt>
                <c:pt idx="95">
                  <c:v>1.7495650507017287E-2</c:v>
                </c:pt>
                <c:pt idx="96">
                  <c:v>1.6821953818956754E-2</c:v>
                </c:pt>
                <c:pt idx="97">
                  <c:v>1.6867474064175356E-2</c:v>
                </c:pt>
                <c:pt idx="98">
                  <c:v>1.6772245784994998E-2</c:v>
                </c:pt>
                <c:pt idx="99">
                  <c:v>1.6869696141333223E-2</c:v>
                </c:pt>
                <c:pt idx="100">
                  <c:v>1.6903543628638124E-2</c:v>
                </c:pt>
                <c:pt idx="101">
                  <c:v>1.6790724356915341E-2</c:v>
                </c:pt>
                <c:pt idx="102">
                  <c:v>1.6663569454335558E-2</c:v>
                </c:pt>
                <c:pt idx="103">
                  <c:v>1.581343814534791E-2</c:v>
                </c:pt>
                <c:pt idx="104">
                  <c:v>1.5763353240351427E-2</c:v>
                </c:pt>
                <c:pt idx="105">
                  <c:v>1.5442324412967752E-2</c:v>
                </c:pt>
                <c:pt idx="106">
                  <c:v>1.5420948085832798E-2</c:v>
                </c:pt>
                <c:pt idx="107">
                  <c:v>1.5414039021001085E-2</c:v>
                </c:pt>
                <c:pt idx="108">
                  <c:v>1.5116646729270973E-2</c:v>
                </c:pt>
                <c:pt idx="109">
                  <c:v>1.5030309667942054E-2</c:v>
                </c:pt>
                <c:pt idx="110">
                  <c:v>1.4136319791482809E-2</c:v>
                </c:pt>
                <c:pt idx="111">
                  <c:v>1.4688144906753289E-2</c:v>
                </c:pt>
                <c:pt idx="112">
                  <c:v>1.4768444347384224E-2</c:v>
                </c:pt>
                <c:pt idx="113">
                  <c:v>1.5032129067474033E-2</c:v>
                </c:pt>
                <c:pt idx="114">
                  <c:v>1.413859771838206E-2</c:v>
                </c:pt>
                <c:pt idx="115">
                  <c:v>1.4090934824926205E-2</c:v>
                </c:pt>
                <c:pt idx="116">
                  <c:v>1.3993687294820053E-2</c:v>
                </c:pt>
                <c:pt idx="117">
                  <c:v>1.3634664463406223E-2</c:v>
                </c:pt>
                <c:pt idx="118">
                  <c:v>1.3358141594943593E-2</c:v>
                </c:pt>
                <c:pt idx="119">
                  <c:v>1.3791802245201582E-2</c:v>
                </c:pt>
                <c:pt idx="120">
                  <c:v>1.3490849886799097E-2</c:v>
                </c:pt>
                <c:pt idx="121">
                  <c:v>1.266587538738456E-2</c:v>
                </c:pt>
                <c:pt idx="122">
                  <c:v>1.3218364501560257E-2</c:v>
                </c:pt>
                <c:pt idx="123">
                  <c:v>1.3298816285358535E-2</c:v>
                </c:pt>
                <c:pt idx="124">
                  <c:v>1.2464393560837351E-2</c:v>
                </c:pt>
                <c:pt idx="125">
                  <c:v>1.3150967113570618E-2</c:v>
                </c:pt>
                <c:pt idx="126">
                  <c:v>1.2814355281980995E-2</c:v>
                </c:pt>
                <c:pt idx="127">
                  <c:v>1.2303514811397418E-2</c:v>
                </c:pt>
                <c:pt idx="128">
                  <c:v>1.2597402454095909E-2</c:v>
                </c:pt>
                <c:pt idx="129">
                  <c:v>1.1841365078213718E-2</c:v>
                </c:pt>
                <c:pt idx="130">
                  <c:v>1.2054457338541233E-2</c:v>
                </c:pt>
                <c:pt idx="131">
                  <c:v>1.2111878075742608E-2</c:v>
                </c:pt>
                <c:pt idx="132">
                  <c:v>1.1730791846733445E-2</c:v>
                </c:pt>
                <c:pt idx="133">
                  <c:v>1.2464068825062893E-2</c:v>
                </c:pt>
                <c:pt idx="134">
                  <c:v>1.0856039383091367E-2</c:v>
                </c:pt>
                <c:pt idx="135">
                  <c:v>1.2757829471036592E-2</c:v>
                </c:pt>
                <c:pt idx="136">
                  <c:v>1.3378141421118504E-2</c:v>
                </c:pt>
                <c:pt idx="137">
                  <c:v>1.3656566287204618E-2</c:v>
                </c:pt>
                <c:pt idx="138">
                  <c:v>1.4945956724267824E-2</c:v>
                </c:pt>
                <c:pt idx="139">
                  <c:v>1.4611550539466847E-2</c:v>
                </c:pt>
                <c:pt idx="140">
                  <c:v>1.4171262158272496E-2</c:v>
                </c:pt>
                <c:pt idx="141">
                  <c:v>1.4033267231403855E-2</c:v>
                </c:pt>
                <c:pt idx="142">
                  <c:v>1.4518679823312156E-2</c:v>
                </c:pt>
                <c:pt idx="143">
                  <c:v>1.4230796142722005E-2</c:v>
                </c:pt>
                <c:pt idx="144">
                  <c:v>1.4364590883476559E-2</c:v>
                </c:pt>
                <c:pt idx="145">
                  <c:v>1.418118099252764E-2</c:v>
                </c:pt>
                <c:pt idx="146">
                  <c:v>1.3251810052099099E-2</c:v>
                </c:pt>
                <c:pt idx="147">
                  <c:v>1.2979335719515763E-2</c:v>
                </c:pt>
                <c:pt idx="148">
                  <c:v>1.3017326811010943E-2</c:v>
                </c:pt>
                <c:pt idx="149">
                  <c:v>1.3358487954349409E-2</c:v>
                </c:pt>
                <c:pt idx="150">
                  <c:v>1.3205621510021743E-2</c:v>
                </c:pt>
                <c:pt idx="151">
                  <c:v>1.2827143485967946E-2</c:v>
                </c:pt>
                <c:pt idx="152">
                  <c:v>1.240000314947527E-2</c:v>
                </c:pt>
                <c:pt idx="153">
                  <c:v>1.2682226244374602E-2</c:v>
                </c:pt>
                <c:pt idx="154">
                  <c:v>1.2055325539838428E-2</c:v>
                </c:pt>
                <c:pt idx="155">
                  <c:v>1.1679471413711166E-2</c:v>
                </c:pt>
                <c:pt idx="156">
                  <c:v>1.2484316929108124E-2</c:v>
                </c:pt>
                <c:pt idx="157">
                  <c:v>1.2433627662252242E-2</c:v>
                </c:pt>
                <c:pt idx="158">
                  <c:v>1.2355486313480877E-2</c:v>
                </c:pt>
                <c:pt idx="159">
                  <c:v>1.2443786959700482E-2</c:v>
                </c:pt>
                <c:pt idx="160">
                  <c:v>1.1989023108182119E-2</c:v>
                </c:pt>
                <c:pt idx="161">
                  <c:v>1.2228856775586184E-2</c:v>
                </c:pt>
                <c:pt idx="162">
                  <c:v>1.2326555465997752E-2</c:v>
                </c:pt>
                <c:pt idx="163">
                  <c:v>1.2766770945466412E-2</c:v>
                </c:pt>
                <c:pt idx="164">
                  <c:v>1.3614785007292589E-2</c:v>
                </c:pt>
                <c:pt idx="165">
                  <c:v>1.4652177138993699E-2</c:v>
                </c:pt>
                <c:pt idx="166">
                  <c:v>1.6786151913764338E-2</c:v>
                </c:pt>
                <c:pt idx="167">
                  <c:v>1.9293960826636897E-2</c:v>
                </c:pt>
                <c:pt idx="168">
                  <c:v>1.8241509842731807E-2</c:v>
                </c:pt>
                <c:pt idx="169">
                  <c:v>1.8270357356839045E-2</c:v>
                </c:pt>
                <c:pt idx="170">
                  <c:v>1.7270378037682544E-2</c:v>
                </c:pt>
                <c:pt idx="171">
                  <c:v>1.658643391925323E-2</c:v>
                </c:pt>
                <c:pt idx="172">
                  <c:v>1.6311363290553407E-2</c:v>
                </c:pt>
                <c:pt idx="173">
                  <c:v>1.6659867102592023E-2</c:v>
                </c:pt>
                <c:pt idx="174">
                  <c:v>1.6830275787102913E-2</c:v>
                </c:pt>
                <c:pt idx="175">
                  <c:v>1.5097287909580514E-2</c:v>
                </c:pt>
                <c:pt idx="176">
                  <c:v>1.5847550272842108E-2</c:v>
                </c:pt>
                <c:pt idx="177">
                  <c:v>1.5667901333624487E-2</c:v>
                </c:pt>
                <c:pt idx="178">
                  <c:v>1.5020257910728767E-2</c:v>
                </c:pt>
                <c:pt idx="179">
                  <c:v>1.4172856354699769E-2</c:v>
                </c:pt>
                <c:pt idx="180">
                  <c:v>1.4127313940853104E-2</c:v>
                </c:pt>
                <c:pt idx="181">
                  <c:v>1.4493603288143425E-2</c:v>
                </c:pt>
                <c:pt idx="182">
                  <c:v>1.4079011616482416E-2</c:v>
                </c:pt>
                <c:pt idx="183">
                  <c:v>1.3694097271605171E-2</c:v>
                </c:pt>
                <c:pt idx="184">
                  <c:v>1.4120959343580363E-2</c:v>
                </c:pt>
                <c:pt idx="185">
                  <c:v>1.3527830227630598E-2</c:v>
                </c:pt>
                <c:pt idx="18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774848"/>
        <c:axId val="229776384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787904"/>
        <c:axId val="229786368"/>
      </c:lineChart>
      <c:dateAx>
        <c:axId val="229774848"/>
        <c:scaling>
          <c:orientation val="minMax"/>
        </c:scaling>
        <c:delete val="0"/>
        <c:axPos val="b"/>
        <c:numFmt formatCode="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776384"/>
        <c:crosses val="min"/>
        <c:auto val="1"/>
        <c:lblOffset val="100"/>
        <c:baseTimeUnit val="months"/>
        <c:majorUnit val="60"/>
        <c:majorTimeUnit val="months"/>
      </c:dateAx>
      <c:valAx>
        <c:axId val="22977638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774848"/>
        <c:crosses val="autoZero"/>
        <c:crossBetween val="between"/>
      </c:valAx>
      <c:valAx>
        <c:axId val="229786368"/>
        <c:scaling>
          <c:orientation val="minMax"/>
          <c:max val="2.5000000000000001E-2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787904"/>
        <c:crosses val="max"/>
        <c:crossBetween val="between"/>
        <c:majorUnit val="5.0000000000000001E-3"/>
        <c:minorUnit val="1E-3"/>
      </c:valAx>
      <c:catAx>
        <c:axId val="2297879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786368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xMode val="edge"/>
          <c:yMode val="edge"/>
          <c:x val="1.49980181573716E-2"/>
          <c:y val="5.0112204242912801E-2"/>
          <c:w val="0.97000396368525699"/>
          <c:h val="0.94988779575708704"/>
        </c:manualLayout>
      </c:layout>
      <c:lineChart>
        <c:grouping val="standard"/>
        <c:varyColors val="0"/>
        <c:ser>
          <c:idx val="0"/>
          <c:order val="0"/>
          <c:tx>
            <c:strRef>
              <c:f>'Spliced data'!$C$1</c:f>
              <c:strCache>
                <c:ptCount val="1"/>
                <c:pt idx="0">
                  <c:v>P[UE]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'Spliced data'!$A$2:$A$188</c:f>
              <c:numCache>
                <c:formatCode>m/d/yyyy</c:formatCode>
                <c:ptCount val="187"/>
                <c:pt idx="0">
                  <c:v>24624</c:v>
                </c:pt>
                <c:pt idx="1">
                  <c:v>24716</c:v>
                </c:pt>
                <c:pt idx="2">
                  <c:v>24807</c:v>
                </c:pt>
                <c:pt idx="3">
                  <c:v>24898</c:v>
                </c:pt>
                <c:pt idx="4">
                  <c:v>24990</c:v>
                </c:pt>
                <c:pt idx="5">
                  <c:v>25082</c:v>
                </c:pt>
                <c:pt idx="6">
                  <c:v>25173</c:v>
                </c:pt>
                <c:pt idx="7">
                  <c:v>25263</c:v>
                </c:pt>
                <c:pt idx="8">
                  <c:v>25355</c:v>
                </c:pt>
                <c:pt idx="9">
                  <c:v>25447</c:v>
                </c:pt>
                <c:pt idx="10">
                  <c:v>25538</c:v>
                </c:pt>
                <c:pt idx="11">
                  <c:v>25628</c:v>
                </c:pt>
                <c:pt idx="12">
                  <c:v>25720</c:v>
                </c:pt>
                <c:pt idx="13">
                  <c:v>25812</c:v>
                </c:pt>
                <c:pt idx="14">
                  <c:v>25903</c:v>
                </c:pt>
                <c:pt idx="15">
                  <c:v>25993</c:v>
                </c:pt>
                <c:pt idx="16">
                  <c:v>26085</c:v>
                </c:pt>
                <c:pt idx="17">
                  <c:v>26177</c:v>
                </c:pt>
                <c:pt idx="18">
                  <c:v>26268</c:v>
                </c:pt>
                <c:pt idx="19">
                  <c:v>26359</c:v>
                </c:pt>
                <c:pt idx="20">
                  <c:v>26451</c:v>
                </c:pt>
                <c:pt idx="21">
                  <c:v>26543</c:v>
                </c:pt>
                <c:pt idx="22">
                  <c:v>26634</c:v>
                </c:pt>
                <c:pt idx="23">
                  <c:v>26724</c:v>
                </c:pt>
                <c:pt idx="24">
                  <c:v>26816</c:v>
                </c:pt>
                <c:pt idx="25">
                  <c:v>26908</c:v>
                </c:pt>
                <c:pt idx="26">
                  <c:v>26999</c:v>
                </c:pt>
                <c:pt idx="27">
                  <c:v>27089</c:v>
                </c:pt>
                <c:pt idx="28">
                  <c:v>27181</c:v>
                </c:pt>
                <c:pt idx="29">
                  <c:v>27273</c:v>
                </c:pt>
                <c:pt idx="30">
                  <c:v>27364</c:v>
                </c:pt>
                <c:pt idx="31">
                  <c:v>27454</c:v>
                </c:pt>
                <c:pt idx="32">
                  <c:v>27546</c:v>
                </c:pt>
                <c:pt idx="33">
                  <c:v>27638</c:v>
                </c:pt>
                <c:pt idx="34">
                  <c:v>27729</c:v>
                </c:pt>
                <c:pt idx="35">
                  <c:v>27820</c:v>
                </c:pt>
                <c:pt idx="36">
                  <c:v>27912</c:v>
                </c:pt>
                <c:pt idx="37">
                  <c:v>28004</c:v>
                </c:pt>
                <c:pt idx="38">
                  <c:v>28095</c:v>
                </c:pt>
                <c:pt idx="39">
                  <c:v>28185</c:v>
                </c:pt>
                <c:pt idx="40">
                  <c:v>28277</c:v>
                </c:pt>
                <c:pt idx="41">
                  <c:v>28369</c:v>
                </c:pt>
                <c:pt idx="42">
                  <c:v>28460</c:v>
                </c:pt>
                <c:pt idx="43">
                  <c:v>28550</c:v>
                </c:pt>
                <c:pt idx="44">
                  <c:v>28642</c:v>
                </c:pt>
                <c:pt idx="45">
                  <c:v>28734</c:v>
                </c:pt>
                <c:pt idx="46">
                  <c:v>28825</c:v>
                </c:pt>
                <c:pt idx="47">
                  <c:v>28915</c:v>
                </c:pt>
                <c:pt idx="48">
                  <c:v>29007</c:v>
                </c:pt>
                <c:pt idx="49">
                  <c:v>29099</c:v>
                </c:pt>
                <c:pt idx="50">
                  <c:v>29190</c:v>
                </c:pt>
                <c:pt idx="51">
                  <c:v>29281</c:v>
                </c:pt>
                <c:pt idx="52">
                  <c:v>29373</c:v>
                </c:pt>
                <c:pt idx="53">
                  <c:v>29465</c:v>
                </c:pt>
                <c:pt idx="54">
                  <c:v>29556</c:v>
                </c:pt>
                <c:pt idx="55">
                  <c:v>29646</c:v>
                </c:pt>
                <c:pt idx="56">
                  <c:v>29738</c:v>
                </c:pt>
                <c:pt idx="57">
                  <c:v>29830</c:v>
                </c:pt>
                <c:pt idx="58">
                  <c:v>29921</c:v>
                </c:pt>
                <c:pt idx="59">
                  <c:v>30011</c:v>
                </c:pt>
                <c:pt idx="60">
                  <c:v>30103</c:v>
                </c:pt>
                <c:pt idx="61">
                  <c:v>30195</c:v>
                </c:pt>
                <c:pt idx="62">
                  <c:v>30286</c:v>
                </c:pt>
                <c:pt idx="63">
                  <c:v>30376</c:v>
                </c:pt>
                <c:pt idx="64">
                  <c:v>30468</c:v>
                </c:pt>
                <c:pt idx="65">
                  <c:v>30560</c:v>
                </c:pt>
                <c:pt idx="66">
                  <c:v>30651</c:v>
                </c:pt>
                <c:pt idx="67">
                  <c:v>30742</c:v>
                </c:pt>
                <c:pt idx="68">
                  <c:v>30834</c:v>
                </c:pt>
                <c:pt idx="69">
                  <c:v>30926</c:v>
                </c:pt>
                <c:pt idx="70">
                  <c:v>31017</c:v>
                </c:pt>
                <c:pt idx="71">
                  <c:v>31107</c:v>
                </c:pt>
                <c:pt idx="72">
                  <c:v>31199</c:v>
                </c:pt>
                <c:pt idx="73">
                  <c:v>31291</c:v>
                </c:pt>
                <c:pt idx="74">
                  <c:v>31382</c:v>
                </c:pt>
                <c:pt idx="75">
                  <c:v>31472</c:v>
                </c:pt>
                <c:pt idx="76">
                  <c:v>31564</c:v>
                </c:pt>
                <c:pt idx="77">
                  <c:v>31656</c:v>
                </c:pt>
                <c:pt idx="78">
                  <c:v>31747</c:v>
                </c:pt>
                <c:pt idx="79">
                  <c:v>31837</c:v>
                </c:pt>
                <c:pt idx="80">
                  <c:v>31929</c:v>
                </c:pt>
                <c:pt idx="81">
                  <c:v>32021</c:v>
                </c:pt>
                <c:pt idx="82">
                  <c:v>32112</c:v>
                </c:pt>
                <c:pt idx="83">
                  <c:v>32203</c:v>
                </c:pt>
                <c:pt idx="84">
                  <c:v>32295</c:v>
                </c:pt>
                <c:pt idx="85">
                  <c:v>32387</c:v>
                </c:pt>
                <c:pt idx="86">
                  <c:v>32478</c:v>
                </c:pt>
                <c:pt idx="87">
                  <c:v>32568</c:v>
                </c:pt>
                <c:pt idx="88">
                  <c:v>32660</c:v>
                </c:pt>
                <c:pt idx="89">
                  <c:v>32752</c:v>
                </c:pt>
                <c:pt idx="90">
                  <c:v>32843</c:v>
                </c:pt>
                <c:pt idx="91">
                  <c:v>32933</c:v>
                </c:pt>
                <c:pt idx="92">
                  <c:v>33025</c:v>
                </c:pt>
                <c:pt idx="93">
                  <c:v>33117</c:v>
                </c:pt>
                <c:pt idx="94">
                  <c:v>33208</c:v>
                </c:pt>
                <c:pt idx="95">
                  <c:v>33298</c:v>
                </c:pt>
                <c:pt idx="96">
                  <c:v>33390</c:v>
                </c:pt>
                <c:pt idx="97">
                  <c:v>33482</c:v>
                </c:pt>
                <c:pt idx="98">
                  <c:v>33573</c:v>
                </c:pt>
                <c:pt idx="99">
                  <c:v>33664</c:v>
                </c:pt>
                <c:pt idx="100">
                  <c:v>33756</c:v>
                </c:pt>
                <c:pt idx="101">
                  <c:v>33848</c:v>
                </c:pt>
                <c:pt idx="102">
                  <c:v>33939</c:v>
                </c:pt>
                <c:pt idx="103">
                  <c:v>34029</c:v>
                </c:pt>
                <c:pt idx="104">
                  <c:v>34121</c:v>
                </c:pt>
                <c:pt idx="105">
                  <c:v>34213</c:v>
                </c:pt>
                <c:pt idx="106">
                  <c:v>34304</c:v>
                </c:pt>
                <c:pt idx="107">
                  <c:v>34394</c:v>
                </c:pt>
                <c:pt idx="108">
                  <c:v>34486</c:v>
                </c:pt>
                <c:pt idx="109">
                  <c:v>34578</c:v>
                </c:pt>
                <c:pt idx="110">
                  <c:v>34669</c:v>
                </c:pt>
                <c:pt idx="111">
                  <c:v>34759</c:v>
                </c:pt>
                <c:pt idx="112">
                  <c:v>34851</c:v>
                </c:pt>
                <c:pt idx="113">
                  <c:v>34943</c:v>
                </c:pt>
                <c:pt idx="114">
                  <c:v>35034</c:v>
                </c:pt>
                <c:pt idx="115">
                  <c:v>35125</c:v>
                </c:pt>
                <c:pt idx="116">
                  <c:v>35217</c:v>
                </c:pt>
                <c:pt idx="117">
                  <c:v>35309</c:v>
                </c:pt>
                <c:pt idx="118">
                  <c:v>35400</c:v>
                </c:pt>
                <c:pt idx="119">
                  <c:v>35490</c:v>
                </c:pt>
                <c:pt idx="120">
                  <c:v>35582</c:v>
                </c:pt>
                <c:pt idx="121">
                  <c:v>35674</c:v>
                </c:pt>
                <c:pt idx="122">
                  <c:v>35765</c:v>
                </c:pt>
                <c:pt idx="123">
                  <c:v>35855</c:v>
                </c:pt>
                <c:pt idx="124">
                  <c:v>35947</c:v>
                </c:pt>
                <c:pt idx="125">
                  <c:v>36039</c:v>
                </c:pt>
                <c:pt idx="126">
                  <c:v>36130</c:v>
                </c:pt>
                <c:pt idx="127">
                  <c:v>36220</c:v>
                </c:pt>
                <c:pt idx="128">
                  <c:v>36312</c:v>
                </c:pt>
                <c:pt idx="129">
                  <c:v>36404</c:v>
                </c:pt>
                <c:pt idx="130">
                  <c:v>36495</c:v>
                </c:pt>
                <c:pt idx="131">
                  <c:v>36586</c:v>
                </c:pt>
                <c:pt idx="132">
                  <c:v>36678</c:v>
                </c:pt>
                <c:pt idx="133">
                  <c:v>36770</c:v>
                </c:pt>
                <c:pt idx="134">
                  <c:v>36861</c:v>
                </c:pt>
                <c:pt idx="135">
                  <c:v>36951</c:v>
                </c:pt>
                <c:pt idx="136">
                  <c:v>37043</c:v>
                </c:pt>
                <c:pt idx="137">
                  <c:v>37135</c:v>
                </c:pt>
                <c:pt idx="138">
                  <c:v>37226</c:v>
                </c:pt>
                <c:pt idx="139">
                  <c:v>37316</c:v>
                </c:pt>
                <c:pt idx="140">
                  <c:v>37408</c:v>
                </c:pt>
                <c:pt idx="141">
                  <c:v>37500</c:v>
                </c:pt>
                <c:pt idx="142">
                  <c:v>37591</c:v>
                </c:pt>
                <c:pt idx="143">
                  <c:v>37681</c:v>
                </c:pt>
                <c:pt idx="144">
                  <c:v>37773</c:v>
                </c:pt>
                <c:pt idx="145">
                  <c:v>37865</c:v>
                </c:pt>
                <c:pt idx="146">
                  <c:v>37956</c:v>
                </c:pt>
                <c:pt idx="147">
                  <c:v>38047</c:v>
                </c:pt>
                <c:pt idx="148">
                  <c:v>38139</c:v>
                </c:pt>
                <c:pt idx="149">
                  <c:v>38231</c:v>
                </c:pt>
                <c:pt idx="150">
                  <c:v>38322</c:v>
                </c:pt>
                <c:pt idx="151">
                  <c:v>38412</c:v>
                </c:pt>
                <c:pt idx="152">
                  <c:v>38504</c:v>
                </c:pt>
                <c:pt idx="153">
                  <c:v>38596</c:v>
                </c:pt>
                <c:pt idx="154">
                  <c:v>38687</c:v>
                </c:pt>
                <c:pt idx="155">
                  <c:v>38777</c:v>
                </c:pt>
                <c:pt idx="156">
                  <c:v>38869</c:v>
                </c:pt>
                <c:pt idx="157">
                  <c:v>38961</c:v>
                </c:pt>
                <c:pt idx="158">
                  <c:v>39052</c:v>
                </c:pt>
                <c:pt idx="159">
                  <c:v>39142</c:v>
                </c:pt>
                <c:pt idx="160">
                  <c:v>39234</c:v>
                </c:pt>
                <c:pt idx="161">
                  <c:v>39326</c:v>
                </c:pt>
                <c:pt idx="162">
                  <c:v>39417</c:v>
                </c:pt>
                <c:pt idx="163">
                  <c:v>39508</c:v>
                </c:pt>
                <c:pt idx="164">
                  <c:v>39600</c:v>
                </c:pt>
                <c:pt idx="165">
                  <c:v>39692</c:v>
                </c:pt>
                <c:pt idx="166">
                  <c:v>39783</c:v>
                </c:pt>
                <c:pt idx="167">
                  <c:v>39873</c:v>
                </c:pt>
                <c:pt idx="168">
                  <c:v>39965</c:v>
                </c:pt>
                <c:pt idx="169">
                  <c:v>40057</c:v>
                </c:pt>
                <c:pt idx="170">
                  <c:v>40148</c:v>
                </c:pt>
                <c:pt idx="171">
                  <c:v>40238</c:v>
                </c:pt>
                <c:pt idx="172">
                  <c:v>40330</c:v>
                </c:pt>
                <c:pt idx="173">
                  <c:v>40422</c:v>
                </c:pt>
                <c:pt idx="174">
                  <c:v>40513</c:v>
                </c:pt>
                <c:pt idx="175">
                  <c:v>40603</c:v>
                </c:pt>
                <c:pt idx="176">
                  <c:v>40695</c:v>
                </c:pt>
                <c:pt idx="177">
                  <c:v>40787</c:v>
                </c:pt>
                <c:pt idx="178">
                  <c:v>40878</c:v>
                </c:pt>
                <c:pt idx="179">
                  <c:v>40969</c:v>
                </c:pt>
                <c:pt idx="180">
                  <c:v>41061</c:v>
                </c:pt>
                <c:pt idx="181">
                  <c:v>41153</c:v>
                </c:pt>
                <c:pt idx="182">
                  <c:v>41244</c:v>
                </c:pt>
                <c:pt idx="183">
                  <c:v>41334</c:v>
                </c:pt>
                <c:pt idx="184">
                  <c:v>41426</c:v>
                </c:pt>
                <c:pt idx="185">
                  <c:v>41518</c:v>
                </c:pt>
                <c:pt idx="186">
                  <c:v>41609</c:v>
                </c:pt>
              </c:numCache>
            </c:numRef>
          </c:cat>
          <c:val>
            <c:numRef>
              <c:f>'Spliced data'!$C$2:$C$188</c:f>
              <c:numCache>
                <c:formatCode>General</c:formatCode>
                <c:ptCount val="187"/>
                <c:pt idx="0">
                  <c:v>0.35260590000000008</c:v>
                </c:pt>
                <c:pt idx="1">
                  <c:v>0.34744613333333335</c:v>
                </c:pt>
                <c:pt idx="2">
                  <c:v>0.3492398333333333</c:v>
                </c:pt>
                <c:pt idx="3">
                  <c:v>0.34385640000000001</c:v>
                </c:pt>
                <c:pt idx="4">
                  <c:v>0.35289446666666668</c:v>
                </c:pt>
                <c:pt idx="5">
                  <c:v>0.35996813333333333</c:v>
                </c:pt>
                <c:pt idx="6">
                  <c:v>0.35391486666666666</c:v>
                </c:pt>
                <c:pt idx="7">
                  <c:v>0.33954363333333332</c:v>
                </c:pt>
                <c:pt idx="8">
                  <c:v>0.34857973333333331</c:v>
                </c:pt>
                <c:pt idx="9">
                  <c:v>0.35151033333333331</c:v>
                </c:pt>
                <c:pt idx="10">
                  <c:v>0.31031616666666667</c:v>
                </c:pt>
                <c:pt idx="11">
                  <c:v>0.30526566666666666</c:v>
                </c:pt>
                <c:pt idx="12">
                  <c:v>0.31203140000000001</c:v>
                </c:pt>
                <c:pt idx="13">
                  <c:v>0.31100793333333338</c:v>
                </c:pt>
                <c:pt idx="14">
                  <c:v>0.26988683333333335</c:v>
                </c:pt>
                <c:pt idx="15">
                  <c:v>0.27144339999999995</c:v>
                </c:pt>
                <c:pt idx="16">
                  <c:v>0.28507243333333332</c:v>
                </c:pt>
                <c:pt idx="17">
                  <c:v>0.27346580000000004</c:v>
                </c:pt>
                <c:pt idx="18">
                  <c:v>0.28309383333333332</c:v>
                </c:pt>
                <c:pt idx="19">
                  <c:v>0.28578889999999996</c:v>
                </c:pt>
                <c:pt idx="20">
                  <c:v>0.29070230000000002</c:v>
                </c:pt>
                <c:pt idx="21">
                  <c:v>0.29843733333333328</c:v>
                </c:pt>
                <c:pt idx="22">
                  <c:v>0.29643783333333334</c:v>
                </c:pt>
                <c:pt idx="23">
                  <c:v>0.29288979999999998</c:v>
                </c:pt>
                <c:pt idx="24">
                  <c:v>0.31004663333333332</c:v>
                </c:pt>
                <c:pt idx="25">
                  <c:v>0.31865840000000001</c:v>
                </c:pt>
                <c:pt idx="26">
                  <c:v>0.31220373333333334</c:v>
                </c:pt>
                <c:pt idx="27">
                  <c:v>0.29908153333333332</c:v>
                </c:pt>
                <c:pt idx="28">
                  <c:v>0.29710273333333331</c:v>
                </c:pt>
                <c:pt idx="29">
                  <c:v>0.27410570000000001</c:v>
                </c:pt>
                <c:pt idx="30">
                  <c:v>0.23795740000000001</c:v>
                </c:pt>
                <c:pt idx="31">
                  <c:v>0.22371583333333334</c:v>
                </c:pt>
                <c:pt idx="32">
                  <c:v>0.23954663333333334</c:v>
                </c:pt>
                <c:pt idx="33">
                  <c:v>0.22835096666666668</c:v>
                </c:pt>
                <c:pt idx="34">
                  <c:v>0.22827526666666667</c:v>
                </c:pt>
                <c:pt idx="35">
                  <c:v>0.24066373333333332</c:v>
                </c:pt>
                <c:pt idx="36">
                  <c:v>0.2548148666666667</c:v>
                </c:pt>
                <c:pt idx="37">
                  <c:v>0.23986860000000002</c:v>
                </c:pt>
                <c:pt idx="38">
                  <c:v>0.24499366666666667</c:v>
                </c:pt>
                <c:pt idx="39">
                  <c:v>0.26541673333333332</c:v>
                </c:pt>
                <c:pt idx="40">
                  <c:v>0.2683512666666667</c:v>
                </c:pt>
                <c:pt idx="41">
                  <c:v>0.26470816666666663</c:v>
                </c:pt>
                <c:pt idx="42">
                  <c:v>0.27308899999999997</c:v>
                </c:pt>
                <c:pt idx="43">
                  <c:v>0.29500729999999997</c:v>
                </c:pt>
                <c:pt idx="44">
                  <c:v>0.28444406666666672</c:v>
                </c:pt>
                <c:pt idx="45">
                  <c:v>0.27905249999999998</c:v>
                </c:pt>
                <c:pt idx="46">
                  <c:v>0.28398363333333337</c:v>
                </c:pt>
                <c:pt idx="47">
                  <c:v>0.29648313333333332</c:v>
                </c:pt>
                <c:pt idx="48">
                  <c:v>0.29106033333333331</c:v>
                </c:pt>
                <c:pt idx="49">
                  <c:v>0.28234013333333335</c:v>
                </c:pt>
                <c:pt idx="50">
                  <c:v>0.26604036666666664</c:v>
                </c:pt>
                <c:pt idx="51">
                  <c:v>0.2603164</c:v>
                </c:pt>
                <c:pt idx="52">
                  <c:v>0.26169783333333335</c:v>
                </c:pt>
                <c:pt idx="53">
                  <c:v>0.26140893333333332</c:v>
                </c:pt>
                <c:pt idx="54">
                  <c:v>0.24132856666666669</c:v>
                </c:pt>
                <c:pt idx="55">
                  <c:v>0.25454579999999999</c:v>
                </c:pt>
                <c:pt idx="56">
                  <c:v>0.24620909999999999</c:v>
                </c:pt>
                <c:pt idx="57">
                  <c:v>0.2435702333333333</c:v>
                </c:pt>
                <c:pt idx="58">
                  <c:v>0.22179386666666667</c:v>
                </c:pt>
                <c:pt idx="59">
                  <c:v>0.21581516666666664</c:v>
                </c:pt>
                <c:pt idx="60">
                  <c:v>0.21205383333333336</c:v>
                </c:pt>
                <c:pt idx="61">
                  <c:v>0.19212603333333333</c:v>
                </c:pt>
                <c:pt idx="62">
                  <c:v>0.18887406666666665</c:v>
                </c:pt>
                <c:pt idx="63">
                  <c:v>0.20683700000000002</c:v>
                </c:pt>
                <c:pt idx="64">
                  <c:v>0.21911239999999998</c:v>
                </c:pt>
                <c:pt idx="65">
                  <c:v>0.22085489999999997</c:v>
                </c:pt>
                <c:pt idx="66">
                  <c:v>0.2387852</c:v>
                </c:pt>
                <c:pt idx="67">
                  <c:v>0.24592020000000001</c:v>
                </c:pt>
                <c:pt idx="68">
                  <c:v>0.24243300000000001</c:v>
                </c:pt>
                <c:pt idx="69">
                  <c:v>0.23613663333333332</c:v>
                </c:pt>
                <c:pt idx="70">
                  <c:v>0.26000549999999994</c:v>
                </c:pt>
                <c:pt idx="71">
                  <c:v>0.25473049999999997</c:v>
                </c:pt>
                <c:pt idx="72">
                  <c:v>0.24921433333333334</c:v>
                </c:pt>
                <c:pt idx="73">
                  <c:v>0.24299423333333334</c:v>
                </c:pt>
                <c:pt idx="74">
                  <c:v>0.25973973333333333</c:v>
                </c:pt>
                <c:pt idx="75">
                  <c:v>0.25286896666666664</c:v>
                </c:pt>
                <c:pt idx="76">
                  <c:v>0.24392550000000002</c:v>
                </c:pt>
                <c:pt idx="77">
                  <c:v>0.2638629666666667</c:v>
                </c:pt>
                <c:pt idx="78">
                  <c:v>0.26313456666666668</c:v>
                </c:pt>
                <c:pt idx="79">
                  <c:v>0.27400343333333327</c:v>
                </c:pt>
                <c:pt idx="80">
                  <c:v>0.27138416666666665</c:v>
                </c:pt>
                <c:pt idx="81">
                  <c:v>0.27934686666666669</c:v>
                </c:pt>
                <c:pt idx="82">
                  <c:v>0.27207846666666669</c:v>
                </c:pt>
                <c:pt idx="83">
                  <c:v>0.30488816666666668</c:v>
                </c:pt>
                <c:pt idx="84">
                  <c:v>0.28900566666666666</c:v>
                </c:pt>
                <c:pt idx="85">
                  <c:v>0.27274903333333333</c:v>
                </c:pt>
                <c:pt idx="86">
                  <c:v>0.30199540000000002</c:v>
                </c:pt>
                <c:pt idx="87">
                  <c:v>0.29643970000000003</c:v>
                </c:pt>
                <c:pt idx="88">
                  <c:v>0.29352566666666663</c:v>
                </c:pt>
                <c:pt idx="89">
                  <c:v>0.29686343333333332</c:v>
                </c:pt>
                <c:pt idx="90">
                  <c:v>0.31105613333333332</c:v>
                </c:pt>
                <c:pt idx="91">
                  <c:v>0.28395536666666671</c:v>
                </c:pt>
                <c:pt idx="92">
                  <c:v>0.28184916348486971</c:v>
                </c:pt>
                <c:pt idx="93">
                  <c:v>0.26718245609836727</c:v>
                </c:pt>
                <c:pt idx="94">
                  <c:v>0.26433147145469443</c:v>
                </c:pt>
                <c:pt idx="95">
                  <c:v>0.25434973278063805</c:v>
                </c:pt>
                <c:pt idx="96">
                  <c:v>0.25295888245971287</c:v>
                </c:pt>
                <c:pt idx="97">
                  <c:v>0.24870609131373178</c:v>
                </c:pt>
                <c:pt idx="98">
                  <c:v>0.2329313593690561</c:v>
                </c:pt>
                <c:pt idx="99">
                  <c:v>0.23591936342234945</c:v>
                </c:pt>
                <c:pt idx="100">
                  <c:v>0.22920055446352761</c:v>
                </c:pt>
                <c:pt idx="101">
                  <c:v>0.22676415376674239</c:v>
                </c:pt>
                <c:pt idx="102">
                  <c:v>0.23533786752870864</c:v>
                </c:pt>
                <c:pt idx="103">
                  <c:v>0.23034156237261935</c:v>
                </c:pt>
                <c:pt idx="104">
                  <c:v>0.23705531823418527</c:v>
                </c:pt>
                <c:pt idx="105">
                  <c:v>0.23764774772836819</c:v>
                </c:pt>
                <c:pt idx="106">
                  <c:v>0.2496228746334542</c:v>
                </c:pt>
                <c:pt idx="107">
                  <c:v>0.25585933725424531</c:v>
                </c:pt>
                <c:pt idx="108">
                  <c:v>0.26239663747319536</c:v>
                </c:pt>
                <c:pt idx="109">
                  <c:v>0.27383510272034178</c:v>
                </c:pt>
                <c:pt idx="110">
                  <c:v>0.27997622207360368</c:v>
                </c:pt>
                <c:pt idx="111">
                  <c:v>0.28410493695569594</c:v>
                </c:pt>
                <c:pt idx="112">
                  <c:v>0.27544048139242938</c:v>
                </c:pt>
                <c:pt idx="113">
                  <c:v>0.28092573599041304</c:v>
                </c:pt>
                <c:pt idx="114">
                  <c:v>0.27099946131958202</c:v>
                </c:pt>
                <c:pt idx="115">
                  <c:v>0.27450086661003481</c:v>
                </c:pt>
                <c:pt idx="116">
                  <c:v>0.27061461211884047</c:v>
                </c:pt>
                <c:pt idx="117">
                  <c:v>0.28645214070745867</c:v>
                </c:pt>
                <c:pt idx="118">
                  <c:v>0.27859173792651099</c:v>
                </c:pt>
                <c:pt idx="119">
                  <c:v>0.29359068562991325</c:v>
                </c:pt>
                <c:pt idx="120">
                  <c:v>0.29324102971391136</c:v>
                </c:pt>
                <c:pt idx="121">
                  <c:v>0.28613298905450363</c:v>
                </c:pt>
                <c:pt idx="122">
                  <c:v>0.30146422146715018</c:v>
                </c:pt>
                <c:pt idx="123">
                  <c:v>0.29903816675367262</c:v>
                </c:pt>
                <c:pt idx="124">
                  <c:v>0.30991095580960321</c:v>
                </c:pt>
                <c:pt idx="125">
                  <c:v>0.30917558755309038</c:v>
                </c:pt>
                <c:pt idx="126">
                  <c:v>0.30734848924313268</c:v>
                </c:pt>
                <c:pt idx="127">
                  <c:v>0.3186998425697623</c:v>
                </c:pt>
                <c:pt idx="128">
                  <c:v>0.30429305177582644</c:v>
                </c:pt>
                <c:pt idx="129">
                  <c:v>0.31789270466350844</c:v>
                </c:pt>
                <c:pt idx="130">
                  <c:v>0.33130091714817039</c:v>
                </c:pt>
                <c:pt idx="131">
                  <c:v>0.33012352058111744</c:v>
                </c:pt>
                <c:pt idx="132">
                  <c:v>0.32084944102549651</c:v>
                </c:pt>
                <c:pt idx="133">
                  <c:v>0.32429091595553089</c:v>
                </c:pt>
                <c:pt idx="134">
                  <c:v>0.31507462718544743</c:v>
                </c:pt>
                <c:pt idx="135">
                  <c:v>0.31045816746208721</c:v>
                </c:pt>
                <c:pt idx="136">
                  <c:v>0.31128254593778887</c:v>
                </c:pt>
                <c:pt idx="137">
                  <c:v>0.29427166386317644</c:v>
                </c:pt>
                <c:pt idx="138">
                  <c:v>0.26994933624105372</c:v>
                </c:pt>
                <c:pt idx="139">
                  <c:v>0.2691995865133206</c:v>
                </c:pt>
                <c:pt idx="140">
                  <c:v>0.24551781236523337</c:v>
                </c:pt>
                <c:pt idx="141">
                  <c:v>0.25450272599271911</c:v>
                </c:pt>
                <c:pt idx="142">
                  <c:v>0.23841047235381851</c:v>
                </c:pt>
                <c:pt idx="143">
                  <c:v>0.23814778658167915</c:v>
                </c:pt>
                <c:pt idx="144">
                  <c:v>0.23684513136134941</c:v>
                </c:pt>
                <c:pt idx="145">
                  <c:v>0.23204892668495355</c:v>
                </c:pt>
                <c:pt idx="146">
                  <c:v>0.24538653869078153</c:v>
                </c:pt>
                <c:pt idx="147">
                  <c:v>0.24006223144580952</c:v>
                </c:pt>
                <c:pt idx="148">
                  <c:v>0.251955962423073</c:v>
                </c:pt>
                <c:pt idx="149">
                  <c:v>0.25750279251296648</c:v>
                </c:pt>
                <c:pt idx="150">
                  <c:v>0.26613188594451126</c:v>
                </c:pt>
                <c:pt idx="151">
                  <c:v>0.25962809700345429</c:v>
                </c:pt>
                <c:pt idx="152">
                  <c:v>0.26091078574503856</c:v>
                </c:pt>
                <c:pt idx="153">
                  <c:v>0.2655456280938886</c:v>
                </c:pt>
                <c:pt idx="154">
                  <c:v>0.26471384853410829</c:v>
                </c:pt>
                <c:pt idx="155">
                  <c:v>0.26974072475078431</c:v>
                </c:pt>
                <c:pt idx="156">
                  <c:v>0.28323850308809462</c:v>
                </c:pt>
                <c:pt idx="157">
                  <c:v>0.29001890629057453</c:v>
                </c:pt>
                <c:pt idx="158">
                  <c:v>0.28805355510680636</c:v>
                </c:pt>
                <c:pt idx="159">
                  <c:v>0.295896268594525</c:v>
                </c:pt>
                <c:pt idx="160">
                  <c:v>0.27442764386934332</c:v>
                </c:pt>
                <c:pt idx="161">
                  <c:v>0.27292599731485839</c:v>
                </c:pt>
                <c:pt idx="162">
                  <c:v>0.26857406470441852</c:v>
                </c:pt>
                <c:pt idx="163">
                  <c:v>0.26266299448008334</c:v>
                </c:pt>
                <c:pt idx="164">
                  <c:v>0.25340594990686638</c:v>
                </c:pt>
                <c:pt idx="165">
                  <c:v>0.23859262033057449</c:v>
                </c:pt>
                <c:pt idx="166">
                  <c:v>0.21031332701431502</c:v>
                </c:pt>
                <c:pt idx="167">
                  <c:v>0.18669636141181015</c:v>
                </c:pt>
                <c:pt idx="168">
                  <c:v>0.17657126939789256</c:v>
                </c:pt>
                <c:pt idx="169">
                  <c:v>0.17121704576549659</c:v>
                </c:pt>
                <c:pt idx="170">
                  <c:v>0.1589677551410443</c:v>
                </c:pt>
                <c:pt idx="171">
                  <c:v>0.16864338449242164</c:v>
                </c:pt>
                <c:pt idx="172">
                  <c:v>0.1724699823418849</c:v>
                </c:pt>
                <c:pt idx="173">
                  <c:v>0.16782521161865546</c:v>
                </c:pt>
                <c:pt idx="174">
                  <c:v>0.16936101172198134</c:v>
                </c:pt>
                <c:pt idx="175">
                  <c:v>0.16746727925683438</c:v>
                </c:pt>
                <c:pt idx="176">
                  <c:v>0.16973840353583181</c:v>
                </c:pt>
                <c:pt idx="177">
                  <c:v>0.17231273144791218</c:v>
                </c:pt>
                <c:pt idx="178">
                  <c:v>0.18170823579865922</c:v>
                </c:pt>
                <c:pt idx="179">
                  <c:v>0.18355695734175434</c:v>
                </c:pt>
                <c:pt idx="180">
                  <c:v>0.17990308911700711</c:v>
                </c:pt>
                <c:pt idx="181">
                  <c:v>0.18363026517368319</c:v>
                </c:pt>
                <c:pt idx="182">
                  <c:v>0.18106799066190696</c:v>
                </c:pt>
                <c:pt idx="183">
                  <c:v>0.18353059270646832</c:v>
                </c:pt>
                <c:pt idx="184">
                  <c:v>0.19455681772517544</c:v>
                </c:pt>
                <c:pt idx="185">
                  <c:v>0.19403053491915045</c:v>
                </c:pt>
                <c:pt idx="18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52704"/>
        <c:axId val="228958592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961664"/>
        <c:axId val="228960128"/>
      </c:lineChart>
      <c:dateAx>
        <c:axId val="228952704"/>
        <c:scaling>
          <c:orientation val="minMax"/>
        </c:scaling>
        <c:delete val="0"/>
        <c:axPos val="b"/>
        <c:numFmt formatCode="\ 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58592"/>
        <c:crosses val="min"/>
        <c:auto val="1"/>
        <c:lblOffset val="100"/>
        <c:baseTimeUnit val="months"/>
        <c:majorUnit val="60"/>
        <c:majorTimeUnit val="months"/>
      </c:dateAx>
      <c:valAx>
        <c:axId val="22895859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52704"/>
        <c:crosses val="autoZero"/>
        <c:crossBetween val="between"/>
      </c:valAx>
      <c:valAx>
        <c:axId val="228960128"/>
        <c:scaling>
          <c:orientation val="minMax"/>
          <c:max val="0.4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8961664"/>
        <c:crosses val="max"/>
        <c:crossBetween val="between"/>
        <c:majorUnit val="0.05"/>
        <c:minorUnit val="0.01"/>
      </c:valAx>
      <c:catAx>
        <c:axId val="228961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8960128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xMode val="edge"/>
          <c:yMode val="edge"/>
          <c:x val="1.49980181573716E-2"/>
          <c:y val="5.0112204242912801E-2"/>
          <c:w val="0.97000396368525699"/>
          <c:h val="0.94988779575708704"/>
        </c:manualLayout>
      </c:layout>
      <c:lineChart>
        <c:grouping val="standard"/>
        <c:varyColors val="0"/>
        <c:ser>
          <c:idx val="0"/>
          <c:order val="0"/>
          <c:tx>
            <c:strRef>
              <c:f>'Spliced data'!$D$1</c:f>
              <c:strCache>
                <c:ptCount val="1"/>
                <c:pt idx="0">
                  <c:v>P[NU]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'Spliced data'!$A$2:$A$188</c:f>
              <c:numCache>
                <c:formatCode>m/d/yyyy</c:formatCode>
                <c:ptCount val="187"/>
                <c:pt idx="0">
                  <c:v>24624</c:v>
                </c:pt>
                <c:pt idx="1">
                  <c:v>24716</c:v>
                </c:pt>
                <c:pt idx="2">
                  <c:v>24807</c:v>
                </c:pt>
                <c:pt idx="3">
                  <c:v>24898</c:v>
                </c:pt>
                <c:pt idx="4">
                  <c:v>24990</c:v>
                </c:pt>
                <c:pt idx="5">
                  <c:v>25082</c:v>
                </c:pt>
                <c:pt idx="6">
                  <c:v>25173</c:v>
                </c:pt>
                <c:pt idx="7">
                  <c:v>25263</c:v>
                </c:pt>
                <c:pt idx="8">
                  <c:v>25355</c:v>
                </c:pt>
                <c:pt idx="9">
                  <c:v>25447</c:v>
                </c:pt>
                <c:pt idx="10">
                  <c:v>25538</c:v>
                </c:pt>
                <c:pt idx="11">
                  <c:v>25628</c:v>
                </c:pt>
                <c:pt idx="12">
                  <c:v>25720</c:v>
                </c:pt>
                <c:pt idx="13">
                  <c:v>25812</c:v>
                </c:pt>
                <c:pt idx="14">
                  <c:v>25903</c:v>
                </c:pt>
                <c:pt idx="15">
                  <c:v>25993</c:v>
                </c:pt>
                <c:pt idx="16">
                  <c:v>26085</c:v>
                </c:pt>
                <c:pt idx="17">
                  <c:v>26177</c:v>
                </c:pt>
                <c:pt idx="18">
                  <c:v>26268</c:v>
                </c:pt>
                <c:pt idx="19">
                  <c:v>26359</c:v>
                </c:pt>
                <c:pt idx="20">
                  <c:v>26451</c:v>
                </c:pt>
                <c:pt idx="21">
                  <c:v>26543</c:v>
                </c:pt>
                <c:pt idx="22">
                  <c:v>26634</c:v>
                </c:pt>
                <c:pt idx="23">
                  <c:v>26724</c:v>
                </c:pt>
                <c:pt idx="24">
                  <c:v>26816</c:v>
                </c:pt>
                <c:pt idx="25">
                  <c:v>26908</c:v>
                </c:pt>
                <c:pt idx="26">
                  <c:v>26999</c:v>
                </c:pt>
                <c:pt idx="27">
                  <c:v>27089</c:v>
                </c:pt>
                <c:pt idx="28">
                  <c:v>27181</c:v>
                </c:pt>
                <c:pt idx="29">
                  <c:v>27273</c:v>
                </c:pt>
                <c:pt idx="30">
                  <c:v>27364</c:v>
                </c:pt>
                <c:pt idx="31">
                  <c:v>27454</c:v>
                </c:pt>
                <c:pt idx="32">
                  <c:v>27546</c:v>
                </c:pt>
                <c:pt idx="33">
                  <c:v>27638</c:v>
                </c:pt>
                <c:pt idx="34">
                  <c:v>27729</c:v>
                </c:pt>
                <c:pt idx="35">
                  <c:v>27820</c:v>
                </c:pt>
                <c:pt idx="36">
                  <c:v>27912</c:v>
                </c:pt>
                <c:pt idx="37">
                  <c:v>28004</c:v>
                </c:pt>
                <c:pt idx="38">
                  <c:v>28095</c:v>
                </c:pt>
                <c:pt idx="39">
                  <c:v>28185</c:v>
                </c:pt>
                <c:pt idx="40">
                  <c:v>28277</c:v>
                </c:pt>
                <c:pt idx="41">
                  <c:v>28369</c:v>
                </c:pt>
                <c:pt idx="42">
                  <c:v>28460</c:v>
                </c:pt>
                <c:pt idx="43">
                  <c:v>28550</c:v>
                </c:pt>
                <c:pt idx="44">
                  <c:v>28642</c:v>
                </c:pt>
                <c:pt idx="45">
                  <c:v>28734</c:v>
                </c:pt>
                <c:pt idx="46">
                  <c:v>28825</c:v>
                </c:pt>
                <c:pt idx="47">
                  <c:v>28915</c:v>
                </c:pt>
                <c:pt idx="48">
                  <c:v>29007</c:v>
                </c:pt>
                <c:pt idx="49">
                  <c:v>29099</c:v>
                </c:pt>
                <c:pt idx="50">
                  <c:v>29190</c:v>
                </c:pt>
                <c:pt idx="51">
                  <c:v>29281</c:v>
                </c:pt>
                <c:pt idx="52">
                  <c:v>29373</c:v>
                </c:pt>
                <c:pt idx="53">
                  <c:v>29465</c:v>
                </c:pt>
                <c:pt idx="54">
                  <c:v>29556</c:v>
                </c:pt>
                <c:pt idx="55">
                  <c:v>29646</c:v>
                </c:pt>
                <c:pt idx="56">
                  <c:v>29738</c:v>
                </c:pt>
                <c:pt idx="57">
                  <c:v>29830</c:v>
                </c:pt>
                <c:pt idx="58">
                  <c:v>29921</c:v>
                </c:pt>
                <c:pt idx="59">
                  <c:v>30011</c:v>
                </c:pt>
                <c:pt idx="60">
                  <c:v>30103</c:v>
                </c:pt>
                <c:pt idx="61">
                  <c:v>30195</c:v>
                </c:pt>
                <c:pt idx="62">
                  <c:v>30286</c:v>
                </c:pt>
                <c:pt idx="63">
                  <c:v>30376</c:v>
                </c:pt>
                <c:pt idx="64">
                  <c:v>30468</c:v>
                </c:pt>
                <c:pt idx="65">
                  <c:v>30560</c:v>
                </c:pt>
                <c:pt idx="66">
                  <c:v>30651</c:v>
                </c:pt>
                <c:pt idx="67">
                  <c:v>30742</c:v>
                </c:pt>
                <c:pt idx="68">
                  <c:v>30834</c:v>
                </c:pt>
                <c:pt idx="69">
                  <c:v>30926</c:v>
                </c:pt>
                <c:pt idx="70">
                  <c:v>31017</c:v>
                </c:pt>
                <c:pt idx="71">
                  <c:v>31107</c:v>
                </c:pt>
                <c:pt idx="72">
                  <c:v>31199</c:v>
                </c:pt>
                <c:pt idx="73">
                  <c:v>31291</c:v>
                </c:pt>
                <c:pt idx="74">
                  <c:v>31382</c:v>
                </c:pt>
                <c:pt idx="75">
                  <c:v>31472</c:v>
                </c:pt>
                <c:pt idx="76">
                  <c:v>31564</c:v>
                </c:pt>
                <c:pt idx="77">
                  <c:v>31656</c:v>
                </c:pt>
                <c:pt idx="78">
                  <c:v>31747</c:v>
                </c:pt>
                <c:pt idx="79">
                  <c:v>31837</c:v>
                </c:pt>
                <c:pt idx="80">
                  <c:v>31929</c:v>
                </c:pt>
                <c:pt idx="81">
                  <c:v>32021</c:v>
                </c:pt>
                <c:pt idx="82">
                  <c:v>32112</c:v>
                </c:pt>
                <c:pt idx="83">
                  <c:v>32203</c:v>
                </c:pt>
                <c:pt idx="84">
                  <c:v>32295</c:v>
                </c:pt>
                <c:pt idx="85">
                  <c:v>32387</c:v>
                </c:pt>
                <c:pt idx="86">
                  <c:v>32478</c:v>
                </c:pt>
                <c:pt idx="87">
                  <c:v>32568</c:v>
                </c:pt>
                <c:pt idx="88">
                  <c:v>32660</c:v>
                </c:pt>
                <c:pt idx="89">
                  <c:v>32752</c:v>
                </c:pt>
                <c:pt idx="90">
                  <c:v>32843</c:v>
                </c:pt>
                <c:pt idx="91">
                  <c:v>32933</c:v>
                </c:pt>
                <c:pt idx="92">
                  <c:v>33025</c:v>
                </c:pt>
                <c:pt idx="93">
                  <c:v>33117</c:v>
                </c:pt>
                <c:pt idx="94">
                  <c:v>33208</c:v>
                </c:pt>
                <c:pt idx="95">
                  <c:v>33298</c:v>
                </c:pt>
                <c:pt idx="96">
                  <c:v>33390</c:v>
                </c:pt>
                <c:pt idx="97">
                  <c:v>33482</c:v>
                </c:pt>
                <c:pt idx="98">
                  <c:v>33573</c:v>
                </c:pt>
                <c:pt idx="99">
                  <c:v>33664</c:v>
                </c:pt>
                <c:pt idx="100">
                  <c:v>33756</c:v>
                </c:pt>
                <c:pt idx="101">
                  <c:v>33848</c:v>
                </c:pt>
                <c:pt idx="102">
                  <c:v>33939</c:v>
                </c:pt>
                <c:pt idx="103">
                  <c:v>34029</c:v>
                </c:pt>
                <c:pt idx="104">
                  <c:v>34121</c:v>
                </c:pt>
                <c:pt idx="105">
                  <c:v>34213</c:v>
                </c:pt>
                <c:pt idx="106">
                  <c:v>34304</c:v>
                </c:pt>
                <c:pt idx="107">
                  <c:v>34394</c:v>
                </c:pt>
                <c:pt idx="108">
                  <c:v>34486</c:v>
                </c:pt>
                <c:pt idx="109">
                  <c:v>34578</c:v>
                </c:pt>
                <c:pt idx="110">
                  <c:v>34669</c:v>
                </c:pt>
                <c:pt idx="111">
                  <c:v>34759</c:v>
                </c:pt>
                <c:pt idx="112">
                  <c:v>34851</c:v>
                </c:pt>
                <c:pt idx="113">
                  <c:v>34943</c:v>
                </c:pt>
                <c:pt idx="114">
                  <c:v>35034</c:v>
                </c:pt>
                <c:pt idx="115">
                  <c:v>35125</c:v>
                </c:pt>
                <c:pt idx="116">
                  <c:v>35217</c:v>
                </c:pt>
                <c:pt idx="117">
                  <c:v>35309</c:v>
                </c:pt>
                <c:pt idx="118">
                  <c:v>35400</c:v>
                </c:pt>
                <c:pt idx="119">
                  <c:v>35490</c:v>
                </c:pt>
                <c:pt idx="120">
                  <c:v>35582</c:v>
                </c:pt>
                <c:pt idx="121">
                  <c:v>35674</c:v>
                </c:pt>
                <c:pt idx="122">
                  <c:v>35765</c:v>
                </c:pt>
                <c:pt idx="123">
                  <c:v>35855</c:v>
                </c:pt>
                <c:pt idx="124">
                  <c:v>35947</c:v>
                </c:pt>
                <c:pt idx="125">
                  <c:v>36039</c:v>
                </c:pt>
                <c:pt idx="126">
                  <c:v>36130</c:v>
                </c:pt>
                <c:pt idx="127">
                  <c:v>36220</c:v>
                </c:pt>
                <c:pt idx="128">
                  <c:v>36312</c:v>
                </c:pt>
                <c:pt idx="129">
                  <c:v>36404</c:v>
                </c:pt>
                <c:pt idx="130">
                  <c:v>36495</c:v>
                </c:pt>
                <c:pt idx="131">
                  <c:v>36586</c:v>
                </c:pt>
                <c:pt idx="132">
                  <c:v>36678</c:v>
                </c:pt>
                <c:pt idx="133">
                  <c:v>36770</c:v>
                </c:pt>
                <c:pt idx="134">
                  <c:v>36861</c:v>
                </c:pt>
                <c:pt idx="135">
                  <c:v>36951</c:v>
                </c:pt>
                <c:pt idx="136">
                  <c:v>37043</c:v>
                </c:pt>
                <c:pt idx="137">
                  <c:v>37135</c:v>
                </c:pt>
                <c:pt idx="138">
                  <c:v>37226</c:v>
                </c:pt>
                <c:pt idx="139">
                  <c:v>37316</c:v>
                </c:pt>
                <c:pt idx="140">
                  <c:v>37408</c:v>
                </c:pt>
                <c:pt idx="141">
                  <c:v>37500</c:v>
                </c:pt>
                <c:pt idx="142">
                  <c:v>37591</c:v>
                </c:pt>
                <c:pt idx="143">
                  <c:v>37681</c:v>
                </c:pt>
                <c:pt idx="144">
                  <c:v>37773</c:v>
                </c:pt>
                <c:pt idx="145">
                  <c:v>37865</c:v>
                </c:pt>
                <c:pt idx="146">
                  <c:v>37956</c:v>
                </c:pt>
                <c:pt idx="147">
                  <c:v>38047</c:v>
                </c:pt>
                <c:pt idx="148">
                  <c:v>38139</c:v>
                </c:pt>
                <c:pt idx="149">
                  <c:v>38231</c:v>
                </c:pt>
                <c:pt idx="150">
                  <c:v>38322</c:v>
                </c:pt>
                <c:pt idx="151">
                  <c:v>38412</c:v>
                </c:pt>
                <c:pt idx="152">
                  <c:v>38504</c:v>
                </c:pt>
                <c:pt idx="153">
                  <c:v>38596</c:v>
                </c:pt>
                <c:pt idx="154">
                  <c:v>38687</c:v>
                </c:pt>
                <c:pt idx="155">
                  <c:v>38777</c:v>
                </c:pt>
                <c:pt idx="156">
                  <c:v>38869</c:v>
                </c:pt>
                <c:pt idx="157">
                  <c:v>38961</c:v>
                </c:pt>
                <c:pt idx="158">
                  <c:v>39052</c:v>
                </c:pt>
                <c:pt idx="159">
                  <c:v>39142</c:v>
                </c:pt>
                <c:pt idx="160">
                  <c:v>39234</c:v>
                </c:pt>
                <c:pt idx="161">
                  <c:v>39326</c:v>
                </c:pt>
                <c:pt idx="162">
                  <c:v>39417</c:v>
                </c:pt>
                <c:pt idx="163">
                  <c:v>39508</c:v>
                </c:pt>
                <c:pt idx="164">
                  <c:v>39600</c:v>
                </c:pt>
                <c:pt idx="165">
                  <c:v>39692</c:v>
                </c:pt>
                <c:pt idx="166">
                  <c:v>39783</c:v>
                </c:pt>
                <c:pt idx="167">
                  <c:v>39873</c:v>
                </c:pt>
                <c:pt idx="168">
                  <c:v>39965</c:v>
                </c:pt>
                <c:pt idx="169">
                  <c:v>40057</c:v>
                </c:pt>
                <c:pt idx="170">
                  <c:v>40148</c:v>
                </c:pt>
                <c:pt idx="171">
                  <c:v>40238</c:v>
                </c:pt>
                <c:pt idx="172">
                  <c:v>40330</c:v>
                </c:pt>
                <c:pt idx="173">
                  <c:v>40422</c:v>
                </c:pt>
                <c:pt idx="174">
                  <c:v>40513</c:v>
                </c:pt>
                <c:pt idx="175">
                  <c:v>40603</c:v>
                </c:pt>
                <c:pt idx="176">
                  <c:v>40695</c:v>
                </c:pt>
                <c:pt idx="177">
                  <c:v>40787</c:v>
                </c:pt>
                <c:pt idx="178">
                  <c:v>40878</c:v>
                </c:pt>
                <c:pt idx="179">
                  <c:v>40969</c:v>
                </c:pt>
                <c:pt idx="180">
                  <c:v>41061</c:v>
                </c:pt>
                <c:pt idx="181">
                  <c:v>41153</c:v>
                </c:pt>
                <c:pt idx="182">
                  <c:v>41244</c:v>
                </c:pt>
                <c:pt idx="183">
                  <c:v>41334</c:v>
                </c:pt>
                <c:pt idx="184">
                  <c:v>41426</c:v>
                </c:pt>
                <c:pt idx="185">
                  <c:v>41518</c:v>
                </c:pt>
                <c:pt idx="186">
                  <c:v>41609</c:v>
                </c:pt>
              </c:numCache>
            </c:numRef>
          </c:cat>
          <c:val>
            <c:numRef>
              <c:f>'Spliced data'!$D$2:$D$188</c:f>
              <c:numCache>
                <c:formatCode>General</c:formatCode>
                <c:ptCount val="187"/>
                <c:pt idx="0">
                  <c:v>1.6948166666666667E-2</c:v>
                </c:pt>
                <c:pt idx="1">
                  <c:v>1.7542500000000003E-2</c:v>
                </c:pt>
                <c:pt idx="2">
                  <c:v>1.4808266666666667E-2</c:v>
                </c:pt>
                <c:pt idx="3">
                  <c:v>1.6573566666666668E-2</c:v>
                </c:pt>
                <c:pt idx="4">
                  <c:v>1.5326466666666668E-2</c:v>
                </c:pt>
                <c:pt idx="5">
                  <c:v>1.5690533333333333E-2</c:v>
                </c:pt>
                <c:pt idx="6">
                  <c:v>1.4988566666666666E-2</c:v>
                </c:pt>
                <c:pt idx="7">
                  <c:v>1.5979366666666665E-2</c:v>
                </c:pt>
                <c:pt idx="8">
                  <c:v>1.6953533333333329E-2</c:v>
                </c:pt>
                <c:pt idx="9">
                  <c:v>1.5519900000000001E-2</c:v>
                </c:pt>
                <c:pt idx="10">
                  <c:v>1.7357633333333334E-2</c:v>
                </c:pt>
                <c:pt idx="11">
                  <c:v>1.8502833333333333E-2</c:v>
                </c:pt>
                <c:pt idx="12">
                  <c:v>1.9638033333333332E-2</c:v>
                </c:pt>
                <c:pt idx="13">
                  <c:v>2.0845066666666665E-2</c:v>
                </c:pt>
                <c:pt idx="14">
                  <c:v>2.0614200000000003E-2</c:v>
                </c:pt>
                <c:pt idx="15">
                  <c:v>2.16908E-2</c:v>
                </c:pt>
                <c:pt idx="16">
                  <c:v>2.2989300000000001E-2</c:v>
                </c:pt>
                <c:pt idx="17">
                  <c:v>2.1717133333333333E-2</c:v>
                </c:pt>
                <c:pt idx="18">
                  <c:v>2.2117766666666667E-2</c:v>
                </c:pt>
                <c:pt idx="19">
                  <c:v>2.1753333333333333E-2</c:v>
                </c:pt>
                <c:pt idx="20">
                  <c:v>2.1541400000000002E-2</c:v>
                </c:pt>
                <c:pt idx="21">
                  <c:v>2.0734100000000002E-2</c:v>
                </c:pt>
                <c:pt idx="22">
                  <c:v>2.0397800000000001E-2</c:v>
                </c:pt>
                <c:pt idx="23">
                  <c:v>2.0820766666666667E-2</c:v>
                </c:pt>
                <c:pt idx="24">
                  <c:v>2.0693799999999998E-2</c:v>
                </c:pt>
                <c:pt idx="25">
                  <c:v>2.0488000000000003E-2</c:v>
                </c:pt>
                <c:pt idx="26">
                  <c:v>2.0081499999999999E-2</c:v>
                </c:pt>
                <c:pt idx="27">
                  <c:v>2.13887E-2</c:v>
                </c:pt>
                <c:pt idx="28">
                  <c:v>2.3499799999999998E-2</c:v>
                </c:pt>
                <c:pt idx="29">
                  <c:v>2.4302100000000004E-2</c:v>
                </c:pt>
                <c:pt idx="30">
                  <c:v>2.6043899999999998E-2</c:v>
                </c:pt>
                <c:pt idx="31">
                  <c:v>2.6266766666666663E-2</c:v>
                </c:pt>
                <c:pt idx="32">
                  <c:v>2.72448E-2</c:v>
                </c:pt>
                <c:pt idx="33">
                  <c:v>2.7939733333333331E-2</c:v>
                </c:pt>
                <c:pt idx="34">
                  <c:v>2.6827299999999998E-2</c:v>
                </c:pt>
                <c:pt idx="35">
                  <c:v>2.6800933333333336E-2</c:v>
                </c:pt>
                <c:pt idx="36">
                  <c:v>2.7886533333333335E-2</c:v>
                </c:pt>
                <c:pt idx="37">
                  <c:v>2.6978666666666668E-2</c:v>
                </c:pt>
                <c:pt idx="38">
                  <c:v>2.6829166666666668E-2</c:v>
                </c:pt>
                <c:pt idx="39">
                  <c:v>2.7233833333333332E-2</c:v>
                </c:pt>
                <c:pt idx="40">
                  <c:v>2.5453266666666668E-2</c:v>
                </c:pt>
                <c:pt idx="41">
                  <c:v>2.5394266666666665E-2</c:v>
                </c:pt>
                <c:pt idx="42">
                  <c:v>2.5159533333333334E-2</c:v>
                </c:pt>
                <c:pt idx="43">
                  <c:v>2.5079599999999997E-2</c:v>
                </c:pt>
                <c:pt idx="44">
                  <c:v>2.4552866666666669E-2</c:v>
                </c:pt>
                <c:pt idx="45">
                  <c:v>2.4661366666666667E-2</c:v>
                </c:pt>
                <c:pt idx="46">
                  <c:v>2.3891233333333334E-2</c:v>
                </c:pt>
                <c:pt idx="47">
                  <c:v>2.3718400000000001E-2</c:v>
                </c:pt>
                <c:pt idx="48">
                  <c:v>2.4171866666666667E-2</c:v>
                </c:pt>
                <c:pt idx="49">
                  <c:v>2.4520233333333332E-2</c:v>
                </c:pt>
                <c:pt idx="50">
                  <c:v>2.41888E-2</c:v>
                </c:pt>
                <c:pt idx="51">
                  <c:v>2.6192766666666669E-2</c:v>
                </c:pt>
                <c:pt idx="52">
                  <c:v>2.63422E-2</c:v>
                </c:pt>
                <c:pt idx="53">
                  <c:v>2.7194633333333332E-2</c:v>
                </c:pt>
                <c:pt idx="54">
                  <c:v>2.7354466666666671E-2</c:v>
                </c:pt>
                <c:pt idx="55">
                  <c:v>2.6113366666666665E-2</c:v>
                </c:pt>
                <c:pt idx="56">
                  <c:v>2.70228E-2</c:v>
                </c:pt>
                <c:pt idx="57">
                  <c:v>2.9147800000000001E-2</c:v>
                </c:pt>
                <c:pt idx="58">
                  <c:v>2.9910433333333333E-2</c:v>
                </c:pt>
                <c:pt idx="59">
                  <c:v>3.06553E-2</c:v>
                </c:pt>
                <c:pt idx="60">
                  <c:v>3.0816133333333332E-2</c:v>
                </c:pt>
                <c:pt idx="61">
                  <c:v>3.3035500000000002E-2</c:v>
                </c:pt>
                <c:pt idx="62">
                  <c:v>2.9178533333333329E-2</c:v>
                </c:pt>
                <c:pt idx="63">
                  <c:v>3.2401566666666666E-2</c:v>
                </c:pt>
                <c:pt idx="64">
                  <c:v>3.0262800000000003E-2</c:v>
                </c:pt>
                <c:pt idx="65">
                  <c:v>2.7924899999999999E-2</c:v>
                </c:pt>
                <c:pt idx="66">
                  <c:v>2.8133566666666665E-2</c:v>
                </c:pt>
                <c:pt idx="67">
                  <c:v>2.8368600000000004E-2</c:v>
                </c:pt>
                <c:pt idx="68">
                  <c:v>2.8054999999999997E-2</c:v>
                </c:pt>
                <c:pt idx="69">
                  <c:v>2.9940300000000003E-2</c:v>
                </c:pt>
                <c:pt idx="70">
                  <c:v>2.7835133333333335E-2</c:v>
                </c:pt>
                <c:pt idx="71">
                  <c:v>2.8084300000000003E-2</c:v>
                </c:pt>
                <c:pt idx="72">
                  <c:v>2.703963333333333E-2</c:v>
                </c:pt>
                <c:pt idx="73">
                  <c:v>2.7212166666666666E-2</c:v>
                </c:pt>
                <c:pt idx="74">
                  <c:v>2.7608066666666667E-2</c:v>
                </c:pt>
                <c:pt idx="75">
                  <c:v>2.7119633333333334E-2</c:v>
                </c:pt>
                <c:pt idx="76">
                  <c:v>2.5706266666666668E-2</c:v>
                </c:pt>
                <c:pt idx="77">
                  <c:v>2.5067666666666665E-2</c:v>
                </c:pt>
                <c:pt idx="78">
                  <c:v>2.5732666666666668E-2</c:v>
                </c:pt>
                <c:pt idx="79">
                  <c:v>2.5809499999999999E-2</c:v>
                </c:pt>
                <c:pt idx="80">
                  <c:v>2.3931933333333336E-2</c:v>
                </c:pt>
                <c:pt idx="81">
                  <c:v>2.3581366666666669E-2</c:v>
                </c:pt>
                <c:pt idx="82">
                  <c:v>2.3020099999999998E-2</c:v>
                </c:pt>
                <c:pt idx="83">
                  <c:v>2.2664933333333331E-2</c:v>
                </c:pt>
                <c:pt idx="84">
                  <c:v>2.2621499999999999E-2</c:v>
                </c:pt>
                <c:pt idx="85">
                  <c:v>2.1085333333333331E-2</c:v>
                </c:pt>
                <c:pt idx="86">
                  <c:v>2.1942233333333335E-2</c:v>
                </c:pt>
                <c:pt idx="87">
                  <c:v>2.3270566666666669E-2</c:v>
                </c:pt>
                <c:pt idx="88">
                  <c:v>2.2929966666666666E-2</c:v>
                </c:pt>
                <c:pt idx="89">
                  <c:v>2.2955733333333336E-2</c:v>
                </c:pt>
                <c:pt idx="90">
                  <c:v>2.2643966666666668E-2</c:v>
                </c:pt>
                <c:pt idx="91">
                  <c:v>2.1762933333333335E-2</c:v>
                </c:pt>
                <c:pt idx="92">
                  <c:v>2.3214891398246489E-2</c:v>
                </c:pt>
                <c:pt idx="93">
                  <c:v>2.513470718663938E-2</c:v>
                </c:pt>
                <c:pt idx="94">
                  <c:v>2.6015303750173756E-2</c:v>
                </c:pt>
                <c:pt idx="95">
                  <c:v>2.6983475297423093E-2</c:v>
                </c:pt>
                <c:pt idx="96">
                  <c:v>2.7664492958463183E-2</c:v>
                </c:pt>
                <c:pt idx="97">
                  <c:v>2.7421862050452116E-2</c:v>
                </c:pt>
                <c:pt idx="98">
                  <c:v>2.8735358682032513E-2</c:v>
                </c:pt>
                <c:pt idx="99">
                  <c:v>2.8801532921056961E-2</c:v>
                </c:pt>
                <c:pt idx="100">
                  <c:v>3.1205701598464763E-2</c:v>
                </c:pt>
                <c:pt idx="101">
                  <c:v>2.9916409633088448E-2</c:v>
                </c:pt>
                <c:pt idx="102">
                  <c:v>3.0099484872550555E-2</c:v>
                </c:pt>
                <c:pt idx="103">
                  <c:v>2.8339426997330622E-2</c:v>
                </c:pt>
                <c:pt idx="104">
                  <c:v>2.8241824588035605E-2</c:v>
                </c:pt>
                <c:pt idx="105">
                  <c:v>2.7619818009977714E-2</c:v>
                </c:pt>
                <c:pt idx="106">
                  <c:v>2.8334708927121074E-2</c:v>
                </c:pt>
                <c:pt idx="107">
                  <c:v>3.1643092054617988E-2</c:v>
                </c:pt>
                <c:pt idx="108">
                  <c:v>3.0914487061706467E-2</c:v>
                </c:pt>
                <c:pt idx="109">
                  <c:v>3.0712837057270289E-2</c:v>
                </c:pt>
                <c:pt idx="110">
                  <c:v>2.9264635211334173E-2</c:v>
                </c:pt>
                <c:pt idx="111">
                  <c:v>2.7744586141790647E-2</c:v>
                </c:pt>
                <c:pt idx="112">
                  <c:v>2.9598723073074984E-2</c:v>
                </c:pt>
                <c:pt idx="113">
                  <c:v>2.9094855161656261E-2</c:v>
                </c:pt>
                <c:pt idx="114">
                  <c:v>2.9026137441482681E-2</c:v>
                </c:pt>
                <c:pt idx="115">
                  <c:v>2.8745276620183668E-2</c:v>
                </c:pt>
                <c:pt idx="116">
                  <c:v>2.8247900008812291E-2</c:v>
                </c:pt>
                <c:pt idx="117">
                  <c:v>2.8236764355975368E-2</c:v>
                </c:pt>
                <c:pt idx="118">
                  <c:v>2.8487206382962271E-2</c:v>
                </c:pt>
                <c:pt idx="119">
                  <c:v>2.7483405341590401E-2</c:v>
                </c:pt>
                <c:pt idx="120">
                  <c:v>2.6490838559674105E-2</c:v>
                </c:pt>
                <c:pt idx="121">
                  <c:v>2.6795204240232805E-2</c:v>
                </c:pt>
                <c:pt idx="122">
                  <c:v>2.4964060503863902E-2</c:v>
                </c:pt>
                <c:pt idx="123">
                  <c:v>2.5542831109698797E-2</c:v>
                </c:pt>
                <c:pt idx="124">
                  <c:v>2.4146866438311782E-2</c:v>
                </c:pt>
                <c:pt idx="125">
                  <c:v>2.466160360685167E-2</c:v>
                </c:pt>
                <c:pt idx="126">
                  <c:v>2.4747408703264081E-2</c:v>
                </c:pt>
                <c:pt idx="127">
                  <c:v>2.435963994603112E-2</c:v>
                </c:pt>
                <c:pt idx="128">
                  <c:v>2.2927723968068216E-2</c:v>
                </c:pt>
                <c:pt idx="129">
                  <c:v>2.3841985018033345E-2</c:v>
                </c:pt>
                <c:pt idx="130">
                  <c:v>2.3573051944531891E-2</c:v>
                </c:pt>
                <c:pt idx="131">
                  <c:v>2.3184357784090042E-2</c:v>
                </c:pt>
                <c:pt idx="132">
                  <c:v>2.2843604657009992E-2</c:v>
                </c:pt>
                <c:pt idx="133">
                  <c:v>2.167265836149419E-2</c:v>
                </c:pt>
                <c:pt idx="134">
                  <c:v>2.1607103293370844E-2</c:v>
                </c:pt>
                <c:pt idx="135">
                  <c:v>2.3028986887352786E-2</c:v>
                </c:pt>
                <c:pt idx="136">
                  <c:v>2.3403366682107057E-2</c:v>
                </c:pt>
                <c:pt idx="137">
                  <c:v>2.4982868424584196E-2</c:v>
                </c:pt>
                <c:pt idx="138">
                  <c:v>2.7589760386876643E-2</c:v>
                </c:pt>
                <c:pt idx="139">
                  <c:v>2.6440811761235722E-2</c:v>
                </c:pt>
                <c:pt idx="140">
                  <c:v>2.6248522454127052E-2</c:v>
                </c:pt>
                <c:pt idx="141">
                  <c:v>2.670056251655915E-2</c:v>
                </c:pt>
                <c:pt idx="142">
                  <c:v>2.5936836237816285E-2</c:v>
                </c:pt>
                <c:pt idx="143">
                  <c:v>2.6713037537957413E-2</c:v>
                </c:pt>
                <c:pt idx="144">
                  <c:v>2.8948374396327314E-2</c:v>
                </c:pt>
                <c:pt idx="145">
                  <c:v>2.6743320927909629E-2</c:v>
                </c:pt>
                <c:pt idx="146">
                  <c:v>2.6637130014997689E-2</c:v>
                </c:pt>
                <c:pt idx="147">
                  <c:v>2.7322925155240305E-2</c:v>
                </c:pt>
                <c:pt idx="148">
                  <c:v>2.6465114355550254E-2</c:v>
                </c:pt>
                <c:pt idx="149">
                  <c:v>2.6196922273067167E-2</c:v>
                </c:pt>
                <c:pt idx="150">
                  <c:v>2.6580797475383888E-2</c:v>
                </c:pt>
                <c:pt idx="151">
                  <c:v>2.4926049441235509E-2</c:v>
                </c:pt>
                <c:pt idx="152">
                  <c:v>2.5128052475003868E-2</c:v>
                </c:pt>
                <c:pt idx="153">
                  <c:v>2.5113343697283491E-2</c:v>
                </c:pt>
                <c:pt idx="154">
                  <c:v>2.5888186008062114E-2</c:v>
                </c:pt>
                <c:pt idx="155">
                  <c:v>2.4725508857975226E-2</c:v>
                </c:pt>
                <c:pt idx="156">
                  <c:v>2.4503762726809392E-2</c:v>
                </c:pt>
                <c:pt idx="157">
                  <c:v>2.4373703704600427E-2</c:v>
                </c:pt>
                <c:pt idx="158">
                  <c:v>2.2208144609444744E-2</c:v>
                </c:pt>
                <c:pt idx="159">
                  <c:v>2.365527403124516E-2</c:v>
                </c:pt>
                <c:pt idx="160">
                  <c:v>2.1967151430470316E-2</c:v>
                </c:pt>
                <c:pt idx="161">
                  <c:v>2.243948798059615E-2</c:v>
                </c:pt>
                <c:pt idx="162">
                  <c:v>2.3770473812219747E-2</c:v>
                </c:pt>
                <c:pt idx="163">
                  <c:v>2.3944349367306317E-2</c:v>
                </c:pt>
                <c:pt idx="164">
                  <c:v>2.5924753100892688E-2</c:v>
                </c:pt>
                <c:pt idx="165">
                  <c:v>2.7806792097889724E-2</c:v>
                </c:pt>
                <c:pt idx="166">
                  <c:v>2.9456177156411661E-2</c:v>
                </c:pt>
                <c:pt idx="167">
                  <c:v>3.1723110987201437E-2</c:v>
                </c:pt>
                <c:pt idx="168">
                  <c:v>3.4852973794884626E-2</c:v>
                </c:pt>
                <c:pt idx="169">
                  <c:v>3.4626480798358228E-2</c:v>
                </c:pt>
                <c:pt idx="170">
                  <c:v>3.4760421670416534E-2</c:v>
                </c:pt>
                <c:pt idx="171">
                  <c:v>3.7030615663764643E-2</c:v>
                </c:pt>
                <c:pt idx="172">
                  <c:v>3.6311306139039067E-2</c:v>
                </c:pt>
                <c:pt idx="173">
                  <c:v>3.6127922036411936E-2</c:v>
                </c:pt>
                <c:pt idx="174">
                  <c:v>3.5584396480559111E-2</c:v>
                </c:pt>
                <c:pt idx="175">
                  <c:v>3.4325629046389243E-2</c:v>
                </c:pt>
                <c:pt idx="176">
                  <c:v>3.5168868208010823E-2</c:v>
                </c:pt>
                <c:pt idx="177">
                  <c:v>3.5533093768298607E-2</c:v>
                </c:pt>
                <c:pt idx="178">
                  <c:v>3.2396239654405551E-2</c:v>
                </c:pt>
                <c:pt idx="179">
                  <c:v>3.3678069065789344E-2</c:v>
                </c:pt>
                <c:pt idx="180">
                  <c:v>3.2953084688659866E-2</c:v>
                </c:pt>
                <c:pt idx="181">
                  <c:v>3.2199686284792021E-2</c:v>
                </c:pt>
                <c:pt idx="182">
                  <c:v>3.3663841272571243E-2</c:v>
                </c:pt>
                <c:pt idx="183">
                  <c:v>3.1358409452341689E-2</c:v>
                </c:pt>
                <c:pt idx="184">
                  <c:v>2.999915584371618E-2</c:v>
                </c:pt>
                <c:pt idx="185">
                  <c:v>2.9493601083125955E-2</c:v>
                </c:pt>
                <c:pt idx="18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67296"/>
        <c:axId val="38168832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172160"/>
        <c:axId val="38170624"/>
      </c:lineChart>
      <c:dateAx>
        <c:axId val="38167296"/>
        <c:scaling>
          <c:orientation val="minMax"/>
        </c:scaling>
        <c:delete val="0"/>
        <c:axPos val="b"/>
        <c:numFmt formatCode="\ 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8832"/>
        <c:crosses val="min"/>
        <c:auto val="1"/>
        <c:lblOffset val="100"/>
        <c:baseTimeUnit val="months"/>
        <c:majorUnit val="60"/>
        <c:majorTimeUnit val="months"/>
      </c:dateAx>
      <c:valAx>
        <c:axId val="38168832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67296"/>
        <c:crosses val="autoZero"/>
        <c:crossBetween val="between"/>
      </c:valAx>
      <c:valAx>
        <c:axId val="38170624"/>
        <c:scaling>
          <c:orientation val="minMax"/>
          <c:max val="0.04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172160"/>
        <c:crosses val="max"/>
        <c:crossBetween val="between"/>
        <c:majorUnit val="5.0000000000000001E-3"/>
        <c:minorUnit val="1E-3"/>
      </c:valAx>
      <c:catAx>
        <c:axId val="38172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170624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xMode val="edge"/>
          <c:yMode val="edge"/>
          <c:x val="1.49980181573716E-2"/>
          <c:y val="5.0112204242912801E-2"/>
          <c:w val="0.97000396368525699"/>
          <c:h val="0.94988779575708704"/>
        </c:manualLayout>
      </c:layout>
      <c:lineChart>
        <c:grouping val="standard"/>
        <c:varyColors val="0"/>
        <c:ser>
          <c:idx val="0"/>
          <c:order val="0"/>
          <c:tx>
            <c:strRef>
              <c:f>'Spliced data'!$E$1</c:f>
              <c:strCache>
                <c:ptCount val="1"/>
                <c:pt idx="0">
                  <c:v>P[UN]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'Spliced data'!$A$2:$A$188</c:f>
              <c:numCache>
                <c:formatCode>m/d/yyyy</c:formatCode>
                <c:ptCount val="187"/>
                <c:pt idx="0">
                  <c:v>24624</c:v>
                </c:pt>
                <c:pt idx="1">
                  <c:v>24716</c:v>
                </c:pt>
                <c:pt idx="2">
                  <c:v>24807</c:v>
                </c:pt>
                <c:pt idx="3">
                  <c:v>24898</c:v>
                </c:pt>
                <c:pt idx="4">
                  <c:v>24990</c:v>
                </c:pt>
                <c:pt idx="5">
                  <c:v>25082</c:v>
                </c:pt>
                <c:pt idx="6">
                  <c:v>25173</c:v>
                </c:pt>
                <c:pt idx="7">
                  <c:v>25263</c:v>
                </c:pt>
                <c:pt idx="8">
                  <c:v>25355</c:v>
                </c:pt>
                <c:pt idx="9">
                  <c:v>25447</c:v>
                </c:pt>
                <c:pt idx="10">
                  <c:v>25538</c:v>
                </c:pt>
                <c:pt idx="11">
                  <c:v>25628</c:v>
                </c:pt>
                <c:pt idx="12">
                  <c:v>25720</c:v>
                </c:pt>
                <c:pt idx="13">
                  <c:v>25812</c:v>
                </c:pt>
                <c:pt idx="14">
                  <c:v>25903</c:v>
                </c:pt>
                <c:pt idx="15">
                  <c:v>25993</c:v>
                </c:pt>
                <c:pt idx="16">
                  <c:v>26085</c:v>
                </c:pt>
                <c:pt idx="17">
                  <c:v>26177</c:v>
                </c:pt>
                <c:pt idx="18">
                  <c:v>26268</c:v>
                </c:pt>
                <c:pt idx="19">
                  <c:v>26359</c:v>
                </c:pt>
                <c:pt idx="20">
                  <c:v>26451</c:v>
                </c:pt>
                <c:pt idx="21">
                  <c:v>26543</c:v>
                </c:pt>
                <c:pt idx="22">
                  <c:v>26634</c:v>
                </c:pt>
                <c:pt idx="23">
                  <c:v>26724</c:v>
                </c:pt>
                <c:pt idx="24">
                  <c:v>26816</c:v>
                </c:pt>
                <c:pt idx="25">
                  <c:v>26908</c:v>
                </c:pt>
                <c:pt idx="26">
                  <c:v>26999</c:v>
                </c:pt>
                <c:pt idx="27">
                  <c:v>27089</c:v>
                </c:pt>
                <c:pt idx="28">
                  <c:v>27181</c:v>
                </c:pt>
                <c:pt idx="29">
                  <c:v>27273</c:v>
                </c:pt>
                <c:pt idx="30">
                  <c:v>27364</c:v>
                </c:pt>
                <c:pt idx="31">
                  <c:v>27454</c:v>
                </c:pt>
                <c:pt idx="32">
                  <c:v>27546</c:v>
                </c:pt>
                <c:pt idx="33">
                  <c:v>27638</c:v>
                </c:pt>
                <c:pt idx="34">
                  <c:v>27729</c:v>
                </c:pt>
                <c:pt idx="35">
                  <c:v>27820</c:v>
                </c:pt>
                <c:pt idx="36">
                  <c:v>27912</c:v>
                </c:pt>
                <c:pt idx="37">
                  <c:v>28004</c:v>
                </c:pt>
                <c:pt idx="38">
                  <c:v>28095</c:v>
                </c:pt>
                <c:pt idx="39">
                  <c:v>28185</c:v>
                </c:pt>
                <c:pt idx="40">
                  <c:v>28277</c:v>
                </c:pt>
                <c:pt idx="41">
                  <c:v>28369</c:v>
                </c:pt>
                <c:pt idx="42">
                  <c:v>28460</c:v>
                </c:pt>
                <c:pt idx="43">
                  <c:v>28550</c:v>
                </c:pt>
                <c:pt idx="44">
                  <c:v>28642</c:v>
                </c:pt>
                <c:pt idx="45">
                  <c:v>28734</c:v>
                </c:pt>
                <c:pt idx="46">
                  <c:v>28825</c:v>
                </c:pt>
                <c:pt idx="47">
                  <c:v>28915</c:v>
                </c:pt>
                <c:pt idx="48">
                  <c:v>29007</c:v>
                </c:pt>
                <c:pt idx="49">
                  <c:v>29099</c:v>
                </c:pt>
                <c:pt idx="50">
                  <c:v>29190</c:v>
                </c:pt>
                <c:pt idx="51">
                  <c:v>29281</c:v>
                </c:pt>
                <c:pt idx="52">
                  <c:v>29373</c:v>
                </c:pt>
                <c:pt idx="53">
                  <c:v>29465</c:v>
                </c:pt>
                <c:pt idx="54">
                  <c:v>29556</c:v>
                </c:pt>
                <c:pt idx="55">
                  <c:v>29646</c:v>
                </c:pt>
                <c:pt idx="56">
                  <c:v>29738</c:v>
                </c:pt>
                <c:pt idx="57">
                  <c:v>29830</c:v>
                </c:pt>
                <c:pt idx="58">
                  <c:v>29921</c:v>
                </c:pt>
                <c:pt idx="59">
                  <c:v>30011</c:v>
                </c:pt>
                <c:pt idx="60">
                  <c:v>30103</c:v>
                </c:pt>
                <c:pt idx="61">
                  <c:v>30195</c:v>
                </c:pt>
                <c:pt idx="62">
                  <c:v>30286</c:v>
                </c:pt>
                <c:pt idx="63">
                  <c:v>30376</c:v>
                </c:pt>
                <c:pt idx="64">
                  <c:v>30468</c:v>
                </c:pt>
                <c:pt idx="65">
                  <c:v>30560</c:v>
                </c:pt>
                <c:pt idx="66">
                  <c:v>30651</c:v>
                </c:pt>
                <c:pt idx="67">
                  <c:v>30742</c:v>
                </c:pt>
                <c:pt idx="68">
                  <c:v>30834</c:v>
                </c:pt>
                <c:pt idx="69">
                  <c:v>30926</c:v>
                </c:pt>
                <c:pt idx="70">
                  <c:v>31017</c:v>
                </c:pt>
                <c:pt idx="71">
                  <c:v>31107</c:v>
                </c:pt>
                <c:pt idx="72">
                  <c:v>31199</c:v>
                </c:pt>
                <c:pt idx="73">
                  <c:v>31291</c:v>
                </c:pt>
                <c:pt idx="74">
                  <c:v>31382</c:v>
                </c:pt>
                <c:pt idx="75">
                  <c:v>31472</c:v>
                </c:pt>
                <c:pt idx="76">
                  <c:v>31564</c:v>
                </c:pt>
                <c:pt idx="77">
                  <c:v>31656</c:v>
                </c:pt>
                <c:pt idx="78">
                  <c:v>31747</c:v>
                </c:pt>
                <c:pt idx="79">
                  <c:v>31837</c:v>
                </c:pt>
                <c:pt idx="80">
                  <c:v>31929</c:v>
                </c:pt>
                <c:pt idx="81">
                  <c:v>32021</c:v>
                </c:pt>
                <c:pt idx="82">
                  <c:v>32112</c:v>
                </c:pt>
                <c:pt idx="83">
                  <c:v>32203</c:v>
                </c:pt>
                <c:pt idx="84">
                  <c:v>32295</c:v>
                </c:pt>
                <c:pt idx="85">
                  <c:v>32387</c:v>
                </c:pt>
                <c:pt idx="86">
                  <c:v>32478</c:v>
                </c:pt>
                <c:pt idx="87">
                  <c:v>32568</c:v>
                </c:pt>
                <c:pt idx="88">
                  <c:v>32660</c:v>
                </c:pt>
                <c:pt idx="89">
                  <c:v>32752</c:v>
                </c:pt>
                <c:pt idx="90">
                  <c:v>32843</c:v>
                </c:pt>
                <c:pt idx="91">
                  <c:v>32933</c:v>
                </c:pt>
                <c:pt idx="92">
                  <c:v>33025</c:v>
                </c:pt>
                <c:pt idx="93">
                  <c:v>33117</c:v>
                </c:pt>
                <c:pt idx="94">
                  <c:v>33208</c:v>
                </c:pt>
                <c:pt idx="95">
                  <c:v>33298</c:v>
                </c:pt>
                <c:pt idx="96">
                  <c:v>33390</c:v>
                </c:pt>
                <c:pt idx="97">
                  <c:v>33482</c:v>
                </c:pt>
                <c:pt idx="98">
                  <c:v>33573</c:v>
                </c:pt>
                <c:pt idx="99">
                  <c:v>33664</c:v>
                </c:pt>
                <c:pt idx="100">
                  <c:v>33756</c:v>
                </c:pt>
                <c:pt idx="101">
                  <c:v>33848</c:v>
                </c:pt>
                <c:pt idx="102">
                  <c:v>33939</c:v>
                </c:pt>
                <c:pt idx="103">
                  <c:v>34029</c:v>
                </c:pt>
                <c:pt idx="104">
                  <c:v>34121</c:v>
                </c:pt>
                <c:pt idx="105">
                  <c:v>34213</c:v>
                </c:pt>
                <c:pt idx="106">
                  <c:v>34304</c:v>
                </c:pt>
                <c:pt idx="107">
                  <c:v>34394</c:v>
                </c:pt>
                <c:pt idx="108">
                  <c:v>34486</c:v>
                </c:pt>
                <c:pt idx="109">
                  <c:v>34578</c:v>
                </c:pt>
                <c:pt idx="110">
                  <c:v>34669</c:v>
                </c:pt>
                <c:pt idx="111">
                  <c:v>34759</c:v>
                </c:pt>
                <c:pt idx="112">
                  <c:v>34851</c:v>
                </c:pt>
                <c:pt idx="113">
                  <c:v>34943</c:v>
                </c:pt>
                <c:pt idx="114">
                  <c:v>35034</c:v>
                </c:pt>
                <c:pt idx="115">
                  <c:v>35125</c:v>
                </c:pt>
                <c:pt idx="116">
                  <c:v>35217</c:v>
                </c:pt>
                <c:pt idx="117">
                  <c:v>35309</c:v>
                </c:pt>
                <c:pt idx="118">
                  <c:v>35400</c:v>
                </c:pt>
                <c:pt idx="119">
                  <c:v>35490</c:v>
                </c:pt>
                <c:pt idx="120">
                  <c:v>35582</c:v>
                </c:pt>
                <c:pt idx="121">
                  <c:v>35674</c:v>
                </c:pt>
                <c:pt idx="122">
                  <c:v>35765</c:v>
                </c:pt>
                <c:pt idx="123">
                  <c:v>35855</c:v>
                </c:pt>
                <c:pt idx="124">
                  <c:v>35947</c:v>
                </c:pt>
                <c:pt idx="125">
                  <c:v>36039</c:v>
                </c:pt>
                <c:pt idx="126">
                  <c:v>36130</c:v>
                </c:pt>
                <c:pt idx="127">
                  <c:v>36220</c:v>
                </c:pt>
                <c:pt idx="128">
                  <c:v>36312</c:v>
                </c:pt>
                <c:pt idx="129">
                  <c:v>36404</c:v>
                </c:pt>
                <c:pt idx="130">
                  <c:v>36495</c:v>
                </c:pt>
                <c:pt idx="131">
                  <c:v>36586</c:v>
                </c:pt>
                <c:pt idx="132">
                  <c:v>36678</c:v>
                </c:pt>
                <c:pt idx="133">
                  <c:v>36770</c:v>
                </c:pt>
                <c:pt idx="134">
                  <c:v>36861</c:v>
                </c:pt>
                <c:pt idx="135">
                  <c:v>36951</c:v>
                </c:pt>
                <c:pt idx="136">
                  <c:v>37043</c:v>
                </c:pt>
                <c:pt idx="137">
                  <c:v>37135</c:v>
                </c:pt>
                <c:pt idx="138">
                  <c:v>37226</c:v>
                </c:pt>
                <c:pt idx="139">
                  <c:v>37316</c:v>
                </c:pt>
                <c:pt idx="140">
                  <c:v>37408</c:v>
                </c:pt>
                <c:pt idx="141">
                  <c:v>37500</c:v>
                </c:pt>
                <c:pt idx="142">
                  <c:v>37591</c:v>
                </c:pt>
                <c:pt idx="143">
                  <c:v>37681</c:v>
                </c:pt>
                <c:pt idx="144">
                  <c:v>37773</c:v>
                </c:pt>
                <c:pt idx="145">
                  <c:v>37865</c:v>
                </c:pt>
                <c:pt idx="146">
                  <c:v>37956</c:v>
                </c:pt>
                <c:pt idx="147">
                  <c:v>38047</c:v>
                </c:pt>
                <c:pt idx="148">
                  <c:v>38139</c:v>
                </c:pt>
                <c:pt idx="149">
                  <c:v>38231</c:v>
                </c:pt>
                <c:pt idx="150">
                  <c:v>38322</c:v>
                </c:pt>
                <c:pt idx="151">
                  <c:v>38412</c:v>
                </c:pt>
                <c:pt idx="152">
                  <c:v>38504</c:v>
                </c:pt>
                <c:pt idx="153">
                  <c:v>38596</c:v>
                </c:pt>
                <c:pt idx="154">
                  <c:v>38687</c:v>
                </c:pt>
                <c:pt idx="155">
                  <c:v>38777</c:v>
                </c:pt>
                <c:pt idx="156">
                  <c:v>38869</c:v>
                </c:pt>
                <c:pt idx="157">
                  <c:v>38961</c:v>
                </c:pt>
                <c:pt idx="158">
                  <c:v>39052</c:v>
                </c:pt>
                <c:pt idx="159">
                  <c:v>39142</c:v>
                </c:pt>
                <c:pt idx="160">
                  <c:v>39234</c:v>
                </c:pt>
                <c:pt idx="161">
                  <c:v>39326</c:v>
                </c:pt>
                <c:pt idx="162">
                  <c:v>39417</c:v>
                </c:pt>
                <c:pt idx="163">
                  <c:v>39508</c:v>
                </c:pt>
                <c:pt idx="164">
                  <c:v>39600</c:v>
                </c:pt>
                <c:pt idx="165">
                  <c:v>39692</c:v>
                </c:pt>
                <c:pt idx="166">
                  <c:v>39783</c:v>
                </c:pt>
                <c:pt idx="167">
                  <c:v>39873</c:v>
                </c:pt>
                <c:pt idx="168">
                  <c:v>39965</c:v>
                </c:pt>
                <c:pt idx="169">
                  <c:v>40057</c:v>
                </c:pt>
                <c:pt idx="170">
                  <c:v>40148</c:v>
                </c:pt>
                <c:pt idx="171">
                  <c:v>40238</c:v>
                </c:pt>
                <c:pt idx="172">
                  <c:v>40330</c:v>
                </c:pt>
                <c:pt idx="173">
                  <c:v>40422</c:v>
                </c:pt>
                <c:pt idx="174">
                  <c:v>40513</c:v>
                </c:pt>
                <c:pt idx="175">
                  <c:v>40603</c:v>
                </c:pt>
                <c:pt idx="176">
                  <c:v>40695</c:v>
                </c:pt>
                <c:pt idx="177">
                  <c:v>40787</c:v>
                </c:pt>
                <c:pt idx="178">
                  <c:v>40878</c:v>
                </c:pt>
                <c:pt idx="179">
                  <c:v>40969</c:v>
                </c:pt>
                <c:pt idx="180">
                  <c:v>41061</c:v>
                </c:pt>
                <c:pt idx="181">
                  <c:v>41153</c:v>
                </c:pt>
                <c:pt idx="182">
                  <c:v>41244</c:v>
                </c:pt>
                <c:pt idx="183">
                  <c:v>41334</c:v>
                </c:pt>
                <c:pt idx="184">
                  <c:v>41426</c:v>
                </c:pt>
                <c:pt idx="185">
                  <c:v>41518</c:v>
                </c:pt>
                <c:pt idx="186">
                  <c:v>41609</c:v>
                </c:pt>
              </c:numCache>
            </c:numRef>
          </c:cat>
          <c:val>
            <c:numRef>
              <c:f>'Spliced data'!$E$2:$E$188</c:f>
              <c:numCache>
                <c:formatCode>General</c:formatCode>
                <c:ptCount val="187"/>
                <c:pt idx="0">
                  <c:v>0.28093039999999997</c:v>
                </c:pt>
                <c:pt idx="1">
                  <c:v>0.27246296666666669</c:v>
                </c:pt>
                <c:pt idx="2">
                  <c:v>0.28853750000000006</c:v>
                </c:pt>
                <c:pt idx="3">
                  <c:v>0.27671583333333333</c:v>
                </c:pt>
                <c:pt idx="4">
                  <c:v>0.28180386666666668</c:v>
                </c:pt>
                <c:pt idx="5">
                  <c:v>0.2882847</c:v>
                </c:pt>
                <c:pt idx="6">
                  <c:v>0.30179450000000002</c:v>
                </c:pt>
                <c:pt idx="7">
                  <c:v>0.29412969999999999</c:v>
                </c:pt>
                <c:pt idx="8">
                  <c:v>0.27857473333333332</c:v>
                </c:pt>
                <c:pt idx="9">
                  <c:v>0.29077526666666664</c:v>
                </c:pt>
                <c:pt idx="10">
                  <c:v>0.27292983333333332</c:v>
                </c:pt>
                <c:pt idx="11">
                  <c:v>0.24800029999999998</c:v>
                </c:pt>
                <c:pt idx="12">
                  <c:v>0.24588570000000001</c:v>
                </c:pt>
                <c:pt idx="13">
                  <c:v>0.22057673333333336</c:v>
                </c:pt>
                <c:pt idx="14">
                  <c:v>0.22918563333333333</c:v>
                </c:pt>
                <c:pt idx="15">
                  <c:v>0.24213683333333336</c:v>
                </c:pt>
                <c:pt idx="16">
                  <c:v>0.24939056666666667</c:v>
                </c:pt>
                <c:pt idx="17">
                  <c:v>0.24340103333333332</c:v>
                </c:pt>
                <c:pt idx="18">
                  <c:v>0.24171333333333334</c:v>
                </c:pt>
                <c:pt idx="19">
                  <c:v>0.24036203333333331</c:v>
                </c:pt>
                <c:pt idx="20">
                  <c:v>0.24053663333333333</c:v>
                </c:pt>
                <c:pt idx="21">
                  <c:v>0.25203339999999996</c:v>
                </c:pt>
                <c:pt idx="22">
                  <c:v>0.27246793333333336</c:v>
                </c:pt>
                <c:pt idx="23">
                  <c:v>0.2703373</c:v>
                </c:pt>
                <c:pt idx="24">
                  <c:v>0.26552376666666666</c:v>
                </c:pt>
                <c:pt idx="25">
                  <c:v>0.26063400000000003</c:v>
                </c:pt>
                <c:pt idx="26">
                  <c:v>0.24125943333333333</c:v>
                </c:pt>
                <c:pt idx="27">
                  <c:v>0.25440740000000001</c:v>
                </c:pt>
                <c:pt idx="28">
                  <c:v>0.23943079999999997</c:v>
                </c:pt>
                <c:pt idx="29">
                  <c:v>0.23391289999999998</c:v>
                </c:pt>
                <c:pt idx="30">
                  <c:v>0.20300526666666666</c:v>
                </c:pt>
                <c:pt idx="31">
                  <c:v>0.19492136666666668</c:v>
                </c:pt>
                <c:pt idx="32">
                  <c:v>0.20113463333333334</c:v>
                </c:pt>
                <c:pt idx="33">
                  <c:v>0.21421143333333334</c:v>
                </c:pt>
                <c:pt idx="34">
                  <c:v>0.2024832</c:v>
                </c:pt>
                <c:pt idx="35">
                  <c:v>0.21184829999999999</c:v>
                </c:pt>
                <c:pt idx="36">
                  <c:v>0.21534833333333334</c:v>
                </c:pt>
                <c:pt idx="37">
                  <c:v>0.21193116666666667</c:v>
                </c:pt>
                <c:pt idx="38">
                  <c:v>0.20427606666666667</c:v>
                </c:pt>
                <c:pt idx="39">
                  <c:v>0.22789053333333334</c:v>
                </c:pt>
                <c:pt idx="40">
                  <c:v>0.22348523333333334</c:v>
                </c:pt>
                <c:pt idx="41">
                  <c:v>0.22307913333333337</c:v>
                </c:pt>
                <c:pt idx="42">
                  <c:v>0.22942223333333334</c:v>
                </c:pt>
                <c:pt idx="43">
                  <c:v>0.23291166666666666</c:v>
                </c:pt>
                <c:pt idx="44">
                  <c:v>0.23720096666666668</c:v>
                </c:pt>
                <c:pt idx="45">
                  <c:v>0.22751803333333334</c:v>
                </c:pt>
                <c:pt idx="46">
                  <c:v>0.22959850000000001</c:v>
                </c:pt>
                <c:pt idx="47">
                  <c:v>0.23801206666666666</c:v>
                </c:pt>
                <c:pt idx="48">
                  <c:v>0.22448576666666667</c:v>
                </c:pt>
                <c:pt idx="49">
                  <c:v>0.22099956666666665</c:v>
                </c:pt>
                <c:pt idx="50">
                  <c:v>0.23446296666666666</c:v>
                </c:pt>
                <c:pt idx="51">
                  <c:v>0.20343730000000002</c:v>
                </c:pt>
                <c:pt idx="52">
                  <c:v>0.19763920000000001</c:v>
                </c:pt>
                <c:pt idx="53">
                  <c:v>0.19526503333333334</c:v>
                </c:pt>
                <c:pt idx="54">
                  <c:v>0.20351160000000001</c:v>
                </c:pt>
                <c:pt idx="55">
                  <c:v>0.2004456</c:v>
                </c:pt>
                <c:pt idx="56">
                  <c:v>0.21275896666666663</c:v>
                </c:pt>
                <c:pt idx="57">
                  <c:v>0.19963803333333333</c:v>
                </c:pt>
                <c:pt idx="58">
                  <c:v>0.19708866666666669</c:v>
                </c:pt>
                <c:pt idx="59">
                  <c:v>0.18400910000000001</c:v>
                </c:pt>
                <c:pt idx="60">
                  <c:v>0.1813989</c:v>
                </c:pt>
                <c:pt idx="61">
                  <c:v>0.17169206666666667</c:v>
                </c:pt>
                <c:pt idx="62">
                  <c:v>0.1689842</c:v>
                </c:pt>
                <c:pt idx="63">
                  <c:v>0.17942416666666669</c:v>
                </c:pt>
                <c:pt idx="64">
                  <c:v>0.18989466666666668</c:v>
                </c:pt>
                <c:pt idx="65">
                  <c:v>0.19205543333333333</c:v>
                </c:pt>
                <c:pt idx="66">
                  <c:v>0.20161573333333335</c:v>
                </c:pt>
                <c:pt idx="67">
                  <c:v>0.19858863333333332</c:v>
                </c:pt>
                <c:pt idx="68">
                  <c:v>0.21020030000000001</c:v>
                </c:pt>
                <c:pt idx="69">
                  <c:v>0.21527963333333333</c:v>
                </c:pt>
                <c:pt idx="70">
                  <c:v>0.20607513333333335</c:v>
                </c:pt>
                <c:pt idx="71">
                  <c:v>0.20903923333333332</c:v>
                </c:pt>
                <c:pt idx="72">
                  <c:v>0.21233120000000003</c:v>
                </c:pt>
                <c:pt idx="73">
                  <c:v>0.21389963333333331</c:v>
                </c:pt>
                <c:pt idx="74">
                  <c:v>0.21558440000000001</c:v>
                </c:pt>
                <c:pt idx="75">
                  <c:v>0.20056286666666667</c:v>
                </c:pt>
                <c:pt idx="76">
                  <c:v>0.21159316666666669</c:v>
                </c:pt>
                <c:pt idx="77">
                  <c:v>0.20201500000000003</c:v>
                </c:pt>
                <c:pt idx="78">
                  <c:v>0.20416489999999998</c:v>
                </c:pt>
                <c:pt idx="79">
                  <c:v>0.21026556666666665</c:v>
                </c:pt>
                <c:pt idx="80">
                  <c:v>0.20864786666666665</c:v>
                </c:pt>
                <c:pt idx="81">
                  <c:v>0.2141391</c:v>
                </c:pt>
                <c:pt idx="82">
                  <c:v>0.21685953333333333</c:v>
                </c:pt>
                <c:pt idx="83">
                  <c:v>0.21114599999999997</c:v>
                </c:pt>
                <c:pt idx="84">
                  <c:v>0.20747669999999999</c:v>
                </c:pt>
                <c:pt idx="85">
                  <c:v>0.21951790000000002</c:v>
                </c:pt>
                <c:pt idx="86">
                  <c:v>0.22332529999999998</c:v>
                </c:pt>
                <c:pt idx="87">
                  <c:v>0.21656963333333334</c:v>
                </c:pt>
                <c:pt idx="88">
                  <c:v>0.2057129</c:v>
                </c:pt>
                <c:pt idx="89">
                  <c:v>0.21106336666666667</c:v>
                </c:pt>
                <c:pt idx="90">
                  <c:v>0.21899866666666665</c:v>
                </c:pt>
                <c:pt idx="91">
                  <c:v>0.20963963333333333</c:v>
                </c:pt>
                <c:pt idx="92">
                  <c:v>0.20368828362201449</c:v>
                </c:pt>
                <c:pt idx="93">
                  <c:v>0.19951282183883437</c:v>
                </c:pt>
                <c:pt idx="94">
                  <c:v>0.19291766432215143</c:v>
                </c:pt>
                <c:pt idx="95">
                  <c:v>0.19093996424373261</c:v>
                </c:pt>
                <c:pt idx="96">
                  <c:v>0.18318264143120064</c:v>
                </c:pt>
                <c:pt idx="97">
                  <c:v>0.18743829228791251</c:v>
                </c:pt>
                <c:pt idx="98">
                  <c:v>0.18658573640542042</c:v>
                </c:pt>
                <c:pt idx="99">
                  <c:v>0.17115794232066472</c:v>
                </c:pt>
                <c:pt idx="100">
                  <c:v>0.17478450762827691</c:v>
                </c:pt>
                <c:pt idx="101">
                  <c:v>0.18070403781108044</c:v>
                </c:pt>
                <c:pt idx="102">
                  <c:v>0.18530872473392254</c:v>
                </c:pt>
                <c:pt idx="103">
                  <c:v>0.18978993418191778</c:v>
                </c:pt>
                <c:pt idx="104">
                  <c:v>0.17431826224022498</c:v>
                </c:pt>
                <c:pt idx="105">
                  <c:v>0.19143777267744524</c:v>
                </c:pt>
                <c:pt idx="106">
                  <c:v>0.19240897955906741</c:v>
                </c:pt>
                <c:pt idx="107">
                  <c:v>0.208438769429967</c:v>
                </c:pt>
                <c:pt idx="108">
                  <c:v>0.23369498469599073</c:v>
                </c:pt>
                <c:pt idx="109">
                  <c:v>0.22607999362313436</c:v>
                </c:pt>
                <c:pt idx="110">
                  <c:v>0.23094844692150521</c:v>
                </c:pt>
                <c:pt idx="111">
                  <c:v>0.22666116978680093</c:v>
                </c:pt>
                <c:pt idx="112">
                  <c:v>0.22749334519735778</c:v>
                </c:pt>
                <c:pt idx="113">
                  <c:v>0.22902529673234159</c:v>
                </c:pt>
                <c:pt idx="114">
                  <c:v>0.23489816272747835</c:v>
                </c:pt>
                <c:pt idx="115">
                  <c:v>0.23078890003067731</c:v>
                </c:pt>
                <c:pt idx="116">
                  <c:v>0.23617754492329937</c:v>
                </c:pt>
                <c:pt idx="117">
                  <c:v>0.23056814931440259</c:v>
                </c:pt>
                <c:pt idx="118">
                  <c:v>0.21996764594963233</c:v>
                </c:pt>
                <c:pt idx="119">
                  <c:v>0.2242618642775509</c:v>
                </c:pt>
                <c:pt idx="120">
                  <c:v>0.23257936413978561</c:v>
                </c:pt>
                <c:pt idx="121">
                  <c:v>0.23683021951474773</c:v>
                </c:pt>
                <c:pt idx="122">
                  <c:v>0.23561850340418708</c:v>
                </c:pt>
                <c:pt idx="123">
                  <c:v>0.24783922693713922</c:v>
                </c:pt>
                <c:pt idx="124">
                  <c:v>0.23582890378074661</c:v>
                </c:pt>
                <c:pt idx="125">
                  <c:v>0.23490861921194939</c:v>
                </c:pt>
                <c:pt idx="126">
                  <c:v>0.25072760576623998</c:v>
                </c:pt>
                <c:pt idx="127">
                  <c:v>0.24289878169777435</c:v>
                </c:pt>
                <c:pt idx="128">
                  <c:v>0.243403335739065</c:v>
                </c:pt>
                <c:pt idx="129">
                  <c:v>0.22812150286305252</c:v>
                </c:pt>
                <c:pt idx="130">
                  <c:v>0.24480501054203638</c:v>
                </c:pt>
                <c:pt idx="131">
                  <c:v>0.23809073471530551</c:v>
                </c:pt>
                <c:pt idx="132">
                  <c:v>0.25146396284118</c:v>
                </c:pt>
                <c:pt idx="133">
                  <c:v>0.2437669794214592</c:v>
                </c:pt>
                <c:pt idx="134">
                  <c:v>0.2267997597620898</c:v>
                </c:pt>
                <c:pt idx="135">
                  <c:v>0.23481312470823454</c:v>
                </c:pt>
                <c:pt idx="136">
                  <c:v>0.23802169564774323</c:v>
                </c:pt>
                <c:pt idx="137">
                  <c:v>0.22184420399581484</c:v>
                </c:pt>
                <c:pt idx="138">
                  <c:v>0.21323369602850342</c:v>
                </c:pt>
                <c:pt idx="139">
                  <c:v>0.20515859422568594</c:v>
                </c:pt>
                <c:pt idx="140">
                  <c:v>0.20747299015438839</c:v>
                </c:pt>
                <c:pt idx="141">
                  <c:v>0.21529777584268658</c:v>
                </c:pt>
                <c:pt idx="142">
                  <c:v>0.21434301937207259</c:v>
                </c:pt>
                <c:pt idx="143">
                  <c:v>0.22490122143286936</c:v>
                </c:pt>
                <c:pt idx="144">
                  <c:v>0.20855449324536535</c:v>
                </c:pt>
                <c:pt idx="145">
                  <c:v>0.21834569584807814</c:v>
                </c:pt>
                <c:pt idx="146">
                  <c:v>0.21858709998760847</c:v>
                </c:pt>
                <c:pt idx="147">
                  <c:v>0.22051336209131603</c:v>
                </c:pt>
                <c:pt idx="148">
                  <c:v>0.21875863759585354</c:v>
                </c:pt>
                <c:pt idx="149">
                  <c:v>0.233778386916911</c:v>
                </c:pt>
                <c:pt idx="150">
                  <c:v>0.22228997374483681</c:v>
                </c:pt>
                <c:pt idx="151">
                  <c:v>0.22078295931215139</c:v>
                </c:pt>
                <c:pt idx="152">
                  <c:v>0.23038652416642891</c:v>
                </c:pt>
                <c:pt idx="153">
                  <c:v>0.23869395310312122</c:v>
                </c:pt>
                <c:pt idx="154">
                  <c:v>0.24504732410478458</c:v>
                </c:pt>
                <c:pt idx="155">
                  <c:v>0.2422935659364864</c:v>
                </c:pt>
                <c:pt idx="156">
                  <c:v>0.24618641446940173</c:v>
                </c:pt>
                <c:pt idx="157">
                  <c:v>0.24132224473046704</c:v>
                </c:pt>
                <c:pt idx="158">
                  <c:v>0.23600229088322591</c:v>
                </c:pt>
                <c:pt idx="159">
                  <c:v>0.23610194499226086</c:v>
                </c:pt>
                <c:pt idx="160">
                  <c:v>0.22897292679034689</c:v>
                </c:pt>
                <c:pt idx="161">
                  <c:v>0.22554065315422664</c:v>
                </c:pt>
                <c:pt idx="162">
                  <c:v>0.22314389213564234</c:v>
                </c:pt>
                <c:pt idx="163">
                  <c:v>0.22568337144288222</c:v>
                </c:pt>
                <c:pt idx="164">
                  <c:v>0.22612297717128382</c:v>
                </c:pt>
                <c:pt idx="165">
                  <c:v>0.21290848500197057</c:v>
                </c:pt>
                <c:pt idx="166">
                  <c:v>0.21015917303846102</c:v>
                </c:pt>
                <c:pt idx="167">
                  <c:v>0.19440505074017911</c:v>
                </c:pt>
                <c:pt idx="168">
                  <c:v>0.18136711643752956</c:v>
                </c:pt>
                <c:pt idx="169">
                  <c:v>0.18823199777518637</c:v>
                </c:pt>
                <c:pt idx="170">
                  <c:v>0.18652854841752772</c:v>
                </c:pt>
                <c:pt idx="171">
                  <c:v>0.18740989422817131</c:v>
                </c:pt>
                <c:pt idx="172">
                  <c:v>0.19398861544249299</c:v>
                </c:pt>
                <c:pt idx="173">
                  <c:v>0.19877689891257011</c:v>
                </c:pt>
                <c:pt idx="174">
                  <c:v>0.19983853422652909</c:v>
                </c:pt>
                <c:pt idx="175">
                  <c:v>0.20676418852210224</c:v>
                </c:pt>
                <c:pt idx="176">
                  <c:v>0.20370803236796242</c:v>
                </c:pt>
                <c:pt idx="177">
                  <c:v>0.20847719254219702</c:v>
                </c:pt>
                <c:pt idx="178">
                  <c:v>0.20002997821360313</c:v>
                </c:pt>
                <c:pt idx="179">
                  <c:v>0.21294897160722834</c:v>
                </c:pt>
                <c:pt idx="180">
                  <c:v>0.20965729190578652</c:v>
                </c:pt>
                <c:pt idx="181">
                  <c:v>0.22170107135525399</c:v>
                </c:pt>
                <c:pt idx="182">
                  <c:v>0.22890570064917801</c:v>
                </c:pt>
                <c:pt idx="183">
                  <c:v>0.22069682675900612</c:v>
                </c:pt>
                <c:pt idx="184">
                  <c:v>0.20948736637086221</c:v>
                </c:pt>
                <c:pt idx="185">
                  <c:v>0.22251011651249228</c:v>
                </c:pt>
                <c:pt idx="18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091968"/>
        <c:axId val="229097856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9100928"/>
        <c:axId val="229099392"/>
      </c:lineChart>
      <c:dateAx>
        <c:axId val="229091968"/>
        <c:scaling>
          <c:orientation val="minMax"/>
        </c:scaling>
        <c:delete val="0"/>
        <c:axPos val="b"/>
        <c:numFmt formatCode="\ 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097856"/>
        <c:crosses val="min"/>
        <c:auto val="1"/>
        <c:lblOffset val="100"/>
        <c:baseTimeUnit val="months"/>
        <c:majorUnit val="60"/>
        <c:majorTimeUnit val="months"/>
      </c:dateAx>
      <c:valAx>
        <c:axId val="22909785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091968"/>
        <c:crosses val="autoZero"/>
        <c:crossBetween val="between"/>
      </c:valAx>
      <c:valAx>
        <c:axId val="229099392"/>
        <c:scaling>
          <c:orientation val="minMax"/>
          <c:max val="0.35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9100928"/>
        <c:crosses val="max"/>
        <c:crossBetween val="between"/>
        <c:majorUnit val="0.05"/>
        <c:minorUnit val="0.01"/>
      </c:valAx>
      <c:catAx>
        <c:axId val="2291009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29099392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xMode val="edge"/>
          <c:yMode val="edge"/>
          <c:x val="1.49980181573716E-2"/>
          <c:y val="5.0112204242912801E-2"/>
          <c:w val="0.97000396368525699"/>
          <c:h val="0.94988779575708704"/>
        </c:manualLayout>
      </c:layout>
      <c:lineChart>
        <c:grouping val="standard"/>
        <c:varyColors val="0"/>
        <c:ser>
          <c:idx val="0"/>
          <c:order val="0"/>
          <c:tx>
            <c:strRef>
              <c:f>'Spliced data'!$F$1</c:f>
              <c:strCache>
                <c:ptCount val="1"/>
                <c:pt idx="0">
                  <c:v>P[EN]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'Spliced data'!$A$2:$A$188</c:f>
              <c:numCache>
                <c:formatCode>m/d/yyyy</c:formatCode>
                <c:ptCount val="187"/>
                <c:pt idx="0">
                  <c:v>24624</c:v>
                </c:pt>
                <c:pt idx="1">
                  <c:v>24716</c:v>
                </c:pt>
                <c:pt idx="2">
                  <c:v>24807</c:v>
                </c:pt>
                <c:pt idx="3">
                  <c:v>24898</c:v>
                </c:pt>
                <c:pt idx="4">
                  <c:v>24990</c:v>
                </c:pt>
                <c:pt idx="5">
                  <c:v>25082</c:v>
                </c:pt>
                <c:pt idx="6">
                  <c:v>25173</c:v>
                </c:pt>
                <c:pt idx="7">
                  <c:v>25263</c:v>
                </c:pt>
                <c:pt idx="8">
                  <c:v>25355</c:v>
                </c:pt>
                <c:pt idx="9">
                  <c:v>25447</c:v>
                </c:pt>
                <c:pt idx="10">
                  <c:v>25538</c:v>
                </c:pt>
                <c:pt idx="11">
                  <c:v>25628</c:v>
                </c:pt>
                <c:pt idx="12">
                  <c:v>25720</c:v>
                </c:pt>
                <c:pt idx="13">
                  <c:v>25812</c:v>
                </c:pt>
                <c:pt idx="14">
                  <c:v>25903</c:v>
                </c:pt>
                <c:pt idx="15">
                  <c:v>25993</c:v>
                </c:pt>
                <c:pt idx="16">
                  <c:v>26085</c:v>
                </c:pt>
                <c:pt idx="17">
                  <c:v>26177</c:v>
                </c:pt>
                <c:pt idx="18">
                  <c:v>26268</c:v>
                </c:pt>
                <c:pt idx="19">
                  <c:v>26359</c:v>
                </c:pt>
                <c:pt idx="20">
                  <c:v>26451</c:v>
                </c:pt>
                <c:pt idx="21">
                  <c:v>26543</c:v>
                </c:pt>
                <c:pt idx="22">
                  <c:v>26634</c:v>
                </c:pt>
                <c:pt idx="23">
                  <c:v>26724</c:v>
                </c:pt>
                <c:pt idx="24">
                  <c:v>26816</c:v>
                </c:pt>
                <c:pt idx="25">
                  <c:v>26908</c:v>
                </c:pt>
                <c:pt idx="26">
                  <c:v>26999</c:v>
                </c:pt>
                <c:pt idx="27">
                  <c:v>27089</c:v>
                </c:pt>
                <c:pt idx="28">
                  <c:v>27181</c:v>
                </c:pt>
                <c:pt idx="29">
                  <c:v>27273</c:v>
                </c:pt>
                <c:pt idx="30">
                  <c:v>27364</c:v>
                </c:pt>
                <c:pt idx="31">
                  <c:v>27454</c:v>
                </c:pt>
                <c:pt idx="32">
                  <c:v>27546</c:v>
                </c:pt>
                <c:pt idx="33">
                  <c:v>27638</c:v>
                </c:pt>
                <c:pt idx="34">
                  <c:v>27729</c:v>
                </c:pt>
                <c:pt idx="35">
                  <c:v>27820</c:v>
                </c:pt>
                <c:pt idx="36">
                  <c:v>27912</c:v>
                </c:pt>
                <c:pt idx="37">
                  <c:v>28004</c:v>
                </c:pt>
                <c:pt idx="38">
                  <c:v>28095</c:v>
                </c:pt>
                <c:pt idx="39">
                  <c:v>28185</c:v>
                </c:pt>
                <c:pt idx="40">
                  <c:v>28277</c:v>
                </c:pt>
                <c:pt idx="41">
                  <c:v>28369</c:v>
                </c:pt>
                <c:pt idx="42">
                  <c:v>28460</c:v>
                </c:pt>
                <c:pt idx="43">
                  <c:v>28550</c:v>
                </c:pt>
                <c:pt idx="44">
                  <c:v>28642</c:v>
                </c:pt>
                <c:pt idx="45">
                  <c:v>28734</c:v>
                </c:pt>
                <c:pt idx="46">
                  <c:v>28825</c:v>
                </c:pt>
                <c:pt idx="47">
                  <c:v>28915</c:v>
                </c:pt>
                <c:pt idx="48">
                  <c:v>29007</c:v>
                </c:pt>
                <c:pt idx="49">
                  <c:v>29099</c:v>
                </c:pt>
                <c:pt idx="50">
                  <c:v>29190</c:v>
                </c:pt>
                <c:pt idx="51">
                  <c:v>29281</c:v>
                </c:pt>
                <c:pt idx="52">
                  <c:v>29373</c:v>
                </c:pt>
                <c:pt idx="53">
                  <c:v>29465</c:v>
                </c:pt>
                <c:pt idx="54">
                  <c:v>29556</c:v>
                </c:pt>
                <c:pt idx="55">
                  <c:v>29646</c:v>
                </c:pt>
                <c:pt idx="56">
                  <c:v>29738</c:v>
                </c:pt>
                <c:pt idx="57">
                  <c:v>29830</c:v>
                </c:pt>
                <c:pt idx="58">
                  <c:v>29921</c:v>
                </c:pt>
                <c:pt idx="59">
                  <c:v>30011</c:v>
                </c:pt>
                <c:pt idx="60">
                  <c:v>30103</c:v>
                </c:pt>
                <c:pt idx="61">
                  <c:v>30195</c:v>
                </c:pt>
                <c:pt idx="62">
                  <c:v>30286</c:v>
                </c:pt>
                <c:pt idx="63">
                  <c:v>30376</c:v>
                </c:pt>
                <c:pt idx="64">
                  <c:v>30468</c:v>
                </c:pt>
                <c:pt idx="65">
                  <c:v>30560</c:v>
                </c:pt>
                <c:pt idx="66">
                  <c:v>30651</c:v>
                </c:pt>
                <c:pt idx="67">
                  <c:v>30742</c:v>
                </c:pt>
                <c:pt idx="68">
                  <c:v>30834</c:v>
                </c:pt>
                <c:pt idx="69">
                  <c:v>30926</c:v>
                </c:pt>
                <c:pt idx="70">
                  <c:v>31017</c:v>
                </c:pt>
                <c:pt idx="71">
                  <c:v>31107</c:v>
                </c:pt>
                <c:pt idx="72">
                  <c:v>31199</c:v>
                </c:pt>
                <c:pt idx="73">
                  <c:v>31291</c:v>
                </c:pt>
                <c:pt idx="74">
                  <c:v>31382</c:v>
                </c:pt>
                <c:pt idx="75">
                  <c:v>31472</c:v>
                </c:pt>
                <c:pt idx="76">
                  <c:v>31564</c:v>
                </c:pt>
                <c:pt idx="77">
                  <c:v>31656</c:v>
                </c:pt>
                <c:pt idx="78">
                  <c:v>31747</c:v>
                </c:pt>
                <c:pt idx="79">
                  <c:v>31837</c:v>
                </c:pt>
                <c:pt idx="80">
                  <c:v>31929</c:v>
                </c:pt>
                <c:pt idx="81">
                  <c:v>32021</c:v>
                </c:pt>
                <c:pt idx="82">
                  <c:v>32112</c:v>
                </c:pt>
                <c:pt idx="83">
                  <c:v>32203</c:v>
                </c:pt>
                <c:pt idx="84">
                  <c:v>32295</c:v>
                </c:pt>
                <c:pt idx="85">
                  <c:v>32387</c:v>
                </c:pt>
                <c:pt idx="86">
                  <c:v>32478</c:v>
                </c:pt>
                <c:pt idx="87">
                  <c:v>32568</c:v>
                </c:pt>
                <c:pt idx="88">
                  <c:v>32660</c:v>
                </c:pt>
                <c:pt idx="89">
                  <c:v>32752</c:v>
                </c:pt>
                <c:pt idx="90">
                  <c:v>32843</c:v>
                </c:pt>
                <c:pt idx="91">
                  <c:v>32933</c:v>
                </c:pt>
                <c:pt idx="92">
                  <c:v>33025</c:v>
                </c:pt>
                <c:pt idx="93">
                  <c:v>33117</c:v>
                </c:pt>
                <c:pt idx="94">
                  <c:v>33208</c:v>
                </c:pt>
                <c:pt idx="95">
                  <c:v>33298</c:v>
                </c:pt>
                <c:pt idx="96">
                  <c:v>33390</c:v>
                </c:pt>
                <c:pt idx="97">
                  <c:v>33482</c:v>
                </c:pt>
                <c:pt idx="98">
                  <c:v>33573</c:v>
                </c:pt>
                <c:pt idx="99">
                  <c:v>33664</c:v>
                </c:pt>
                <c:pt idx="100">
                  <c:v>33756</c:v>
                </c:pt>
                <c:pt idx="101">
                  <c:v>33848</c:v>
                </c:pt>
                <c:pt idx="102">
                  <c:v>33939</c:v>
                </c:pt>
                <c:pt idx="103">
                  <c:v>34029</c:v>
                </c:pt>
                <c:pt idx="104">
                  <c:v>34121</c:v>
                </c:pt>
                <c:pt idx="105">
                  <c:v>34213</c:v>
                </c:pt>
                <c:pt idx="106">
                  <c:v>34304</c:v>
                </c:pt>
                <c:pt idx="107">
                  <c:v>34394</c:v>
                </c:pt>
                <c:pt idx="108">
                  <c:v>34486</c:v>
                </c:pt>
                <c:pt idx="109">
                  <c:v>34578</c:v>
                </c:pt>
                <c:pt idx="110">
                  <c:v>34669</c:v>
                </c:pt>
                <c:pt idx="111">
                  <c:v>34759</c:v>
                </c:pt>
                <c:pt idx="112">
                  <c:v>34851</c:v>
                </c:pt>
                <c:pt idx="113">
                  <c:v>34943</c:v>
                </c:pt>
                <c:pt idx="114">
                  <c:v>35034</c:v>
                </c:pt>
                <c:pt idx="115">
                  <c:v>35125</c:v>
                </c:pt>
                <c:pt idx="116">
                  <c:v>35217</c:v>
                </c:pt>
                <c:pt idx="117">
                  <c:v>35309</c:v>
                </c:pt>
                <c:pt idx="118">
                  <c:v>35400</c:v>
                </c:pt>
                <c:pt idx="119">
                  <c:v>35490</c:v>
                </c:pt>
                <c:pt idx="120">
                  <c:v>35582</c:v>
                </c:pt>
                <c:pt idx="121">
                  <c:v>35674</c:v>
                </c:pt>
                <c:pt idx="122">
                  <c:v>35765</c:v>
                </c:pt>
                <c:pt idx="123">
                  <c:v>35855</c:v>
                </c:pt>
                <c:pt idx="124">
                  <c:v>35947</c:v>
                </c:pt>
                <c:pt idx="125">
                  <c:v>36039</c:v>
                </c:pt>
                <c:pt idx="126">
                  <c:v>36130</c:v>
                </c:pt>
                <c:pt idx="127">
                  <c:v>36220</c:v>
                </c:pt>
                <c:pt idx="128">
                  <c:v>36312</c:v>
                </c:pt>
                <c:pt idx="129">
                  <c:v>36404</c:v>
                </c:pt>
                <c:pt idx="130">
                  <c:v>36495</c:v>
                </c:pt>
                <c:pt idx="131">
                  <c:v>36586</c:v>
                </c:pt>
                <c:pt idx="132">
                  <c:v>36678</c:v>
                </c:pt>
                <c:pt idx="133">
                  <c:v>36770</c:v>
                </c:pt>
                <c:pt idx="134">
                  <c:v>36861</c:v>
                </c:pt>
                <c:pt idx="135">
                  <c:v>36951</c:v>
                </c:pt>
                <c:pt idx="136">
                  <c:v>37043</c:v>
                </c:pt>
                <c:pt idx="137">
                  <c:v>37135</c:v>
                </c:pt>
                <c:pt idx="138">
                  <c:v>37226</c:v>
                </c:pt>
                <c:pt idx="139">
                  <c:v>37316</c:v>
                </c:pt>
                <c:pt idx="140">
                  <c:v>37408</c:v>
                </c:pt>
                <c:pt idx="141">
                  <c:v>37500</c:v>
                </c:pt>
                <c:pt idx="142">
                  <c:v>37591</c:v>
                </c:pt>
                <c:pt idx="143">
                  <c:v>37681</c:v>
                </c:pt>
                <c:pt idx="144">
                  <c:v>37773</c:v>
                </c:pt>
                <c:pt idx="145">
                  <c:v>37865</c:v>
                </c:pt>
                <c:pt idx="146">
                  <c:v>37956</c:v>
                </c:pt>
                <c:pt idx="147">
                  <c:v>38047</c:v>
                </c:pt>
                <c:pt idx="148">
                  <c:v>38139</c:v>
                </c:pt>
                <c:pt idx="149">
                  <c:v>38231</c:v>
                </c:pt>
                <c:pt idx="150">
                  <c:v>38322</c:v>
                </c:pt>
                <c:pt idx="151">
                  <c:v>38412</c:v>
                </c:pt>
                <c:pt idx="152">
                  <c:v>38504</c:v>
                </c:pt>
                <c:pt idx="153">
                  <c:v>38596</c:v>
                </c:pt>
                <c:pt idx="154">
                  <c:v>38687</c:v>
                </c:pt>
                <c:pt idx="155">
                  <c:v>38777</c:v>
                </c:pt>
                <c:pt idx="156">
                  <c:v>38869</c:v>
                </c:pt>
                <c:pt idx="157">
                  <c:v>38961</c:v>
                </c:pt>
                <c:pt idx="158">
                  <c:v>39052</c:v>
                </c:pt>
                <c:pt idx="159">
                  <c:v>39142</c:v>
                </c:pt>
                <c:pt idx="160">
                  <c:v>39234</c:v>
                </c:pt>
                <c:pt idx="161">
                  <c:v>39326</c:v>
                </c:pt>
                <c:pt idx="162">
                  <c:v>39417</c:v>
                </c:pt>
                <c:pt idx="163">
                  <c:v>39508</c:v>
                </c:pt>
                <c:pt idx="164">
                  <c:v>39600</c:v>
                </c:pt>
                <c:pt idx="165">
                  <c:v>39692</c:v>
                </c:pt>
                <c:pt idx="166">
                  <c:v>39783</c:v>
                </c:pt>
                <c:pt idx="167">
                  <c:v>39873</c:v>
                </c:pt>
                <c:pt idx="168">
                  <c:v>39965</c:v>
                </c:pt>
                <c:pt idx="169">
                  <c:v>40057</c:v>
                </c:pt>
                <c:pt idx="170">
                  <c:v>40148</c:v>
                </c:pt>
                <c:pt idx="171">
                  <c:v>40238</c:v>
                </c:pt>
                <c:pt idx="172">
                  <c:v>40330</c:v>
                </c:pt>
                <c:pt idx="173">
                  <c:v>40422</c:v>
                </c:pt>
                <c:pt idx="174">
                  <c:v>40513</c:v>
                </c:pt>
                <c:pt idx="175">
                  <c:v>40603</c:v>
                </c:pt>
                <c:pt idx="176">
                  <c:v>40695</c:v>
                </c:pt>
                <c:pt idx="177">
                  <c:v>40787</c:v>
                </c:pt>
                <c:pt idx="178">
                  <c:v>40878</c:v>
                </c:pt>
                <c:pt idx="179">
                  <c:v>40969</c:v>
                </c:pt>
                <c:pt idx="180">
                  <c:v>41061</c:v>
                </c:pt>
                <c:pt idx="181">
                  <c:v>41153</c:v>
                </c:pt>
                <c:pt idx="182">
                  <c:v>41244</c:v>
                </c:pt>
                <c:pt idx="183">
                  <c:v>41334</c:v>
                </c:pt>
                <c:pt idx="184">
                  <c:v>41426</c:v>
                </c:pt>
                <c:pt idx="185">
                  <c:v>41518</c:v>
                </c:pt>
                <c:pt idx="186">
                  <c:v>41609</c:v>
                </c:pt>
              </c:numCache>
            </c:numRef>
          </c:cat>
          <c:val>
            <c:numRef>
              <c:f>'Spliced data'!$F$2:$F$188</c:f>
              <c:numCache>
                <c:formatCode>General</c:formatCode>
                <c:ptCount val="187"/>
                <c:pt idx="0">
                  <c:v>3.9330766666666662E-2</c:v>
                </c:pt>
                <c:pt idx="1">
                  <c:v>4.0142666666666667E-2</c:v>
                </c:pt>
                <c:pt idx="2">
                  <c:v>3.9901899999999997E-2</c:v>
                </c:pt>
                <c:pt idx="3">
                  <c:v>3.8934066666666663E-2</c:v>
                </c:pt>
                <c:pt idx="4">
                  <c:v>4.2792900000000002E-2</c:v>
                </c:pt>
                <c:pt idx="5">
                  <c:v>4.1321733333333333E-2</c:v>
                </c:pt>
                <c:pt idx="6">
                  <c:v>3.9664633333333331E-2</c:v>
                </c:pt>
                <c:pt idx="7">
                  <c:v>3.872013333333333E-2</c:v>
                </c:pt>
                <c:pt idx="8">
                  <c:v>4.0349166666666665E-2</c:v>
                </c:pt>
                <c:pt idx="9">
                  <c:v>4.1202866666666671E-2</c:v>
                </c:pt>
                <c:pt idx="10">
                  <c:v>3.7398600000000004E-2</c:v>
                </c:pt>
                <c:pt idx="11">
                  <c:v>3.5654633333333331E-2</c:v>
                </c:pt>
                <c:pt idx="12">
                  <c:v>3.8040433333333332E-2</c:v>
                </c:pt>
                <c:pt idx="13">
                  <c:v>3.8214599999999994E-2</c:v>
                </c:pt>
                <c:pt idx="14">
                  <c:v>3.4665533333333332E-2</c:v>
                </c:pt>
                <c:pt idx="15">
                  <c:v>3.571563333333333E-2</c:v>
                </c:pt>
                <c:pt idx="16">
                  <c:v>3.7521333333333337E-2</c:v>
                </c:pt>
                <c:pt idx="17">
                  <c:v>3.4555000000000002E-2</c:v>
                </c:pt>
                <c:pt idx="18">
                  <c:v>3.5433566666666666E-2</c:v>
                </c:pt>
                <c:pt idx="19">
                  <c:v>3.5889533333333334E-2</c:v>
                </c:pt>
                <c:pt idx="20">
                  <c:v>3.6327966666666663E-2</c:v>
                </c:pt>
                <c:pt idx="21">
                  <c:v>3.6576333333333336E-2</c:v>
                </c:pt>
                <c:pt idx="22">
                  <c:v>3.6675933333333334E-2</c:v>
                </c:pt>
                <c:pt idx="23">
                  <c:v>3.6982633333333334E-2</c:v>
                </c:pt>
                <c:pt idx="24">
                  <c:v>3.8170966666666667E-2</c:v>
                </c:pt>
                <c:pt idx="25">
                  <c:v>3.6150633333333335E-2</c:v>
                </c:pt>
                <c:pt idx="26">
                  <c:v>3.5267700000000006E-2</c:v>
                </c:pt>
                <c:pt idx="27">
                  <c:v>3.7026200000000002E-2</c:v>
                </c:pt>
                <c:pt idx="28">
                  <c:v>3.5744400000000003E-2</c:v>
                </c:pt>
                <c:pt idx="29">
                  <c:v>3.5517099999999996E-2</c:v>
                </c:pt>
                <c:pt idx="30">
                  <c:v>3.3883999999999997E-2</c:v>
                </c:pt>
                <c:pt idx="31">
                  <c:v>3.3546300000000001E-2</c:v>
                </c:pt>
                <c:pt idx="32">
                  <c:v>3.4688366666666665E-2</c:v>
                </c:pt>
                <c:pt idx="33">
                  <c:v>3.5066066666666666E-2</c:v>
                </c:pt>
                <c:pt idx="34">
                  <c:v>3.3516466666666668E-2</c:v>
                </c:pt>
                <c:pt idx="35">
                  <c:v>3.4443000000000001E-2</c:v>
                </c:pt>
                <c:pt idx="36">
                  <c:v>3.5679700000000002E-2</c:v>
                </c:pt>
                <c:pt idx="37">
                  <c:v>3.2992899999999999E-2</c:v>
                </c:pt>
                <c:pt idx="38">
                  <c:v>3.2261033333333335E-2</c:v>
                </c:pt>
                <c:pt idx="39">
                  <c:v>3.44596E-2</c:v>
                </c:pt>
                <c:pt idx="40">
                  <c:v>3.3578233333333339E-2</c:v>
                </c:pt>
                <c:pt idx="41">
                  <c:v>3.2468133333333336E-2</c:v>
                </c:pt>
                <c:pt idx="42">
                  <c:v>3.4160733333333332E-2</c:v>
                </c:pt>
                <c:pt idx="43">
                  <c:v>3.2312666666666663E-2</c:v>
                </c:pt>
                <c:pt idx="44">
                  <c:v>3.363943333333333E-2</c:v>
                </c:pt>
                <c:pt idx="45">
                  <c:v>3.2852266666666664E-2</c:v>
                </c:pt>
                <c:pt idx="46">
                  <c:v>3.3775366666666667E-2</c:v>
                </c:pt>
                <c:pt idx="47">
                  <c:v>3.4164333333333331E-2</c:v>
                </c:pt>
                <c:pt idx="48">
                  <c:v>3.3372000000000006E-2</c:v>
                </c:pt>
                <c:pt idx="49">
                  <c:v>3.2737866666666664E-2</c:v>
                </c:pt>
                <c:pt idx="50">
                  <c:v>3.2951966666666666E-2</c:v>
                </c:pt>
                <c:pt idx="51">
                  <c:v>3.1496599999999993E-2</c:v>
                </c:pt>
                <c:pt idx="52">
                  <c:v>3.1328133333333334E-2</c:v>
                </c:pt>
                <c:pt idx="53">
                  <c:v>3.2208533333333331E-2</c:v>
                </c:pt>
                <c:pt idx="54">
                  <c:v>2.9638933333333329E-2</c:v>
                </c:pt>
                <c:pt idx="55">
                  <c:v>3.1239666666666666E-2</c:v>
                </c:pt>
                <c:pt idx="56">
                  <c:v>3.1026766666666667E-2</c:v>
                </c:pt>
                <c:pt idx="57">
                  <c:v>3.0919266666666667E-2</c:v>
                </c:pt>
                <c:pt idx="58">
                  <c:v>2.9723599999999999E-2</c:v>
                </c:pt>
                <c:pt idx="59">
                  <c:v>2.8738133333333332E-2</c:v>
                </c:pt>
                <c:pt idx="60">
                  <c:v>3.0623533333333331E-2</c:v>
                </c:pt>
                <c:pt idx="61">
                  <c:v>2.9012033333333336E-2</c:v>
                </c:pt>
                <c:pt idx="62">
                  <c:v>2.7826E-2</c:v>
                </c:pt>
                <c:pt idx="63">
                  <c:v>2.9882800000000001E-2</c:v>
                </c:pt>
                <c:pt idx="64">
                  <c:v>2.8591133333333334E-2</c:v>
                </c:pt>
                <c:pt idx="65">
                  <c:v>2.9403466666666666E-2</c:v>
                </c:pt>
                <c:pt idx="66">
                  <c:v>3.0879199999999999E-2</c:v>
                </c:pt>
                <c:pt idx="67">
                  <c:v>2.9765166666666665E-2</c:v>
                </c:pt>
                <c:pt idx="68">
                  <c:v>3.0654899999999999E-2</c:v>
                </c:pt>
                <c:pt idx="69">
                  <c:v>3.1052399999999997E-2</c:v>
                </c:pt>
                <c:pt idx="70">
                  <c:v>3.1219200000000003E-2</c:v>
                </c:pt>
                <c:pt idx="71">
                  <c:v>3.2507633333333334E-2</c:v>
                </c:pt>
                <c:pt idx="72">
                  <c:v>2.9945299999999998E-2</c:v>
                </c:pt>
                <c:pt idx="73">
                  <c:v>2.8597533333333331E-2</c:v>
                </c:pt>
                <c:pt idx="74">
                  <c:v>3.0185533333333334E-2</c:v>
                </c:pt>
                <c:pt idx="75">
                  <c:v>2.8885533333333335E-2</c:v>
                </c:pt>
                <c:pt idx="76">
                  <c:v>2.9191733333333334E-2</c:v>
                </c:pt>
                <c:pt idx="77">
                  <c:v>2.8485766666666665E-2</c:v>
                </c:pt>
                <c:pt idx="78">
                  <c:v>2.7669366666666667E-2</c:v>
                </c:pt>
                <c:pt idx="79">
                  <c:v>2.9115166666666664E-2</c:v>
                </c:pt>
                <c:pt idx="80">
                  <c:v>2.8474833333333335E-2</c:v>
                </c:pt>
                <c:pt idx="81">
                  <c:v>2.8974233333333332E-2</c:v>
                </c:pt>
                <c:pt idx="82">
                  <c:v>2.86597E-2</c:v>
                </c:pt>
                <c:pt idx="83">
                  <c:v>3.0020199999999997E-2</c:v>
                </c:pt>
                <c:pt idx="84">
                  <c:v>2.7335100000000001E-2</c:v>
                </c:pt>
                <c:pt idx="85">
                  <c:v>2.9477300000000001E-2</c:v>
                </c:pt>
                <c:pt idx="86">
                  <c:v>2.8955666666666668E-2</c:v>
                </c:pt>
                <c:pt idx="87">
                  <c:v>2.8340866666666669E-2</c:v>
                </c:pt>
                <c:pt idx="88">
                  <c:v>2.7595066666666668E-2</c:v>
                </c:pt>
                <c:pt idx="89">
                  <c:v>2.82507E-2</c:v>
                </c:pt>
                <c:pt idx="90">
                  <c:v>3.0063533333333337E-2</c:v>
                </c:pt>
                <c:pt idx="91">
                  <c:v>2.7815566666666666E-2</c:v>
                </c:pt>
                <c:pt idx="92">
                  <c:v>2.8018612355289425E-2</c:v>
                </c:pt>
                <c:pt idx="93">
                  <c:v>2.7367034724870166E-2</c:v>
                </c:pt>
                <c:pt idx="94">
                  <c:v>2.7377110817222116E-2</c:v>
                </c:pt>
                <c:pt idx="95">
                  <c:v>2.6390825105797211E-2</c:v>
                </c:pt>
                <c:pt idx="96">
                  <c:v>2.6849627196015958E-2</c:v>
                </c:pt>
                <c:pt idx="97">
                  <c:v>2.6073450164540921E-2</c:v>
                </c:pt>
                <c:pt idx="98">
                  <c:v>2.5734061783397513E-2</c:v>
                </c:pt>
                <c:pt idx="99">
                  <c:v>2.508779415853454E-2</c:v>
                </c:pt>
                <c:pt idx="100">
                  <c:v>2.5391767182498668E-2</c:v>
                </c:pt>
                <c:pt idx="101">
                  <c:v>2.5858937632051559E-2</c:v>
                </c:pt>
                <c:pt idx="102">
                  <c:v>2.6570298205744563E-2</c:v>
                </c:pt>
                <c:pt idx="103">
                  <c:v>2.6526595398555192E-2</c:v>
                </c:pt>
                <c:pt idx="104">
                  <c:v>2.5741216144721555E-2</c:v>
                </c:pt>
                <c:pt idx="105">
                  <c:v>2.6453711539221089E-2</c:v>
                </c:pt>
                <c:pt idx="106">
                  <c:v>2.5587412471793834E-2</c:v>
                </c:pt>
                <c:pt idx="107">
                  <c:v>2.79017276500142E-2</c:v>
                </c:pt>
                <c:pt idx="108">
                  <c:v>2.6324408452308112E-2</c:v>
                </c:pt>
                <c:pt idx="109">
                  <c:v>2.6174939673203012E-2</c:v>
                </c:pt>
                <c:pt idx="110">
                  <c:v>2.7020313230669963E-2</c:v>
                </c:pt>
                <c:pt idx="111">
                  <c:v>2.5948493333726536E-2</c:v>
                </c:pt>
                <c:pt idx="112">
                  <c:v>2.7679242185635361E-2</c:v>
                </c:pt>
                <c:pt idx="113">
                  <c:v>2.656371203756976E-2</c:v>
                </c:pt>
                <c:pt idx="114">
                  <c:v>2.6804959346833471E-2</c:v>
                </c:pt>
                <c:pt idx="115">
                  <c:v>2.5698671252153221E-2</c:v>
                </c:pt>
                <c:pt idx="116">
                  <c:v>2.5350227686326308E-2</c:v>
                </c:pt>
                <c:pt idx="117">
                  <c:v>2.5838918769868668E-2</c:v>
                </c:pt>
                <c:pt idx="118">
                  <c:v>2.4953359599745688E-2</c:v>
                </c:pt>
                <c:pt idx="119">
                  <c:v>2.6242289597381868E-2</c:v>
                </c:pt>
                <c:pt idx="120">
                  <c:v>2.5840091782915187E-2</c:v>
                </c:pt>
                <c:pt idx="121">
                  <c:v>2.5196371992046756E-2</c:v>
                </c:pt>
                <c:pt idx="122">
                  <c:v>2.6041383553190037E-2</c:v>
                </c:pt>
                <c:pt idx="123">
                  <c:v>2.6164437317676953E-2</c:v>
                </c:pt>
                <c:pt idx="124">
                  <c:v>2.6693441135577034E-2</c:v>
                </c:pt>
                <c:pt idx="125">
                  <c:v>2.7941582158783267E-2</c:v>
                </c:pt>
                <c:pt idx="126">
                  <c:v>2.7926123994780071E-2</c:v>
                </c:pt>
                <c:pt idx="127">
                  <c:v>2.792299616644545E-2</c:v>
                </c:pt>
                <c:pt idx="128">
                  <c:v>2.7952475255944475E-2</c:v>
                </c:pt>
                <c:pt idx="129">
                  <c:v>2.8575293135697798E-2</c:v>
                </c:pt>
                <c:pt idx="130">
                  <c:v>2.7434513831367635E-2</c:v>
                </c:pt>
                <c:pt idx="131">
                  <c:v>2.7292880173988732E-2</c:v>
                </c:pt>
                <c:pt idx="132">
                  <c:v>2.7359890884546142E-2</c:v>
                </c:pt>
                <c:pt idx="133">
                  <c:v>2.8053579365648926E-2</c:v>
                </c:pt>
                <c:pt idx="134">
                  <c:v>2.8133291659483538E-2</c:v>
                </c:pt>
                <c:pt idx="135">
                  <c:v>2.8812698596064664E-2</c:v>
                </c:pt>
                <c:pt idx="136">
                  <c:v>2.9874573685950839E-2</c:v>
                </c:pt>
                <c:pt idx="137">
                  <c:v>3.0201415415696431E-2</c:v>
                </c:pt>
                <c:pt idx="138">
                  <c:v>2.8064900652832844E-2</c:v>
                </c:pt>
                <c:pt idx="139">
                  <c:v>2.7699440506971335E-2</c:v>
                </c:pt>
                <c:pt idx="140">
                  <c:v>2.838672423044164E-2</c:v>
                </c:pt>
                <c:pt idx="141">
                  <c:v>2.6411596462747797E-2</c:v>
                </c:pt>
                <c:pt idx="142">
                  <c:v>2.8469703530591906E-2</c:v>
                </c:pt>
                <c:pt idx="143">
                  <c:v>2.724098010866732E-2</c:v>
                </c:pt>
                <c:pt idx="144">
                  <c:v>2.6843571343708569E-2</c:v>
                </c:pt>
                <c:pt idx="145">
                  <c:v>2.8460008606087817E-2</c:v>
                </c:pt>
                <c:pt idx="146">
                  <c:v>2.7970833027312691E-2</c:v>
                </c:pt>
                <c:pt idx="147">
                  <c:v>2.7496976919118413E-2</c:v>
                </c:pt>
                <c:pt idx="148">
                  <c:v>2.7153253709498244E-2</c:v>
                </c:pt>
                <c:pt idx="149">
                  <c:v>2.8302093717761333E-2</c:v>
                </c:pt>
                <c:pt idx="150">
                  <c:v>2.8484034260374293E-2</c:v>
                </c:pt>
                <c:pt idx="151">
                  <c:v>2.7843108424187638E-2</c:v>
                </c:pt>
                <c:pt idx="152">
                  <c:v>2.7437086311414241E-2</c:v>
                </c:pt>
                <c:pt idx="153">
                  <c:v>2.7693338251720889E-2</c:v>
                </c:pt>
                <c:pt idx="154">
                  <c:v>2.8485335280420344E-2</c:v>
                </c:pt>
                <c:pt idx="155">
                  <c:v>2.7335865381688931E-2</c:v>
                </c:pt>
                <c:pt idx="156">
                  <c:v>2.8955867376168804E-2</c:v>
                </c:pt>
                <c:pt idx="157">
                  <c:v>2.8819320432490841E-2</c:v>
                </c:pt>
                <c:pt idx="158">
                  <c:v>2.8038588875936517E-2</c:v>
                </c:pt>
                <c:pt idx="159">
                  <c:v>2.9236104677211824E-2</c:v>
                </c:pt>
                <c:pt idx="160">
                  <c:v>2.8543608605287249E-2</c:v>
                </c:pt>
                <c:pt idx="161">
                  <c:v>2.7635141606579348E-2</c:v>
                </c:pt>
                <c:pt idx="162">
                  <c:v>2.782277417399422E-2</c:v>
                </c:pt>
                <c:pt idx="163">
                  <c:v>2.651495017515532E-2</c:v>
                </c:pt>
                <c:pt idx="164">
                  <c:v>2.6787224525104528E-2</c:v>
                </c:pt>
                <c:pt idx="165">
                  <c:v>2.6746342815849533E-2</c:v>
                </c:pt>
                <c:pt idx="166">
                  <c:v>2.6188652043015719E-2</c:v>
                </c:pt>
                <c:pt idx="167">
                  <c:v>2.6657682200605909E-2</c:v>
                </c:pt>
                <c:pt idx="168">
                  <c:v>2.5558580783481815E-2</c:v>
                </c:pt>
                <c:pt idx="169">
                  <c:v>2.6459244043914087E-2</c:v>
                </c:pt>
                <c:pt idx="170">
                  <c:v>2.6097097846457942E-2</c:v>
                </c:pt>
                <c:pt idx="171">
                  <c:v>2.593288079914971E-2</c:v>
                </c:pt>
                <c:pt idx="172">
                  <c:v>2.6103465520545443E-2</c:v>
                </c:pt>
                <c:pt idx="173">
                  <c:v>2.549081538149044E-2</c:v>
                </c:pt>
                <c:pt idx="174">
                  <c:v>2.6957305473928387E-2</c:v>
                </c:pt>
                <c:pt idx="175">
                  <c:v>2.6075682444699145E-2</c:v>
                </c:pt>
                <c:pt idx="176">
                  <c:v>2.6710831343990219E-2</c:v>
                </c:pt>
                <c:pt idx="177">
                  <c:v>2.5888066359584686E-2</c:v>
                </c:pt>
                <c:pt idx="178">
                  <c:v>2.6721708746899765E-2</c:v>
                </c:pt>
                <c:pt idx="179">
                  <c:v>2.6587912485949439E-2</c:v>
                </c:pt>
                <c:pt idx="180">
                  <c:v>2.6716409761785066E-2</c:v>
                </c:pt>
                <c:pt idx="181">
                  <c:v>2.680417419942964E-2</c:v>
                </c:pt>
                <c:pt idx="182">
                  <c:v>2.6457799605702798E-2</c:v>
                </c:pt>
                <c:pt idx="183">
                  <c:v>2.7814905448663992E-2</c:v>
                </c:pt>
                <c:pt idx="184">
                  <c:v>2.7321044525458072E-2</c:v>
                </c:pt>
                <c:pt idx="185">
                  <c:v>2.7460068011861117E-2</c:v>
                </c:pt>
                <c:pt idx="18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59808"/>
        <c:axId val="38361344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372864"/>
        <c:axId val="38371328"/>
      </c:lineChart>
      <c:dateAx>
        <c:axId val="38359808"/>
        <c:scaling>
          <c:orientation val="minMax"/>
        </c:scaling>
        <c:delete val="0"/>
        <c:axPos val="b"/>
        <c:numFmt formatCode="\ 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361344"/>
        <c:crosses val="min"/>
        <c:auto val="1"/>
        <c:lblOffset val="100"/>
        <c:baseTimeUnit val="months"/>
        <c:majorUnit val="60"/>
        <c:majorTimeUnit val="months"/>
      </c:dateAx>
      <c:valAx>
        <c:axId val="38361344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359808"/>
        <c:crosses val="autoZero"/>
        <c:crossBetween val="between"/>
      </c:valAx>
      <c:valAx>
        <c:axId val="38371328"/>
        <c:scaling>
          <c:orientation val="minMax"/>
          <c:max val="4.4999999999999998E-2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372864"/>
        <c:crosses val="max"/>
        <c:crossBetween val="between"/>
        <c:majorUnit val="5.0000000000000001E-3"/>
        <c:minorUnit val="1E-3"/>
      </c:valAx>
      <c:catAx>
        <c:axId val="38372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71328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1"/>
    <c:plotArea>
      <c:layout>
        <c:manualLayout>
          <c:xMode val="edge"/>
          <c:yMode val="edge"/>
          <c:x val="1.49980181573716E-2"/>
          <c:y val="5.0112204242912801E-2"/>
          <c:w val="0.97000396368525699"/>
          <c:h val="0.94988779575708704"/>
        </c:manualLayout>
      </c:layout>
      <c:lineChart>
        <c:grouping val="standard"/>
        <c:varyColors val="0"/>
        <c:ser>
          <c:idx val="0"/>
          <c:order val="0"/>
          <c:tx>
            <c:strRef>
              <c:f>'Spliced data'!$G$1</c:f>
              <c:strCache>
                <c:ptCount val="1"/>
                <c:pt idx="0">
                  <c:v>P[NE]</c:v>
                </c:pt>
              </c:strCache>
            </c:strRef>
          </c:tx>
          <c:spPr>
            <a:ln w="28575">
              <a:solidFill>
                <a:schemeClr val="tx1"/>
              </a:solidFill>
              <a:prstDash val="solid"/>
            </a:ln>
          </c:spPr>
          <c:marker>
            <c:symbol val="none"/>
          </c:marker>
          <c:cat>
            <c:numRef>
              <c:f>'Spliced data'!$A$2:$A$188</c:f>
              <c:numCache>
                <c:formatCode>m/d/yyyy</c:formatCode>
                <c:ptCount val="187"/>
                <c:pt idx="0">
                  <c:v>24624</c:v>
                </c:pt>
                <c:pt idx="1">
                  <c:v>24716</c:v>
                </c:pt>
                <c:pt idx="2">
                  <c:v>24807</c:v>
                </c:pt>
                <c:pt idx="3">
                  <c:v>24898</c:v>
                </c:pt>
                <c:pt idx="4">
                  <c:v>24990</c:v>
                </c:pt>
                <c:pt idx="5">
                  <c:v>25082</c:v>
                </c:pt>
                <c:pt idx="6">
                  <c:v>25173</c:v>
                </c:pt>
                <c:pt idx="7">
                  <c:v>25263</c:v>
                </c:pt>
                <c:pt idx="8">
                  <c:v>25355</c:v>
                </c:pt>
                <c:pt idx="9">
                  <c:v>25447</c:v>
                </c:pt>
                <c:pt idx="10">
                  <c:v>25538</c:v>
                </c:pt>
                <c:pt idx="11">
                  <c:v>25628</c:v>
                </c:pt>
                <c:pt idx="12">
                  <c:v>25720</c:v>
                </c:pt>
                <c:pt idx="13">
                  <c:v>25812</c:v>
                </c:pt>
                <c:pt idx="14">
                  <c:v>25903</c:v>
                </c:pt>
                <c:pt idx="15">
                  <c:v>25993</c:v>
                </c:pt>
                <c:pt idx="16">
                  <c:v>26085</c:v>
                </c:pt>
                <c:pt idx="17">
                  <c:v>26177</c:v>
                </c:pt>
                <c:pt idx="18">
                  <c:v>26268</c:v>
                </c:pt>
                <c:pt idx="19">
                  <c:v>26359</c:v>
                </c:pt>
                <c:pt idx="20">
                  <c:v>26451</c:v>
                </c:pt>
                <c:pt idx="21">
                  <c:v>26543</c:v>
                </c:pt>
                <c:pt idx="22">
                  <c:v>26634</c:v>
                </c:pt>
                <c:pt idx="23">
                  <c:v>26724</c:v>
                </c:pt>
                <c:pt idx="24">
                  <c:v>26816</c:v>
                </c:pt>
                <c:pt idx="25">
                  <c:v>26908</c:v>
                </c:pt>
                <c:pt idx="26">
                  <c:v>26999</c:v>
                </c:pt>
                <c:pt idx="27">
                  <c:v>27089</c:v>
                </c:pt>
                <c:pt idx="28">
                  <c:v>27181</c:v>
                </c:pt>
                <c:pt idx="29">
                  <c:v>27273</c:v>
                </c:pt>
                <c:pt idx="30">
                  <c:v>27364</c:v>
                </c:pt>
                <c:pt idx="31">
                  <c:v>27454</c:v>
                </c:pt>
                <c:pt idx="32">
                  <c:v>27546</c:v>
                </c:pt>
                <c:pt idx="33">
                  <c:v>27638</c:v>
                </c:pt>
                <c:pt idx="34">
                  <c:v>27729</c:v>
                </c:pt>
                <c:pt idx="35">
                  <c:v>27820</c:v>
                </c:pt>
                <c:pt idx="36">
                  <c:v>27912</c:v>
                </c:pt>
                <c:pt idx="37">
                  <c:v>28004</c:v>
                </c:pt>
                <c:pt idx="38">
                  <c:v>28095</c:v>
                </c:pt>
                <c:pt idx="39">
                  <c:v>28185</c:v>
                </c:pt>
                <c:pt idx="40">
                  <c:v>28277</c:v>
                </c:pt>
                <c:pt idx="41">
                  <c:v>28369</c:v>
                </c:pt>
                <c:pt idx="42">
                  <c:v>28460</c:v>
                </c:pt>
                <c:pt idx="43">
                  <c:v>28550</c:v>
                </c:pt>
                <c:pt idx="44">
                  <c:v>28642</c:v>
                </c:pt>
                <c:pt idx="45">
                  <c:v>28734</c:v>
                </c:pt>
                <c:pt idx="46">
                  <c:v>28825</c:v>
                </c:pt>
                <c:pt idx="47">
                  <c:v>28915</c:v>
                </c:pt>
                <c:pt idx="48">
                  <c:v>29007</c:v>
                </c:pt>
                <c:pt idx="49">
                  <c:v>29099</c:v>
                </c:pt>
                <c:pt idx="50">
                  <c:v>29190</c:v>
                </c:pt>
                <c:pt idx="51">
                  <c:v>29281</c:v>
                </c:pt>
                <c:pt idx="52">
                  <c:v>29373</c:v>
                </c:pt>
                <c:pt idx="53">
                  <c:v>29465</c:v>
                </c:pt>
                <c:pt idx="54">
                  <c:v>29556</c:v>
                </c:pt>
                <c:pt idx="55">
                  <c:v>29646</c:v>
                </c:pt>
                <c:pt idx="56">
                  <c:v>29738</c:v>
                </c:pt>
                <c:pt idx="57">
                  <c:v>29830</c:v>
                </c:pt>
                <c:pt idx="58">
                  <c:v>29921</c:v>
                </c:pt>
                <c:pt idx="59">
                  <c:v>30011</c:v>
                </c:pt>
                <c:pt idx="60">
                  <c:v>30103</c:v>
                </c:pt>
                <c:pt idx="61">
                  <c:v>30195</c:v>
                </c:pt>
                <c:pt idx="62">
                  <c:v>30286</c:v>
                </c:pt>
                <c:pt idx="63">
                  <c:v>30376</c:v>
                </c:pt>
                <c:pt idx="64">
                  <c:v>30468</c:v>
                </c:pt>
                <c:pt idx="65">
                  <c:v>30560</c:v>
                </c:pt>
                <c:pt idx="66">
                  <c:v>30651</c:v>
                </c:pt>
                <c:pt idx="67">
                  <c:v>30742</c:v>
                </c:pt>
                <c:pt idx="68">
                  <c:v>30834</c:v>
                </c:pt>
                <c:pt idx="69">
                  <c:v>30926</c:v>
                </c:pt>
                <c:pt idx="70">
                  <c:v>31017</c:v>
                </c:pt>
                <c:pt idx="71">
                  <c:v>31107</c:v>
                </c:pt>
                <c:pt idx="72">
                  <c:v>31199</c:v>
                </c:pt>
                <c:pt idx="73">
                  <c:v>31291</c:v>
                </c:pt>
                <c:pt idx="74">
                  <c:v>31382</c:v>
                </c:pt>
                <c:pt idx="75">
                  <c:v>31472</c:v>
                </c:pt>
                <c:pt idx="76">
                  <c:v>31564</c:v>
                </c:pt>
                <c:pt idx="77">
                  <c:v>31656</c:v>
                </c:pt>
                <c:pt idx="78">
                  <c:v>31747</c:v>
                </c:pt>
                <c:pt idx="79">
                  <c:v>31837</c:v>
                </c:pt>
                <c:pt idx="80">
                  <c:v>31929</c:v>
                </c:pt>
                <c:pt idx="81">
                  <c:v>32021</c:v>
                </c:pt>
                <c:pt idx="82">
                  <c:v>32112</c:v>
                </c:pt>
                <c:pt idx="83">
                  <c:v>32203</c:v>
                </c:pt>
                <c:pt idx="84">
                  <c:v>32295</c:v>
                </c:pt>
                <c:pt idx="85">
                  <c:v>32387</c:v>
                </c:pt>
                <c:pt idx="86">
                  <c:v>32478</c:v>
                </c:pt>
                <c:pt idx="87">
                  <c:v>32568</c:v>
                </c:pt>
                <c:pt idx="88">
                  <c:v>32660</c:v>
                </c:pt>
                <c:pt idx="89">
                  <c:v>32752</c:v>
                </c:pt>
                <c:pt idx="90">
                  <c:v>32843</c:v>
                </c:pt>
                <c:pt idx="91">
                  <c:v>32933</c:v>
                </c:pt>
                <c:pt idx="92">
                  <c:v>33025</c:v>
                </c:pt>
                <c:pt idx="93">
                  <c:v>33117</c:v>
                </c:pt>
                <c:pt idx="94">
                  <c:v>33208</c:v>
                </c:pt>
                <c:pt idx="95">
                  <c:v>33298</c:v>
                </c:pt>
                <c:pt idx="96">
                  <c:v>33390</c:v>
                </c:pt>
                <c:pt idx="97">
                  <c:v>33482</c:v>
                </c:pt>
                <c:pt idx="98">
                  <c:v>33573</c:v>
                </c:pt>
                <c:pt idx="99">
                  <c:v>33664</c:v>
                </c:pt>
                <c:pt idx="100">
                  <c:v>33756</c:v>
                </c:pt>
                <c:pt idx="101">
                  <c:v>33848</c:v>
                </c:pt>
                <c:pt idx="102">
                  <c:v>33939</c:v>
                </c:pt>
                <c:pt idx="103">
                  <c:v>34029</c:v>
                </c:pt>
                <c:pt idx="104">
                  <c:v>34121</c:v>
                </c:pt>
                <c:pt idx="105">
                  <c:v>34213</c:v>
                </c:pt>
                <c:pt idx="106">
                  <c:v>34304</c:v>
                </c:pt>
                <c:pt idx="107">
                  <c:v>34394</c:v>
                </c:pt>
                <c:pt idx="108">
                  <c:v>34486</c:v>
                </c:pt>
                <c:pt idx="109">
                  <c:v>34578</c:v>
                </c:pt>
                <c:pt idx="110">
                  <c:v>34669</c:v>
                </c:pt>
                <c:pt idx="111">
                  <c:v>34759</c:v>
                </c:pt>
                <c:pt idx="112">
                  <c:v>34851</c:v>
                </c:pt>
                <c:pt idx="113">
                  <c:v>34943</c:v>
                </c:pt>
                <c:pt idx="114">
                  <c:v>35034</c:v>
                </c:pt>
                <c:pt idx="115">
                  <c:v>35125</c:v>
                </c:pt>
                <c:pt idx="116">
                  <c:v>35217</c:v>
                </c:pt>
                <c:pt idx="117">
                  <c:v>35309</c:v>
                </c:pt>
                <c:pt idx="118">
                  <c:v>35400</c:v>
                </c:pt>
                <c:pt idx="119">
                  <c:v>35490</c:v>
                </c:pt>
                <c:pt idx="120">
                  <c:v>35582</c:v>
                </c:pt>
                <c:pt idx="121">
                  <c:v>35674</c:v>
                </c:pt>
                <c:pt idx="122">
                  <c:v>35765</c:v>
                </c:pt>
                <c:pt idx="123">
                  <c:v>35855</c:v>
                </c:pt>
                <c:pt idx="124">
                  <c:v>35947</c:v>
                </c:pt>
                <c:pt idx="125">
                  <c:v>36039</c:v>
                </c:pt>
                <c:pt idx="126">
                  <c:v>36130</c:v>
                </c:pt>
                <c:pt idx="127">
                  <c:v>36220</c:v>
                </c:pt>
                <c:pt idx="128">
                  <c:v>36312</c:v>
                </c:pt>
                <c:pt idx="129">
                  <c:v>36404</c:v>
                </c:pt>
                <c:pt idx="130">
                  <c:v>36495</c:v>
                </c:pt>
                <c:pt idx="131">
                  <c:v>36586</c:v>
                </c:pt>
                <c:pt idx="132">
                  <c:v>36678</c:v>
                </c:pt>
                <c:pt idx="133">
                  <c:v>36770</c:v>
                </c:pt>
                <c:pt idx="134">
                  <c:v>36861</c:v>
                </c:pt>
                <c:pt idx="135">
                  <c:v>36951</c:v>
                </c:pt>
                <c:pt idx="136">
                  <c:v>37043</c:v>
                </c:pt>
                <c:pt idx="137">
                  <c:v>37135</c:v>
                </c:pt>
                <c:pt idx="138">
                  <c:v>37226</c:v>
                </c:pt>
                <c:pt idx="139">
                  <c:v>37316</c:v>
                </c:pt>
                <c:pt idx="140">
                  <c:v>37408</c:v>
                </c:pt>
                <c:pt idx="141">
                  <c:v>37500</c:v>
                </c:pt>
                <c:pt idx="142">
                  <c:v>37591</c:v>
                </c:pt>
                <c:pt idx="143">
                  <c:v>37681</c:v>
                </c:pt>
                <c:pt idx="144">
                  <c:v>37773</c:v>
                </c:pt>
                <c:pt idx="145">
                  <c:v>37865</c:v>
                </c:pt>
                <c:pt idx="146">
                  <c:v>37956</c:v>
                </c:pt>
                <c:pt idx="147">
                  <c:v>38047</c:v>
                </c:pt>
                <c:pt idx="148">
                  <c:v>38139</c:v>
                </c:pt>
                <c:pt idx="149">
                  <c:v>38231</c:v>
                </c:pt>
                <c:pt idx="150">
                  <c:v>38322</c:v>
                </c:pt>
                <c:pt idx="151">
                  <c:v>38412</c:v>
                </c:pt>
                <c:pt idx="152">
                  <c:v>38504</c:v>
                </c:pt>
                <c:pt idx="153">
                  <c:v>38596</c:v>
                </c:pt>
                <c:pt idx="154">
                  <c:v>38687</c:v>
                </c:pt>
                <c:pt idx="155">
                  <c:v>38777</c:v>
                </c:pt>
                <c:pt idx="156">
                  <c:v>38869</c:v>
                </c:pt>
                <c:pt idx="157">
                  <c:v>38961</c:v>
                </c:pt>
                <c:pt idx="158">
                  <c:v>39052</c:v>
                </c:pt>
                <c:pt idx="159">
                  <c:v>39142</c:v>
                </c:pt>
                <c:pt idx="160">
                  <c:v>39234</c:v>
                </c:pt>
                <c:pt idx="161">
                  <c:v>39326</c:v>
                </c:pt>
                <c:pt idx="162">
                  <c:v>39417</c:v>
                </c:pt>
                <c:pt idx="163">
                  <c:v>39508</c:v>
                </c:pt>
                <c:pt idx="164">
                  <c:v>39600</c:v>
                </c:pt>
                <c:pt idx="165">
                  <c:v>39692</c:v>
                </c:pt>
                <c:pt idx="166">
                  <c:v>39783</c:v>
                </c:pt>
                <c:pt idx="167">
                  <c:v>39873</c:v>
                </c:pt>
                <c:pt idx="168">
                  <c:v>39965</c:v>
                </c:pt>
                <c:pt idx="169">
                  <c:v>40057</c:v>
                </c:pt>
                <c:pt idx="170">
                  <c:v>40148</c:v>
                </c:pt>
                <c:pt idx="171">
                  <c:v>40238</c:v>
                </c:pt>
                <c:pt idx="172">
                  <c:v>40330</c:v>
                </c:pt>
                <c:pt idx="173">
                  <c:v>40422</c:v>
                </c:pt>
                <c:pt idx="174">
                  <c:v>40513</c:v>
                </c:pt>
                <c:pt idx="175">
                  <c:v>40603</c:v>
                </c:pt>
                <c:pt idx="176">
                  <c:v>40695</c:v>
                </c:pt>
                <c:pt idx="177">
                  <c:v>40787</c:v>
                </c:pt>
                <c:pt idx="178">
                  <c:v>40878</c:v>
                </c:pt>
                <c:pt idx="179">
                  <c:v>40969</c:v>
                </c:pt>
                <c:pt idx="180">
                  <c:v>41061</c:v>
                </c:pt>
                <c:pt idx="181">
                  <c:v>41153</c:v>
                </c:pt>
                <c:pt idx="182">
                  <c:v>41244</c:v>
                </c:pt>
                <c:pt idx="183">
                  <c:v>41334</c:v>
                </c:pt>
                <c:pt idx="184">
                  <c:v>41426</c:v>
                </c:pt>
                <c:pt idx="185">
                  <c:v>41518</c:v>
                </c:pt>
                <c:pt idx="186">
                  <c:v>41609</c:v>
                </c:pt>
              </c:numCache>
            </c:numRef>
          </c:cat>
          <c:val>
            <c:numRef>
              <c:f>'Spliced data'!$G$2:$G$188</c:f>
              <c:numCache>
                <c:formatCode>General</c:formatCode>
                <c:ptCount val="187"/>
                <c:pt idx="0">
                  <c:v>4.7660133333333334E-2</c:v>
                </c:pt>
                <c:pt idx="1">
                  <c:v>4.9371599999999995E-2</c:v>
                </c:pt>
                <c:pt idx="2">
                  <c:v>4.4782833333333334E-2</c:v>
                </c:pt>
                <c:pt idx="3">
                  <c:v>5.173613333333333E-2</c:v>
                </c:pt>
                <c:pt idx="4">
                  <c:v>4.8177166666666667E-2</c:v>
                </c:pt>
                <c:pt idx="5">
                  <c:v>4.9018833333333338E-2</c:v>
                </c:pt>
                <c:pt idx="6">
                  <c:v>4.674246666666667E-2</c:v>
                </c:pt>
                <c:pt idx="7">
                  <c:v>5.1134199999999998E-2</c:v>
                </c:pt>
                <c:pt idx="8">
                  <c:v>4.9984933333333335E-2</c:v>
                </c:pt>
                <c:pt idx="9">
                  <c:v>5.1826666666666667E-2</c:v>
                </c:pt>
                <c:pt idx="10">
                  <c:v>4.8782666666666669E-2</c:v>
                </c:pt>
                <c:pt idx="11">
                  <c:v>4.8095499999999992E-2</c:v>
                </c:pt>
                <c:pt idx="12">
                  <c:v>4.9153133333333328E-2</c:v>
                </c:pt>
                <c:pt idx="13">
                  <c:v>4.9554833333333333E-2</c:v>
                </c:pt>
                <c:pt idx="14">
                  <c:v>4.2868999999999997E-2</c:v>
                </c:pt>
                <c:pt idx="15">
                  <c:v>4.6292666666666669E-2</c:v>
                </c:pt>
                <c:pt idx="16">
                  <c:v>4.9578166666666666E-2</c:v>
                </c:pt>
                <c:pt idx="17">
                  <c:v>4.6814799999999997E-2</c:v>
                </c:pt>
                <c:pt idx="18">
                  <c:v>4.7120233333333338E-2</c:v>
                </c:pt>
                <c:pt idx="19">
                  <c:v>4.7076633333333333E-2</c:v>
                </c:pt>
                <c:pt idx="20">
                  <c:v>4.8081433333333333E-2</c:v>
                </c:pt>
                <c:pt idx="21">
                  <c:v>4.8289133333333324E-2</c:v>
                </c:pt>
                <c:pt idx="22">
                  <c:v>4.8511166666666668E-2</c:v>
                </c:pt>
                <c:pt idx="23">
                  <c:v>5.0076966666666667E-2</c:v>
                </c:pt>
                <c:pt idx="24">
                  <c:v>4.9200500000000001E-2</c:v>
                </c:pt>
                <c:pt idx="25">
                  <c:v>5.1617533333333333E-2</c:v>
                </c:pt>
                <c:pt idx="26">
                  <c:v>4.9235133333333327E-2</c:v>
                </c:pt>
                <c:pt idx="27">
                  <c:v>4.9749933333333329E-2</c:v>
                </c:pt>
                <c:pt idx="28">
                  <c:v>4.8357700000000003E-2</c:v>
                </c:pt>
                <c:pt idx="29">
                  <c:v>4.55442E-2</c:v>
                </c:pt>
                <c:pt idx="30">
                  <c:v>4.2042166666666658E-2</c:v>
                </c:pt>
                <c:pt idx="31">
                  <c:v>4.3920566666666661E-2</c:v>
                </c:pt>
                <c:pt idx="32">
                  <c:v>4.6031633333333329E-2</c:v>
                </c:pt>
                <c:pt idx="33">
                  <c:v>4.4081433333333336E-2</c:v>
                </c:pt>
                <c:pt idx="34">
                  <c:v>4.3452333333333336E-2</c:v>
                </c:pt>
                <c:pt idx="35">
                  <c:v>4.681953333333333E-2</c:v>
                </c:pt>
                <c:pt idx="36">
                  <c:v>4.8328433333333337E-2</c:v>
                </c:pt>
                <c:pt idx="37">
                  <c:v>4.6272866666666669E-2</c:v>
                </c:pt>
                <c:pt idx="38">
                  <c:v>4.3858633333333334E-2</c:v>
                </c:pt>
                <c:pt idx="39">
                  <c:v>4.8540233333333328E-2</c:v>
                </c:pt>
                <c:pt idx="40">
                  <c:v>4.49916E-2</c:v>
                </c:pt>
                <c:pt idx="41">
                  <c:v>4.6634600000000005E-2</c:v>
                </c:pt>
                <c:pt idx="42">
                  <c:v>4.7066433333333345E-2</c:v>
                </c:pt>
                <c:pt idx="43">
                  <c:v>4.9511966666666664E-2</c:v>
                </c:pt>
                <c:pt idx="44">
                  <c:v>4.9312966666666673E-2</c:v>
                </c:pt>
                <c:pt idx="45">
                  <c:v>4.6808666666666665E-2</c:v>
                </c:pt>
                <c:pt idx="46">
                  <c:v>4.9020000000000001E-2</c:v>
                </c:pt>
                <c:pt idx="47">
                  <c:v>4.9209633333333336E-2</c:v>
                </c:pt>
                <c:pt idx="48">
                  <c:v>5.0020700000000001E-2</c:v>
                </c:pt>
                <c:pt idx="49">
                  <c:v>4.8599099999999999E-2</c:v>
                </c:pt>
                <c:pt idx="50">
                  <c:v>4.7495033333333332E-2</c:v>
                </c:pt>
                <c:pt idx="51">
                  <c:v>4.552606666666667E-2</c:v>
                </c:pt>
                <c:pt idx="52">
                  <c:v>4.6878033333333326E-2</c:v>
                </c:pt>
                <c:pt idx="53">
                  <c:v>4.6182433333333328E-2</c:v>
                </c:pt>
                <c:pt idx="54">
                  <c:v>4.3782099999999997E-2</c:v>
                </c:pt>
                <c:pt idx="55">
                  <c:v>4.5949933333333332E-2</c:v>
                </c:pt>
                <c:pt idx="56">
                  <c:v>4.4690100000000003E-2</c:v>
                </c:pt>
                <c:pt idx="57">
                  <c:v>4.3862766666666664E-2</c:v>
                </c:pt>
                <c:pt idx="58">
                  <c:v>4.2941399999999998E-2</c:v>
                </c:pt>
                <c:pt idx="59">
                  <c:v>4.1554100000000004E-2</c:v>
                </c:pt>
                <c:pt idx="60">
                  <c:v>4.4861866666666667E-2</c:v>
                </c:pt>
                <c:pt idx="61">
                  <c:v>3.9681666666666664E-2</c:v>
                </c:pt>
                <c:pt idx="62">
                  <c:v>3.8159466666666662E-2</c:v>
                </c:pt>
                <c:pt idx="63">
                  <c:v>4.2686833333333334E-2</c:v>
                </c:pt>
                <c:pt idx="64">
                  <c:v>4.2878666666666669E-2</c:v>
                </c:pt>
                <c:pt idx="65">
                  <c:v>4.3066333333333338E-2</c:v>
                </c:pt>
                <c:pt idx="66">
                  <c:v>4.3165566666666662E-2</c:v>
                </c:pt>
                <c:pt idx="67">
                  <c:v>4.5366566666666663E-2</c:v>
                </c:pt>
                <c:pt idx="68">
                  <c:v>4.5394700000000003E-2</c:v>
                </c:pt>
                <c:pt idx="69">
                  <c:v>4.5472133333333331E-2</c:v>
                </c:pt>
                <c:pt idx="70">
                  <c:v>4.629833333333333E-2</c:v>
                </c:pt>
                <c:pt idx="71">
                  <c:v>4.5363299999999995E-2</c:v>
                </c:pt>
                <c:pt idx="72">
                  <c:v>4.8234733333333335E-2</c:v>
                </c:pt>
                <c:pt idx="73">
                  <c:v>4.2875733333333332E-2</c:v>
                </c:pt>
                <c:pt idx="74">
                  <c:v>4.619023333333333E-2</c:v>
                </c:pt>
                <c:pt idx="75">
                  <c:v>4.5950466666666669E-2</c:v>
                </c:pt>
                <c:pt idx="76">
                  <c:v>4.5118133333333338E-2</c:v>
                </c:pt>
                <c:pt idx="77">
                  <c:v>4.5471733333333327E-2</c:v>
                </c:pt>
                <c:pt idx="78">
                  <c:v>4.4727900000000008E-2</c:v>
                </c:pt>
                <c:pt idx="79">
                  <c:v>4.6439366666666669E-2</c:v>
                </c:pt>
                <c:pt idx="80">
                  <c:v>4.5683099999999997E-2</c:v>
                </c:pt>
                <c:pt idx="81">
                  <c:v>4.7980099999999998E-2</c:v>
                </c:pt>
                <c:pt idx="82">
                  <c:v>4.8420299999999999E-2</c:v>
                </c:pt>
                <c:pt idx="83">
                  <c:v>5.0302933333333334E-2</c:v>
                </c:pt>
                <c:pt idx="84">
                  <c:v>4.5498933333333332E-2</c:v>
                </c:pt>
                <c:pt idx="85">
                  <c:v>4.7297166666666668E-2</c:v>
                </c:pt>
                <c:pt idx="86">
                  <c:v>5.0353000000000002E-2</c:v>
                </c:pt>
                <c:pt idx="87">
                  <c:v>4.7915433333333333E-2</c:v>
                </c:pt>
                <c:pt idx="88">
                  <c:v>4.6548266666666664E-2</c:v>
                </c:pt>
                <c:pt idx="89">
                  <c:v>4.8232066666666663E-2</c:v>
                </c:pt>
                <c:pt idx="90">
                  <c:v>5.1716866666666667E-2</c:v>
                </c:pt>
                <c:pt idx="91">
                  <c:v>4.7215333333333331E-2</c:v>
                </c:pt>
                <c:pt idx="92">
                  <c:v>4.8964268348802159E-2</c:v>
                </c:pt>
                <c:pt idx="93">
                  <c:v>4.7972480977368871E-2</c:v>
                </c:pt>
                <c:pt idx="94">
                  <c:v>4.753315581700563E-2</c:v>
                </c:pt>
                <c:pt idx="95">
                  <c:v>4.5102319726449576E-2</c:v>
                </c:pt>
                <c:pt idx="96">
                  <c:v>4.5175501013461981E-2</c:v>
                </c:pt>
                <c:pt idx="97">
                  <c:v>4.5336479395421937E-2</c:v>
                </c:pt>
                <c:pt idx="98">
                  <c:v>4.2112779475208417E-2</c:v>
                </c:pt>
                <c:pt idx="99">
                  <c:v>4.4998729734933872E-2</c:v>
                </c:pt>
                <c:pt idx="100">
                  <c:v>4.4176061200369265E-2</c:v>
                </c:pt>
                <c:pt idx="101">
                  <c:v>4.4320965370400749E-2</c:v>
                </c:pt>
                <c:pt idx="102">
                  <c:v>4.4323193149694413E-2</c:v>
                </c:pt>
                <c:pt idx="103">
                  <c:v>4.5944301113895941E-2</c:v>
                </c:pt>
                <c:pt idx="104">
                  <c:v>4.5654929396624279E-2</c:v>
                </c:pt>
                <c:pt idx="105">
                  <c:v>4.4918518718128686E-2</c:v>
                </c:pt>
                <c:pt idx="106">
                  <c:v>4.5885542345558382E-2</c:v>
                </c:pt>
                <c:pt idx="107">
                  <c:v>4.8312806903133776E-2</c:v>
                </c:pt>
                <c:pt idx="108">
                  <c:v>4.6307947729778524E-2</c:v>
                </c:pt>
                <c:pt idx="109">
                  <c:v>4.7648387259083248E-2</c:v>
                </c:pt>
                <c:pt idx="110">
                  <c:v>4.8984650118290694E-2</c:v>
                </c:pt>
                <c:pt idx="111">
                  <c:v>4.6506990661272563E-2</c:v>
                </c:pt>
                <c:pt idx="112">
                  <c:v>4.5665717122460946E-2</c:v>
                </c:pt>
                <c:pt idx="113">
                  <c:v>4.79147785509993E-2</c:v>
                </c:pt>
                <c:pt idx="114">
                  <c:v>4.5113747364590617E-2</c:v>
                </c:pt>
                <c:pt idx="115">
                  <c:v>4.6948358949443346E-2</c:v>
                </c:pt>
                <c:pt idx="116">
                  <c:v>4.6595715356480195E-2</c:v>
                </c:pt>
                <c:pt idx="117">
                  <c:v>4.7628057107379856E-2</c:v>
                </c:pt>
                <c:pt idx="118">
                  <c:v>4.3860679572827486E-2</c:v>
                </c:pt>
                <c:pt idx="119">
                  <c:v>4.792851082693967E-2</c:v>
                </c:pt>
                <c:pt idx="120">
                  <c:v>4.7312161335325897E-2</c:v>
                </c:pt>
                <c:pt idx="121">
                  <c:v>4.6508116581220692E-2</c:v>
                </c:pt>
                <c:pt idx="122">
                  <c:v>4.922961971271067E-2</c:v>
                </c:pt>
                <c:pt idx="123">
                  <c:v>4.8168769961310066E-2</c:v>
                </c:pt>
                <c:pt idx="124">
                  <c:v>4.848870099924598E-2</c:v>
                </c:pt>
                <c:pt idx="125">
                  <c:v>5.3325900869707683E-2</c:v>
                </c:pt>
                <c:pt idx="126">
                  <c:v>5.2444208513999141E-2</c:v>
                </c:pt>
                <c:pt idx="127">
                  <c:v>5.0987537070209137E-2</c:v>
                </c:pt>
                <c:pt idx="128">
                  <c:v>5.4030765503425338E-2</c:v>
                </c:pt>
                <c:pt idx="129">
                  <c:v>5.2017267829326197E-2</c:v>
                </c:pt>
                <c:pt idx="130">
                  <c:v>5.2195635278849017E-2</c:v>
                </c:pt>
                <c:pt idx="131">
                  <c:v>5.2456698515497634E-2</c:v>
                </c:pt>
                <c:pt idx="132">
                  <c:v>5.0536804631419269E-2</c:v>
                </c:pt>
                <c:pt idx="133">
                  <c:v>5.0732085607992104E-2</c:v>
                </c:pt>
                <c:pt idx="134">
                  <c:v>5.3252688619681875E-2</c:v>
                </c:pt>
                <c:pt idx="135">
                  <c:v>5.5239856277694795E-2</c:v>
                </c:pt>
                <c:pt idx="136">
                  <c:v>5.1355401873508705E-2</c:v>
                </c:pt>
                <c:pt idx="137">
                  <c:v>5.4765335212976919E-2</c:v>
                </c:pt>
                <c:pt idx="138">
                  <c:v>4.8516102494061325E-2</c:v>
                </c:pt>
                <c:pt idx="139">
                  <c:v>4.9308946679156307E-2</c:v>
                </c:pt>
                <c:pt idx="140">
                  <c:v>5.1889971831253733E-2</c:v>
                </c:pt>
                <c:pt idx="141">
                  <c:v>4.9893125904612867E-2</c:v>
                </c:pt>
                <c:pt idx="142">
                  <c:v>4.8703459853011645E-2</c:v>
                </c:pt>
                <c:pt idx="143">
                  <c:v>5.0299270059516489E-2</c:v>
                </c:pt>
                <c:pt idx="144">
                  <c:v>4.8927142549928609E-2</c:v>
                </c:pt>
                <c:pt idx="145">
                  <c:v>4.8886887322460819E-2</c:v>
                </c:pt>
                <c:pt idx="146">
                  <c:v>4.9899466387517771E-2</c:v>
                </c:pt>
                <c:pt idx="147">
                  <c:v>4.8606427934002487E-2</c:v>
                </c:pt>
                <c:pt idx="148">
                  <c:v>4.8404611071939142E-2</c:v>
                </c:pt>
                <c:pt idx="149">
                  <c:v>4.932253575603366E-2</c:v>
                </c:pt>
                <c:pt idx="150">
                  <c:v>5.0346674079101185E-2</c:v>
                </c:pt>
                <c:pt idx="151">
                  <c:v>4.9390896483535091E-2</c:v>
                </c:pt>
                <c:pt idx="152">
                  <c:v>5.1057025958714995E-2</c:v>
                </c:pt>
                <c:pt idx="153">
                  <c:v>5.110511355879966E-2</c:v>
                </c:pt>
                <c:pt idx="154">
                  <c:v>5.0138119930369984E-2</c:v>
                </c:pt>
                <c:pt idx="155">
                  <c:v>5.143363306939211E-2</c:v>
                </c:pt>
                <c:pt idx="156">
                  <c:v>5.2946281987405086E-2</c:v>
                </c:pt>
                <c:pt idx="157">
                  <c:v>5.1319654684126866E-2</c:v>
                </c:pt>
                <c:pt idx="158">
                  <c:v>5.4460229895393904E-2</c:v>
                </c:pt>
                <c:pt idx="159">
                  <c:v>5.2456841142725585E-2</c:v>
                </c:pt>
                <c:pt idx="160">
                  <c:v>4.9519592346396267E-2</c:v>
                </c:pt>
                <c:pt idx="161">
                  <c:v>4.9290649199018377E-2</c:v>
                </c:pt>
                <c:pt idx="162">
                  <c:v>4.8832441197140065E-2</c:v>
                </c:pt>
                <c:pt idx="163">
                  <c:v>4.82710569434045E-2</c:v>
                </c:pt>
                <c:pt idx="164">
                  <c:v>4.7029601381628233E-2</c:v>
                </c:pt>
                <c:pt idx="165">
                  <c:v>4.5786211288632229E-2</c:v>
                </c:pt>
                <c:pt idx="166">
                  <c:v>4.3548631477350504E-2</c:v>
                </c:pt>
                <c:pt idx="167">
                  <c:v>4.3336453786143515E-2</c:v>
                </c:pt>
                <c:pt idx="168">
                  <c:v>4.233333926395582E-2</c:v>
                </c:pt>
                <c:pt idx="169">
                  <c:v>4.0759697665859795E-2</c:v>
                </c:pt>
                <c:pt idx="170">
                  <c:v>3.9838728933004386E-2</c:v>
                </c:pt>
                <c:pt idx="171">
                  <c:v>4.3203049711113252E-2</c:v>
                </c:pt>
                <c:pt idx="172">
                  <c:v>4.084167780415509E-2</c:v>
                </c:pt>
                <c:pt idx="173">
                  <c:v>4.1470614619570807E-2</c:v>
                </c:pt>
                <c:pt idx="174">
                  <c:v>4.1557639296148634E-2</c:v>
                </c:pt>
                <c:pt idx="175">
                  <c:v>4.1716661279074536E-2</c:v>
                </c:pt>
                <c:pt idx="176">
                  <c:v>4.0639546973736985E-2</c:v>
                </c:pt>
                <c:pt idx="177">
                  <c:v>4.2394004114016302E-2</c:v>
                </c:pt>
                <c:pt idx="178">
                  <c:v>4.1519668313379415E-2</c:v>
                </c:pt>
                <c:pt idx="179">
                  <c:v>4.0035403674763097E-2</c:v>
                </c:pt>
                <c:pt idx="180">
                  <c:v>4.1225676417695166E-2</c:v>
                </c:pt>
                <c:pt idx="181">
                  <c:v>4.2131020186172652E-2</c:v>
                </c:pt>
                <c:pt idx="182">
                  <c:v>4.1457826199815424E-2</c:v>
                </c:pt>
                <c:pt idx="183">
                  <c:v>4.1196448214149278E-2</c:v>
                </c:pt>
                <c:pt idx="184">
                  <c:v>4.3118487899865852E-2</c:v>
                </c:pt>
                <c:pt idx="185">
                  <c:v>4.1736533435793061E-2</c:v>
                </c:pt>
                <c:pt idx="186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05792"/>
        <c:axId val="38715776"/>
      </c:lineChart>
      <c:lineChart>
        <c:grouping val="standard"/>
        <c:varyColors val="0"/>
        <c:ser>
          <c:idx val="1"/>
          <c:order val="1"/>
          <c:tx>
            <c:v>_FRBDummySeriesRight</c:v>
          </c:tx>
          <c:spPr>
            <a:ln w="47625" cap="rnd" cmpd="sng" algn="ctr">
              <a:noFill/>
              <a:prstDash val="solid"/>
              <a:round/>
            </a:ln>
            <a:effectLst/>
            <a:extLst>
              <a:ext uri="{91240B29-F687-4F45-9708-019B960494DF}">
                <a14:hiddenLine xmlns:a14="http://schemas.microsoft.com/office/drawing/2010/main" w="47625" cap="rnd" cmpd="sng" algn="ctr">
                  <a:solidFill>
                    <a:srgbClr val="C0504D">
                      <a:shade val="95000"/>
                      <a:satMod val="105000"/>
                    </a:srgbClr>
                  </a:solidFill>
                  <a:prstDash val="solid"/>
                  <a:round/>
                </a14:hiddenLine>
              </a:ext>
            </a:extLst>
          </c:spPr>
          <c:marker>
            <c:symbol val="none"/>
          </c:marker>
          <c:cat>
            <c:numLit>
              <c:formatCode>General</c:formatCode>
              <c:ptCount val="1"/>
              <c:pt idx="0">
                <c:v>1</c:v>
              </c:pt>
            </c:numLit>
          </c:cat>
          <c:val>
            <c:numLit>
              <c:formatCode>General</c:formatCode>
              <c:ptCount val="1"/>
              <c:pt idx="0">
                <c:v>#N/A</c:v>
              </c:pt>
            </c:numLit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718848"/>
        <c:axId val="38717312"/>
      </c:lineChart>
      <c:dateAx>
        <c:axId val="38705792"/>
        <c:scaling>
          <c:orientation val="minMax"/>
        </c:scaling>
        <c:delete val="0"/>
        <c:axPos val="b"/>
        <c:numFmt formatCode="\ \ \ yyyy" sourceLinked="0"/>
        <c:majorTickMark val="in"/>
        <c:minorTickMark val="none"/>
        <c:tickLblPos val="low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715776"/>
        <c:crosses val="min"/>
        <c:auto val="1"/>
        <c:lblOffset val="100"/>
        <c:baseTimeUnit val="months"/>
        <c:majorUnit val="60"/>
        <c:majorTimeUnit val="months"/>
      </c:dateAx>
      <c:valAx>
        <c:axId val="38715776"/>
        <c:scaling>
          <c:orientation val="minMax"/>
        </c:scaling>
        <c:delete val="0"/>
        <c:axPos val="l"/>
        <c:numFmt formatCode="General" sourceLinked="1"/>
        <c:majorTickMark val="in"/>
        <c:minorTickMark val="none"/>
        <c:tickLblPos val="none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705792"/>
        <c:crosses val="autoZero"/>
        <c:crossBetween val="between"/>
      </c:valAx>
      <c:valAx>
        <c:axId val="38717312"/>
        <c:scaling>
          <c:orientation val="minMax"/>
          <c:max val="0.06"/>
          <c:min val="0"/>
        </c:scaling>
        <c:delete val="0"/>
        <c:axPos val="r"/>
        <c:numFmt formatCode="General" sourceLinked="1"/>
        <c:majorTickMark val="in"/>
        <c:minorTickMark val="none"/>
        <c:tickLblPos val="nextTo"/>
        <c:spPr>
          <a:noFill/>
          <a:ln w="222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/>
          <a:lstStyle/>
          <a:p>
            <a:pPr>
              <a:defRPr sz="1600" b="0" i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8718848"/>
        <c:crosses val="max"/>
        <c:crossBetween val="between"/>
        <c:majorUnit val="0.01"/>
        <c:minorUnit val="2E-3"/>
      </c:valAx>
      <c:catAx>
        <c:axId val="38718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717312"/>
        <c:crosses val="min"/>
        <c:auto val="1"/>
        <c:lblAlgn val="ctr"/>
        <c:lblOffset val="100"/>
        <c:noMultiLvlLbl val="0"/>
      </c:catAx>
      <c:spPr>
        <a:blipFill>
          <a:blip xmlns:r="http://schemas.openxmlformats.org/officeDocument/2006/relationships" r:embed="rId1"/>
          <a:stretch>
            <a:fillRect/>
          </a:stretch>
        </a:blipFill>
        <a:ln w="22225">
          <a:solidFill>
            <a:srgbClr val="000000"/>
          </a:solidFill>
        </a:ln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userShapes r:id="rId2"/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tabSelected="1" zoomScale="129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86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86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86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86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>
    <tabColor theme="9" tint="0.39994506668294322"/>
  </sheetPr>
  <sheetViews>
    <sheetView zoomScale="129" workbookViewId="0" zoomToFit="1"/>
  </sheetViews>
  <pageMargins left="1.9362500000000002" right="1.9362500000000002" top="0.86125000000000007" bottom="0.86125000000000007" header="0.3" footer="0.3"/>
  <pageSetup orientation="landscape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0.90959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89994"/>
          <a:ext cx="8332716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0.90959</cdr:x>
      <cdr:y>0.0543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332716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0.87546</cdr:x>
      <cdr:y>0.06682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96179" y="50800"/>
          <a:ext cx="5517957" cy="356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0.86592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74" y="50893"/>
          <a:ext cx="5517957" cy="254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0.5734</cdr:x>
      <cdr:y>0.00834</cdr:y>
    </cdr:from>
    <cdr:to>
      <cdr:x>1</cdr:x>
      <cdr:y>0.05091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677093" y="50800"/>
          <a:ext cx="2735669" cy="259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Monthly transition</a:t>
          </a:r>
          <a:r>
            <a:rPr lang="en-GB" sz="1600" b="0" i="0" u="none" baseline="0">
              <a:solidFill>
                <a:srgbClr val="000000"/>
              </a:solidFill>
              <a:latin typeface="Arial"/>
            </a:rPr>
            <a:t> probability</a:t>
          </a:r>
          <a:endParaRPr lang="en-GB" sz="1600" b="0" i="0" u="none">
            <a:solidFill>
              <a:srgbClr val="000000"/>
            </a:solidFill>
            <a:latin typeface="Arial"/>
          </a:endParaRP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P[EU]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01/06/1967!*FRB*!01/01/2014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0.06876</cdr:y>
    </cdr:from>
    <cdr:to>
      <cdr:x>0.87546</cdr:x>
      <cdr:y>0.06876</cdr:y>
    </cdr:to>
    <cdr:cxnSp macro="">
      <cdr:nvCxnSpPr>
        <cdr:cNvPr id="17" name="FRBMDHlineConnector" hidden="1"/>
        <cdr:cNvCxnSpPr/>
      </cdr:nvCxnSpPr>
      <cdr:spPr>
        <a:xfrm xmlns:a="http://schemas.openxmlformats.org/drawingml/2006/main">
          <a:off x="96179" y="418861"/>
          <a:ext cx="5517957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0.06876</cdr:y>
    </cdr:from>
    <cdr:to>
      <cdr:x>0.015</cdr:x>
      <cdr:y>0.93947</cdr:y>
    </cdr:to>
    <cdr:cxnSp macro="">
      <cdr:nvCxnSpPr>
        <cdr:cNvPr id="19" name="FRBMDVlineConnector" hidden="1"/>
        <cdr:cNvCxnSpPr/>
      </cdr:nvCxnSpPr>
      <cdr:spPr>
        <a:xfrm xmlns:a="http://schemas.openxmlformats.org/drawingml/2006/main">
          <a:off x="96179" y="418860"/>
          <a:ext cx="0" cy="5304006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0.4054</cdr:x>
      <cdr:y>0.48475</cdr:y>
    </cdr:from>
    <cdr:to>
      <cdr:x>0.4925</cdr:x>
      <cdr:y>0.52348</cdr:y>
    </cdr:to>
    <cdr:sp macro="" textlink="">
      <cdr:nvSpPr>
        <cdr:cNvPr id="21" name="SeriesLabel: P[EU]" hidden="1"/>
        <cdr:cNvSpPr txBox="1"/>
      </cdr:nvSpPr>
      <cdr:spPr>
        <a:xfrm xmlns:a="http://schemas.openxmlformats.org/drawingml/2006/main">
          <a:off x="2599729" y="2952883"/>
          <a:ext cx="558551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P[EU]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6412762" cy="60915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0.92172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89994"/>
          <a:ext cx="8445746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0.92172</cdr:x>
      <cdr:y>0.0543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445746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0.89309</cdr:x>
      <cdr:y>0.06682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96180" y="50800"/>
          <a:ext cx="5630987" cy="356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0.88354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75" y="50893"/>
          <a:ext cx="5630987" cy="254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0.53022</cdr:x>
      <cdr:y>0.00834</cdr:y>
    </cdr:from>
    <cdr:to>
      <cdr:x>1</cdr:x>
      <cdr:y>0.05091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400203" y="50800"/>
          <a:ext cx="3012559" cy="259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Monthly transition probability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P[UE]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01/06/1967!*FRB*!01/01/2014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0.89309</cdr:x>
      <cdr:y>0.06875</cdr:y>
    </cdr:to>
    <cdr:cxnSp macro="">
      <cdr:nvCxnSpPr>
        <cdr:cNvPr id="17" name="FRBMDHlineConnector" hidden="1"/>
        <cdr:cNvCxnSpPr/>
      </cdr:nvCxnSpPr>
      <cdr:spPr>
        <a:xfrm xmlns:a="http://schemas.openxmlformats.org/drawingml/2006/main">
          <a:off x="96180" y="418768"/>
          <a:ext cx="5630987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0.015</cdr:x>
      <cdr:y>0.93947</cdr:y>
    </cdr:to>
    <cdr:cxnSp macro="">
      <cdr:nvCxnSpPr>
        <cdr:cNvPr id="19" name="FRBMDVlineConnector" hidden="1"/>
        <cdr:cNvCxnSpPr/>
      </cdr:nvCxnSpPr>
      <cdr:spPr>
        <a:xfrm xmlns:a="http://schemas.openxmlformats.org/drawingml/2006/main">
          <a:off x="96179" y="418768"/>
          <a:ext cx="0" cy="5304099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0.41641</cdr:x>
      <cdr:y>0.48474</cdr:y>
    </cdr:from>
    <cdr:to>
      <cdr:x>0.50351</cdr:x>
      <cdr:y>0.52348</cdr:y>
    </cdr:to>
    <cdr:sp macro="" textlink="">
      <cdr:nvSpPr>
        <cdr:cNvPr id="21" name="SeriesLabel: P[UE]" hidden="1"/>
        <cdr:cNvSpPr txBox="1"/>
      </cdr:nvSpPr>
      <cdr:spPr>
        <a:xfrm xmlns:a="http://schemas.openxmlformats.org/drawingml/2006/main">
          <a:off x="2670358" y="2952836"/>
          <a:ext cx="558551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P[UE]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6412762" cy="60915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0.90959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139700" y="5889994"/>
          <a:ext cx="8332716" cy="1905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0.00835</cdr:y>
    </cdr:from>
    <cdr:to>
      <cdr:x>0.90959</cdr:x>
      <cdr:y>0.0543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139700" y="50800"/>
          <a:ext cx="8332716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0.87546</cdr:x>
      <cdr:y>0.06682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96179" y="50800"/>
          <a:ext cx="5517957" cy="356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0.86592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74" y="50893"/>
          <a:ext cx="5517957" cy="254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0.56649</cdr:x>
      <cdr:y>0.00834</cdr:y>
    </cdr:from>
    <cdr:to>
      <cdr:x>1</cdr:x>
      <cdr:y>0.05091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632791" y="50800"/>
          <a:ext cx="2779971" cy="25931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Monthly transition probability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P[NU]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01/06/1967!*FRB*!01/01/2014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0.02684</cdr:x>
      <cdr:y>0.06875</cdr:y>
    </cdr:from>
    <cdr:to>
      <cdr:x>0.87546</cdr:x>
      <cdr:y>0.06875</cdr:y>
    </cdr:to>
    <cdr:cxnSp macro="">
      <cdr:nvCxnSpPr>
        <cdr:cNvPr id="17" name="FRBMDHlineConnector" hidden="1"/>
        <cdr:cNvCxnSpPr/>
      </cdr:nvCxnSpPr>
      <cdr:spPr>
        <a:xfrm xmlns:a="http://schemas.openxmlformats.org/drawingml/2006/main">
          <a:off x="172097" y="418768"/>
          <a:ext cx="5442039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0.02684</cdr:x>
      <cdr:y>0.06875</cdr:y>
    </cdr:from>
    <cdr:to>
      <cdr:x>0.02684</cdr:x>
      <cdr:y>0.93947</cdr:y>
    </cdr:to>
    <cdr:cxnSp macro="">
      <cdr:nvCxnSpPr>
        <cdr:cNvPr id="19" name="FRBMDVlineConnector" hidden="1"/>
        <cdr:cNvCxnSpPr/>
      </cdr:nvCxnSpPr>
      <cdr:spPr>
        <a:xfrm xmlns:a="http://schemas.openxmlformats.org/drawingml/2006/main">
          <a:off x="172097" y="418768"/>
          <a:ext cx="0" cy="5304099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0.40672</cdr:x>
      <cdr:y>0.48474</cdr:y>
    </cdr:from>
    <cdr:to>
      <cdr:x>0.49558</cdr:x>
      <cdr:y>0.52348</cdr:y>
    </cdr:to>
    <cdr:sp macro="" textlink="">
      <cdr:nvSpPr>
        <cdr:cNvPr id="21" name="SeriesLabel: P[NU]" hidden="1"/>
        <cdr:cNvSpPr txBox="1"/>
      </cdr:nvSpPr>
      <cdr:spPr>
        <a:xfrm xmlns:a="http://schemas.openxmlformats.org/drawingml/2006/main">
          <a:off x="2608167" y="2952836"/>
          <a:ext cx="569900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P[NU]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6412762" cy="60915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0.89309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96179" y="5900723"/>
          <a:ext cx="5630987" cy="190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0.89309</cdr:x>
      <cdr:y>0.05429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96179" y="50800"/>
          <a:ext cx="5630987" cy="279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0.89309</cdr:x>
      <cdr:y>0.06682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96179" y="50800"/>
          <a:ext cx="5630987" cy="356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0.88354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75" y="50893"/>
          <a:ext cx="5630987" cy="254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0.51813</cdr:x>
      <cdr:y>0.00834</cdr:y>
    </cdr:from>
    <cdr:to>
      <cdr:x>1</cdr:x>
      <cdr:y>0.05273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322675" y="50800"/>
          <a:ext cx="3090087" cy="270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Monthly transition probability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P[UN]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01/06/1967!*FRB*!01/01/2014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0.89309</cdr:x>
      <cdr:y>0.06875</cdr:y>
    </cdr:to>
    <cdr:cxnSp macro="">
      <cdr:nvCxnSpPr>
        <cdr:cNvPr id="17" name="FRBMDHlineConnector" hidden="1"/>
        <cdr:cNvCxnSpPr/>
      </cdr:nvCxnSpPr>
      <cdr:spPr>
        <a:xfrm xmlns:a="http://schemas.openxmlformats.org/drawingml/2006/main">
          <a:off x="96179" y="418768"/>
          <a:ext cx="5630987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0.015</cdr:x>
      <cdr:y>0.93947</cdr:y>
    </cdr:to>
    <cdr:cxnSp macro="">
      <cdr:nvCxnSpPr>
        <cdr:cNvPr id="19" name="FRBMDVlineConnector" hidden="1"/>
        <cdr:cNvCxnSpPr/>
      </cdr:nvCxnSpPr>
      <cdr:spPr>
        <a:xfrm xmlns:a="http://schemas.openxmlformats.org/drawingml/2006/main">
          <a:off x="96179" y="418768"/>
          <a:ext cx="0" cy="5304099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0.41553</cdr:x>
      <cdr:y>0.48474</cdr:y>
    </cdr:from>
    <cdr:to>
      <cdr:x>0.5044</cdr:x>
      <cdr:y>0.52348</cdr:y>
    </cdr:to>
    <cdr:sp macro="" textlink="">
      <cdr:nvSpPr>
        <cdr:cNvPr id="21" name="SeriesLabel: P[UN]" hidden="1"/>
        <cdr:cNvSpPr txBox="1"/>
      </cdr:nvSpPr>
      <cdr:spPr>
        <a:xfrm xmlns:a="http://schemas.openxmlformats.org/drawingml/2006/main">
          <a:off x="2664682" y="2952836"/>
          <a:ext cx="569900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P[UN]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6412762" cy="609157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0.87546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96179" y="5900723"/>
          <a:ext cx="5517957" cy="190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0.87546</cdr:x>
      <cdr:y>0.05429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96179" y="50800"/>
          <a:ext cx="5517957" cy="279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0.87546</cdr:x>
      <cdr:y>0.06682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96179" y="50800"/>
          <a:ext cx="5517957" cy="356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0.86592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74" y="50893"/>
          <a:ext cx="5517957" cy="254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0.52504</cdr:x>
      <cdr:y>0.00834</cdr:y>
    </cdr:from>
    <cdr:to>
      <cdr:x>1</cdr:x>
      <cdr:y>0.05273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366977" y="50800"/>
          <a:ext cx="3045785" cy="27039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Monthly transition probability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P[EN]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01/06/1967!*FRB*!01/01/2014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0.87546</cdr:x>
      <cdr:y>0.06875</cdr:y>
    </cdr:to>
    <cdr:cxnSp macro="">
      <cdr:nvCxnSpPr>
        <cdr:cNvPr id="17" name="FRBMDHlineConnector" hidden="1"/>
        <cdr:cNvCxnSpPr/>
      </cdr:nvCxnSpPr>
      <cdr:spPr>
        <a:xfrm xmlns:a="http://schemas.openxmlformats.org/drawingml/2006/main">
          <a:off x="96179" y="418768"/>
          <a:ext cx="5517957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0.015</cdr:x>
      <cdr:y>0.93947</cdr:y>
    </cdr:to>
    <cdr:cxnSp macro="">
      <cdr:nvCxnSpPr>
        <cdr:cNvPr id="19" name="FRBMDVlineConnector" hidden="1"/>
        <cdr:cNvCxnSpPr/>
      </cdr:nvCxnSpPr>
      <cdr:spPr>
        <a:xfrm xmlns:a="http://schemas.openxmlformats.org/drawingml/2006/main">
          <a:off x="96179" y="418768"/>
          <a:ext cx="0" cy="5304099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0.4076</cdr:x>
      <cdr:y>0.48474</cdr:y>
    </cdr:from>
    <cdr:to>
      <cdr:x>0.4947</cdr:x>
      <cdr:y>0.52348</cdr:y>
    </cdr:to>
    <cdr:sp macro="" textlink="">
      <cdr:nvSpPr>
        <cdr:cNvPr id="21" name="SeriesLabel: P[EN]" hidden="1"/>
        <cdr:cNvSpPr txBox="1"/>
      </cdr:nvSpPr>
      <cdr:spPr>
        <a:xfrm xmlns:a="http://schemas.openxmlformats.org/drawingml/2006/main">
          <a:off x="2613842" y="2952836"/>
          <a:ext cx="558551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P[EN]</a:t>
          </a:r>
        </a:p>
      </cdr:txBody>
    </cdr:sp>
  </cdr:relSizeAnchor>
</c:userShapes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6416453" cy="609895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" name="FRBMDKey" descr="FRBChart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3" name="FRBMDTemplate" descr="Tru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0.00277</cdr:x>
      <cdr:y>0.10177</cdr:y>
    </cdr:from>
    <cdr:to>
      <cdr:x>0.0516</cdr:x>
      <cdr:y>0.12845</cdr:y>
    </cdr:to>
    <cdr:sp macro="" textlink="">
      <cdr:nvSpPr>
        <cdr:cNvPr id="4" name="contact" hidden="1"/>
        <cdr:cNvSpPr txBox="1"/>
      </cdr:nvSpPr>
      <cdr:spPr>
        <a:xfrm xmlns:a="http://schemas.openxmlformats.org/drawingml/2006/main">
          <a:off x="25793" y="618825"/>
          <a:ext cx="454868" cy="16222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r"/>
          <a:r>
            <a:rPr lang="en-GB" sz="1100" b="0" i="0" u="none">
              <a:solidFill>
                <a:srgbClr val="000000"/>
              </a:solidFill>
              <a:latin typeface="Arial"/>
            </a:rPr>
            <a:t>contact</a:t>
          </a:r>
        </a:p>
      </cdr:txBody>
    </cdr:sp>
  </cdr:relSizeAnchor>
  <cdr:relSizeAnchor xmlns:cdr="http://schemas.openxmlformats.org/drawingml/2006/chartDrawing">
    <cdr:from>
      <cdr:x>0.015</cdr:x>
      <cdr:y>0.96867</cdr:y>
    </cdr:from>
    <cdr:to>
      <cdr:x>0.89309</cdr:x>
      <cdr:y>1</cdr:y>
    </cdr:to>
    <cdr:sp macro="" textlink="">
      <cdr:nvSpPr>
        <cdr:cNvPr id="5" name="source" hidden="1"/>
        <cdr:cNvSpPr txBox="1"/>
      </cdr:nvSpPr>
      <cdr:spPr>
        <a:xfrm xmlns:a="http://schemas.openxmlformats.org/drawingml/2006/main">
          <a:off x="96179" y="5900723"/>
          <a:ext cx="5630987" cy="1908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100" b="0" i="0" u="none">
              <a:solidFill>
                <a:srgbClr val="000000"/>
              </a:solidFill>
              <a:latin typeface="Arial"/>
            </a:rPr>
            <a:t>Source: 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0.89309</cdr:x>
      <cdr:y>0.05429</cdr:y>
    </cdr:to>
    <cdr:sp macro="" textlink="">
      <cdr:nvSpPr>
        <cdr:cNvPr id="6" name="subtitle" hidden="1"/>
        <cdr:cNvSpPr txBox="1"/>
      </cdr:nvSpPr>
      <cdr:spPr>
        <a:xfrm xmlns:a="http://schemas.openxmlformats.org/drawingml/2006/main">
          <a:off x="96179" y="50800"/>
          <a:ext cx="5630987" cy="27990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800" b="0" i="0" u="none">
              <a:solidFill>
                <a:srgbClr val="000000"/>
              </a:solidFill>
              <a:latin typeface="Arial"/>
            </a:rPr>
            <a:t>subtitle</a:t>
          </a:r>
        </a:p>
      </cdr:txBody>
    </cdr:sp>
  </cdr:relSizeAnchor>
  <cdr:relSizeAnchor xmlns:cdr="http://schemas.openxmlformats.org/drawingml/2006/chartDrawing">
    <cdr:from>
      <cdr:x>0.015</cdr:x>
      <cdr:y>0.00834</cdr:y>
    </cdr:from>
    <cdr:to>
      <cdr:x>0.89309</cdr:x>
      <cdr:y>0.06682</cdr:y>
    </cdr:to>
    <cdr:sp macro="" textlink="">
      <cdr:nvSpPr>
        <cdr:cNvPr id="7" name="title" hidden="1"/>
        <cdr:cNvSpPr txBox="1"/>
      </cdr:nvSpPr>
      <cdr:spPr>
        <a:xfrm xmlns:a="http://schemas.openxmlformats.org/drawingml/2006/main">
          <a:off x="96179" y="50800"/>
          <a:ext cx="5630987" cy="35624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2400" b="1" i="0" u="none">
              <a:solidFill>
                <a:srgbClr val="000000"/>
              </a:solidFill>
              <a:latin typeface="Arial"/>
            </a:rPr>
            <a:t>Title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0.88354</cdr:x>
      <cdr:y>0.05013</cdr:y>
    </cdr:to>
    <cdr:sp macro="" textlink="">
      <cdr:nvSpPr>
        <cdr:cNvPr id="8" name="xlabel" hidden="1"/>
        <cdr:cNvSpPr txBox="1"/>
      </cdr:nvSpPr>
      <cdr:spPr>
        <a:xfrm xmlns:a="http://schemas.openxmlformats.org/drawingml/2006/main">
          <a:off x="34975" y="50893"/>
          <a:ext cx="5630987" cy="2544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0" i="0" u="none">
              <a:solidFill>
                <a:srgbClr val="000000"/>
              </a:solidFill>
              <a:latin typeface="Arial"/>
            </a:rPr>
            <a:t>Xlabel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0.05013</cdr:y>
    </cdr:to>
    <cdr:sp macro="" textlink="">
      <cdr:nvSpPr>
        <cdr:cNvPr id="9" name="ylabelleft" hidden="1"/>
        <cdr:cNvSpPr txBox="1"/>
      </cdr:nvSpPr>
      <cdr:spPr>
        <a:xfrm xmlns:a="http://schemas.openxmlformats.org/drawingml/2006/main">
          <a:off x="50800" y="50800"/>
          <a:ext cx="12700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l"/>
          <a:r>
            <a:rPr lang="en-GB" sz="1600" b="0" i="0" u="none">
              <a:solidFill>
                <a:srgbClr val="000000"/>
              </a:solidFill>
              <a:latin typeface="Arial"/>
            </a:rPr>
            <a:t>YlabelLeft</a:t>
          </a:r>
        </a:p>
      </cdr:txBody>
    </cdr:sp>
  </cdr:relSizeAnchor>
  <cdr:relSizeAnchor xmlns:cdr="http://schemas.openxmlformats.org/drawingml/2006/chartDrawing">
    <cdr:from>
      <cdr:x>0.54059</cdr:x>
      <cdr:y>0.00834</cdr:y>
    </cdr:from>
    <cdr:to>
      <cdr:x>1</cdr:x>
      <cdr:y>0.05455</cdr:y>
    </cdr:to>
    <cdr:sp macro="" textlink="">
      <cdr:nvSpPr>
        <cdr:cNvPr id="10" name="ylabelright"/>
        <cdr:cNvSpPr txBox="1"/>
      </cdr:nvSpPr>
      <cdr:spPr>
        <a:xfrm xmlns:a="http://schemas.openxmlformats.org/drawingml/2006/main">
          <a:off x="3466657" y="50799"/>
          <a:ext cx="2946105" cy="28146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pPr algn="r"/>
          <a:r>
            <a:rPr lang="en-GB" sz="1600" b="0" i="0" u="none">
              <a:solidFill>
                <a:srgbClr val="000000"/>
              </a:solidFill>
              <a:latin typeface="Arial"/>
            </a:rPr>
            <a:t>Monthly transition probability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1" name="FRBMDSeriesMarkers: P[NE]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3" name="FRBMDAxes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4" name="FRBPixelSiz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 i="0"/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5" name="FRBMDRecession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r>
            <a:rPr lang="en-GB" sz="1100"/>
            <a:t>01/06/1967!*FRB*!01/01/2014</a:t>
          </a:r>
        </a:p>
      </cdr:txBody>
    </cdr: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6" name="FRBMDH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0.89309</cdr:x>
      <cdr:y>0.06875</cdr:y>
    </cdr:to>
    <cdr:cxnSp macro="">
      <cdr:nvCxnSpPr>
        <cdr:cNvPr id="17" name="FRBMDHlineConnector" hidden="1"/>
        <cdr:cNvCxnSpPr/>
      </cdr:nvCxnSpPr>
      <cdr:spPr>
        <a:xfrm xmlns:a="http://schemas.openxmlformats.org/drawingml/2006/main">
          <a:off x="96179" y="418768"/>
          <a:ext cx="5630987" cy="0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18" name="FRBMDVline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0.015</cdr:x>
      <cdr:y>0.06875</cdr:y>
    </cdr:from>
    <cdr:to>
      <cdr:x>0.015</cdr:x>
      <cdr:y>0.93947</cdr:y>
    </cdr:to>
    <cdr:cxnSp macro="">
      <cdr:nvCxnSpPr>
        <cdr:cNvPr id="19" name="FRBMDVlineConnector" hidden="1"/>
        <cdr:cNvCxnSpPr/>
      </cdr:nvCxnSpPr>
      <cdr:spPr>
        <a:xfrm xmlns:a="http://schemas.openxmlformats.org/drawingml/2006/main">
          <a:off x="96179" y="418768"/>
          <a:ext cx="0" cy="5304099"/>
        </a:xfrm>
        <a:prstGeom xmlns:a="http://schemas.openxmlformats.org/drawingml/2006/main" prst="straightConnector1">
          <a:avLst/>
        </a:prstGeom>
        <a:ln xmlns:a="http://schemas.openxmlformats.org/drawingml/2006/main" w="22225">
          <a:solidFill>
            <a:srgbClr val="000000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0.00545</cdr:x>
      <cdr:y>0.00835</cdr:y>
    </cdr:from>
    <cdr:to>
      <cdr:x>0.1418</cdr:x>
      <cdr:y>0.21722</cdr:y>
    </cdr:to>
    <cdr:sp macro="" textlink="">
      <cdr:nvSpPr>
        <cdr:cNvPr id="20" name="FRBEvents" descr="!*FRB*!!*FRB*!!*FRB*!" hidden="1"/>
        <cdr:cNvSpPr txBox="1"/>
      </cdr:nvSpPr>
      <cdr:spPr>
        <a:xfrm xmlns:a="http://schemas.openxmlformats.org/drawingml/2006/main">
          <a:off x="50800" y="50800"/>
          <a:ext cx="1270000" cy="1270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square" lIns="0" tIns="0" rIns="0" bIns="0" rtlCol="0" anchor="ctr">
          <a:noAutofit/>
        </a:bodyPr>
        <a:lstStyle xmlns:a="http://schemas.openxmlformats.org/drawingml/2006/main"/>
        <a:p xmlns:a="http://schemas.openxmlformats.org/drawingml/2006/main">
          <a:endParaRPr lang="en-GB" sz="1100"/>
        </a:p>
      </cdr:txBody>
    </cdr:sp>
  </cdr:relSizeAnchor>
  <cdr:relSizeAnchor xmlns:cdr="http://schemas.openxmlformats.org/drawingml/2006/chartDrawing">
    <cdr:from>
      <cdr:x>0.41641</cdr:x>
      <cdr:y>0.48474</cdr:y>
    </cdr:from>
    <cdr:to>
      <cdr:x>0.50351</cdr:x>
      <cdr:y>0.52348</cdr:y>
    </cdr:to>
    <cdr:sp macro="" textlink="">
      <cdr:nvSpPr>
        <cdr:cNvPr id="21" name="SeriesLabel: P[NE]" hidden="1"/>
        <cdr:cNvSpPr txBox="1"/>
      </cdr:nvSpPr>
      <cdr:spPr>
        <a:xfrm xmlns:a="http://schemas.openxmlformats.org/drawingml/2006/main">
          <a:off x="2670357" y="2952836"/>
          <a:ext cx="558551" cy="23596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wrap="none" lIns="0" tIns="0" rIns="0" bIns="0" rtlCol="0" anchor="ctr">
          <a:spAutoFit/>
        </a:bodyPr>
        <a:lstStyle xmlns:a="http://schemas.openxmlformats.org/drawingml/2006/main"/>
        <a:p xmlns:a="http://schemas.openxmlformats.org/drawingml/2006/main">
          <a:pPr algn="ctr"/>
          <a:r>
            <a:rPr lang="en-GB" sz="1600" b="1" i="0" u="none">
              <a:latin typeface="Arial"/>
            </a:rPr>
            <a:t>P[NE]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A27"/>
  <sheetViews>
    <sheetView workbookViewId="0">
      <pane xSplit="1" ySplit="8" topLeftCell="B9" activePane="bottomRight" state="frozen"/>
      <selection activeCell="A8" sqref="A8:AGA26"/>
      <selection pane="topRight" activeCell="A8" sqref="A8:AGA26"/>
      <selection pane="bottomLeft" activeCell="A8" sqref="A8:AGA26"/>
      <selection pane="bottomRight" activeCell="B9" sqref="B9"/>
    </sheetView>
  </sheetViews>
  <sheetFormatPr defaultColWidth="11" defaultRowHeight="15.75" x14ac:dyDescent="0.25"/>
  <cols>
    <col min="1" max="1" width="48" bestFit="1" customWidth="1"/>
  </cols>
  <sheetData>
    <row r="1" spans="1:859" x14ac:dyDescent="0.25">
      <c r="A1" t="s">
        <v>6</v>
      </c>
    </row>
    <row r="4" spans="1:859" x14ac:dyDescent="0.25">
      <c r="A4" t="s">
        <v>7</v>
      </c>
    </row>
    <row r="5" spans="1:859" x14ac:dyDescent="0.25">
      <c r="A5" t="s">
        <v>8</v>
      </c>
    </row>
    <row r="7" spans="1:859" x14ac:dyDescent="0.25">
      <c r="A7" t="s">
        <v>9</v>
      </c>
    </row>
    <row r="8" spans="1:859" x14ac:dyDescent="0.25">
      <c r="A8" t="s">
        <v>10</v>
      </c>
      <c r="B8" s="1">
        <v>17533</v>
      </c>
      <c r="C8" s="1">
        <v>17564</v>
      </c>
      <c r="D8" s="1">
        <v>17593</v>
      </c>
      <c r="E8" s="1">
        <v>17624</v>
      </c>
      <c r="F8" s="1">
        <v>17654</v>
      </c>
      <c r="G8" s="1">
        <v>17685</v>
      </c>
      <c r="H8" s="1">
        <v>17715</v>
      </c>
      <c r="I8" s="1">
        <v>17746</v>
      </c>
      <c r="J8" s="1">
        <v>17777</v>
      </c>
      <c r="K8" s="1">
        <v>17807</v>
      </c>
      <c r="L8" s="1">
        <v>17838</v>
      </c>
      <c r="M8" s="1">
        <v>17868</v>
      </c>
      <c r="N8" t="s">
        <v>11</v>
      </c>
      <c r="O8" s="1">
        <v>17899</v>
      </c>
      <c r="P8" s="1">
        <v>17930</v>
      </c>
      <c r="Q8" s="1">
        <v>17958</v>
      </c>
      <c r="R8" s="1">
        <v>17989</v>
      </c>
      <c r="S8" s="1">
        <v>18019</v>
      </c>
      <c r="T8" s="1">
        <v>18050</v>
      </c>
      <c r="U8" s="1">
        <v>18080</v>
      </c>
      <c r="V8" s="1">
        <v>18111</v>
      </c>
      <c r="W8" s="1">
        <v>18142</v>
      </c>
      <c r="X8" s="1">
        <v>18172</v>
      </c>
      <c r="Y8" s="1">
        <v>18203</v>
      </c>
      <c r="Z8" s="1">
        <v>18233</v>
      </c>
      <c r="AA8" t="s">
        <v>12</v>
      </c>
      <c r="AB8" s="1">
        <v>18264</v>
      </c>
      <c r="AC8" s="1">
        <v>18295</v>
      </c>
      <c r="AD8" s="1">
        <v>18323</v>
      </c>
      <c r="AE8" s="1">
        <v>18354</v>
      </c>
      <c r="AF8" s="1">
        <v>18384</v>
      </c>
      <c r="AG8" s="1">
        <v>18415</v>
      </c>
      <c r="AH8" s="1">
        <v>18445</v>
      </c>
      <c r="AI8" s="1">
        <v>18476</v>
      </c>
      <c r="AJ8" s="1">
        <v>18507</v>
      </c>
      <c r="AK8" s="1">
        <v>18537</v>
      </c>
      <c r="AL8" s="1">
        <v>18568</v>
      </c>
      <c r="AM8" s="1">
        <v>18598</v>
      </c>
      <c r="AN8" t="s">
        <v>13</v>
      </c>
      <c r="AO8" s="1">
        <v>18629</v>
      </c>
      <c r="AP8" s="1">
        <v>18660</v>
      </c>
      <c r="AQ8" s="1">
        <v>18688</v>
      </c>
      <c r="AR8" s="1">
        <v>18719</v>
      </c>
      <c r="AS8" s="1">
        <v>18749</v>
      </c>
      <c r="AT8" s="1">
        <v>18780</v>
      </c>
      <c r="AU8" s="1">
        <v>18810</v>
      </c>
      <c r="AV8" s="1">
        <v>18841</v>
      </c>
      <c r="AW8" s="1">
        <v>18872</v>
      </c>
      <c r="AX8" s="1">
        <v>18902</v>
      </c>
      <c r="AY8" s="1">
        <v>18933</v>
      </c>
      <c r="AZ8" s="1">
        <v>18963</v>
      </c>
      <c r="BA8" t="s">
        <v>14</v>
      </c>
      <c r="BB8" s="1">
        <v>18994</v>
      </c>
      <c r="BC8" s="1">
        <v>19025</v>
      </c>
      <c r="BD8" s="1">
        <v>19054</v>
      </c>
      <c r="BE8" s="1">
        <v>19085</v>
      </c>
      <c r="BF8" s="1">
        <v>19115</v>
      </c>
      <c r="BG8" s="1">
        <v>19146</v>
      </c>
      <c r="BH8" s="1">
        <v>19176</v>
      </c>
      <c r="BI8" s="1">
        <v>19207</v>
      </c>
      <c r="BJ8" s="1">
        <v>19238</v>
      </c>
      <c r="BK8" s="1">
        <v>19268</v>
      </c>
      <c r="BL8" s="1">
        <v>19299</v>
      </c>
      <c r="BM8" s="1">
        <v>19329</v>
      </c>
      <c r="BN8" t="s">
        <v>15</v>
      </c>
      <c r="BO8" s="1">
        <v>19360</v>
      </c>
      <c r="BP8" s="1">
        <v>19391</v>
      </c>
      <c r="BQ8" s="1">
        <v>19419</v>
      </c>
      <c r="BR8" s="1">
        <v>19450</v>
      </c>
      <c r="BS8" s="1">
        <v>19480</v>
      </c>
      <c r="BT8" s="1">
        <v>19511</v>
      </c>
      <c r="BU8" s="1">
        <v>19541</v>
      </c>
      <c r="BV8" s="1">
        <v>19572</v>
      </c>
      <c r="BW8" s="1">
        <v>19603</v>
      </c>
      <c r="BX8" s="1">
        <v>19633</v>
      </c>
      <c r="BY8" s="1">
        <v>19664</v>
      </c>
      <c r="BZ8" s="1">
        <v>19694</v>
      </c>
      <c r="CA8" t="s">
        <v>16</v>
      </c>
      <c r="CB8" s="1">
        <v>19725</v>
      </c>
      <c r="CC8" s="1">
        <v>19756</v>
      </c>
      <c r="CD8" s="1">
        <v>19784</v>
      </c>
      <c r="CE8" s="1">
        <v>19815</v>
      </c>
      <c r="CF8" s="1">
        <v>19845</v>
      </c>
      <c r="CG8" s="1">
        <v>19876</v>
      </c>
      <c r="CH8" s="1">
        <v>19906</v>
      </c>
      <c r="CI8" s="1">
        <v>19937</v>
      </c>
      <c r="CJ8" s="1">
        <v>19968</v>
      </c>
      <c r="CK8" s="1">
        <v>19998</v>
      </c>
      <c r="CL8" s="1">
        <v>20029</v>
      </c>
      <c r="CM8" s="1">
        <v>20059</v>
      </c>
      <c r="CN8" t="s">
        <v>17</v>
      </c>
      <c r="CO8" s="1">
        <v>20090</v>
      </c>
      <c r="CP8" s="1">
        <v>20121</v>
      </c>
      <c r="CQ8" s="1">
        <v>20149</v>
      </c>
      <c r="CR8" s="1">
        <v>20180</v>
      </c>
      <c r="CS8" s="1">
        <v>20210</v>
      </c>
      <c r="CT8" s="1">
        <v>20241</v>
      </c>
      <c r="CU8" s="1">
        <v>20271</v>
      </c>
      <c r="CV8" s="1">
        <v>20302</v>
      </c>
      <c r="CW8" s="1">
        <v>20333</v>
      </c>
      <c r="CX8" s="1">
        <v>20363</v>
      </c>
      <c r="CY8" s="1">
        <v>20394</v>
      </c>
      <c r="CZ8" s="1">
        <v>20424</v>
      </c>
      <c r="DA8" t="s">
        <v>18</v>
      </c>
      <c r="DB8" s="1">
        <v>20455</v>
      </c>
      <c r="DC8" s="1">
        <v>20486</v>
      </c>
      <c r="DD8" s="1">
        <v>20515</v>
      </c>
      <c r="DE8" s="1">
        <v>20546</v>
      </c>
      <c r="DF8" s="1">
        <v>20576</v>
      </c>
      <c r="DG8" s="1">
        <v>20607</v>
      </c>
      <c r="DH8" s="1">
        <v>20637</v>
      </c>
      <c r="DI8" s="1">
        <v>20668</v>
      </c>
      <c r="DJ8" s="1">
        <v>20699</v>
      </c>
      <c r="DK8" s="1">
        <v>20729</v>
      </c>
      <c r="DL8" s="1">
        <v>20760</v>
      </c>
      <c r="DM8" s="1">
        <v>20790</v>
      </c>
      <c r="DN8" t="s">
        <v>19</v>
      </c>
      <c r="DO8" s="1">
        <v>20821</v>
      </c>
      <c r="DP8" s="1">
        <v>20852</v>
      </c>
      <c r="DQ8" s="1">
        <v>20880</v>
      </c>
      <c r="DR8" s="1">
        <v>20911</v>
      </c>
      <c r="DS8" s="1">
        <v>20941</v>
      </c>
      <c r="DT8" s="1">
        <v>20972</v>
      </c>
      <c r="DU8" s="1">
        <v>21002</v>
      </c>
      <c r="DV8" s="1">
        <v>21033</v>
      </c>
      <c r="DW8" s="1">
        <v>21064</v>
      </c>
      <c r="DX8" s="1">
        <v>21094</v>
      </c>
      <c r="DY8" s="1">
        <v>21125</v>
      </c>
      <c r="DZ8" s="1">
        <v>21155</v>
      </c>
      <c r="EA8" t="s">
        <v>20</v>
      </c>
      <c r="EB8" s="1">
        <v>21186</v>
      </c>
      <c r="EC8" s="1">
        <v>21217</v>
      </c>
      <c r="ED8" s="1">
        <v>21245</v>
      </c>
      <c r="EE8" s="1">
        <v>21276</v>
      </c>
      <c r="EF8" s="1">
        <v>21306</v>
      </c>
      <c r="EG8" s="1">
        <v>21337</v>
      </c>
      <c r="EH8" s="1">
        <v>21367</v>
      </c>
      <c r="EI8" s="1">
        <v>21398</v>
      </c>
      <c r="EJ8" s="1">
        <v>21429</v>
      </c>
      <c r="EK8" s="1">
        <v>21459</v>
      </c>
      <c r="EL8" s="1">
        <v>21490</v>
      </c>
      <c r="EM8" s="1">
        <v>21520</v>
      </c>
      <c r="EN8" t="s">
        <v>21</v>
      </c>
      <c r="EO8" s="1">
        <v>21551</v>
      </c>
      <c r="EP8" s="1">
        <v>21582</v>
      </c>
      <c r="EQ8" s="1">
        <v>21610</v>
      </c>
      <c r="ER8" s="1">
        <v>21641</v>
      </c>
      <c r="ES8" s="1">
        <v>21671</v>
      </c>
      <c r="ET8" s="1">
        <v>21702</v>
      </c>
      <c r="EU8" s="1">
        <v>21732</v>
      </c>
      <c r="EV8" s="1">
        <v>21763</v>
      </c>
      <c r="EW8" s="1">
        <v>21794</v>
      </c>
      <c r="EX8" s="1">
        <v>21824</v>
      </c>
      <c r="EY8" s="1">
        <v>21855</v>
      </c>
      <c r="EZ8" s="1">
        <v>21885</v>
      </c>
      <c r="FA8" t="s">
        <v>22</v>
      </c>
      <c r="FB8" s="1">
        <v>21916</v>
      </c>
      <c r="FC8" s="1">
        <v>21947</v>
      </c>
      <c r="FD8" s="1">
        <v>21976</v>
      </c>
      <c r="FE8" s="1">
        <v>22007</v>
      </c>
      <c r="FF8" s="1">
        <v>22037</v>
      </c>
      <c r="FG8" s="1">
        <v>22068</v>
      </c>
      <c r="FH8" s="1">
        <v>22098</v>
      </c>
      <c r="FI8" s="1">
        <v>22129</v>
      </c>
      <c r="FJ8" s="1">
        <v>22160</v>
      </c>
      <c r="FK8" s="1">
        <v>22190</v>
      </c>
      <c r="FL8" s="1">
        <v>22221</v>
      </c>
      <c r="FM8" s="1">
        <v>22251</v>
      </c>
      <c r="FN8" t="s">
        <v>23</v>
      </c>
      <c r="FO8" s="1">
        <v>22282</v>
      </c>
      <c r="FP8" s="1">
        <v>22313</v>
      </c>
      <c r="FQ8" s="1">
        <v>22341</v>
      </c>
      <c r="FR8" s="1">
        <v>22372</v>
      </c>
      <c r="FS8" s="1">
        <v>22402</v>
      </c>
      <c r="FT8" s="1">
        <v>22433</v>
      </c>
      <c r="FU8" s="1">
        <v>22463</v>
      </c>
      <c r="FV8" s="1">
        <v>22494</v>
      </c>
      <c r="FW8" s="1">
        <v>22525</v>
      </c>
      <c r="FX8" s="1">
        <v>22555</v>
      </c>
      <c r="FY8" s="1">
        <v>22586</v>
      </c>
      <c r="FZ8" s="1">
        <v>22616</v>
      </c>
      <c r="GA8" t="s">
        <v>24</v>
      </c>
      <c r="GB8" s="1">
        <v>22647</v>
      </c>
      <c r="GC8" s="1">
        <v>22678</v>
      </c>
      <c r="GD8" s="1">
        <v>22706</v>
      </c>
      <c r="GE8" s="1">
        <v>22737</v>
      </c>
      <c r="GF8" s="1">
        <v>22767</v>
      </c>
      <c r="GG8" s="1">
        <v>22798</v>
      </c>
      <c r="GH8" s="1">
        <v>22828</v>
      </c>
      <c r="GI8" s="1">
        <v>22859</v>
      </c>
      <c r="GJ8" s="1">
        <v>22890</v>
      </c>
      <c r="GK8" s="1">
        <v>22920</v>
      </c>
      <c r="GL8" s="1">
        <v>22951</v>
      </c>
      <c r="GM8" s="1">
        <v>22981</v>
      </c>
      <c r="GN8" t="s">
        <v>25</v>
      </c>
      <c r="GO8" s="1">
        <v>23012</v>
      </c>
      <c r="GP8" s="1">
        <v>23043</v>
      </c>
      <c r="GQ8" s="1">
        <v>23071</v>
      </c>
      <c r="GR8" s="1">
        <v>23102</v>
      </c>
      <c r="GS8" s="1">
        <v>23132</v>
      </c>
      <c r="GT8" s="1">
        <v>23163</v>
      </c>
      <c r="GU8" s="1">
        <v>23193</v>
      </c>
      <c r="GV8" s="1">
        <v>23224</v>
      </c>
      <c r="GW8" s="1">
        <v>23255</v>
      </c>
      <c r="GX8" s="1">
        <v>23285</v>
      </c>
      <c r="GY8" s="1">
        <v>23316</v>
      </c>
      <c r="GZ8" s="1">
        <v>23346</v>
      </c>
      <c r="HA8" t="s">
        <v>26</v>
      </c>
      <c r="HB8" s="1">
        <v>23377</v>
      </c>
      <c r="HC8" s="1">
        <v>23408</v>
      </c>
      <c r="HD8" s="1">
        <v>23437</v>
      </c>
      <c r="HE8" s="1">
        <v>23468</v>
      </c>
      <c r="HF8" s="1">
        <v>23498</v>
      </c>
      <c r="HG8" s="1">
        <v>23529</v>
      </c>
      <c r="HH8" s="1">
        <v>23559</v>
      </c>
      <c r="HI8" s="1">
        <v>23590</v>
      </c>
      <c r="HJ8" s="1">
        <v>23621</v>
      </c>
      <c r="HK8" s="1">
        <v>23651</v>
      </c>
      <c r="HL8" s="1">
        <v>23682</v>
      </c>
      <c r="HM8" s="1">
        <v>23712</v>
      </c>
      <c r="HN8" t="s">
        <v>27</v>
      </c>
      <c r="HO8" s="1">
        <v>23743</v>
      </c>
      <c r="HP8" s="1">
        <v>23774</v>
      </c>
      <c r="HQ8" s="1">
        <v>23802</v>
      </c>
      <c r="HR8" s="1">
        <v>23833</v>
      </c>
      <c r="HS8" s="1">
        <v>23863</v>
      </c>
      <c r="HT8" s="1">
        <v>23894</v>
      </c>
      <c r="HU8" s="1">
        <v>23924</v>
      </c>
      <c r="HV8" s="1">
        <v>23955</v>
      </c>
      <c r="HW8" s="1">
        <v>23986</v>
      </c>
      <c r="HX8" s="1">
        <v>24016</v>
      </c>
      <c r="HY8" s="1">
        <v>24047</v>
      </c>
      <c r="HZ8" s="1">
        <v>24077</v>
      </c>
      <c r="IA8" t="s">
        <v>28</v>
      </c>
      <c r="IB8" s="1">
        <v>24108</v>
      </c>
      <c r="IC8" s="1">
        <v>24139</v>
      </c>
      <c r="ID8" s="1">
        <v>24167</v>
      </c>
      <c r="IE8" s="1">
        <v>24198</v>
      </c>
      <c r="IF8" s="1">
        <v>24228</v>
      </c>
      <c r="IG8" s="1">
        <v>24259</v>
      </c>
      <c r="IH8" s="1">
        <v>24289</v>
      </c>
      <c r="II8" s="1">
        <v>24320</v>
      </c>
      <c r="IJ8" s="1">
        <v>24351</v>
      </c>
      <c r="IK8" s="1">
        <v>24381</v>
      </c>
      <c r="IL8" s="1">
        <v>24412</v>
      </c>
      <c r="IM8" s="1">
        <v>24442</v>
      </c>
      <c r="IN8" t="s">
        <v>29</v>
      </c>
      <c r="IO8" s="1">
        <v>24473</v>
      </c>
      <c r="IP8" s="1">
        <v>24504</v>
      </c>
      <c r="IQ8" s="1">
        <v>24532</v>
      </c>
      <c r="IR8" s="1">
        <v>24563</v>
      </c>
      <c r="IS8" s="1">
        <v>24593</v>
      </c>
      <c r="IT8" s="1">
        <v>24624</v>
      </c>
      <c r="IU8" s="1">
        <v>24654</v>
      </c>
      <c r="IV8" s="1">
        <v>24685</v>
      </c>
      <c r="IW8" s="1">
        <v>24716</v>
      </c>
      <c r="IX8" s="1">
        <v>24746</v>
      </c>
      <c r="IY8" s="1">
        <v>24777</v>
      </c>
      <c r="IZ8" s="1">
        <v>24807</v>
      </c>
      <c r="JA8" t="s">
        <v>30</v>
      </c>
      <c r="JB8" s="1">
        <v>24838</v>
      </c>
      <c r="JC8" s="1">
        <v>24869</v>
      </c>
      <c r="JD8" s="1">
        <v>24898</v>
      </c>
      <c r="JE8" s="1">
        <v>24929</v>
      </c>
      <c r="JF8" s="1">
        <v>24959</v>
      </c>
      <c r="JG8" s="1">
        <v>24990</v>
      </c>
      <c r="JH8" s="1">
        <v>25020</v>
      </c>
      <c r="JI8" s="1">
        <v>25051</v>
      </c>
      <c r="JJ8" s="1">
        <v>25082</v>
      </c>
      <c r="JK8" s="1">
        <v>25112</v>
      </c>
      <c r="JL8" s="1">
        <v>25143</v>
      </c>
      <c r="JM8" s="1">
        <v>25173</v>
      </c>
      <c r="JN8" t="s">
        <v>31</v>
      </c>
      <c r="JO8" s="1">
        <v>25204</v>
      </c>
      <c r="JP8" s="1">
        <v>25235</v>
      </c>
      <c r="JQ8" s="1">
        <v>25263</v>
      </c>
      <c r="JR8" s="1">
        <v>25294</v>
      </c>
      <c r="JS8" s="1">
        <v>25324</v>
      </c>
      <c r="JT8" s="1">
        <v>25355</v>
      </c>
      <c r="JU8" s="1">
        <v>25385</v>
      </c>
      <c r="JV8" s="1">
        <v>25416</v>
      </c>
      <c r="JW8" s="1">
        <v>25447</v>
      </c>
      <c r="JX8" s="1">
        <v>25477</v>
      </c>
      <c r="JY8" s="1">
        <v>25508</v>
      </c>
      <c r="JZ8" s="1">
        <v>25538</v>
      </c>
      <c r="KA8" t="s">
        <v>32</v>
      </c>
      <c r="KB8" s="1">
        <v>25569</v>
      </c>
      <c r="KC8" s="1">
        <v>25600</v>
      </c>
      <c r="KD8" s="1">
        <v>25628</v>
      </c>
      <c r="KE8" s="1">
        <v>25659</v>
      </c>
      <c r="KF8" s="1">
        <v>25689</v>
      </c>
      <c r="KG8" s="1">
        <v>25720</v>
      </c>
      <c r="KH8" s="1">
        <v>25750</v>
      </c>
      <c r="KI8" s="1">
        <v>25781</v>
      </c>
      <c r="KJ8" s="1">
        <v>25812</v>
      </c>
      <c r="KK8" s="1">
        <v>25842</v>
      </c>
      <c r="KL8" s="1">
        <v>25873</v>
      </c>
      <c r="KM8" s="1">
        <v>25903</v>
      </c>
      <c r="KN8" t="s">
        <v>33</v>
      </c>
      <c r="KO8" s="1">
        <v>25934</v>
      </c>
      <c r="KP8" s="1">
        <v>25965</v>
      </c>
      <c r="KQ8" s="1">
        <v>25993</v>
      </c>
      <c r="KR8" s="1">
        <v>26024</v>
      </c>
      <c r="KS8" s="1">
        <v>26054</v>
      </c>
      <c r="KT8" s="1">
        <v>26085</v>
      </c>
      <c r="KU8" s="1">
        <v>26115</v>
      </c>
      <c r="KV8" s="1">
        <v>26146</v>
      </c>
      <c r="KW8" s="1">
        <v>26177</v>
      </c>
      <c r="KX8" s="1">
        <v>26207</v>
      </c>
      <c r="KY8" s="1">
        <v>26238</v>
      </c>
      <c r="KZ8" s="1">
        <v>26268</v>
      </c>
      <c r="LA8" t="s">
        <v>34</v>
      </c>
      <c r="LB8" s="1">
        <v>26299</v>
      </c>
      <c r="LC8" s="1">
        <v>26330</v>
      </c>
      <c r="LD8" s="1">
        <v>26359</v>
      </c>
      <c r="LE8" s="1">
        <v>26390</v>
      </c>
      <c r="LF8" s="1">
        <v>26420</v>
      </c>
      <c r="LG8" s="1">
        <v>26451</v>
      </c>
      <c r="LH8" s="1">
        <v>26481</v>
      </c>
      <c r="LI8" s="1">
        <v>26512</v>
      </c>
      <c r="LJ8" s="1">
        <v>26543</v>
      </c>
      <c r="LK8" s="1">
        <v>26573</v>
      </c>
      <c r="LL8" s="1">
        <v>26604</v>
      </c>
      <c r="LM8" s="1">
        <v>26634</v>
      </c>
      <c r="LN8" t="s">
        <v>35</v>
      </c>
      <c r="LO8" s="1">
        <v>26665</v>
      </c>
      <c r="LP8" s="1">
        <v>26696</v>
      </c>
      <c r="LQ8" s="1">
        <v>26724</v>
      </c>
      <c r="LR8" s="1">
        <v>26755</v>
      </c>
      <c r="LS8" s="1">
        <v>26785</v>
      </c>
      <c r="LT8" s="1">
        <v>26816</v>
      </c>
      <c r="LU8" s="1">
        <v>26846</v>
      </c>
      <c r="LV8" s="1">
        <v>26877</v>
      </c>
      <c r="LW8" s="1">
        <v>26908</v>
      </c>
      <c r="LX8" s="1">
        <v>26938</v>
      </c>
      <c r="LY8" s="1">
        <v>26969</v>
      </c>
      <c r="LZ8" s="1">
        <v>26999</v>
      </c>
      <c r="MA8" t="s">
        <v>36</v>
      </c>
      <c r="MB8" s="1">
        <v>27030</v>
      </c>
      <c r="MC8" s="1">
        <v>27061</v>
      </c>
      <c r="MD8" s="1">
        <v>27089</v>
      </c>
      <c r="ME8" s="1">
        <v>27120</v>
      </c>
      <c r="MF8" s="1">
        <v>27150</v>
      </c>
      <c r="MG8" s="1">
        <v>27181</v>
      </c>
      <c r="MH8" s="1">
        <v>27211</v>
      </c>
      <c r="MI8" s="1">
        <v>27242</v>
      </c>
      <c r="MJ8" s="1">
        <v>27273</v>
      </c>
      <c r="MK8" s="1">
        <v>27303</v>
      </c>
      <c r="ML8" s="1">
        <v>27334</v>
      </c>
      <c r="MM8" s="1">
        <v>27364</v>
      </c>
      <c r="MN8" t="s">
        <v>37</v>
      </c>
      <c r="MO8" s="1">
        <v>27395</v>
      </c>
      <c r="MP8" s="1">
        <v>27426</v>
      </c>
      <c r="MQ8" s="1">
        <v>27454</v>
      </c>
      <c r="MR8" s="1">
        <v>27485</v>
      </c>
      <c r="MS8" s="1">
        <v>27515</v>
      </c>
      <c r="MT8" s="1">
        <v>27546</v>
      </c>
      <c r="MU8" s="1">
        <v>27576</v>
      </c>
      <c r="MV8" s="1">
        <v>27607</v>
      </c>
      <c r="MW8" s="1">
        <v>27638</v>
      </c>
      <c r="MX8" s="1">
        <v>27668</v>
      </c>
      <c r="MY8" s="1">
        <v>27699</v>
      </c>
      <c r="MZ8" s="1">
        <v>27729</v>
      </c>
      <c r="NA8" t="s">
        <v>38</v>
      </c>
      <c r="NB8" s="1">
        <v>27760</v>
      </c>
      <c r="NC8" s="1">
        <v>27791</v>
      </c>
      <c r="ND8" s="1">
        <v>27820</v>
      </c>
      <c r="NE8" s="1">
        <v>27851</v>
      </c>
      <c r="NF8" s="1">
        <v>27881</v>
      </c>
      <c r="NG8" s="1">
        <v>27912</v>
      </c>
      <c r="NH8" s="1">
        <v>27942</v>
      </c>
      <c r="NI8" s="1">
        <v>27973</v>
      </c>
      <c r="NJ8" s="1">
        <v>28004</v>
      </c>
      <c r="NK8" s="1">
        <v>28034</v>
      </c>
      <c r="NL8" s="1">
        <v>28065</v>
      </c>
      <c r="NM8" s="1">
        <v>28095</v>
      </c>
      <c r="NN8" t="s">
        <v>39</v>
      </c>
      <c r="NO8" s="1">
        <v>28126</v>
      </c>
      <c r="NP8" s="1">
        <v>28157</v>
      </c>
      <c r="NQ8" s="1">
        <v>28185</v>
      </c>
      <c r="NR8" s="1">
        <v>28216</v>
      </c>
      <c r="NS8" s="1">
        <v>28246</v>
      </c>
      <c r="NT8" s="1">
        <v>28277</v>
      </c>
      <c r="NU8" s="1">
        <v>28307</v>
      </c>
      <c r="NV8" s="1">
        <v>28338</v>
      </c>
      <c r="NW8" s="1">
        <v>28369</v>
      </c>
      <c r="NX8" s="1">
        <v>28399</v>
      </c>
      <c r="NY8" s="1">
        <v>28430</v>
      </c>
      <c r="NZ8" s="1">
        <v>28460</v>
      </c>
      <c r="OA8" t="s">
        <v>40</v>
      </c>
      <c r="OB8" s="1">
        <v>28491</v>
      </c>
      <c r="OC8" s="1">
        <v>28522</v>
      </c>
      <c r="OD8" s="1">
        <v>28550</v>
      </c>
      <c r="OE8" s="1">
        <v>28581</v>
      </c>
      <c r="OF8" s="1">
        <v>28611</v>
      </c>
      <c r="OG8" s="1">
        <v>28642</v>
      </c>
      <c r="OH8" s="1">
        <v>28672</v>
      </c>
      <c r="OI8" s="1">
        <v>28703</v>
      </c>
      <c r="OJ8" s="1">
        <v>28734</v>
      </c>
      <c r="OK8" s="1">
        <v>28764</v>
      </c>
      <c r="OL8" s="1">
        <v>28795</v>
      </c>
      <c r="OM8" s="1">
        <v>28825</v>
      </c>
      <c r="ON8" t="s">
        <v>41</v>
      </c>
      <c r="OO8" s="1">
        <v>28856</v>
      </c>
      <c r="OP8" s="1">
        <v>28887</v>
      </c>
      <c r="OQ8" s="1">
        <v>28915</v>
      </c>
      <c r="OR8" s="1">
        <v>28946</v>
      </c>
      <c r="OS8" s="1">
        <v>28976</v>
      </c>
      <c r="OT8" s="1">
        <v>29007</v>
      </c>
      <c r="OU8" s="1">
        <v>29037</v>
      </c>
      <c r="OV8" s="1">
        <v>29068</v>
      </c>
      <c r="OW8" s="1">
        <v>29099</v>
      </c>
      <c r="OX8" s="1">
        <v>29129</v>
      </c>
      <c r="OY8" s="1">
        <v>29160</v>
      </c>
      <c r="OZ8" s="1">
        <v>29190</v>
      </c>
      <c r="PA8" t="s">
        <v>42</v>
      </c>
      <c r="PB8" s="1">
        <v>29221</v>
      </c>
      <c r="PC8" s="1">
        <v>29252</v>
      </c>
      <c r="PD8" s="1">
        <v>29281</v>
      </c>
      <c r="PE8" s="1">
        <v>29312</v>
      </c>
      <c r="PF8" s="1">
        <v>29342</v>
      </c>
      <c r="PG8" s="1">
        <v>29373</v>
      </c>
      <c r="PH8" s="1">
        <v>29403</v>
      </c>
      <c r="PI8" s="1">
        <v>29434</v>
      </c>
      <c r="PJ8" s="1">
        <v>29465</v>
      </c>
      <c r="PK8" s="1">
        <v>29495</v>
      </c>
      <c r="PL8" s="1">
        <v>29526</v>
      </c>
      <c r="PM8" s="1">
        <v>29556</v>
      </c>
      <c r="PN8" t="s">
        <v>43</v>
      </c>
      <c r="PO8" s="1">
        <v>29587</v>
      </c>
      <c r="PP8" s="1">
        <v>29618</v>
      </c>
      <c r="PQ8" s="1">
        <v>29646</v>
      </c>
      <c r="PR8" s="1">
        <v>29677</v>
      </c>
      <c r="PS8" s="1">
        <v>29707</v>
      </c>
      <c r="PT8" s="1">
        <v>29738</v>
      </c>
      <c r="PU8" s="1">
        <v>29768</v>
      </c>
      <c r="PV8" s="1">
        <v>29799</v>
      </c>
      <c r="PW8" s="1">
        <v>29830</v>
      </c>
      <c r="PX8" s="1">
        <v>29860</v>
      </c>
      <c r="PY8" s="1">
        <v>29891</v>
      </c>
      <c r="PZ8" s="1">
        <v>29921</v>
      </c>
      <c r="QA8" t="s">
        <v>44</v>
      </c>
      <c r="QB8" s="1">
        <v>29952</v>
      </c>
      <c r="QC8" s="1">
        <v>29983</v>
      </c>
      <c r="QD8" s="1">
        <v>30011</v>
      </c>
      <c r="QE8" s="1">
        <v>30042</v>
      </c>
      <c r="QF8" s="1">
        <v>30072</v>
      </c>
      <c r="QG8" s="1">
        <v>30103</v>
      </c>
      <c r="QH8" s="1">
        <v>30133</v>
      </c>
      <c r="QI8" s="1">
        <v>30164</v>
      </c>
      <c r="QJ8" s="1">
        <v>30195</v>
      </c>
      <c r="QK8" s="1">
        <v>30225</v>
      </c>
      <c r="QL8" s="1">
        <v>30256</v>
      </c>
      <c r="QM8" s="1">
        <v>30286</v>
      </c>
      <c r="QN8" t="s">
        <v>45</v>
      </c>
      <c r="QO8" s="1">
        <v>30317</v>
      </c>
      <c r="QP8" s="1">
        <v>30348</v>
      </c>
      <c r="QQ8" s="1">
        <v>30376</v>
      </c>
      <c r="QR8" s="1">
        <v>30407</v>
      </c>
      <c r="QS8" s="1">
        <v>30437</v>
      </c>
      <c r="QT8" s="1">
        <v>30468</v>
      </c>
      <c r="QU8" s="1">
        <v>30498</v>
      </c>
      <c r="QV8" s="1">
        <v>30529</v>
      </c>
      <c r="QW8" s="1">
        <v>30560</v>
      </c>
      <c r="QX8" s="1">
        <v>30590</v>
      </c>
      <c r="QY8" s="1">
        <v>30621</v>
      </c>
      <c r="QZ8" s="1">
        <v>30651</v>
      </c>
      <c r="RA8" t="s">
        <v>46</v>
      </c>
      <c r="RB8" s="1">
        <v>30682</v>
      </c>
      <c r="RC8" s="1">
        <v>30713</v>
      </c>
      <c r="RD8" s="1">
        <v>30742</v>
      </c>
      <c r="RE8" s="1">
        <v>30773</v>
      </c>
      <c r="RF8" s="1">
        <v>30803</v>
      </c>
      <c r="RG8" s="1">
        <v>30834</v>
      </c>
      <c r="RH8" s="1">
        <v>30864</v>
      </c>
      <c r="RI8" s="1">
        <v>30895</v>
      </c>
      <c r="RJ8" s="1">
        <v>30926</v>
      </c>
      <c r="RK8" s="1">
        <v>30956</v>
      </c>
      <c r="RL8" s="1">
        <v>30987</v>
      </c>
      <c r="RM8" s="1">
        <v>31017</v>
      </c>
      <c r="RN8" t="s">
        <v>47</v>
      </c>
      <c r="RO8" s="1">
        <v>31048</v>
      </c>
      <c r="RP8" s="1">
        <v>31079</v>
      </c>
      <c r="RQ8" s="1">
        <v>31107</v>
      </c>
      <c r="RR8" s="1">
        <v>31138</v>
      </c>
      <c r="RS8" s="1">
        <v>31168</v>
      </c>
      <c r="RT8" s="1">
        <v>31199</v>
      </c>
      <c r="RU8" s="1">
        <v>31229</v>
      </c>
      <c r="RV8" s="1">
        <v>31260</v>
      </c>
      <c r="RW8" s="1">
        <v>31291</v>
      </c>
      <c r="RX8" s="1">
        <v>31321</v>
      </c>
      <c r="RY8" s="1">
        <v>31352</v>
      </c>
      <c r="RZ8" s="1">
        <v>31382</v>
      </c>
      <c r="SA8" t="s">
        <v>48</v>
      </c>
      <c r="SB8" s="1">
        <v>31413</v>
      </c>
      <c r="SC8" s="1">
        <v>31444</v>
      </c>
      <c r="SD8" s="1">
        <v>31472</v>
      </c>
      <c r="SE8" s="1">
        <v>31503</v>
      </c>
      <c r="SF8" s="1">
        <v>31533</v>
      </c>
      <c r="SG8" s="1">
        <v>31564</v>
      </c>
      <c r="SH8" s="1">
        <v>31594</v>
      </c>
      <c r="SI8" s="1">
        <v>31625</v>
      </c>
      <c r="SJ8" s="1">
        <v>31656</v>
      </c>
      <c r="SK8" s="1">
        <v>31686</v>
      </c>
      <c r="SL8" s="1">
        <v>31717</v>
      </c>
      <c r="SM8" s="1">
        <v>31747</v>
      </c>
      <c r="SN8" t="s">
        <v>49</v>
      </c>
      <c r="SO8" s="1">
        <v>31778</v>
      </c>
      <c r="SP8" s="1">
        <v>31809</v>
      </c>
      <c r="SQ8" s="1">
        <v>31837</v>
      </c>
      <c r="SR8" s="1">
        <v>31868</v>
      </c>
      <c r="SS8" s="1">
        <v>31898</v>
      </c>
      <c r="ST8" s="1">
        <v>31929</v>
      </c>
      <c r="SU8" s="1">
        <v>31959</v>
      </c>
      <c r="SV8" s="1">
        <v>31990</v>
      </c>
      <c r="SW8" s="1">
        <v>32021</v>
      </c>
      <c r="SX8" s="1">
        <v>32051</v>
      </c>
      <c r="SY8" s="1">
        <v>32082</v>
      </c>
      <c r="SZ8" s="1">
        <v>32112</v>
      </c>
      <c r="TA8" t="s">
        <v>50</v>
      </c>
      <c r="TB8" s="1">
        <v>32143</v>
      </c>
      <c r="TC8" s="1">
        <v>32174</v>
      </c>
      <c r="TD8" s="1">
        <v>32203</v>
      </c>
      <c r="TE8" s="1">
        <v>32234</v>
      </c>
      <c r="TF8" s="1">
        <v>32264</v>
      </c>
      <c r="TG8" s="1">
        <v>32295</v>
      </c>
      <c r="TH8" s="1">
        <v>32325</v>
      </c>
      <c r="TI8" s="1">
        <v>32356</v>
      </c>
      <c r="TJ8" s="1">
        <v>32387</v>
      </c>
      <c r="TK8" s="1">
        <v>32417</v>
      </c>
      <c r="TL8" s="1">
        <v>32448</v>
      </c>
      <c r="TM8" s="1">
        <v>32478</v>
      </c>
      <c r="TN8" t="s">
        <v>51</v>
      </c>
      <c r="TO8" s="1">
        <v>32509</v>
      </c>
      <c r="TP8" s="1">
        <v>32540</v>
      </c>
      <c r="TQ8" s="1">
        <v>32568</v>
      </c>
      <c r="TR8" s="1">
        <v>32599</v>
      </c>
      <c r="TS8" s="1">
        <v>32629</v>
      </c>
      <c r="TT8" s="1">
        <v>32660</v>
      </c>
      <c r="TU8" s="1">
        <v>32690</v>
      </c>
      <c r="TV8" s="1">
        <v>32721</v>
      </c>
      <c r="TW8" s="1">
        <v>32752</v>
      </c>
      <c r="TX8" s="1">
        <v>32782</v>
      </c>
      <c r="TY8" s="1">
        <v>32813</v>
      </c>
      <c r="TZ8" s="1">
        <v>32843</v>
      </c>
      <c r="UA8" t="s">
        <v>52</v>
      </c>
      <c r="UB8" s="1">
        <v>32874</v>
      </c>
      <c r="UC8" s="1">
        <v>32905</v>
      </c>
      <c r="UD8" s="1">
        <v>32933</v>
      </c>
      <c r="UE8" s="1">
        <v>32964</v>
      </c>
      <c r="UF8" s="1">
        <v>32994</v>
      </c>
      <c r="UG8" s="1">
        <v>33025</v>
      </c>
      <c r="UH8" s="1">
        <v>33055</v>
      </c>
      <c r="UI8" s="1">
        <v>33086</v>
      </c>
      <c r="UJ8" s="1">
        <v>33117</v>
      </c>
      <c r="UK8" s="1">
        <v>33147</v>
      </c>
      <c r="UL8" s="1">
        <v>33178</v>
      </c>
      <c r="UM8" s="1">
        <v>33208</v>
      </c>
      <c r="UN8" t="s">
        <v>53</v>
      </c>
      <c r="UO8" s="1">
        <v>33239</v>
      </c>
      <c r="UP8" s="1">
        <v>33270</v>
      </c>
      <c r="UQ8" s="1">
        <v>33298</v>
      </c>
      <c r="UR8" s="1">
        <v>33329</v>
      </c>
      <c r="US8" s="1">
        <v>33359</v>
      </c>
      <c r="UT8" s="1">
        <v>33390</v>
      </c>
      <c r="UU8" s="1">
        <v>33420</v>
      </c>
      <c r="UV8" s="1">
        <v>33451</v>
      </c>
      <c r="UW8" s="1">
        <v>33482</v>
      </c>
      <c r="UX8" s="1">
        <v>33512</v>
      </c>
      <c r="UY8" s="1">
        <v>33543</v>
      </c>
      <c r="UZ8" s="1">
        <v>33573</v>
      </c>
      <c r="VA8" t="s">
        <v>54</v>
      </c>
      <c r="VB8" s="1">
        <v>33604</v>
      </c>
      <c r="VC8" s="1">
        <v>33635</v>
      </c>
      <c r="VD8" s="1">
        <v>33664</v>
      </c>
      <c r="VE8" s="1">
        <v>33695</v>
      </c>
      <c r="VF8" s="1">
        <v>33725</v>
      </c>
      <c r="VG8" s="1">
        <v>33756</v>
      </c>
      <c r="VH8" s="1">
        <v>33786</v>
      </c>
      <c r="VI8" s="1">
        <v>33817</v>
      </c>
      <c r="VJ8" s="1">
        <v>33848</v>
      </c>
      <c r="VK8" s="1">
        <v>33878</v>
      </c>
      <c r="VL8" s="1">
        <v>33909</v>
      </c>
      <c r="VM8" s="1">
        <v>33939</v>
      </c>
      <c r="VN8" t="s">
        <v>55</v>
      </c>
      <c r="VO8" s="1">
        <v>33970</v>
      </c>
      <c r="VP8" s="1">
        <v>34001</v>
      </c>
      <c r="VQ8" s="1">
        <v>34029</v>
      </c>
      <c r="VR8" s="1">
        <v>34060</v>
      </c>
      <c r="VS8" s="1">
        <v>34090</v>
      </c>
      <c r="VT8" s="1">
        <v>34121</v>
      </c>
      <c r="VU8" s="1">
        <v>34151</v>
      </c>
      <c r="VV8" s="1">
        <v>34182</v>
      </c>
      <c r="VW8" s="1">
        <v>34213</v>
      </c>
      <c r="VX8" s="1">
        <v>34243</v>
      </c>
      <c r="VY8" s="1">
        <v>34274</v>
      </c>
      <c r="VZ8" s="1">
        <v>34304</v>
      </c>
      <c r="WA8" t="s">
        <v>56</v>
      </c>
      <c r="WB8" s="1">
        <v>34335</v>
      </c>
      <c r="WC8" s="1">
        <v>34366</v>
      </c>
      <c r="WD8" s="1">
        <v>34394</v>
      </c>
      <c r="WE8" s="1">
        <v>34425</v>
      </c>
      <c r="WF8" s="1">
        <v>34455</v>
      </c>
      <c r="WG8" s="1">
        <v>34486</v>
      </c>
      <c r="WH8" s="1">
        <v>34516</v>
      </c>
      <c r="WI8" s="1">
        <v>34547</v>
      </c>
      <c r="WJ8" s="1">
        <v>34578</v>
      </c>
      <c r="WK8" s="1">
        <v>34608</v>
      </c>
      <c r="WL8" s="1">
        <v>34639</v>
      </c>
      <c r="WM8" s="1">
        <v>34669</v>
      </c>
      <c r="WN8" t="s">
        <v>57</v>
      </c>
      <c r="WO8" s="1">
        <v>34700</v>
      </c>
      <c r="WP8" s="1">
        <v>34731</v>
      </c>
      <c r="WQ8" s="1">
        <v>34759</v>
      </c>
      <c r="WR8" s="1">
        <v>34790</v>
      </c>
      <c r="WS8" s="1">
        <v>34820</v>
      </c>
      <c r="WT8" s="1">
        <v>34851</v>
      </c>
      <c r="WU8" s="1">
        <v>34881</v>
      </c>
      <c r="WV8" s="1">
        <v>34912</v>
      </c>
      <c r="WW8" s="1">
        <v>34943</v>
      </c>
      <c r="WX8" s="1">
        <v>34973</v>
      </c>
      <c r="WY8" s="1">
        <v>35004</v>
      </c>
      <c r="WZ8" s="1">
        <v>35034</v>
      </c>
      <c r="XA8" t="s">
        <v>58</v>
      </c>
      <c r="XB8" s="1">
        <v>35065</v>
      </c>
      <c r="XC8" s="1">
        <v>35096</v>
      </c>
      <c r="XD8" s="1">
        <v>35125</v>
      </c>
      <c r="XE8" s="1">
        <v>35156</v>
      </c>
      <c r="XF8" s="1">
        <v>35186</v>
      </c>
      <c r="XG8" s="1">
        <v>35217</v>
      </c>
      <c r="XH8" s="1">
        <v>35247</v>
      </c>
      <c r="XI8" s="1">
        <v>35278</v>
      </c>
      <c r="XJ8" s="1">
        <v>35309</v>
      </c>
      <c r="XK8" s="1">
        <v>35339</v>
      </c>
      <c r="XL8" s="1">
        <v>35370</v>
      </c>
      <c r="XM8" s="1">
        <v>35400</v>
      </c>
      <c r="XN8" t="s">
        <v>59</v>
      </c>
      <c r="XO8" s="1">
        <v>35431</v>
      </c>
      <c r="XP8" s="1">
        <v>35462</v>
      </c>
      <c r="XQ8" s="1">
        <v>35490</v>
      </c>
      <c r="XR8" s="1">
        <v>35521</v>
      </c>
      <c r="XS8" s="1">
        <v>35551</v>
      </c>
      <c r="XT8" s="1">
        <v>35582</v>
      </c>
      <c r="XU8" s="1">
        <v>35612</v>
      </c>
      <c r="XV8" s="1">
        <v>35643</v>
      </c>
      <c r="XW8" s="1">
        <v>35674</v>
      </c>
      <c r="XX8" s="1">
        <v>35704</v>
      </c>
      <c r="XY8" s="1">
        <v>35735</v>
      </c>
      <c r="XZ8" s="1">
        <v>35765</v>
      </c>
      <c r="YA8" t="s">
        <v>60</v>
      </c>
      <c r="YB8" s="1">
        <v>35796</v>
      </c>
      <c r="YC8" s="1">
        <v>35827</v>
      </c>
      <c r="YD8" s="1">
        <v>35855</v>
      </c>
      <c r="YE8" s="1">
        <v>35886</v>
      </c>
      <c r="YF8" s="1">
        <v>35916</v>
      </c>
      <c r="YG8" s="1">
        <v>35947</v>
      </c>
      <c r="YH8" s="1">
        <v>35977</v>
      </c>
      <c r="YI8" s="1">
        <v>36008</v>
      </c>
      <c r="YJ8" s="1">
        <v>36039</v>
      </c>
      <c r="YK8" s="1">
        <v>36069</v>
      </c>
      <c r="YL8" s="1">
        <v>36100</v>
      </c>
      <c r="YM8" s="1">
        <v>36130</v>
      </c>
      <c r="YN8" t="s">
        <v>61</v>
      </c>
      <c r="YO8" s="1">
        <v>36161</v>
      </c>
      <c r="YP8" s="1">
        <v>36192</v>
      </c>
      <c r="YQ8" s="1">
        <v>36220</v>
      </c>
      <c r="YR8" s="1">
        <v>36251</v>
      </c>
      <c r="YS8" s="1">
        <v>36281</v>
      </c>
      <c r="YT8" s="1">
        <v>36312</v>
      </c>
      <c r="YU8" s="1">
        <v>36342</v>
      </c>
      <c r="YV8" s="1">
        <v>36373</v>
      </c>
      <c r="YW8" s="1">
        <v>36404</v>
      </c>
      <c r="YX8" s="1">
        <v>36434</v>
      </c>
      <c r="YY8" s="1">
        <v>36465</v>
      </c>
      <c r="YZ8" s="1">
        <v>36495</v>
      </c>
      <c r="ZA8" t="s">
        <v>62</v>
      </c>
      <c r="ZB8" s="1">
        <v>36526</v>
      </c>
      <c r="ZC8" s="1">
        <v>36557</v>
      </c>
      <c r="ZD8" s="1">
        <v>36586</v>
      </c>
      <c r="ZE8" s="1">
        <v>36617</v>
      </c>
      <c r="ZF8" s="1">
        <v>36647</v>
      </c>
      <c r="ZG8" s="1">
        <v>36678</v>
      </c>
      <c r="ZH8" s="1">
        <v>36708</v>
      </c>
      <c r="ZI8" s="1">
        <v>36739</v>
      </c>
      <c r="ZJ8" s="1">
        <v>36770</v>
      </c>
      <c r="ZK8" s="1">
        <v>36800</v>
      </c>
      <c r="ZL8" s="1">
        <v>36831</v>
      </c>
      <c r="ZM8" s="1">
        <v>36861</v>
      </c>
      <c r="ZN8" t="s">
        <v>63</v>
      </c>
      <c r="ZO8" s="1">
        <v>36892</v>
      </c>
      <c r="ZP8" s="1">
        <v>36923</v>
      </c>
      <c r="ZQ8" s="1">
        <v>36951</v>
      </c>
      <c r="ZR8" s="1">
        <v>36982</v>
      </c>
      <c r="ZS8" s="1">
        <v>37012</v>
      </c>
      <c r="ZT8" s="1">
        <v>37043</v>
      </c>
      <c r="ZU8" s="1">
        <v>37073</v>
      </c>
      <c r="ZV8" s="1">
        <v>37104</v>
      </c>
      <c r="ZW8" s="1">
        <v>37135</v>
      </c>
      <c r="ZX8" s="1">
        <v>37165</v>
      </c>
      <c r="ZY8" s="1">
        <v>37196</v>
      </c>
      <c r="ZZ8" s="1">
        <v>37226</v>
      </c>
      <c r="AAA8" t="s">
        <v>64</v>
      </c>
      <c r="AAB8" s="1">
        <v>37257</v>
      </c>
      <c r="AAC8" s="1">
        <v>37288</v>
      </c>
      <c r="AAD8" s="1">
        <v>37316</v>
      </c>
      <c r="AAE8" s="1">
        <v>37347</v>
      </c>
      <c r="AAF8" s="1">
        <v>37377</v>
      </c>
      <c r="AAG8" s="1">
        <v>37408</v>
      </c>
      <c r="AAH8" s="1">
        <v>37438</v>
      </c>
      <c r="AAI8" s="1">
        <v>37469</v>
      </c>
      <c r="AAJ8" s="1">
        <v>37500</v>
      </c>
      <c r="AAK8" s="1">
        <v>37530</v>
      </c>
      <c r="AAL8" s="1">
        <v>37561</v>
      </c>
      <c r="AAM8" s="1">
        <v>37591</v>
      </c>
      <c r="AAN8" t="s">
        <v>65</v>
      </c>
      <c r="AAO8" s="1">
        <v>37622</v>
      </c>
      <c r="AAP8" s="1">
        <v>37653</v>
      </c>
      <c r="AAQ8" s="1">
        <v>37681</v>
      </c>
      <c r="AAR8" s="1">
        <v>37712</v>
      </c>
      <c r="AAS8" s="1">
        <v>37742</v>
      </c>
      <c r="AAT8" s="1">
        <v>37773</v>
      </c>
      <c r="AAU8" s="1">
        <v>37803</v>
      </c>
      <c r="AAV8" s="1">
        <v>37834</v>
      </c>
      <c r="AAW8" s="1">
        <v>37865</v>
      </c>
      <c r="AAX8" s="1">
        <v>37895</v>
      </c>
      <c r="AAY8" s="1">
        <v>37926</v>
      </c>
      <c r="AAZ8" s="1">
        <v>37956</v>
      </c>
      <c r="ABA8" t="s">
        <v>66</v>
      </c>
      <c r="ABB8" s="1">
        <v>37987</v>
      </c>
      <c r="ABC8" s="1">
        <v>38018</v>
      </c>
      <c r="ABD8" s="1">
        <v>38047</v>
      </c>
      <c r="ABE8" s="1">
        <v>38078</v>
      </c>
      <c r="ABF8" s="1">
        <v>38108</v>
      </c>
      <c r="ABG8" s="1">
        <v>38139</v>
      </c>
      <c r="ABH8" s="1">
        <v>38169</v>
      </c>
      <c r="ABI8" s="1">
        <v>38200</v>
      </c>
      <c r="ABJ8" s="1">
        <v>38231</v>
      </c>
      <c r="ABK8" s="1">
        <v>38261</v>
      </c>
      <c r="ABL8" s="1">
        <v>38292</v>
      </c>
      <c r="ABM8" s="1">
        <v>38322</v>
      </c>
      <c r="ABN8" t="s">
        <v>67</v>
      </c>
      <c r="ABO8" s="1">
        <v>38353</v>
      </c>
      <c r="ABP8" s="1">
        <v>38384</v>
      </c>
      <c r="ABQ8" s="1">
        <v>38412</v>
      </c>
      <c r="ABR8" s="1">
        <v>38443</v>
      </c>
      <c r="ABS8" s="1">
        <v>38473</v>
      </c>
      <c r="ABT8" s="1">
        <v>38504</v>
      </c>
      <c r="ABU8" s="1">
        <v>38534</v>
      </c>
      <c r="ABV8" s="1">
        <v>38565</v>
      </c>
      <c r="ABW8" s="1">
        <v>38596</v>
      </c>
      <c r="ABX8" s="1">
        <v>38626</v>
      </c>
      <c r="ABY8" s="1">
        <v>38657</v>
      </c>
      <c r="ABZ8" s="1">
        <v>38687</v>
      </c>
      <c r="ACA8" t="s">
        <v>68</v>
      </c>
      <c r="ACB8" s="1">
        <v>38718</v>
      </c>
      <c r="ACC8" s="1">
        <v>38749</v>
      </c>
      <c r="ACD8" s="1">
        <v>38777</v>
      </c>
      <c r="ACE8" s="1">
        <v>38808</v>
      </c>
      <c r="ACF8" s="1">
        <v>38838</v>
      </c>
      <c r="ACG8" s="1">
        <v>38869</v>
      </c>
      <c r="ACH8" s="1">
        <v>38899</v>
      </c>
      <c r="ACI8" s="1">
        <v>38930</v>
      </c>
      <c r="ACJ8" s="1">
        <v>38961</v>
      </c>
      <c r="ACK8" s="1">
        <v>38991</v>
      </c>
      <c r="ACL8" s="1">
        <v>39022</v>
      </c>
      <c r="ACM8" s="1">
        <v>39052</v>
      </c>
      <c r="ACN8" t="s">
        <v>69</v>
      </c>
      <c r="ACO8" s="1">
        <v>39083</v>
      </c>
      <c r="ACP8" s="1">
        <v>39114</v>
      </c>
      <c r="ACQ8" s="1">
        <v>39142</v>
      </c>
      <c r="ACR8" s="1">
        <v>39173</v>
      </c>
      <c r="ACS8" s="1">
        <v>39203</v>
      </c>
      <c r="ACT8" s="1">
        <v>39234</v>
      </c>
      <c r="ACU8" s="1">
        <v>39264</v>
      </c>
      <c r="ACV8" s="1">
        <v>39295</v>
      </c>
      <c r="ACW8" s="1">
        <v>39326</v>
      </c>
      <c r="ACX8" s="1">
        <v>39356</v>
      </c>
      <c r="ACY8" s="1">
        <v>39387</v>
      </c>
      <c r="ACZ8" s="1">
        <v>39417</v>
      </c>
      <c r="ADA8" t="s">
        <v>70</v>
      </c>
      <c r="ADB8" s="1">
        <v>39448</v>
      </c>
      <c r="ADC8" s="1">
        <v>39479</v>
      </c>
      <c r="ADD8" s="1">
        <v>39508</v>
      </c>
      <c r="ADE8" s="1">
        <v>39539</v>
      </c>
      <c r="ADF8" s="1">
        <v>39569</v>
      </c>
      <c r="ADG8" s="1">
        <v>39600</v>
      </c>
      <c r="ADH8" s="1">
        <v>39630</v>
      </c>
      <c r="ADI8" s="1">
        <v>39661</v>
      </c>
      <c r="ADJ8" s="1">
        <v>39692</v>
      </c>
      <c r="ADK8" s="1">
        <v>39722</v>
      </c>
      <c r="ADL8" s="1">
        <v>39753</v>
      </c>
      <c r="ADM8" s="1">
        <v>39783</v>
      </c>
      <c r="ADN8" t="s">
        <v>71</v>
      </c>
      <c r="ADO8" s="1">
        <v>39814</v>
      </c>
      <c r="ADP8" s="1">
        <v>39845</v>
      </c>
      <c r="ADQ8" s="1">
        <v>39873</v>
      </c>
      <c r="ADR8" s="1">
        <v>39904</v>
      </c>
      <c r="ADS8" s="1">
        <v>39934</v>
      </c>
      <c r="ADT8" s="1">
        <v>39965</v>
      </c>
      <c r="ADU8" s="1">
        <v>39995</v>
      </c>
      <c r="ADV8" s="1">
        <v>40026</v>
      </c>
      <c r="ADW8" s="1">
        <v>40057</v>
      </c>
      <c r="ADX8" s="1">
        <v>40087</v>
      </c>
      <c r="ADY8" s="1">
        <v>40118</v>
      </c>
      <c r="ADZ8" s="1">
        <v>40148</v>
      </c>
      <c r="AEA8" t="s">
        <v>72</v>
      </c>
      <c r="AEB8" s="1">
        <v>40179</v>
      </c>
      <c r="AEC8" s="1">
        <v>40210</v>
      </c>
      <c r="AED8" s="1">
        <v>40238</v>
      </c>
      <c r="AEE8" s="1">
        <v>40269</v>
      </c>
      <c r="AEF8" s="1">
        <v>40299</v>
      </c>
      <c r="AEG8" s="1">
        <v>40330</v>
      </c>
      <c r="AEH8" s="1">
        <v>40360</v>
      </c>
      <c r="AEI8" s="1">
        <v>40391</v>
      </c>
      <c r="AEJ8" s="1">
        <v>40422</v>
      </c>
      <c r="AEK8" s="1">
        <v>40452</v>
      </c>
      <c r="AEL8" s="1">
        <v>40483</v>
      </c>
      <c r="AEM8" s="1">
        <v>40513</v>
      </c>
      <c r="AEN8" t="s">
        <v>73</v>
      </c>
      <c r="AEO8" s="1">
        <v>40544</v>
      </c>
      <c r="AEP8" s="1">
        <v>40575</v>
      </c>
      <c r="AEQ8" s="1">
        <v>40603</v>
      </c>
      <c r="AER8" s="1">
        <v>40634</v>
      </c>
      <c r="AES8" s="1">
        <v>40664</v>
      </c>
      <c r="AET8" s="1">
        <v>40695</v>
      </c>
      <c r="AEU8" s="1">
        <v>40725</v>
      </c>
      <c r="AEV8" s="1">
        <v>40756</v>
      </c>
      <c r="AEW8" s="1">
        <v>40787</v>
      </c>
      <c r="AEX8" s="1">
        <v>40817</v>
      </c>
      <c r="AEY8" s="1">
        <v>40848</v>
      </c>
      <c r="AEZ8" s="1">
        <v>40878</v>
      </c>
      <c r="AFA8" t="s">
        <v>74</v>
      </c>
      <c r="AFB8" s="1">
        <v>40909</v>
      </c>
      <c r="AFC8" s="1">
        <v>40940</v>
      </c>
      <c r="AFD8" s="1">
        <v>40969</v>
      </c>
      <c r="AFE8" s="1">
        <v>41000</v>
      </c>
      <c r="AFF8" s="1">
        <v>41030</v>
      </c>
      <c r="AFG8" s="1">
        <v>41061</v>
      </c>
      <c r="AFH8" s="1">
        <v>41091</v>
      </c>
      <c r="AFI8" s="1">
        <v>41122</v>
      </c>
      <c r="AFJ8" s="1">
        <v>41153</v>
      </c>
      <c r="AFK8" s="1">
        <v>41183</v>
      </c>
      <c r="AFL8" s="1">
        <v>41214</v>
      </c>
      <c r="AFM8" s="1">
        <v>41244</v>
      </c>
      <c r="AFN8" t="s">
        <v>75</v>
      </c>
      <c r="AFO8" s="1">
        <v>41275</v>
      </c>
      <c r="AFP8" s="1">
        <v>41306</v>
      </c>
      <c r="AFQ8" s="1">
        <v>41334</v>
      </c>
      <c r="AFR8" s="1">
        <v>41365</v>
      </c>
      <c r="AFS8" s="1">
        <v>41395</v>
      </c>
      <c r="AFT8" s="1">
        <v>41426</v>
      </c>
      <c r="AFU8" s="1">
        <v>41456</v>
      </c>
      <c r="AFV8" s="1">
        <v>41487</v>
      </c>
      <c r="AFW8" s="1">
        <v>41518</v>
      </c>
      <c r="AFX8" s="1">
        <v>41548</v>
      </c>
      <c r="AFY8" s="1">
        <v>41579</v>
      </c>
      <c r="AFZ8" s="1">
        <v>41609</v>
      </c>
      <c r="AGA8" t="s">
        <v>76</v>
      </c>
    </row>
    <row r="9" spans="1:859" x14ac:dyDescent="0.25">
      <c r="A9" t="s">
        <v>77</v>
      </c>
      <c r="B9">
        <v>58061</v>
      </c>
      <c r="C9">
        <v>58196</v>
      </c>
      <c r="D9">
        <v>57671</v>
      </c>
      <c r="E9">
        <v>58291</v>
      </c>
      <c r="F9">
        <v>57854</v>
      </c>
      <c r="G9">
        <v>58743</v>
      </c>
      <c r="H9">
        <v>58968</v>
      </c>
      <c r="I9">
        <v>58456</v>
      </c>
      <c r="J9">
        <v>58513</v>
      </c>
      <c r="K9">
        <v>58387</v>
      </c>
      <c r="L9">
        <v>58417</v>
      </c>
      <c r="M9">
        <v>58740</v>
      </c>
      <c r="O9">
        <v>58175</v>
      </c>
      <c r="P9">
        <v>58208</v>
      </c>
      <c r="Q9">
        <v>58043</v>
      </c>
      <c r="R9">
        <v>57747</v>
      </c>
      <c r="S9">
        <v>57552</v>
      </c>
      <c r="T9">
        <v>57172</v>
      </c>
      <c r="U9">
        <v>57190</v>
      </c>
      <c r="V9">
        <v>57397</v>
      </c>
      <c r="W9">
        <v>57584</v>
      </c>
      <c r="X9">
        <v>57269</v>
      </c>
      <c r="Y9">
        <v>58009</v>
      </c>
      <c r="Z9">
        <v>57845</v>
      </c>
      <c r="AB9">
        <v>57635</v>
      </c>
      <c r="AC9">
        <v>57751</v>
      </c>
      <c r="AD9">
        <v>57728</v>
      </c>
      <c r="AE9">
        <v>58583</v>
      </c>
      <c r="AF9">
        <v>58649</v>
      </c>
      <c r="AG9">
        <v>59052</v>
      </c>
      <c r="AH9">
        <v>59001</v>
      </c>
      <c r="AI9">
        <v>59797</v>
      </c>
      <c r="AJ9">
        <v>59575</v>
      </c>
      <c r="AK9">
        <v>59803</v>
      </c>
      <c r="AL9">
        <v>59697</v>
      </c>
      <c r="AM9">
        <v>59429</v>
      </c>
      <c r="AO9">
        <v>59636</v>
      </c>
      <c r="AP9">
        <v>59661</v>
      </c>
      <c r="AQ9">
        <v>60401</v>
      </c>
      <c r="AR9">
        <v>59889</v>
      </c>
      <c r="AS9">
        <v>60188</v>
      </c>
      <c r="AT9">
        <v>59620</v>
      </c>
      <c r="AU9">
        <v>60156</v>
      </c>
      <c r="AV9">
        <v>59994</v>
      </c>
      <c r="AW9">
        <v>59713</v>
      </c>
      <c r="AX9">
        <v>60010</v>
      </c>
      <c r="AY9">
        <v>59836</v>
      </c>
      <c r="AZ9">
        <v>60497</v>
      </c>
      <c r="BB9">
        <v>60460</v>
      </c>
      <c r="BC9">
        <v>60462</v>
      </c>
      <c r="BD9">
        <v>59908</v>
      </c>
      <c r="BE9">
        <v>59909</v>
      </c>
      <c r="BF9">
        <v>60195</v>
      </c>
      <c r="BG9">
        <v>60219</v>
      </c>
      <c r="BH9">
        <v>59971</v>
      </c>
      <c r="BI9">
        <v>59790</v>
      </c>
      <c r="BJ9">
        <v>60521</v>
      </c>
      <c r="BK9">
        <v>60132</v>
      </c>
      <c r="BL9">
        <v>60748</v>
      </c>
      <c r="BM9">
        <v>60954</v>
      </c>
      <c r="BO9">
        <v>61600</v>
      </c>
      <c r="BP9">
        <v>61884</v>
      </c>
      <c r="BQ9">
        <v>62010</v>
      </c>
      <c r="BR9">
        <v>61444</v>
      </c>
      <c r="BS9">
        <v>61019</v>
      </c>
      <c r="BT9">
        <v>61456</v>
      </c>
      <c r="BU9">
        <v>61397</v>
      </c>
      <c r="BV9">
        <v>61151</v>
      </c>
      <c r="BW9">
        <v>60906</v>
      </c>
      <c r="BX9">
        <v>60893</v>
      </c>
      <c r="BY9">
        <v>60738</v>
      </c>
      <c r="BZ9">
        <v>59977</v>
      </c>
      <c r="CB9">
        <v>60024</v>
      </c>
      <c r="CC9">
        <v>60663</v>
      </c>
      <c r="CD9">
        <v>60186</v>
      </c>
      <c r="CE9">
        <v>60185</v>
      </c>
      <c r="CF9">
        <v>59908</v>
      </c>
      <c r="CG9">
        <v>59792</v>
      </c>
      <c r="CH9">
        <v>59643</v>
      </c>
      <c r="CI9">
        <v>59853</v>
      </c>
      <c r="CJ9">
        <v>60282</v>
      </c>
      <c r="CK9">
        <v>60270</v>
      </c>
      <c r="CL9">
        <v>60357</v>
      </c>
      <c r="CM9">
        <v>60116</v>
      </c>
      <c r="CO9">
        <v>60753</v>
      </c>
      <c r="CP9">
        <v>60727</v>
      </c>
      <c r="CQ9">
        <v>60964</v>
      </c>
      <c r="CR9">
        <v>61515</v>
      </c>
      <c r="CS9">
        <v>61634</v>
      </c>
      <c r="CT9">
        <v>61781</v>
      </c>
      <c r="CU9">
        <v>62513</v>
      </c>
      <c r="CV9">
        <v>62797</v>
      </c>
      <c r="CW9">
        <v>62950</v>
      </c>
      <c r="CX9">
        <v>62991</v>
      </c>
      <c r="CY9">
        <v>63257</v>
      </c>
      <c r="CZ9">
        <v>63684</v>
      </c>
      <c r="DB9">
        <v>63753</v>
      </c>
      <c r="DC9">
        <v>63518</v>
      </c>
      <c r="DD9">
        <v>63411</v>
      </c>
      <c r="DE9">
        <v>63614</v>
      </c>
      <c r="DF9">
        <v>63861</v>
      </c>
      <c r="DG9">
        <v>63820</v>
      </c>
      <c r="DH9">
        <v>63800</v>
      </c>
      <c r="DI9">
        <v>63972</v>
      </c>
      <c r="DJ9">
        <v>64079</v>
      </c>
      <c r="DK9">
        <v>63975</v>
      </c>
      <c r="DL9">
        <v>63796</v>
      </c>
      <c r="DM9">
        <v>63910</v>
      </c>
      <c r="DO9">
        <v>63632</v>
      </c>
      <c r="DP9">
        <v>64257</v>
      </c>
      <c r="DQ9">
        <v>64404</v>
      </c>
      <c r="DR9">
        <v>64047</v>
      </c>
      <c r="DS9">
        <v>63985</v>
      </c>
      <c r="DT9">
        <v>64196</v>
      </c>
      <c r="DU9">
        <v>64540</v>
      </c>
      <c r="DV9">
        <v>63959</v>
      </c>
      <c r="DW9">
        <v>64121</v>
      </c>
      <c r="DX9">
        <v>64046</v>
      </c>
      <c r="DY9">
        <v>63669</v>
      </c>
      <c r="DZ9">
        <v>63922</v>
      </c>
      <c r="EB9">
        <v>63220</v>
      </c>
      <c r="EC9">
        <v>62898</v>
      </c>
      <c r="ED9">
        <v>62731</v>
      </c>
      <c r="EE9">
        <v>62631</v>
      </c>
      <c r="EF9">
        <v>62874</v>
      </c>
      <c r="EG9">
        <v>62730</v>
      </c>
      <c r="EH9">
        <v>62745</v>
      </c>
      <c r="EI9">
        <v>63012</v>
      </c>
      <c r="EJ9">
        <v>63181</v>
      </c>
      <c r="EK9">
        <v>63475</v>
      </c>
      <c r="EL9">
        <v>63470</v>
      </c>
      <c r="EM9">
        <v>63549</v>
      </c>
      <c r="EO9">
        <v>63868</v>
      </c>
      <c r="EP9">
        <v>63684</v>
      </c>
      <c r="EQ9">
        <v>64267</v>
      </c>
      <c r="ER9">
        <v>64768</v>
      </c>
      <c r="ES9">
        <v>64699</v>
      </c>
      <c r="ET9">
        <v>64849</v>
      </c>
      <c r="EU9">
        <v>65011</v>
      </c>
      <c r="EV9">
        <v>64844</v>
      </c>
      <c r="EW9">
        <v>64770</v>
      </c>
      <c r="EX9">
        <v>64911</v>
      </c>
      <c r="EY9">
        <v>64530</v>
      </c>
      <c r="EZ9">
        <v>65341</v>
      </c>
      <c r="FB9">
        <v>65347</v>
      </c>
      <c r="FC9">
        <v>65620</v>
      </c>
      <c r="FD9">
        <v>64673</v>
      </c>
      <c r="FE9">
        <v>65959</v>
      </c>
      <c r="FF9">
        <v>66057</v>
      </c>
      <c r="FG9">
        <v>66168</v>
      </c>
      <c r="FH9">
        <v>65909</v>
      </c>
      <c r="FI9">
        <v>65895</v>
      </c>
      <c r="FJ9">
        <v>66267</v>
      </c>
      <c r="FK9">
        <v>65632</v>
      </c>
      <c r="FL9">
        <v>66109</v>
      </c>
      <c r="FM9">
        <v>65778</v>
      </c>
      <c r="FO9">
        <v>65776</v>
      </c>
      <c r="FP9">
        <v>65588</v>
      </c>
      <c r="FQ9">
        <v>65850</v>
      </c>
      <c r="FR9">
        <v>65374</v>
      </c>
      <c r="FS9">
        <v>65449</v>
      </c>
      <c r="FT9">
        <v>65993</v>
      </c>
      <c r="FU9">
        <v>65608</v>
      </c>
      <c r="FV9">
        <v>65852</v>
      </c>
      <c r="FW9">
        <v>65541</v>
      </c>
      <c r="FX9">
        <v>65919</v>
      </c>
      <c r="FY9">
        <v>66081</v>
      </c>
      <c r="FZ9">
        <v>65900</v>
      </c>
      <c r="GB9">
        <v>66108</v>
      </c>
      <c r="GC9">
        <v>66538</v>
      </c>
      <c r="GD9">
        <v>66493</v>
      </c>
      <c r="GE9">
        <v>66372</v>
      </c>
      <c r="GF9">
        <v>66688</v>
      </c>
      <c r="GG9">
        <v>66670</v>
      </c>
      <c r="GH9">
        <v>66483</v>
      </c>
      <c r="GI9">
        <v>66968</v>
      </c>
      <c r="GJ9">
        <v>67192</v>
      </c>
      <c r="GK9">
        <v>67114</v>
      </c>
      <c r="GL9">
        <v>66847</v>
      </c>
      <c r="GM9">
        <v>66947</v>
      </c>
      <c r="GO9">
        <v>67072</v>
      </c>
      <c r="GP9">
        <v>67024</v>
      </c>
      <c r="GQ9">
        <v>67351</v>
      </c>
      <c r="GR9">
        <v>67642</v>
      </c>
      <c r="GS9">
        <v>67615</v>
      </c>
      <c r="GT9">
        <v>67649</v>
      </c>
      <c r="GU9">
        <v>67905</v>
      </c>
      <c r="GV9">
        <v>67908</v>
      </c>
      <c r="GW9">
        <v>68174</v>
      </c>
      <c r="GX9">
        <v>68294</v>
      </c>
      <c r="GY9">
        <v>68267</v>
      </c>
      <c r="GZ9">
        <v>68213</v>
      </c>
      <c r="HB9">
        <v>68327</v>
      </c>
      <c r="HC9">
        <v>68751</v>
      </c>
      <c r="HD9">
        <v>68763</v>
      </c>
      <c r="HE9">
        <v>69356</v>
      </c>
      <c r="HF9">
        <v>69631</v>
      </c>
      <c r="HG9">
        <v>69218</v>
      </c>
      <c r="HH9">
        <v>69399</v>
      </c>
      <c r="HI9">
        <v>69463</v>
      </c>
      <c r="HJ9">
        <v>69578</v>
      </c>
      <c r="HK9">
        <v>69582</v>
      </c>
      <c r="HL9">
        <v>69735</v>
      </c>
      <c r="HM9">
        <v>69814</v>
      </c>
      <c r="HO9">
        <v>69997</v>
      </c>
      <c r="HP9">
        <v>70127</v>
      </c>
      <c r="HQ9">
        <v>70439</v>
      </c>
      <c r="HR9">
        <v>70633</v>
      </c>
      <c r="HS9">
        <v>71034</v>
      </c>
      <c r="HT9">
        <v>71025</v>
      </c>
      <c r="HU9">
        <v>71460</v>
      </c>
      <c r="HV9">
        <v>71362</v>
      </c>
      <c r="HW9">
        <v>71286</v>
      </c>
      <c r="HX9">
        <v>71695</v>
      </c>
      <c r="HY9">
        <v>71724</v>
      </c>
      <c r="HZ9">
        <v>72062</v>
      </c>
      <c r="IB9">
        <v>72198</v>
      </c>
      <c r="IC9">
        <v>72134</v>
      </c>
      <c r="ID9">
        <v>72188</v>
      </c>
      <c r="IE9">
        <v>72510</v>
      </c>
      <c r="IF9">
        <v>72497</v>
      </c>
      <c r="IG9">
        <v>72775</v>
      </c>
      <c r="IH9">
        <v>72860</v>
      </c>
      <c r="II9">
        <v>73146</v>
      </c>
      <c r="IJ9">
        <v>73258</v>
      </c>
      <c r="IK9">
        <v>73401</v>
      </c>
      <c r="IL9">
        <v>73840</v>
      </c>
      <c r="IM9">
        <v>73729</v>
      </c>
      <c r="IO9">
        <v>73671</v>
      </c>
      <c r="IP9">
        <v>73606</v>
      </c>
      <c r="IQ9">
        <v>73439</v>
      </c>
      <c r="IR9">
        <v>73882</v>
      </c>
      <c r="IS9">
        <v>73844</v>
      </c>
      <c r="IT9">
        <v>74278</v>
      </c>
      <c r="IU9">
        <v>74520</v>
      </c>
      <c r="IV9">
        <v>74767</v>
      </c>
      <c r="IW9">
        <v>74854</v>
      </c>
      <c r="IX9">
        <v>75051</v>
      </c>
      <c r="IY9">
        <v>75125</v>
      </c>
      <c r="IZ9">
        <v>75473</v>
      </c>
      <c r="JB9">
        <v>74700</v>
      </c>
      <c r="JC9">
        <v>75229</v>
      </c>
      <c r="JD9">
        <v>75379</v>
      </c>
      <c r="JE9">
        <v>75561</v>
      </c>
      <c r="JF9">
        <v>76107</v>
      </c>
      <c r="JG9">
        <v>76182</v>
      </c>
      <c r="JH9">
        <v>76087</v>
      </c>
      <c r="JI9">
        <v>76043</v>
      </c>
      <c r="JJ9">
        <v>76172</v>
      </c>
      <c r="JK9">
        <v>76224</v>
      </c>
      <c r="JL9">
        <v>76494</v>
      </c>
      <c r="JM9">
        <v>76778</v>
      </c>
      <c r="JO9">
        <v>76805</v>
      </c>
      <c r="JP9">
        <v>77327</v>
      </c>
      <c r="JQ9">
        <v>77367</v>
      </c>
      <c r="JR9">
        <v>77523</v>
      </c>
      <c r="JS9">
        <v>77412</v>
      </c>
      <c r="JT9">
        <v>77880</v>
      </c>
      <c r="JU9">
        <v>77959</v>
      </c>
      <c r="JV9">
        <v>78250</v>
      </c>
      <c r="JW9">
        <v>78250</v>
      </c>
      <c r="JX9">
        <v>78445</v>
      </c>
      <c r="JY9">
        <v>78541</v>
      </c>
      <c r="JZ9">
        <v>78740</v>
      </c>
      <c r="KB9">
        <v>78780</v>
      </c>
      <c r="KC9">
        <v>78698</v>
      </c>
      <c r="KD9">
        <v>78863</v>
      </c>
      <c r="KE9">
        <v>78930</v>
      </c>
      <c r="KF9">
        <v>78564</v>
      </c>
      <c r="KG9">
        <v>78413</v>
      </c>
      <c r="KH9">
        <v>78726</v>
      </c>
      <c r="KI9">
        <v>78624</v>
      </c>
      <c r="KJ9">
        <v>78498</v>
      </c>
      <c r="KK9">
        <v>78685</v>
      </c>
      <c r="KL9">
        <v>78650</v>
      </c>
      <c r="KM9">
        <v>78594</v>
      </c>
      <c r="KO9">
        <v>78864</v>
      </c>
      <c r="KP9">
        <v>78700</v>
      </c>
      <c r="KQ9">
        <v>78588</v>
      </c>
      <c r="KR9">
        <v>78987</v>
      </c>
      <c r="KS9">
        <v>79139</v>
      </c>
      <c r="KT9">
        <v>78757</v>
      </c>
      <c r="KU9">
        <v>79305</v>
      </c>
      <c r="KV9">
        <v>79539</v>
      </c>
      <c r="KW9">
        <v>79689</v>
      </c>
      <c r="KX9">
        <v>79918</v>
      </c>
      <c r="KY9">
        <v>80297</v>
      </c>
      <c r="KZ9">
        <v>80471</v>
      </c>
      <c r="LB9">
        <v>80959</v>
      </c>
      <c r="LC9">
        <v>81108</v>
      </c>
      <c r="LD9">
        <v>81573</v>
      </c>
      <c r="LE9">
        <v>81655</v>
      </c>
      <c r="LF9">
        <v>81887</v>
      </c>
      <c r="LG9">
        <v>82083</v>
      </c>
      <c r="LH9">
        <v>82230</v>
      </c>
      <c r="LI9">
        <v>82578</v>
      </c>
      <c r="LJ9">
        <v>82543</v>
      </c>
      <c r="LK9">
        <v>82616</v>
      </c>
      <c r="LL9">
        <v>82990</v>
      </c>
      <c r="LM9">
        <v>83400</v>
      </c>
      <c r="LO9">
        <v>83161</v>
      </c>
      <c r="LP9">
        <v>83912</v>
      </c>
      <c r="LQ9">
        <v>84452</v>
      </c>
      <c r="LR9">
        <v>84559</v>
      </c>
      <c r="LS9">
        <v>84648</v>
      </c>
      <c r="LT9">
        <v>85185</v>
      </c>
      <c r="LU9">
        <v>85299</v>
      </c>
      <c r="LV9">
        <v>85204</v>
      </c>
      <c r="LW9">
        <v>85488</v>
      </c>
      <c r="LX9">
        <v>85987</v>
      </c>
      <c r="LY9">
        <v>86320</v>
      </c>
      <c r="LZ9">
        <v>86401</v>
      </c>
      <c r="MB9">
        <v>86555</v>
      </c>
      <c r="MC9">
        <v>86754</v>
      </c>
      <c r="MD9">
        <v>86819</v>
      </c>
      <c r="ME9">
        <v>86669</v>
      </c>
      <c r="MF9">
        <v>86891</v>
      </c>
      <c r="MG9">
        <v>86941</v>
      </c>
      <c r="MH9">
        <v>87149</v>
      </c>
      <c r="MI9">
        <v>87037</v>
      </c>
      <c r="MJ9">
        <v>87051</v>
      </c>
      <c r="MK9">
        <v>86995</v>
      </c>
      <c r="ML9">
        <v>86626</v>
      </c>
      <c r="MM9">
        <v>86144</v>
      </c>
      <c r="MO9">
        <v>85627</v>
      </c>
      <c r="MP9">
        <v>85256</v>
      </c>
      <c r="MQ9">
        <v>85187</v>
      </c>
      <c r="MR9">
        <v>85189</v>
      </c>
      <c r="MS9">
        <v>85451</v>
      </c>
      <c r="MT9">
        <v>85355</v>
      </c>
      <c r="MU9">
        <v>85894</v>
      </c>
      <c r="MV9">
        <v>86234</v>
      </c>
      <c r="MW9">
        <v>86279</v>
      </c>
      <c r="MX9">
        <v>86370</v>
      </c>
      <c r="MY9">
        <v>86456</v>
      </c>
      <c r="MZ9">
        <v>86665</v>
      </c>
      <c r="NB9">
        <v>87400</v>
      </c>
      <c r="NC9">
        <v>87672</v>
      </c>
      <c r="ND9">
        <v>87985</v>
      </c>
      <c r="NE9">
        <v>88416</v>
      </c>
      <c r="NF9">
        <v>88794</v>
      </c>
      <c r="NG9">
        <v>88563</v>
      </c>
      <c r="NH9">
        <v>89093</v>
      </c>
      <c r="NI9">
        <v>89223</v>
      </c>
      <c r="NJ9">
        <v>89173</v>
      </c>
      <c r="NK9">
        <v>89274</v>
      </c>
      <c r="NL9">
        <v>89634</v>
      </c>
      <c r="NM9">
        <v>89803</v>
      </c>
      <c r="NO9">
        <v>89928</v>
      </c>
      <c r="NP9">
        <v>90342</v>
      </c>
      <c r="NQ9">
        <v>90808</v>
      </c>
      <c r="NR9">
        <v>91271</v>
      </c>
      <c r="NS9">
        <v>91754</v>
      </c>
      <c r="NT9">
        <v>91959</v>
      </c>
      <c r="NU9">
        <v>92084</v>
      </c>
      <c r="NV9">
        <v>92441</v>
      </c>
      <c r="NW9">
        <v>92702</v>
      </c>
      <c r="NX9">
        <v>93052</v>
      </c>
      <c r="NY9">
        <v>93761</v>
      </c>
      <c r="NZ9">
        <v>94105</v>
      </c>
      <c r="OB9">
        <v>94384</v>
      </c>
      <c r="OC9">
        <v>94519</v>
      </c>
      <c r="OD9">
        <v>94755</v>
      </c>
      <c r="OE9">
        <v>95394</v>
      </c>
      <c r="OF9">
        <v>95769</v>
      </c>
      <c r="OG9">
        <v>96343</v>
      </c>
      <c r="OH9">
        <v>96090</v>
      </c>
      <c r="OI9">
        <v>96431</v>
      </c>
      <c r="OJ9">
        <v>96670</v>
      </c>
      <c r="OK9">
        <v>97133</v>
      </c>
      <c r="OL9">
        <v>97485</v>
      </c>
      <c r="OM9">
        <v>97581</v>
      </c>
      <c r="OO9">
        <v>97948</v>
      </c>
      <c r="OP9">
        <v>98329</v>
      </c>
      <c r="OQ9">
        <v>98480</v>
      </c>
      <c r="OR9">
        <v>98103</v>
      </c>
      <c r="OS9">
        <v>98331</v>
      </c>
      <c r="OT9">
        <v>98679</v>
      </c>
      <c r="OU9">
        <v>99006</v>
      </c>
      <c r="OV9">
        <v>98776</v>
      </c>
      <c r="OW9">
        <v>99340</v>
      </c>
      <c r="OX9">
        <v>99404</v>
      </c>
      <c r="OY9">
        <v>99574</v>
      </c>
      <c r="OZ9">
        <v>99933</v>
      </c>
      <c r="PB9">
        <v>99879</v>
      </c>
      <c r="PC9">
        <v>99995</v>
      </c>
      <c r="PD9">
        <v>99713</v>
      </c>
      <c r="PE9">
        <v>99233</v>
      </c>
      <c r="PF9">
        <v>98945</v>
      </c>
      <c r="PG9">
        <v>98682</v>
      </c>
      <c r="PH9">
        <v>98796</v>
      </c>
      <c r="PI9">
        <v>98824</v>
      </c>
      <c r="PJ9">
        <v>99077</v>
      </c>
      <c r="PK9">
        <v>99317</v>
      </c>
      <c r="PL9">
        <v>99545</v>
      </c>
      <c r="PM9">
        <v>99634</v>
      </c>
      <c r="PO9">
        <v>99955</v>
      </c>
      <c r="PP9">
        <v>100191</v>
      </c>
      <c r="PQ9">
        <v>100571</v>
      </c>
      <c r="PR9">
        <v>101056</v>
      </c>
      <c r="PS9">
        <v>101048</v>
      </c>
      <c r="PT9">
        <v>100298</v>
      </c>
      <c r="PU9">
        <v>100693</v>
      </c>
      <c r="PV9">
        <v>100689</v>
      </c>
      <c r="PW9">
        <v>100064</v>
      </c>
      <c r="PX9">
        <v>100378</v>
      </c>
      <c r="PY9">
        <v>100207</v>
      </c>
      <c r="PZ9">
        <v>99645</v>
      </c>
      <c r="QB9">
        <v>99692</v>
      </c>
      <c r="QC9">
        <v>99762</v>
      </c>
      <c r="QD9">
        <v>99672</v>
      </c>
      <c r="QE9">
        <v>99576</v>
      </c>
      <c r="QF9">
        <v>100116</v>
      </c>
      <c r="QG9">
        <v>99543</v>
      </c>
      <c r="QH9">
        <v>99493</v>
      </c>
      <c r="QI9">
        <v>99633</v>
      </c>
      <c r="QJ9">
        <v>99504</v>
      </c>
      <c r="QK9">
        <v>99215</v>
      </c>
      <c r="QL9">
        <v>99112</v>
      </c>
      <c r="QM9">
        <v>99032</v>
      </c>
      <c r="QO9">
        <v>99161</v>
      </c>
      <c r="QP9">
        <v>99089</v>
      </c>
      <c r="QQ9">
        <v>99179</v>
      </c>
      <c r="QR9">
        <v>99560</v>
      </c>
      <c r="QS9">
        <v>99642</v>
      </c>
      <c r="QT9">
        <v>100633</v>
      </c>
      <c r="QU9">
        <v>101208</v>
      </c>
      <c r="QV9">
        <v>101608</v>
      </c>
      <c r="QW9">
        <v>102016</v>
      </c>
      <c r="QX9">
        <v>102039</v>
      </c>
      <c r="QY9">
        <v>102729</v>
      </c>
      <c r="QZ9">
        <v>102996</v>
      </c>
      <c r="RB9">
        <v>103201</v>
      </c>
      <c r="RC9">
        <v>103824</v>
      </c>
      <c r="RD9">
        <v>103967</v>
      </c>
      <c r="RE9">
        <v>104336</v>
      </c>
      <c r="RF9">
        <v>105193</v>
      </c>
      <c r="RG9">
        <v>105591</v>
      </c>
      <c r="RH9">
        <v>105435</v>
      </c>
      <c r="RI9">
        <v>105163</v>
      </c>
      <c r="RJ9">
        <v>105490</v>
      </c>
      <c r="RK9">
        <v>105638</v>
      </c>
      <c r="RL9">
        <v>105972</v>
      </c>
      <c r="RM9">
        <v>106223</v>
      </c>
      <c r="RO9">
        <v>106302</v>
      </c>
      <c r="RP9">
        <v>106555</v>
      </c>
      <c r="RQ9">
        <v>106989</v>
      </c>
      <c r="RR9">
        <v>106936</v>
      </c>
      <c r="RS9">
        <v>106932</v>
      </c>
      <c r="RT9">
        <v>106505</v>
      </c>
      <c r="RU9">
        <v>106807</v>
      </c>
      <c r="RV9">
        <v>107095</v>
      </c>
      <c r="RW9">
        <v>107657</v>
      </c>
      <c r="RX9">
        <v>107847</v>
      </c>
      <c r="RY9">
        <v>108007</v>
      </c>
      <c r="RZ9">
        <v>108216</v>
      </c>
      <c r="SB9">
        <v>108887</v>
      </c>
      <c r="SC9">
        <v>108480</v>
      </c>
      <c r="SD9">
        <v>108837</v>
      </c>
      <c r="SE9">
        <v>108952</v>
      </c>
      <c r="SF9">
        <v>109089</v>
      </c>
      <c r="SG9">
        <v>109576</v>
      </c>
      <c r="SH9">
        <v>109810</v>
      </c>
      <c r="SI9">
        <v>110015</v>
      </c>
      <c r="SJ9">
        <v>110085</v>
      </c>
      <c r="SK9">
        <v>110273</v>
      </c>
      <c r="SL9">
        <v>110475</v>
      </c>
      <c r="SM9">
        <v>110728</v>
      </c>
      <c r="SO9">
        <v>110953</v>
      </c>
      <c r="SP9">
        <v>111257</v>
      </c>
      <c r="SQ9">
        <v>111408</v>
      </c>
      <c r="SR9">
        <v>111794</v>
      </c>
      <c r="SS9">
        <v>112434</v>
      </c>
      <c r="ST9">
        <v>112246</v>
      </c>
      <c r="SU9">
        <v>112634</v>
      </c>
      <c r="SV9">
        <v>113057</v>
      </c>
      <c r="SW9">
        <v>112909</v>
      </c>
      <c r="SX9">
        <v>113282</v>
      </c>
      <c r="SY9">
        <v>113505</v>
      </c>
      <c r="SZ9">
        <v>113793</v>
      </c>
      <c r="TB9">
        <v>114016</v>
      </c>
      <c r="TC9">
        <v>114227</v>
      </c>
      <c r="TD9">
        <v>114037</v>
      </c>
      <c r="TE9">
        <v>114650</v>
      </c>
      <c r="TF9">
        <v>114292</v>
      </c>
      <c r="TG9">
        <v>114927</v>
      </c>
      <c r="TH9">
        <v>115060</v>
      </c>
      <c r="TI9">
        <v>115282</v>
      </c>
      <c r="TJ9">
        <v>115356</v>
      </c>
      <c r="TK9">
        <v>115638</v>
      </c>
      <c r="TL9">
        <v>116100</v>
      </c>
      <c r="TM9">
        <v>116104</v>
      </c>
      <c r="TO9">
        <v>116708</v>
      </c>
      <c r="TP9">
        <v>116776</v>
      </c>
      <c r="TQ9">
        <v>117022</v>
      </c>
      <c r="TR9">
        <v>117097</v>
      </c>
      <c r="TS9">
        <v>117099</v>
      </c>
      <c r="TT9">
        <v>117418</v>
      </c>
      <c r="TU9">
        <v>117472</v>
      </c>
      <c r="TV9">
        <v>117655</v>
      </c>
      <c r="TW9">
        <v>117354</v>
      </c>
      <c r="TX9">
        <v>117581</v>
      </c>
      <c r="TY9">
        <v>117912</v>
      </c>
      <c r="TZ9">
        <v>117830</v>
      </c>
      <c r="UB9">
        <v>119081</v>
      </c>
      <c r="UC9">
        <v>119059</v>
      </c>
      <c r="UD9">
        <v>119203</v>
      </c>
      <c r="UE9">
        <v>118852</v>
      </c>
      <c r="UF9">
        <v>119151</v>
      </c>
      <c r="UG9">
        <v>118983</v>
      </c>
      <c r="UH9">
        <v>118810</v>
      </c>
      <c r="UI9">
        <v>118802</v>
      </c>
      <c r="UJ9">
        <v>118524</v>
      </c>
      <c r="UK9">
        <v>118536</v>
      </c>
      <c r="UL9">
        <v>118306</v>
      </c>
      <c r="UM9">
        <v>118241</v>
      </c>
      <c r="UO9">
        <v>117940</v>
      </c>
      <c r="UP9">
        <v>117755</v>
      </c>
      <c r="UQ9">
        <v>117652</v>
      </c>
      <c r="UR9">
        <v>118109</v>
      </c>
      <c r="US9">
        <v>117440</v>
      </c>
      <c r="UT9">
        <v>117639</v>
      </c>
      <c r="UU9">
        <v>117568</v>
      </c>
      <c r="UV9">
        <v>117484</v>
      </c>
      <c r="UW9">
        <v>117928</v>
      </c>
      <c r="UX9">
        <v>117800</v>
      </c>
      <c r="UY9">
        <v>117770</v>
      </c>
      <c r="UZ9">
        <v>117466</v>
      </c>
      <c r="VB9">
        <v>117978</v>
      </c>
      <c r="VC9">
        <v>117753</v>
      </c>
      <c r="VD9">
        <v>118144</v>
      </c>
      <c r="VE9">
        <v>118426</v>
      </c>
      <c r="VF9">
        <v>118375</v>
      </c>
      <c r="VG9">
        <v>118419</v>
      </c>
      <c r="VH9">
        <v>118713</v>
      </c>
      <c r="VI9">
        <v>118826</v>
      </c>
      <c r="VJ9">
        <v>118720</v>
      </c>
      <c r="VK9">
        <v>118628</v>
      </c>
      <c r="VL9">
        <v>118876</v>
      </c>
      <c r="VM9">
        <v>118997</v>
      </c>
      <c r="VO9">
        <v>119075</v>
      </c>
      <c r="VP9">
        <v>119275</v>
      </c>
      <c r="VQ9">
        <v>119542</v>
      </c>
      <c r="VR9">
        <v>119474</v>
      </c>
      <c r="VS9">
        <v>120115</v>
      </c>
      <c r="VT9">
        <v>120290</v>
      </c>
      <c r="VU9">
        <v>120467</v>
      </c>
      <c r="VV9">
        <v>120856</v>
      </c>
      <c r="VW9">
        <v>120554</v>
      </c>
      <c r="VX9">
        <v>120823</v>
      </c>
      <c r="VY9">
        <v>121169</v>
      </c>
      <c r="VZ9">
        <v>121464</v>
      </c>
      <c r="WB9">
        <v>121966</v>
      </c>
      <c r="WC9">
        <v>122086</v>
      </c>
      <c r="WD9">
        <v>121930</v>
      </c>
      <c r="WE9">
        <v>122290</v>
      </c>
      <c r="WF9">
        <v>122864</v>
      </c>
      <c r="WG9">
        <v>122634</v>
      </c>
      <c r="WH9">
        <v>122706</v>
      </c>
      <c r="WI9">
        <v>123342</v>
      </c>
      <c r="WJ9">
        <v>123687</v>
      </c>
      <c r="WK9">
        <v>124112</v>
      </c>
      <c r="WL9">
        <v>124516</v>
      </c>
      <c r="WM9">
        <v>124721</v>
      </c>
      <c r="WO9">
        <v>124663</v>
      </c>
      <c r="WP9">
        <v>124928</v>
      </c>
      <c r="WQ9">
        <v>124955</v>
      </c>
      <c r="WR9">
        <v>124945</v>
      </c>
      <c r="WS9">
        <v>124421</v>
      </c>
      <c r="WT9">
        <v>124522</v>
      </c>
      <c r="WU9">
        <v>124816</v>
      </c>
      <c r="WV9">
        <v>124852</v>
      </c>
      <c r="WW9">
        <v>125133</v>
      </c>
      <c r="WX9">
        <v>125388</v>
      </c>
      <c r="WY9">
        <v>125188</v>
      </c>
      <c r="WZ9">
        <v>125088</v>
      </c>
      <c r="XB9">
        <v>125125</v>
      </c>
      <c r="XC9">
        <v>125639</v>
      </c>
      <c r="XD9">
        <v>125862</v>
      </c>
      <c r="XE9">
        <v>125994</v>
      </c>
      <c r="XF9">
        <v>126244</v>
      </c>
      <c r="XG9">
        <v>126602</v>
      </c>
      <c r="XH9">
        <v>126947</v>
      </c>
      <c r="XI9">
        <v>127172</v>
      </c>
      <c r="XJ9">
        <v>127536</v>
      </c>
      <c r="XK9">
        <v>127890</v>
      </c>
      <c r="XL9">
        <v>127771</v>
      </c>
      <c r="XM9">
        <v>127860</v>
      </c>
      <c r="XO9">
        <v>128298</v>
      </c>
      <c r="XP9">
        <v>128298</v>
      </c>
      <c r="XQ9">
        <v>128891</v>
      </c>
      <c r="XR9">
        <v>129143</v>
      </c>
      <c r="XS9">
        <v>129464</v>
      </c>
      <c r="XT9">
        <v>129412</v>
      </c>
      <c r="XU9">
        <v>129822</v>
      </c>
      <c r="XV9">
        <v>130010</v>
      </c>
      <c r="XW9">
        <v>130019</v>
      </c>
      <c r="XX9">
        <v>130179</v>
      </c>
      <c r="XY9">
        <v>130653</v>
      </c>
      <c r="XZ9">
        <v>130679</v>
      </c>
      <c r="YB9">
        <v>130726</v>
      </c>
      <c r="YC9">
        <v>130807</v>
      </c>
      <c r="YD9">
        <v>130814</v>
      </c>
      <c r="YE9">
        <v>131209</v>
      </c>
      <c r="YF9">
        <v>131325</v>
      </c>
      <c r="YG9">
        <v>131244</v>
      </c>
      <c r="YH9">
        <v>131329</v>
      </c>
      <c r="YI9">
        <v>131390</v>
      </c>
      <c r="YJ9">
        <v>131986</v>
      </c>
      <c r="YK9">
        <v>131999</v>
      </c>
      <c r="YL9">
        <v>132280</v>
      </c>
      <c r="YM9">
        <v>132602</v>
      </c>
      <c r="YO9">
        <v>133027</v>
      </c>
      <c r="YP9">
        <v>132856</v>
      </c>
      <c r="YQ9">
        <v>132947</v>
      </c>
      <c r="YR9">
        <v>132955</v>
      </c>
      <c r="YS9">
        <v>133311</v>
      </c>
      <c r="YT9">
        <v>133378</v>
      </c>
      <c r="YU9">
        <v>133414</v>
      </c>
      <c r="YV9">
        <v>133591</v>
      </c>
      <c r="YW9">
        <v>133707</v>
      </c>
      <c r="YX9">
        <v>133993</v>
      </c>
      <c r="YY9">
        <v>134309</v>
      </c>
      <c r="YZ9">
        <v>134523</v>
      </c>
      <c r="ZB9" t="s">
        <v>78</v>
      </c>
      <c r="ZC9">
        <v>136598</v>
      </c>
      <c r="ZD9">
        <v>136701</v>
      </c>
      <c r="ZE9">
        <v>137270</v>
      </c>
      <c r="ZF9">
        <v>136630</v>
      </c>
      <c r="ZG9">
        <v>136940</v>
      </c>
      <c r="ZH9">
        <v>136531</v>
      </c>
      <c r="ZI9">
        <v>136662</v>
      </c>
      <c r="ZJ9">
        <v>136893</v>
      </c>
      <c r="ZK9">
        <v>137088</v>
      </c>
      <c r="ZL9">
        <v>137322</v>
      </c>
      <c r="ZM9">
        <v>137614</v>
      </c>
      <c r="ZO9">
        <v>137778</v>
      </c>
      <c r="ZP9">
        <v>137612</v>
      </c>
      <c r="ZQ9">
        <v>137783</v>
      </c>
      <c r="ZR9">
        <v>137299</v>
      </c>
      <c r="ZS9">
        <v>137092</v>
      </c>
      <c r="ZT9">
        <v>136873</v>
      </c>
      <c r="ZU9">
        <v>137071</v>
      </c>
      <c r="ZV9">
        <v>136241</v>
      </c>
      <c r="ZW9">
        <v>136846</v>
      </c>
      <c r="ZX9">
        <v>136392</v>
      </c>
      <c r="ZY9">
        <v>136238</v>
      </c>
      <c r="ZZ9">
        <v>136047</v>
      </c>
      <c r="AAB9">
        <v>135701</v>
      </c>
      <c r="AAC9">
        <v>136438</v>
      </c>
      <c r="AAD9">
        <v>136177</v>
      </c>
      <c r="AAE9">
        <v>136126</v>
      </c>
      <c r="AAF9">
        <v>136539</v>
      </c>
      <c r="AAG9">
        <v>136415</v>
      </c>
      <c r="AAH9">
        <v>136413</v>
      </c>
      <c r="AAI9">
        <v>136705</v>
      </c>
      <c r="AAJ9">
        <v>137302</v>
      </c>
      <c r="AAK9">
        <v>137008</v>
      </c>
      <c r="AAL9">
        <v>136521</v>
      </c>
      <c r="AAM9">
        <v>136426</v>
      </c>
      <c r="AAO9" t="s">
        <v>79</v>
      </c>
      <c r="AAP9">
        <v>137482</v>
      </c>
      <c r="AAQ9">
        <v>137434</v>
      </c>
      <c r="AAR9">
        <v>137633</v>
      </c>
      <c r="AAS9">
        <v>137544</v>
      </c>
      <c r="AAT9">
        <v>137790</v>
      </c>
      <c r="AAU9">
        <v>137474</v>
      </c>
      <c r="AAV9">
        <v>137549</v>
      </c>
      <c r="AAW9">
        <v>137609</v>
      </c>
      <c r="AAX9">
        <v>137984</v>
      </c>
      <c r="AAY9">
        <v>138424</v>
      </c>
      <c r="AAZ9">
        <v>138411</v>
      </c>
      <c r="ABB9" t="s">
        <v>80</v>
      </c>
      <c r="ABC9">
        <v>138542</v>
      </c>
      <c r="ABD9">
        <v>138453</v>
      </c>
      <c r="ABE9">
        <v>138680</v>
      </c>
      <c r="ABF9">
        <v>138852</v>
      </c>
      <c r="ABG9">
        <v>139174</v>
      </c>
      <c r="ABH9">
        <v>139556</v>
      </c>
      <c r="ABI9">
        <v>139573</v>
      </c>
      <c r="ABJ9">
        <v>139487</v>
      </c>
      <c r="ABK9">
        <v>139732</v>
      </c>
      <c r="ABL9">
        <v>140231</v>
      </c>
      <c r="ABM9">
        <v>140125</v>
      </c>
      <c r="ABO9" t="s">
        <v>81</v>
      </c>
      <c r="ABP9">
        <v>140385</v>
      </c>
      <c r="ABQ9">
        <v>140654</v>
      </c>
      <c r="ABR9">
        <v>141254</v>
      </c>
      <c r="ABS9">
        <v>141609</v>
      </c>
      <c r="ABT9">
        <v>141714</v>
      </c>
      <c r="ABU9">
        <v>142026</v>
      </c>
      <c r="ABV9">
        <v>142434</v>
      </c>
      <c r="ABW9">
        <v>142401</v>
      </c>
      <c r="ABX9">
        <v>142548</v>
      </c>
      <c r="ABY9">
        <v>142499</v>
      </c>
      <c r="ABZ9">
        <v>142752</v>
      </c>
      <c r="ACB9" t="s">
        <v>82</v>
      </c>
      <c r="ACC9">
        <v>143457</v>
      </c>
      <c r="ACD9">
        <v>143741</v>
      </c>
      <c r="ACE9">
        <v>143761</v>
      </c>
      <c r="ACF9">
        <v>144089</v>
      </c>
      <c r="ACG9">
        <v>144353</v>
      </c>
      <c r="ACH9">
        <v>144202</v>
      </c>
      <c r="ACI9">
        <v>144625</v>
      </c>
      <c r="ACJ9">
        <v>144815</v>
      </c>
      <c r="ACK9">
        <v>145314</v>
      </c>
      <c r="ACL9">
        <v>145534</v>
      </c>
      <c r="ACM9">
        <v>145970</v>
      </c>
      <c r="ACO9" t="s">
        <v>83</v>
      </c>
      <c r="ACP9">
        <v>146057</v>
      </c>
      <c r="ACQ9">
        <v>146320</v>
      </c>
      <c r="ACR9">
        <v>145586</v>
      </c>
      <c r="ACS9">
        <v>145903</v>
      </c>
      <c r="ACT9">
        <v>146063</v>
      </c>
      <c r="ACU9">
        <v>145905</v>
      </c>
      <c r="ACV9">
        <v>145682</v>
      </c>
      <c r="ACW9">
        <v>146244</v>
      </c>
      <c r="ACX9">
        <v>145946</v>
      </c>
      <c r="ACY9">
        <v>146595</v>
      </c>
      <c r="ACZ9">
        <v>146273</v>
      </c>
      <c r="ADB9" t="s">
        <v>84</v>
      </c>
      <c r="ADC9">
        <v>146156</v>
      </c>
      <c r="ADD9">
        <v>146086</v>
      </c>
      <c r="ADE9">
        <v>146132</v>
      </c>
      <c r="ADF9">
        <v>145908</v>
      </c>
      <c r="ADG9">
        <v>145737</v>
      </c>
      <c r="ADH9">
        <v>145532</v>
      </c>
      <c r="ADI9">
        <v>145203</v>
      </c>
      <c r="ADJ9">
        <v>145076</v>
      </c>
      <c r="ADK9">
        <v>144802</v>
      </c>
      <c r="ADL9">
        <v>144100</v>
      </c>
      <c r="ADM9">
        <v>143369</v>
      </c>
      <c r="ADO9" t="s">
        <v>85</v>
      </c>
      <c r="ADP9">
        <v>141644</v>
      </c>
      <c r="ADQ9">
        <v>140721</v>
      </c>
      <c r="ADR9">
        <v>140652</v>
      </c>
      <c r="ADS9">
        <v>140250</v>
      </c>
      <c r="ADT9">
        <v>140005</v>
      </c>
      <c r="ADU9">
        <v>139898</v>
      </c>
      <c r="ADV9">
        <v>139481</v>
      </c>
      <c r="ADW9">
        <v>138810</v>
      </c>
      <c r="ADX9">
        <v>138421</v>
      </c>
      <c r="ADY9">
        <v>138665</v>
      </c>
      <c r="ADZ9">
        <v>138025</v>
      </c>
      <c r="AEB9" t="s">
        <v>86</v>
      </c>
      <c r="AEC9">
        <v>138624</v>
      </c>
      <c r="AED9">
        <v>138767</v>
      </c>
      <c r="AEE9">
        <v>139296</v>
      </c>
      <c r="AEF9">
        <v>139255</v>
      </c>
      <c r="AEG9">
        <v>139148</v>
      </c>
      <c r="AEH9">
        <v>139167</v>
      </c>
      <c r="AEI9">
        <v>139405</v>
      </c>
      <c r="AEJ9">
        <v>139388</v>
      </c>
      <c r="AEK9">
        <v>139097</v>
      </c>
      <c r="AEL9">
        <v>139046</v>
      </c>
      <c r="AEM9">
        <v>139295</v>
      </c>
      <c r="AEO9" t="s">
        <v>87</v>
      </c>
      <c r="AEP9">
        <v>139471</v>
      </c>
      <c r="AEQ9">
        <v>139643</v>
      </c>
      <c r="AER9">
        <v>139606</v>
      </c>
      <c r="AES9">
        <v>139681</v>
      </c>
      <c r="AET9">
        <v>139405</v>
      </c>
      <c r="AEU9">
        <v>139509</v>
      </c>
      <c r="AEV9">
        <v>139870</v>
      </c>
      <c r="AEW9">
        <v>140164</v>
      </c>
      <c r="AEX9">
        <v>140314</v>
      </c>
      <c r="AEY9">
        <v>140771</v>
      </c>
      <c r="AEZ9">
        <v>140896</v>
      </c>
      <c r="AFB9" t="s">
        <v>88</v>
      </c>
      <c r="AFC9">
        <v>142019</v>
      </c>
      <c r="AFD9">
        <v>142020</v>
      </c>
      <c r="AFE9">
        <v>141934</v>
      </c>
      <c r="AFF9">
        <v>142302</v>
      </c>
      <c r="AFG9">
        <v>142448</v>
      </c>
      <c r="AFH9">
        <v>142250</v>
      </c>
      <c r="AFI9">
        <v>142164</v>
      </c>
      <c r="AFJ9">
        <v>142974</v>
      </c>
      <c r="AFK9">
        <v>143328</v>
      </c>
      <c r="AFL9">
        <v>143277</v>
      </c>
      <c r="AFM9">
        <v>143305</v>
      </c>
      <c r="AFO9" t="s">
        <v>89</v>
      </c>
      <c r="AFP9">
        <v>143492</v>
      </c>
      <c r="AFQ9">
        <v>143286</v>
      </c>
      <c r="AFR9">
        <v>143579</v>
      </c>
      <c r="AFS9">
        <v>143898</v>
      </c>
      <c r="AFT9">
        <v>144058</v>
      </c>
      <c r="AFU9">
        <v>144285</v>
      </c>
      <c r="AFV9">
        <v>144170</v>
      </c>
      <c r="AFW9">
        <v>144303</v>
      </c>
    </row>
    <row r="10" spans="1:859" x14ac:dyDescent="0.25">
      <c r="A10" t="s">
        <v>90</v>
      </c>
      <c r="UC10">
        <v>113650</v>
      </c>
      <c r="UD10">
        <v>113910</v>
      </c>
      <c r="UE10">
        <v>113817</v>
      </c>
      <c r="UF10">
        <v>114028</v>
      </c>
      <c r="UG10">
        <v>113970</v>
      </c>
      <c r="UH10">
        <v>113702</v>
      </c>
      <c r="UI10">
        <v>113809</v>
      </c>
      <c r="UJ10">
        <v>113676</v>
      </c>
      <c r="UK10">
        <v>113367</v>
      </c>
      <c r="UL10">
        <v>113166</v>
      </c>
      <c r="UM10">
        <v>113229</v>
      </c>
      <c r="UO10">
        <v>113007</v>
      </c>
      <c r="UP10">
        <v>112786</v>
      </c>
      <c r="UQ10">
        <v>112522</v>
      </c>
      <c r="UR10">
        <v>112720</v>
      </c>
      <c r="US10">
        <v>112657</v>
      </c>
      <c r="UT10">
        <v>112342</v>
      </c>
      <c r="UU10">
        <v>112517</v>
      </c>
      <c r="UV10">
        <v>112404</v>
      </c>
      <c r="UW10">
        <v>112548</v>
      </c>
      <c r="UX10">
        <v>112804</v>
      </c>
      <c r="UY10">
        <v>112846</v>
      </c>
      <c r="UZ10">
        <v>112766</v>
      </c>
      <c r="VB10">
        <v>112354</v>
      </c>
      <c r="VC10">
        <v>112941</v>
      </c>
      <c r="VD10">
        <v>113012</v>
      </c>
      <c r="VE10">
        <v>113342</v>
      </c>
      <c r="VF10">
        <v>113225</v>
      </c>
      <c r="VG10">
        <v>113310</v>
      </c>
      <c r="VH10">
        <v>113440</v>
      </c>
      <c r="VI10">
        <v>113661</v>
      </c>
      <c r="VJ10">
        <v>113569</v>
      </c>
      <c r="VK10">
        <v>113468</v>
      </c>
      <c r="VL10">
        <v>113572</v>
      </c>
      <c r="VM10">
        <v>113726</v>
      </c>
      <c r="VO10">
        <v>113968</v>
      </c>
      <c r="VP10">
        <v>113917</v>
      </c>
      <c r="VQ10">
        <v>114269</v>
      </c>
      <c r="VR10">
        <v>114401</v>
      </c>
      <c r="VS10">
        <v>114531</v>
      </c>
      <c r="VT10">
        <v>115236</v>
      </c>
      <c r="VU10">
        <v>115319</v>
      </c>
      <c r="VV10">
        <v>115536</v>
      </c>
      <c r="VW10">
        <v>115549</v>
      </c>
      <c r="VX10">
        <v>115671</v>
      </c>
      <c r="VY10">
        <v>115909</v>
      </c>
      <c r="VZ10">
        <v>116040</v>
      </c>
      <c r="WB10">
        <v>116484</v>
      </c>
      <c r="WC10">
        <v>116518</v>
      </c>
      <c r="WD10">
        <v>116623</v>
      </c>
      <c r="WE10">
        <v>116882</v>
      </c>
      <c r="WF10">
        <v>117303</v>
      </c>
      <c r="WG10">
        <v>117629</v>
      </c>
      <c r="WH10">
        <v>117389</v>
      </c>
      <c r="WI10">
        <v>117700</v>
      </c>
      <c r="WJ10">
        <v>118344</v>
      </c>
      <c r="WK10">
        <v>118833</v>
      </c>
      <c r="WL10">
        <v>119002</v>
      </c>
      <c r="WM10">
        <v>119098</v>
      </c>
      <c r="WO10">
        <v>119303</v>
      </c>
      <c r="WP10">
        <v>119850</v>
      </c>
      <c r="WQ10">
        <v>119777</v>
      </c>
      <c r="WR10">
        <v>119671</v>
      </c>
      <c r="WS10">
        <v>119596</v>
      </c>
      <c r="WT10">
        <v>119107</v>
      </c>
      <c r="WU10">
        <v>119431</v>
      </c>
      <c r="WV10">
        <v>119491</v>
      </c>
      <c r="WW10">
        <v>119646</v>
      </c>
      <c r="WX10">
        <v>119880</v>
      </c>
      <c r="WY10">
        <v>120119</v>
      </c>
      <c r="WZ10">
        <v>120269</v>
      </c>
      <c r="XB10">
        <v>120022</v>
      </c>
      <c r="XC10">
        <v>120194</v>
      </c>
      <c r="XD10">
        <v>120616</v>
      </c>
      <c r="XE10">
        <v>120930</v>
      </c>
      <c r="XF10">
        <v>120990</v>
      </c>
      <c r="XG10">
        <v>121245</v>
      </c>
      <c r="XH10">
        <v>121504</v>
      </c>
      <c r="XI10">
        <v>121885</v>
      </c>
      <c r="XJ10">
        <v>122245</v>
      </c>
      <c r="XK10">
        <v>122621</v>
      </c>
      <c r="XL10">
        <v>122794</v>
      </c>
      <c r="XM10">
        <v>123041</v>
      </c>
      <c r="XO10">
        <v>122620</v>
      </c>
      <c r="XP10">
        <v>123094</v>
      </c>
      <c r="XQ10">
        <v>123292</v>
      </c>
      <c r="XR10">
        <v>123816</v>
      </c>
      <c r="XS10">
        <v>124156</v>
      </c>
      <c r="XT10">
        <v>124226</v>
      </c>
      <c r="XU10">
        <v>124551</v>
      </c>
      <c r="XV10">
        <v>124942</v>
      </c>
      <c r="XW10">
        <v>124955</v>
      </c>
      <c r="XX10">
        <v>125004</v>
      </c>
      <c r="XY10">
        <v>125254</v>
      </c>
      <c r="XZ10">
        <v>125186</v>
      </c>
      <c r="YB10">
        <v>125499</v>
      </c>
      <c r="YC10">
        <v>125579</v>
      </c>
      <c r="YD10">
        <v>125574</v>
      </c>
      <c r="YE10">
        <v>125746</v>
      </c>
      <c r="YF10">
        <v>126116</v>
      </c>
      <c r="YG10">
        <v>126025</v>
      </c>
      <c r="YH10">
        <v>125954</v>
      </c>
      <c r="YI10">
        <v>125738</v>
      </c>
      <c r="YJ10">
        <v>126022</v>
      </c>
      <c r="YK10">
        <v>126522</v>
      </c>
      <c r="YL10">
        <v>126659</v>
      </c>
      <c r="YM10">
        <v>126880</v>
      </c>
      <c r="YO10">
        <v>127216</v>
      </c>
      <c r="YP10">
        <v>127525</v>
      </c>
      <c r="YQ10">
        <v>127503</v>
      </c>
      <c r="YR10">
        <v>127485</v>
      </c>
      <c r="YS10">
        <v>127556</v>
      </c>
      <c r="YT10">
        <v>127897</v>
      </c>
      <c r="YU10">
        <v>127876</v>
      </c>
      <c r="YV10">
        <v>127976</v>
      </c>
      <c r="YW10">
        <v>128243</v>
      </c>
      <c r="YX10">
        <v>128418</v>
      </c>
      <c r="YY10">
        <v>128693</v>
      </c>
      <c r="YZ10">
        <v>128956</v>
      </c>
      <c r="ZB10">
        <v>129298</v>
      </c>
      <c r="ZC10">
        <v>131110</v>
      </c>
      <c r="ZD10">
        <v>131134</v>
      </c>
      <c r="ZE10">
        <v>131601</v>
      </c>
      <c r="ZF10">
        <v>131570</v>
      </c>
      <c r="ZG10">
        <v>131306</v>
      </c>
      <c r="ZH10">
        <v>131248</v>
      </c>
      <c r="ZI10">
        <v>131097</v>
      </c>
      <c r="ZJ10">
        <v>131097</v>
      </c>
      <c r="ZK10">
        <v>131395</v>
      </c>
      <c r="ZL10">
        <v>131664</v>
      </c>
      <c r="ZM10">
        <v>132007</v>
      </c>
      <c r="ZO10">
        <v>131941</v>
      </c>
      <c r="ZP10">
        <v>131858</v>
      </c>
      <c r="ZQ10">
        <v>131973</v>
      </c>
      <c r="ZR10">
        <v>131739</v>
      </c>
      <c r="ZS10">
        <v>131305</v>
      </c>
      <c r="ZT10">
        <v>131227</v>
      </c>
      <c r="ZU10">
        <v>130991</v>
      </c>
      <c r="ZV10">
        <v>130580</v>
      </c>
      <c r="ZW10">
        <v>130558</v>
      </c>
      <c r="ZX10">
        <v>130909</v>
      </c>
      <c r="ZY10">
        <v>130534</v>
      </c>
      <c r="ZZ10">
        <v>130347</v>
      </c>
      <c r="AAB10">
        <v>129970</v>
      </c>
      <c r="AAC10">
        <v>130289</v>
      </c>
      <c r="AAD10">
        <v>130541</v>
      </c>
      <c r="AAE10">
        <v>130344</v>
      </c>
      <c r="AAF10">
        <v>130487</v>
      </c>
      <c r="AAG10">
        <v>130541</v>
      </c>
      <c r="AAH10">
        <v>130737</v>
      </c>
      <c r="AAI10">
        <v>130755</v>
      </c>
      <c r="AAJ10">
        <v>131393</v>
      </c>
      <c r="AAK10">
        <v>131300</v>
      </c>
      <c r="AAL10">
        <v>130895</v>
      </c>
      <c r="AAM10">
        <v>130887</v>
      </c>
      <c r="AAO10">
        <v>130692</v>
      </c>
      <c r="AAP10">
        <v>131799</v>
      </c>
      <c r="AAQ10">
        <v>131711</v>
      </c>
      <c r="AAR10">
        <v>131826</v>
      </c>
      <c r="AAS10">
        <v>131944</v>
      </c>
      <c r="AAT10">
        <v>131772</v>
      </c>
      <c r="AAU10">
        <v>131796</v>
      </c>
      <c r="AAV10">
        <v>131630</v>
      </c>
      <c r="AAW10">
        <v>131702</v>
      </c>
      <c r="AAX10">
        <v>132061</v>
      </c>
      <c r="AAY10">
        <v>132308</v>
      </c>
      <c r="AAZ10">
        <v>132489</v>
      </c>
      <c r="ABB10">
        <v>132603</v>
      </c>
      <c r="ABC10">
        <v>132898</v>
      </c>
      <c r="ABD10">
        <v>132753</v>
      </c>
      <c r="ABE10">
        <v>132799</v>
      </c>
      <c r="ABF10">
        <v>132961</v>
      </c>
      <c r="ABG10">
        <v>133433</v>
      </c>
      <c r="ABH10">
        <v>133431</v>
      </c>
      <c r="ABI10">
        <v>133730</v>
      </c>
      <c r="ABJ10">
        <v>133638</v>
      </c>
      <c r="ABK10">
        <v>133561</v>
      </c>
      <c r="ABL10">
        <v>134094</v>
      </c>
      <c r="ABM10">
        <v>134242</v>
      </c>
      <c r="ABO10">
        <v>134291</v>
      </c>
      <c r="ABP10">
        <v>134480</v>
      </c>
      <c r="ABQ10">
        <v>134785</v>
      </c>
      <c r="ABR10">
        <v>135077</v>
      </c>
      <c r="ABS10">
        <v>135600</v>
      </c>
      <c r="ABT10">
        <v>135897</v>
      </c>
      <c r="ABU10">
        <v>135916</v>
      </c>
      <c r="ABV10">
        <v>136360</v>
      </c>
      <c r="ABW10">
        <v>136621</v>
      </c>
      <c r="ABX10">
        <v>136599</v>
      </c>
      <c r="ABY10">
        <v>136768</v>
      </c>
      <c r="ABZ10">
        <v>136650</v>
      </c>
      <c r="ACB10">
        <v>137122</v>
      </c>
      <c r="ACC10">
        <v>137643</v>
      </c>
      <c r="ACD10">
        <v>137695</v>
      </c>
      <c r="ACE10">
        <v>137608</v>
      </c>
      <c r="ACF10">
        <v>137853</v>
      </c>
      <c r="ACG10">
        <v>138172</v>
      </c>
      <c r="ACH10">
        <v>138186</v>
      </c>
      <c r="ACI10">
        <v>138364</v>
      </c>
      <c r="ACJ10">
        <v>138687</v>
      </c>
      <c r="ACK10">
        <v>139140</v>
      </c>
      <c r="ACL10">
        <v>139289</v>
      </c>
      <c r="ACM10">
        <v>139554</v>
      </c>
      <c r="ACO10">
        <v>139748</v>
      </c>
      <c r="ACP10">
        <v>139839</v>
      </c>
      <c r="ACQ10">
        <v>140142</v>
      </c>
      <c r="ACR10">
        <v>140032</v>
      </c>
      <c r="ACS10">
        <v>139889</v>
      </c>
      <c r="ACT10">
        <v>140072</v>
      </c>
      <c r="ACU10">
        <v>140199</v>
      </c>
      <c r="ACV10">
        <v>139756</v>
      </c>
      <c r="ACW10">
        <v>140179</v>
      </c>
      <c r="ACX10">
        <v>140126</v>
      </c>
      <c r="ACY10">
        <v>140427</v>
      </c>
      <c r="ACZ10">
        <v>140546</v>
      </c>
      <c r="ADB10">
        <v>140343</v>
      </c>
      <c r="ADC10">
        <v>140482</v>
      </c>
      <c r="ADD10">
        <v>140171</v>
      </c>
      <c r="ADE10">
        <v>140262</v>
      </c>
      <c r="ADF10">
        <v>140237</v>
      </c>
      <c r="ADG10">
        <v>139857</v>
      </c>
      <c r="ADH10">
        <v>139696</v>
      </c>
      <c r="ADI10">
        <v>139465</v>
      </c>
      <c r="ADJ10">
        <v>139097</v>
      </c>
      <c r="ADK10">
        <v>139089</v>
      </c>
      <c r="ADL10">
        <v>138406</v>
      </c>
      <c r="ADM10">
        <v>137761</v>
      </c>
      <c r="ADO10">
        <v>136270</v>
      </c>
      <c r="ADP10">
        <v>135729</v>
      </c>
      <c r="ADQ10">
        <v>135187</v>
      </c>
      <c r="ADR10">
        <v>134538</v>
      </c>
      <c r="ADS10">
        <v>134507</v>
      </c>
      <c r="ADT10">
        <v>134041</v>
      </c>
      <c r="ADU10">
        <v>133928</v>
      </c>
      <c r="ADV10">
        <v>133544</v>
      </c>
      <c r="ADW10">
        <v>133000</v>
      </c>
      <c r="ADX10">
        <v>132679</v>
      </c>
      <c r="ADY10">
        <v>132706</v>
      </c>
      <c r="ADZ10">
        <v>132405</v>
      </c>
      <c r="AEB10">
        <v>132169</v>
      </c>
      <c r="AEC10">
        <v>132517</v>
      </c>
      <c r="AED10">
        <v>132543</v>
      </c>
      <c r="AEE10">
        <v>132985</v>
      </c>
      <c r="AEF10">
        <v>133096</v>
      </c>
      <c r="AEG10">
        <v>133448</v>
      </c>
      <c r="AEH10">
        <v>133191</v>
      </c>
      <c r="AEI10">
        <v>133200</v>
      </c>
      <c r="AEJ10">
        <v>133602</v>
      </c>
      <c r="AEK10">
        <v>133137</v>
      </c>
      <c r="AEL10">
        <v>132916</v>
      </c>
      <c r="AEM10">
        <v>133123</v>
      </c>
      <c r="AEO10">
        <v>133221</v>
      </c>
      <c r="AEP10">
        <v>133533</v>
      </c>
      <c r="AEQ10">
        <v>133769</v>
      </c>
      <c r="AER10">
        <v>133768</v>
      </c>
      <c r="AES10">
        <v>133626</v>
      </c>
      <c r="AET10">
        <v>133627</v>
      </c>
      <c r="AEU10">
        <v>133401</v>
      </c>
      <c r="AEV10">
        <v>133901</v>
      </c>
      <c r="AEW10">
        <v>133978</v>
      </c>
      <c r="AEX10">
        <v>134231</v>
      </c>
      <c r="AEY10">
        <v>134584</v>
      </c>
      <c r="AEZ10">
        <v>134779</v>
      </c>
      <c r="AFB10">
        <v>134862</v>
      </c>
      <c r="AFC10">
        <v>136101</v>
      </c>
      <c r="AFD10">
        <v>136131</v>
      </c>
      <c r="AFE10">
        <v>136027</v>
      </c>
      <c r="AFF10">
        <v>136289</v>
      </c>
      <c r="AFG10">
        <v>136461</v>
      </c>
      <c r="AFH10">
        <v>136308</v>
      </c>
      <c r="AFI10">
        <v>136017</v>
      </c>
      <c r="AFJ10">
        <v>136776</v>
      </c>
      <c r="AFK10">
        <v>137261</v>
      </c>
      <c r="AFL10">
        <v>137457</v>
      </c>
      <c r="AFM10">
        <v>137376</v>
      </c>
      <c r="AFO10">
        <v>137431</v>
      </c>
      <c r="AFP10">
        <v>137400</v>
      </c>
      <c r="AFQ10">
        <v>137362</v>
      </c>
      <c r="AFR10">
        <v>137312</v>
      </c>
      <c r="AFS10">
        <v>137769</v>
      </c>
      <c r="AFT10">
        <v>137757</v>
      </c>
      <c r="AFU10">
        <v>138155</v>
      </c>
      <c r="AFV10">
        <v>138185</v>
      </c>
      <c r="AFW10">
        <v>138304</v>
      </c>
    </row>
    <row r="11" spans="1:859" x14ac:dyDescent="0.25">
      <c r="A11" t="s">
        <v>91</v>
      </c>
      <c r="UC11">
        <v>2152</v>
      </c>
      <c r="UD11">
        <v>1964</v>
      </c>
      <c r="UE11">
        <v>1801</v>
      </c>
      <c r="UF11">
        <v>1931</v>
      </c>
      <c r="UG11">
        <v>1945</v>
      </c>
      <c r="UH11">
        <v>1818</v>
      </c>
      <c r="UI11">
        <v>1940</v>
      </c>
      <c r="UJ11">
        <v>1764</v>
      </c>
      <c r="UK11">
        <v>2029</v>
      </c>
      <c r="UL11">
        <v>1975</v>
      </c>
      <c r="UM11">
        <v>1963</v>
      </c>
      <c r="UO11">
        <v>2016</v>
      </c>
      <c r="UP11">
        <v>2043</v>
      </c>
      <c r="UQ11">
        <v>2091</v>
      </c>
      <c r="UR11">
        <v>2341</v>
      </c>
      <c r="US11">
        <v>1979</v>
      </c>
      <c r="UT11">
        <v>2199</v>
      </c>
      <c r="UU11">
        <v>2057</v>
      </c>
      <c r="UV11">
        <v>2148</v>
      </c>
      <c r="UW11">
        <v>2247</v>
      </c>
      <c r="UX11">
        <v>2110</v>
      </c>
      <c r="UY11">
        <v>2123</v>
      </c>
      <c r="UZ11">
        <v>1936</v>
      </c>
      <c r="VB11">
        <v>2425</v>
      </c>
      <c r="VC11">
        <v>2044</v>
      </c>
      <c r="VD11">
        <v>2117</v>
      </c>
      <c r="VE11">
        <v>2181</v>
      </c>
      <c r="VF11">
        <v>2161</v>
      </c>
      <c r="VG11">
        <v>2217</v>
      </c>
      <c r="VH11">
        <v>2301</v>
      </c>
      <c r="VI11">
        <v>2188</v>
      </c>
      <c r="VJ11">
        <v>2241</v>
      </c>
      <c r="VK11">
        <v>2264</v>
      </c>
      <c r="VL11">
        <v>2252</v>
      </c>
      <c r="VM11">
        <v>2247</v>
      </c>
      <c r="VO11">
        <v>2180</v>
      </c>
      <c r="VP11">
        <v>2102</v>
      </c>
      <c r="VQ11">
        <v>2181</v>
      </c>
      <c r="VR11">
        <v>2139</v>
      </c>
      <c r="VS11">
        <v>2217</v>
      </c>
      <c r="VT11">
        <v>2119</v>
      </c>
      <c r="VU11">
        <v>2243</v>
      </c>
      <c r="VV11">
        <v>2109</v>
      </c>
      <c r="VW11">
        <v>2023</v>
      </c>
      <c r="VX11">
        <v>2115</v>
      </c>
      <c r="VY11">
        <v>2163</v>
      </c>
      <c r="VZ11">
        <v>2212</v>
      </c>
      <c r="WB11">
        <v>2171</v>
      </c>
      <c r="WC11">
        <v>2208</v>
      </c>
      <c r="WD11">
        <v>2194</v>
      </c>
      <c r="WE11">
        <v>2199</v>
      </c>
      <c r="WF11">
        <v>2249</v>
      </c>
      <c r="WG11">
        <v>2039</v>
      </c>
      <c r="WH11">
        <v>2141</v>
      </c>
      <c r="WI11">
        <v>2212</v>
      </c>
      <c r="WJ11">
        <v>2166</v>
      </c>
      <c r="WK11">
        <v>2013</v>
      </c>
      <c r="WL11">
        <v>2111</v>
      </c>
      <c r="WM11">
        <v>2235</v>
      </c>
      <c r="WO11">
        <v>2062</v>
      </c>
      <c r="WP11">
        <v>2085</v>
      </c>
      <c r="WQ11">
        <v>2044</v>
      </c>
      <c r="WR11">
        <v>2009</v>
      </c>
      <c r="WS11">
        <v>2035</v>
      </c>
      <c r="WT11">
        <v>2075</v>
      </c>
      <c r="WU11">
        <v>2060</v>
      </c>
      <c r="WV11">
        <v>2182</v>
      </c>
      <c r="WW11">
        <v>2062</v>
      </c>
      <c r="WX11">
        <v>2158</v>
      </c>
      <c r="WY11">
        <v>1969</v>
      </c>
      <c r="WZ11">
        <v>1899</v>
      </c>
      <c r="XB11">
        <v>2035</v>
      </c>
      <c r="XC11">
        <v>2044</v>
      </c>
      <c r="XD11">
        <v>2022</v>
      </c>
      <c r="XE11">
        <v>1963</v>
      </c>
      <c r="XF11">
        <v>1994</v>
      </c>
      <c r="XG11">
        <v>2039</v>
      </c>
      <c r="XH11">
        <v>2007</v>
      </c>
      <c r="XI11">
        <v>2123</v>
      </c>
      <c r="XJ11">
        <v>1976</v>
      </c>
      <c r="XK11">
        <v>2034</v>
      </c>
      <c r="XL11">
        <v>1947</v>
      </c>
      <c r="XM11">
        <v>1935</v>
      </c>
      <c r="XO11">
        <v>2187</v>
      </c>
      <c r="XP11">
        <v>2074</v>
      </c>
      <c r="XQ11">
        <v>2056</v>
      </c>
      <c r="XR11">
        <v>1976</v>
      </c>
      <c r="XS11">
        <v>2051</v>
      </c>
      <c r="XT11">
        <v>1990</v>
      </c>
      <c r="XU11">
        <v>2097</v>
      </c>
      <c r="XV11">
        <v>1811</v>
      </c>
      <c r="XW11">
        <v>1836</v>
      </c>
      <c r="XX11">
        <v>1953</v>
      </c>
      <c r="XY11">
        <v>1900</v>
      </c>
      <c r="XZ11">
        <v>1997</v>
      </c>
      <c r="YB11">
        <v>1896</v>
      </c>
      <c r="YC11">
        <v>1954</v>
      </c>
      <c r="YD11">
        <v>1876</v>
      </c>
      <c r="YE11">
        <v>2060</v>
      </c>
      <c r="YF11">
        <v>1759</v>
      </c>
      <c r="YG11">
        <v>1892</v>
      </c>
      <c r="YH11">
        <v>1883</v>
      </c>
      <c r="YI11">
        <v>1941</v>
      </c>
      <c r="YJ11">
        <v>1942</v>
      </c>
      <c r="YK11">
        <v>1918</v>
      </c>
      <c r="YL11">
        <v>1941</v>
      </c>
      <c r="YM11">
        <v>1882</v>
      </c>
      <c r="YO11">
        <v>1864</v>
      </c>
      <c r="YP11">
        <v>1873</v>
      </c>
      <c r="YQ11">
        <v>2039</v>
      </c>
      <c r="YR11">
        <v>1658</v>
      </c>
      <c r="YS11">
        <v>1867</v>
      </c>
      <c r="YT11">
        <v>1827</v>
      </c>
      <c r="YU11">
        <v>1848</v>
      </c>
      <c r="YV11">
        <v>1944</v>
      </c>
      <c r="YW11">
        <v>1871</v>
      </c>
      <c r="YX11">
        <v>1827</v>
      </c>
      <c r="YY11">
        <v>1993</v>
      </c>
      <c r="YZ11">
        <v>1944</v>
      </c>
      <c r="ZB11">
        <v>2005</v>
      </c>
      <c r="ZC11">
        <v>1784</v>
      </c>
      <c r="ZD11">
        <v>1893</v>
      </c>
      <c r="ZE11">
        <v>1940</v>
      </c>
      <c r="ZF11">
        <v>1660</v>
      </c>
      <c r="ZG11">
        <v>1850</v>
      </c>
      <c r="ZH11">
        <v>1887</v>
      </c>
      <c r="ZI11">
        <v>1831</v>
      </c>
      <c r="ZJ11">
        <v>1875</v>
      </c>
      <c r="ZK11">
        <v>1885</v>
      </c>
      <c r="ZL11">
        <v>1709</v>
      </c>
      <c r="ZM11">
        <v>1699</v>
      </c>
      <c r="ZO11">
        <v>1784</v>
      </c>
      <c r="ZP11">
        <v>1831</v>
      </c>
      <c r="ZQ11">
        <v>1892</v>
      </c>
      <c r="ZR11">
        <v>1859</v>
      </c>
      <c r="ZS11">
        <v>2034</v>
      </c>
      <c r="ZT11">
        <v>1910</v>
      </c>
      <c r="ZU11">
        <v>1956</v>
      </c>
      <c r="ZV11">
        <v>1914</v>
      </c>
      <c r="ZW11">
        <v>2045</v>
      </c>
      <c r="ZX11">
        <v>1933</v>
      </c>
      <c r="ZY11">
        <v>2121</v>
      </c>
      <c r="ZZ11">
        <v>2109</v>
      </c>
      <c r="AAB11">
        <v>2109</v>
      </c>
      <c r="AAC11">
        <v>2332</v>
      </c>
      <c r="AAD11">
        <v>2195</v>
      </c>
      <c r="AAE11">
        <v>2085</v>
      </c>
      <c r="AAF11">
        <v>2130</v>
      </c>
      <c r="AAG11">
        <v>1997</v>
      </c>
      <c r="AAH11">
        <v>2022</v>
      </c>
      <c r="AAI11">
        <v>2184</v>
      </c>
      <c r="AAJ11">
        <v>2178</v>
      </c>
      <c r="AAK11">
        <v>2041</v>
      </c>
      <c r="AAL11">
        <v>1959</v>
      </c>
      <c r="AAM11">
        <v>1977</v>
      </c>
      <c r="AAO11">
        <v>2176</v>
      </c>
      <c r="AAP11">
        <v>1966</v>
      </c>
      <c r="AAQ11">
        <v>1998</v>
      </c>
      <c r="AAR11">
        <v>2086</v>
      </c>
      <c r="AAS11">
        <v>2048</v>
      </c>
      <c r="AAT11">
        <v>2114</v>
      </c>
      <c r="AAU11">
        <v>2127</v>
      </c>
      <c r="AAV11">
        <v>2127</v>
      </c>
      <c r="AAW11">
        <v>2051</v>
      </c>
      <c r="AAX11">
        <v>2064</v>
      </c>
      <c r="AAY11">
        <v>2120</v>
      </c>
      <c r="AAZ11">
        <v>2247</v>
      </c>
      <c r="ABB11">
        <v>2058</v>
      </c>
      <c r="ABC11">
        <v>1984</v>
      </c>
      <c r="ABD11">
        <v>1925</v>
      </c>
      <c r="ABE11">
        <v>2147</v>
      </c>
      <c r="ABF11">
        <v>2088</v>
      </c>
      <c r="ABG11">
        <v>2032</v>
      </c>
      <c r="ABH11">
        <v>2151</v>
      </c>
      <c r="ABI11">
        <v>1996</v>
      </c>
      <c r="ABJ11">
        <v>2138</v>
      </c>
      <c r="ABK11">
        <v>2132</v>
      </c>
      <c r="ABL11">
        <v>2154</v>
      </c>
      <c r="ABM11">
        <v>2080</v>
      </c>
      <c r="ABO11">
        <v>2040</v>
      </c>
      <c r="ABP11">
        <v>2052</v>
      </c>
      <c r="ABQ11">
        <v>2060</v>
      </c>
      <c r="ABR11">
        <v>2060</v>
      </c>
      <c r="ABS11">
        <v>1979</v>
      </c>
      <c r="ABT11">
        <v>1978</v>
      </c>
      <c r="ABU11">
        <v>1944</v>
      </c>
      <c r="ABV11">
        <v>2119</v>
      </c>
      <c r="ABW11">
        <v>1852</v>
      </c>
      <c r="ABX11">
        <v>1954</v>
      </c>
      <c r="ABY11">
        <v>2052</v>
      </c>
      <c r="ABZ11">
        <v>1968</v>
      </c>
      <c r="ACB11">
        <v>2033</v>
      </c>
      <c r="ACC11">
        <v>1824</v>
      </c>
      <c r="ACD11">
        <v>1952</v>
      </c>
      <c r="ACE11">
        <v>1977</v>
      </c>
      <c r="ACF11">
        <v>1997</v>
      </c>
      <c r="ACG11">
        <v>2022</v>
      </c>
      <c r="ACH11">
        <v>2012</v>
      </c>
      <c r="ACI11">
        <v>2075</v>
      </c>
      <c r="ACJ11">
        <v>2081</v>
      </c>
      <c r="ACK11">
        <v>1881</v>
      </c>
      <c r="ACL11">
        <v>1932</v>
      </c>
      <c r="ACM11">
        <v>2077</v>
      </c>
      <c r="ACO11">
        <v>1945</v>
      </c>
      <c r="ACP11">
        <v>2125</v>
      </c>
      <c r="ACQ11">
        <v>2088</v>
      </c>
      <c r="ACR11">
        <v>1851</v>
      </c>
      <c r="ACS11">
        <v>1981</v>
      </c>
      <c r="ACT11">
        <v>1753</v>
      </c>
      <c r="ACU11">
        <v>1900</v>
      </c>
      <c r="ACV11">
        <v>1975</v>
      </c>
      <c r="ACW11">
        <v>1910</v>
      </c>
      <c r="ACX11">
        <v>1907</v>
      </c>
      <c r="ACY11">
        <v>1956</v>
      </c>
      <c r="ACZ11">
        <v>1951</v>
      </c>
      <c r="ADB11">
        <v>2034</v>
      </c>
      <c r="ADC11">
        <v>1965</v>
      </c>
      <c r="ADD11">
        <v>1996</v>
      </c>
      <c r="ADE11">
        <v>2122</v>
      </c>
      <c r="ADF11">
        <v>1900</v>
      </c>
      <c r="ADG11">
        <v>2016</v>
      </c>
      <c r="ADH11">
        <v>2052</v>
      </c>
      <c r="ADI11">
        <v>2087</v>
      </c>
      <c r="ADJ11">
        <v>2293</v>
      </c>
      <c r="ADK11">
        <v>2139</v>
      </c>
      <c r="ADL11">
        <v>2098</v>
      </c>
      <c r="ADM11">
        <v>2080</v>
      </c>
      <c r="ADO11">
        <v>2235</v>
      </c>
      <c r="ADP11">
        <v>2299</v>
      </c>
      <c r="ADQ11">
        <v>2212</v>
      </c>
      <c r="ADR11">
        <v>2496</v>
      </c>
      <c r="ADS11">
        <v>2251</v>
      </c>
      <c r="ADT11">
        <v>2622</v>
      </c>
      <c r="ADU11">
        <v>2577</v>
      </c>
      <c r="ADV11">
        <v>2399</v>
      </c>
      <c r="ADW11">
        <v>2581</v>
      </c>
      <c r="ADX11">
        <v>2314</v>
      </c>
      <c r="ADY11">
        <v>2585</v>
      </c>
      <c r="ADZ11">
        <v>2354</v>
      </c>
      <c r="AEB11">
        <v>2534</v>
      </c>
      <c r="AEC11">
        <v>2487</v>
      </c>
      <c r="AED11">
        <v>2600</v>
      </c>
      <c r="AEE11">
        <v>2755</v>
      </c>
      <c r="AEF11">
        <v>2676</v>
      </c>
      <c r="AEG11">
        <v>2391</v>
      </c>
      <c r="AEH11">
        <v>2505</v>
      </c>
      <c r="AEI11">
        <v>2468</v>
      </c>
      <c r="AEJ11">
        <v>2358</v>
      </c>
      <c r="AEK11">
        <v>2440</v>
      </c>
      <c r="AEL11">
        <v>2444</v>
      </c>
      <c r="AEM11">
        <v>2613</v>
      </c>
      <c r="AEO11">
        <v>2393</v>
      </c>
      <c r="AEP11">
        <v>2320</v>
      </c>
      <c r="AEQ11">
        <v>2344</v>
      </c>
      <c r="AER11">
        <v>2256</v>
      </c>
      <c r="AES11">
        <v>2360</v>
      </c>
      <c r="AET11">
        <v>2422</v>
      </c>
      <c r="AEU11">
        <v>2375</v>
      </c>
      <c r="AEV11">
        <v>2400</v>
      </c>
      <c r="AEW11">
        <v>2396</v>
      </c>
      <c r="AEX11">
        <v>2448</v>
      </c>
      <c r="AEY11">
        <v>2483</v>
      </c>
      <c r="AEZ11">
        <v>2503</v>
      </c>
      <c r="AFB11">
        <v>2407</v>
      </c>
      <c r="AFC11">
        <v>2355</v>
      </c>
      <c r="AFD11">
        <v>2324</v>
      </c>
      <c r="AFE11">
        <v>2271</v>
      </c>
      <c r="AFF11">
        <v>2263</v>
      </c>
      <c r="AFG11">
        <v>2284</v>
      </c>
      <c r="AFH11">
        <v>2280</v>
      </c>
      <c r="AFI11">
        <v>2291</v>
      </c>
      <c r="AFJ11">
        <v>2392</v>
      </c>
      <c r="AFK11">
        <v>2253</v>
      </c>
      <c r="AFL11">
        <v>2157</v>
      </c>
      <c r="AFM11">
        <v>2175</v>
      </c>
      <c r="AFO11">
        <v>2249</v>
      </c>
      <c r="AFP11">
        <v>2311</v>
      </c>
      <c r="AFQ11">
        <v>2153</v>
      </c>
      <c r="AFR11">
        <v>2260</v>
      </c>
      <c r="AFS11">
        <v>2251</v>
      </c>
      <c r="AFT11">
        <v>2330</v>
      </c>
      <c r="AFU11">
        <v>2337</v>
      </c>
      <c r="AFV11">
        <v>2243</v>
      </c>
      <c r="AFW11">
        <v>2137</v>
      </c>
    </row>
    <row r="12" spans="1:859" x14ac:dyDescent="0.25">
      <c r="A12" t="s">
        <v>92</v>
      </c>
      <c r="UC12">
        <v>3204</v>
      </c>
      <c r="UD12">
        <v>3244</v>
      </c>
      <c r="UE12">
        <v>3148</v>
      </c>
      <c r="UF12">
        <v>3119</v>
      </c>
      <c r="UG12">
        <v>2986</v>
      </c>
      <c r="UH12">
        <v>3193</v>
      </c>
      <c r="UI12">
        <v>2961</v>
      </c>
      <c r="UJ12">
        <v>2975</v>
      </c>
      <c r="UK12">
        <v>3032</v>
      </c>
      <c r="UL12">
        <v>3092</v>
      </c>
      <c r="UM12">
        <v>2962</v>
      </c>
      <c r="UO12">
        <v>2836</v>
      </c>
      <c r="UP12">
        <v>2857</v>
      </c>
      <c r="UQ12">
        <v>2982</v>
      </c>
      <c r="UR12">
        <v>2972</v>
      </c>
      <c r="US12">
        <v>2736</v>
      </c>
      <c r="UT12">
        <v>2993</v>
      </c>
      <c r="UU12">
        <v>2891</v>
      </c>
      <c r="UV12">
        <v>2868</v>
      </c>
      <c r="UW12">
        <v>3047</v>
      </c>
      <c r="UX12">
        <v>2806</v>
      </c>
      <c r="UY12">
        <v>2722</v>
      </c>
      <c r="UZ12">
        <v>2661</v>
      </c>
      <c r="VB12">
        <v>3133</v>
      </c>
      <c r="VC12">
        <v>2708</v>
      </c>
      <c r="VD12">
        <v>2921</v>
      </c>
      <c r="VE12">
        <v>2836</v>
      </c>
      <c r="VF12">
        <v>2912</v>
      </c>
      <c r="VG12">
        <v>2800</v>
      </c>
      <c r="VH12">
        <v>2933</v>
      </c>
      <c r="VI12">
        <v>2848</v>
      </c>
      <c r="VJ12">
        <v>2767</v>
      </c>
      <c r="VK12">
        <v>2814</v>
      </c>
      <c r="VL12">
        <v>2964</v>
      </c>
      <c r="VM12">
        <v>2880</v>
      </c>
      <c r="VO12">
        <v>2870</v>
      </c>
      <c r="VP12">
        <v>3167</v>
      </c>
      <c r="VQ12">
        <v>2989</v>
      </c>
      <c r="VR12">
        <v>2871</v>
      </c>
      <c r="VS12">
        <v>3271</v>
      </c>
      <c r="VT12">
        <v>2842</v>
      </c>
      <c r="VU12">
        <v>2825</v>
      </c>
      <c r="VV12">
        <v>3099</v>
      </c>
      <c r="VW12">
        <v>2891</v>
      </c>
      <c r="VX12">
        <v>2971</v>
      </c>
      <c r="VY12">
        <v>3011</v>
      </c>
      <c r="VZ12">
        <v>3093</v>
      </c>
      <c r="WB12">
        <v>3228</v>
      </c>
      <c r="WC12">
        <v>3260</v>
      </c>
      <c r="WD12">
        <v>3012</v>
      </c>
      <c r="WE12">
        <v>3102</v>
      </c>
      <c r="WF12">
        <v>3179</v>
      </c>
      <c r="WG12">
        <v>2855</v>
      </c>
      <c r="WH12">
        <v>3061</v>
      </c>
      <c r="WI12">
        <v>3308</v>
      </c>
      <c r="WJ12">
        <v>3071</v>
      </c>
      <c r="WK12">
        <v>3125</v>
      </c>
      <c r="WL12">
        <v>3274</v>
      </c>
      <c r="WM12">
        <v>3262</v>
      </c>
      <c r="WO12">
        <v>3214</v>
      </c>
      <c r="WP12">
        <v>2919</v>
      </c>
      <c r="WQ12">
        <v>3043</v>
      </c>
      <c r="WR12">
        <v>3150</v>
      </c>
      <c r="WS12">
        <v>2675</v>
      </c>
      <c r="WT12">
        <v>3215</v>
      </c>
      <c r="WU12">
        <v>3211</v>
      </c>
      <c r="WV12">
        <v>3039</v>
      </c>
      <c r="WW12">
        <v>3297</v>
      </c>
      <c r="WX12">
        <v>3215</v>
      </c>
      <c r="WY12">
        <v>3012</v>
      </c>
      <c r="WZ12">
        <v>2777</v>
      </c>
      <c r="XB12">
        <v>2989</v>
      </c>
      <c r="XC12">
        <v>3329</v>
      </c>
      <c r="XD12">
        <v>3111</v>
      </c>
      <c r="XE12">
        <v>2996</v>
      </c>
      <c r="XF12">
        <v>3131</v>
      </c>
      <c r="XG12">
        <v>3194</v>
      </c>
      <c r="XH12">
        <v>3310</v>
      </c>
      <c r="XI12">
        <v>3063</v>
      </c>
      <c r="XJ12">
        <v>3149</v>
      </c>
      <c r="XK12">
        <v>3080</v>
      </c>
      <c r="XL12">
        <v>2923</v>
      </c>
      <c r="XM12">
        <v>2741</v>
      </c>
      <c r="XO12">
        <v>3094</v>
      </c>
      <c r="XP12">
        <v>3059</v>
      </c>
      <c r="XQ12">
        <v>3450</v>
      </c>
      <c r="XR12">
        <v>3215</v>
      </c>
      <c r="XS12">
        <v>3172</v>
      </c>
      <c r="XT12">
        <v>3075</v>
      </c>
      <c r="XU12">
        <v>3096</v>
      </c>
      <c r="XV12">
        <v>3142</v>
      </c>
      <c r="XW12">
        <v>3074</v>
      </c>
      <c r="XX12">
        <v>3113</v>
      </c>
      <c r="XY12">
        <v>3381</v>
      </c>
      <c r="XZ12">
        <v>3402</v>
      </c>
      <c r="YB12">
        <v>3226</v>
      </c>
      <c r="YC12">
        <v>3202</v>
      </c>
      <c r="YD12">
        <v>3272</v>
      </c>
      <c r="YE12">
        <v>3288</v>
      </c>
      <c r="YF12">
        <v>3331</v>
      </c>
      <c r="YG12">
        <v>3196</v>
      </c>
      <c r="YH12">
        <v>3391</v>
      </c>
      <c r="YI12">
        <v>3576</v>
      </c>
      <c r="YJ12">
        <v>3871</v>
      </c>
      <c r="YK12">
        <v>3413</v>
      </c>
      <c r="YL12">
        <v>3539</v>
      </c>
      <c r="YM12">
        <v>3683</v>
      </c>
      <c r="YO12">
        <v>3621</v>
      </c>
      <c r="YP12">
        <v>3393</v>
      </c>
      <c r="YQ12">
        <v>3349</v>
      </c>
      <c r="YR12">
        <v>3736</v>
      </c>
      <c r="YS12">
        <v>3779</v>
      </c>
      <c r="YT12">
        <v>3556</v>
      </c>
      <c r="YU12">
        <v>3610</v>
      </c>
      <c r="YV12">
        <v>3572</v>
      </c>
      <c r="YW12">
        <v>3497</v>
      </c>
      <c r="YX12">
        <v>3644</v>
      </c>
      <c r="YY12">
        <v>3547</v>
      </c>
      <c r="YZ12">
        <v>3561</v>
      </c>
      <c r="ZB12">
        <v>3629</v>
      </c>
      <c r="ZC12">
        <v>3640</v>
      </c>
      <c r="ZD12">
        <v>3585</v>
      </c>
      <c r="ZE12">
        <v>3611</v>
      </c>
      <c r="ZF12">
        <v>3265</v>
      </c>
      <c r="ZG12">
        <v>3660</v>
      </c>
      <c r="ZH12">
        <v>3276</v>
      </c>
      <c r="ZI12">
        <v>3639</v>
      </c>
      <c r="ZJ12">
        <v>3775</v>
      </c>
      <c r="ZK12">
        <v>3691</v>
      </c>
      <c r="ZL12">
        <v>3831</v>
      </c>
      <c r="ZM12">
        <v>3768</v>
      </c>
      <c r="ZO12">
        <v>3972</v>
      </c>
      <c r="ZP12">
        <v>3843</v>
      </c>
      <c r="ZQ12">
        <v>3840</v>
      </c>
      <c r="ZR12">
        <v>3594</v>
      </c>
      <c r="ZS12">
        <v>3677</v>
      </c>
      <c r="ZT12">
        <v>3655</v>
      </c>
      <c r="ZU12">
        <v>4003</v>
      </c>
      <c r="ZV12">
        <v>3663</v>
      </c>
      <c r="ZW12">
        <v>4124</v>
      </c>
      <c r="ZX12">
        <v>3416</v>
      </c>
      <c r="ZY12">
        <v>3528</v>
      </c>
      <c r="ZZ12">
        <v>3505</v>
      </c>
      <c r="AAB12">
        <v>3558</v>
      </c>
      <c r="AAC12">
        <v>3766</v>
      </c>
      <c r="AAD12">
        <v>3360</v>
      </c>
      <c r="AAE12">
        <v>3637</v>
      </c>
      <c r="AAF12">
        <v>3852</v>
      </c>
      <c r="AAG12">
        <v>3765</v>
      </c>
      <c r="AAH12">
        <v>3562</v>
      </c>
      <c r="AAI12">
        <v>3718</v>
      </c>
      <c r="AAJ12">
        <v>3611</v>
      </c>
      <c r="AAK12">
        <v>3604</v>
      </c>
      <c r="AAL12">
        <v>3620</v>
      </c>
      <c r="AAM12">
        <v>3445</v>
      </c>
      <c r="AAO12">
        <v>3902</v>
      </c>
      <c r="AAP12">
        <v>3623</v>
      </c>
      <c r="AAQ12">
        <v>3623</v>
      </c>
      <c r="AAR12">
        <v>3639</v>
      </c>
      <c r="AAS12">
        <v>3478</v>
      </c>
      <c r="AAT12">
        <v>3776</v>
      </c>
      <c r="AAU12">
        <v>3487</v>
      </c>
      <c r="AAV12">
        <v>3698</v>
      </c>
      <c r="AAW12">
        <v>3757</v>
      </c>
      <c r="AAX12">
        <v>3800</v>
      </c>
      <c r="AAY12">
        <v>3886</v>
      </c>
      <c r="AAZ12">
        <v>3584</v>
      </c>
      <c r="ABB12">
        <v>3769</v>
      </c>
      <c r="ABC12">
        <v>3549</v>
      </c>
      <c r="ABD12">
        <v>3704</v>
      </c>
      <c r="ABE12">
        <v>3656</v>
      </c>
      <c r="ABF12">
        <v>3722</v>
      </c>
      <c r="ABG12">
        <v>3630</v>
      </c>
      <c r="ABH12">
        <v>3903</v>
      </c>
      <c r="ABI12">
        <v>3713</v>
      </c>
      <c r="ABJ12">
        <v>3608</v>
      </c>
      <c r="ABK12">
        <v>3937</v>
      </c>
      <c r="ABL12">
        <v>3876</v>
      </c>
      <c r="ABM12">
        <v>3726</v>
      </c>
      <c r="ABO12">
        <v>3865</v>
      </c>
      <c r="ABP12">
        <v>3757</v>
      </c>
      <c r="ABQ12">
        <v>3741</v>
      </c>
      <c r="ABR12">
        <v>4034</v>
      </c>
      <c r="ABS12">
        <v>3943</v>
      </c>
      <c r="ABT12">
        <v>3755</v>
      </c>
      <c r="ABU12">
        <v>4062</v>
      </c>
      <c r="ABV12">
        <v>3849</v>
      </c>
      <c r="ABW12">
        <v>3845</v>
      </c>
      <c r="ABX12">
        <v>3882</v>
      </c>
      <c r="ABY12">
        <v>3625</v>
      </c>
      <c r="ABZ12">
        <v>4067</v>
      </c>
      <c r="ACB12">
        <v>3968</v>
      </c>
      <c r="ACC12">
        <v>3942</v>
      </c>
      <c r="ACD12">
        <v>4015</v>
      </c>
      <c r="ACE12">
        <v>4064</v>
      </c>
      <c r="ACF12">
        <v>4122</v>
      </c>
      <c r="ACG12">
        <v>4089</v>
      </c>
      <c r="ACH12">
        <v>3881</v>
      </c>
      <c r="ACI12">
        <v>4108</v>
      </c>
      <c r="ACJ12">
        <v>3933</v>
      </c>
      <c r="ACK12">
        <v>4163</v>
      </c>
      <c r="ACL12">
        <v>4225</v>
      </c>
      <c r="ACM12">
        <v>4295</v>
      </c>
      <c r="ACO12">
        <v>4146</v>
      </c>
      <c r="ACP12">
        <v>4044</v>
      </c>
      <c r="ACQ12">
        <v>4018</v>
      </c>
      <c r="ACR12">
        <v>3609</v>
      </c>
      <c r="ACS12">
        <v>3966</v>
      </c>
      <c r="ACT12">
        <v>4095</v>
      </c>
      <c r="ACU12">
        <v>3745</v>
      </c>
      <c r="ACV12">
        <v>3888</v>
      </c>
      <c r="ACW12">
        <v>4052</v>
      </c>
      <c r="ACX12">
        <v>3818</v>
      </c>
      <c r="ACY12">
        <v>4122</v>
      </c>
      <c r="ACZ12">
        <v>3668</v>
      </c>
      <c r="ADB12">
        <v>3964</v>
      </c>
      <c r="ADC12">
        <v>3645</v>
      </c>
      <c r="ADD12">
        <v>3830</v>
      </c>
      <c r="ADE12">
        <v>3695</v>
      </c>
      <c r="ADF12">
        <v>3715</v>
      </c>
      <c r="ADG12">
        <v>3765</v>
      </c>
      <c r="ADH12">
        <v>3733</v>
      </c>
      <c r="ADI12">
        <v>3564</v>
      </c>
      <c r="ADJ12">
        <v>3608</v>
      </c>
      <c r="ADK12">
        <v>3517</v>
      </c>
      <c r="ADL12">
        <v>3481</v>
      </c>
      <c r="ADM12">
        <v>3441</v>
      </c>
      <c r="ADO12">
        <v>3637</v>
      </c>
      <c r="ADP12">
        <v>3525</v>
      </c>
      <c r="ADQ12">
        <v>3294</v>
      </c>
      <c r="ADR12">
        <v>3571</v>
      </c>
      <c r="ADS12">
        <v>3412</v>
      </c>
      <c r="ADT12">
        <v>3281</v>
      </c>
      <c r="ADU12">
        <v>3368</v>
      </c>
      <c r="ADV12">
        <v>3425</v>
      </c>
      <c r="ADW12">
        <v>3155</v>
      </c>
      <c r="ADX12">
        <v>3360</v>
      </c>
      <c r="ADY12">
        <v>3296</v>
      </c>
      <c r="ADZ12">
        <v>3228</v>
      </c>
      <c r="AEB12">
        <v>3725</v>
      </c>
      <c r="AEC12">
        <v>3555</v>
      </c>
      <c r="AED12">
        <v>3542</v>
      </c>
      <c r="AEE12">
        <v>3489</v>
      </c>
      <c r="AEF12">
        <v>3413</v>
      </c>
      <c r="AEG12">
        <v>3281</v>
      </c>
      <c r="AEH12">
        <v>3437</v>
      </c>
      <c r="AEI12">
        <v>3638</v>
      </c>
      <c r="AEJ12">
        <v>3387</v>
      </c>
      <c r="AEK12">
        <v>3414</v>
      </c>
      <c r="AEL12">
        <v>3608</v>
      </c>
      <c r="AEM12">
        <v>3525</v>
      </c>
      <c r="AEO12">
        <v>3612</v>
      </c>
      <c r="AEP12">
        <v>3598</v>
      </c>
      <c r="AEQ12">
        <v>3481</v>
      </c>
      <c r="AER12">
        <v>3528</v>
      </c>
      <c r="AES12">
        <v>3612</v>
      </c>
      <c r="AET12">
        <v>3307</v>
      </c>
      <c r="AEU12">
        <v>3710</v>
      </c>
      <c r="AEV12">
        <v>3502</v>
      </c>
      <c r="AEW12">
        <v>3752</v>
      </c>
      <c r="AEX12">
        <v>3571</v>
      </c>
      <c r="AEY12">
        <v>3650</v>
      </c>
      <c r="AEZ12">
        <v>3516</v>
      </c>
      <c r="AFB12">
        <v>3462</v>
      </c>
      <c r="AFC12">
        <v>3544</v>
      </c>
      <c r="AFD12">
        <v>3490</v>
      </c>
      <c r="AFE12">
        <v>3565</v>
      </c>
      <c r="AFF12">
        <v>3693</v>
      </c>
      <c r="AFG12">
        <v>3634</v>
      </c>
      <c r="AFH12">
        <v>3629</v>
      </c>
      <c r="AFI12">
        <v>3802</v>
      </c>
      <c r="AFJ12">
        <v>3746</v>
      </c>
      <c r="AFK12">
        <v>3715</v>
      </c>
      <c r="AFL12">
        <v>3628</v>
      </c>
      <c r="AFM12">
        <v>3684</v>
      </c>
      <c r="AFO12">
        <v>3566</v>
      </c>
      <c r="AFP12">
        <v>3716</v>
      </c>
      <c r="AFQ12">
        <v>3724</v>
      </c>
      <c r="AFR12">
        <v>3912</v>
      </c>
      <c r="AFS12">
        <v>3806</v>
      </c>
      <c r="AFT12">
        <v>3907</v>
      </c>
      <c r="AFU12">
        <v>3774</v>
      </c>
      <c r="AFV12">
        <v>3711</v>
      </c>
      <c r="AFW12">
        <v>3790</v>
      </c>
    </row>
    <row r="13" spans="1:859" x14ac:dyDescent="0.25">
      <c r="A13" t="s">
        <v>93</v>
      </c>
      <c r="UC13">
        <v>53</v>
      </c>
      <c r="UD13">
        <v>85</v>
      </c>
      <c r="UE13">
        <v>87</v>
      </c>
      <c r="UF13">
        <v>73</v>
      </c>
      <c r="UG13">
        <v>81</v>
      </c>
      <c r="UH13">
        <v>97</v>
      </c>
      <c r="UI13">
        <v>92</v>
      </c>
      <c r="UJ13">
        <v>110</v>
      </c>
      <c r="UK13">
        <v>108</v>
      </c>
      <c r="UL13">
        <v>73</v>
      </c>
      <c r="UM13">
        <v>87</v>
      </c>
      <c r="UO13">
        <v>81</v>
      </c>
      <c r="UP13">
        <v>69</v>
      </c>
      <c r="UQ13">
        <v>56</v>
      </c>
      <c r="UR13">
        <v>76</v>
      </c>
      <c r="US13">
        <v>68</v>
      </c>
      <c r="UT13">
        <v>105</v>
      </c>
      <c r="UU13">
        <v>103</v>
      </c>
      <c r="UV13">
        <v>63</v>
      </c>
      <c r="UW13">
        <v>85</v>
      </c>
      <c r="UX13">
        <v>80</v>
      </c>
      <c r="UY13">
        <v>80</v>
      </c>
      <c r="UZ13">
        <v>103</v>
      </c>
      <c r="VB13">
        <v>66</v>
      </c>
      <c r="VC13">
        <v>60</v>
      </c>
      <c r="VD13">
        <v>94</v>
      </c>
      <c r="VE13">
        <v>68</v>
      </c>
      <c r="VF13">
        <v>77</v>
      </c>
      <c r="VG13">
        <v>93</v>
      </c>
      <c r="VH13">
        <v>39</v>
      </c>
      <c r="VI13">
        <v>129</v>
      </c>
      <c r="VJ13">
        <v>143</v>
      </c>
      <c r="VK13">
        <v>83</v>
      </c>
      <c r="VL13">
        <v>88</v>
      </c>
      <c r="VM13">
        <v>144</v>
      </c>
      <c r="VO13">
        <v>57</v>
      </c>
      <c r="VP13">
        <v>89</v>
      </c>
      <c r="VQ13">
        <v>104</v>
      </c>
      <c r="VR13">
        <v>63</v>
      </c>
      <c r="VS13">
        <v>95</v>
      </c>
      <c r="VT13">
        <v>94</v>
      </c>
      <c r="VU13">
        <v>81</v>
      </c>
      <c r="VV13">
        <v>112</v>
      </c>
      <c r="VW13">
        <v>90</v>
      </c>
      <c r="VX13">
        <v>66</v>
      </c>
      <c r="VY13">
        <v>86</v>
      </c>
      <c r="VZ13">
        <v>119</v>
      </c>
      <c r="WB13">
        <v>83</v>
      </c>
      <c r="WC13">
        <v>101</v>
      </c>
      <c r="WD13">
        <v>101</v>
      </c>
      <c r="WE13">
        <v>107</v>
      </c>
      <c r="WF13">
        <v>133</v>
      </c>
      <c r="WG13">
        <v>110</v>
      </c>
      <c r="WH13">
        <v>115</v>
      </c>
      <c r="WI13">
        <v>122</v>
      </c>
      <c r="WJ13">
        <v>107</v>
      </c>
      <c r="WK13">
        <v>142</v>
      </c>
      <c r="WL13">
        <v>129</v>
      </c>
      <c r="WM13">
        <v>126</v>
      </c>
      <c r="WO13">
        <v>84</v>
      </c>
      <c r="WP13">
        <v>74</v>
      </c>
      <c r="WQ13">
        <v>92</v>
      </c>
      <c r="WR13">
        <v>115</v>
      </c>
      <c r="WS13">
        <v>114</v>
      </c>
      <c r="WT13">
        <v>125</v>
      </c>
      <c r="WU13">
        <v>114</v>
      </c>
      <c r="WV13">
        <v>140</v>
      </c>
      <c r="WW13">
        <v>129</v>
      </c>
      <c r="WX13">
        <v>135</v>
      </c>
      <c r="WY13">
        <v>87</v>
      </c>
      <c r="WZ13">
        <v>144</v>
      </c>
      <c r="XB13">
        <v>78</v>
      </c>
      <c r="XC13">
        <v>72</v>
      </c>
      <c r="XD13">
        <v>113</v>
      </c>
      <c r="XE13">
        <v>105</v>
      </c>
      <c r="XF13">
        <v>128</v>
      </c>
      <c r="XG13">
        <v>124</v>
      </c>
      <c r="XH13">
        <v>127</v>
      </c>
      <c r="XI13">
        <v>100</v>
      </c>
      <c r="XJ13">
        <v>165</v>
      </c>
      <c r="XK13">
        <v>155</v>
      </c>
      <c r="XL13">
        <v>107</v>
      </c>
      <c r="XM13">
        <v>144</v>
      </c>
      <c r="XO13">
        <v>397</v>
      </c>
      <c r="XP13">
        <v>72</v>
      </c>
      <c r="XQ13">
        <v>92</v>
      </c>
      <c r="XR13">
        <v>136</v>
      </c>
      <c r="XS13">
        <v>86</v>
      </c>
      <c r="XT13">
        <v>121</v>
      </c>
      <c r="XU13">
        <v>78</v>
      </c>
      <c r="XV13">
        <v>115</v>
      </c>
      <c r="XW13">
        <v>154</v>
      </c>
      <c r="XX13">
        <v>110</v>
      </c>
      <c r="XY13">
        <v>118</v>
      </c>
      <c r="XZ13">
        <v>94</v>
      </c>
      <c r="YB13">
        <v>105</v>
      </c>
      <c r="YC13">
        <v>73</v>
      </c>
      <c r="YD13">
        <v>93</v>
      </c>
      <c r="YE13">
        <v>116</v>
      </c>
      <c r="YF13">
        <v>119</v>
      </c>
      <c r="YG13">
        <v>131</v>
      </c>
      <c r="YH13">
        <v>101</v>
      </c>
      <c r="YI13">
        <v>136</v>
      </c>
      <c r="YJ13">
        <v>150</v>
      </c>
      <c r="YK13">
        <v>146</v>
      </c>
      <c r="YL13">
        <v>142</v>
      </c>
      <c r="YM13">
        <v>157</v>
      </c>
      <c r="YO13">
        <v>326</v>
      </c>
      <c r="YP13">
        <v>65</v>
      </c>
      <c r="YQ13">
        <v>56</v>
      </c>
      <c r="YR13">
        <v>75</v>
      </c>
      <c r="YS13">
        <v>108</v>
      </c>
      <c r="YT13">
        <v>98</v>
      </c>
      <c r="YU13">
        <v>80</v>
      </c>
      <c r="YV13">
        <v>99</v>
      </c>
      <c r="YW13">
        <v>96</v>
      </c>
      <c r="YX13">
        <v>103</v>
      </c>
      <c r="YY13">
        <v>76</v>
      </c>
      <c r="YZ13">
        <v>63</v>
      </c>
      <c r="ZB13">
        <v>1627</v>
      </c>
      <c r="ZC13">
        <v>65</v>
      </c>
      <c r="ZD13">
        <v>89</v>
      </c>
      <c r="ZE13">
        <v>118</v>
      </c>
      <c r="ZF13">
        <v>135</v>
      </c>
      <c r="ZG13">
        <v>124</v>
      </c>
      <c r="ZH13">
        <v>121</v>
      </c>
      <c r="ZI13">
        <v>95</v>
      </c>
      <c r="ZJ13">
        <v>145</v>
      </c>
      <c r="ZK13">
        <v>117</v>
      </c>
      <c r="ZL13">
        <v>118</v>
      </c>
      <c r="ZM13">
        <v>140</v>
      </c>
      <c r="ZO13">
        <v>81</v>
      </c>
      <c r="ZP13">
        <v>79</v>
      </c>
      <c r="ZQ13">
        <v>78</v>
      </c>
      <c r="ZR13">
        <v>107</v>
      </c>
      <c r="ZS13">
        <v>76</v>
      </c>
      <c r="ZT13">
        <v>81</v>
      </c>
      <c r="ZU13">
        <v>121</v>
      </c>
      <c r="ZV13">
        <v>85</v>
      </c>
      <c r="ZW13">
        <v>119</v>
      </c>
      <c r="ZX13">
        <v>134</v>
      </c>
      <c r="ZY13">
        <v>55</v>
      </c>
      <c r="ZZ13">
        <v>85</v>
      </c>
      <c r="AAB13">
        <v>64</v>
      </c>
      <c r="AAC13">
        <v>52</v>
      </c>
      <c r="AAD13">
        <v>81</v>
      </c>
      <c r="AAE13">
        <v>61</v>
      </c>
      <c r="AAF13">
        <v>70</v>
      </c>
      <c r="AAG13">
        <v>111</v>
      </c>
      <c r="AAH13">
        <v>92</v>
      </c>
      <c r="AAI13">
        <v>48</v>
      </c>
      <c r="AAJ13">
        <v>119</v>
      </c>
      <c r="AAK13">
        <v>63</v>
      </c>
      <c r="AAL13">
        <v>47</v>
      </c>
      <c r="AAM13">
        <v>117</v>
      </c>
      <c r="AAO13">
        <v>647</v>
      </c>
      <c r="AAP13">
        <v>93</v>
      </c>
      <c r="AAQ13">
        <v>103</v>
      </c>
      <c r="AAR13">
        <v>81</v>
      </c>
      <c r="AAS13">
        <v>74</v>
      </c>
      <c r="AAT13">
        <v>128</v>
      </c>
      <c r="AAU13">
        <v>64</v>
      </c>
      <c r="AAV13">
        <v>93</v>
      </c>
      <c r="AAW13">
        <v>100</v>
      </c>
      <c r="AAX13">
        <v>59</v>
      </c>
      <c r="AAY13">
        <v>109</v>
      </c>
      <c r="AAZ13">
        <v>91</v>
      </c>
      <c r="ABB13">
        <v>42</v>
      </c>
      <c r="ABC13">
        <v>111</v>
      </c>
      <c r="ABD13">
        <v>71</v>
      </c>
      <c r="ABE13">
        <v>78</v>
      </c>
      <c r="ABF13">
        <v>81</v>
      </c>
      <c r="ABG13">
        <v>79</v>
      </c>
      <c r="ABH13">
        <v>71</v>
      </c>
      <c r="ABI13">
        <v>135</v>
      </c>
      <c r="ABJ13">
        <v>104</v>
      </c>
      <c r="ABK13">
        <v>101</v>
      </c>
      <c r="ABL13">
        <v>107</v>
      </c>
      <c r="ABM13">
        <v>77</v>
      </c>
      <c r="ABO13">
        <v>48</v>
      </c>
      <c r="ABP13">
        <v>96</v>
      </c>
      <c r="ABQ13">
        <v>67</v>
      </c>
      <c r="ABR13">
        <v>83</v>
      </c>
      <c r="ABS13">
        <v>88</v>
      </c>
      <c r="ABT13">
        <v>83</v>
      </c>
      <c r="ABU13">
        <v>104</v>
      </c>
      <c r="ABV13">
        <v>105</v>
      </c>
      <c r="ABW13">
        <v>84</v>
      </c>
      <c r="ABX13">
        <v>114</v>
      </c>
      <c r="ABY13">
        <v>54</v>
      </c>
      <c r="ABZ13">
        <v>67</v>
      </c>
      <c r="ACB13">
        <v>27</v>
      </c>
      <c r="ACC13">
        <v>48</v>
      </c>
      <c r="ACD13">
        <v>79</v>
      </c>
      <c r="ACE13">
        <v>113</v>
      </c>
      <c r="ACF13">
        <v>117</v>
      </c>
      <c r="ACG13">
        <v>69</v>
      </c>
      <c r="ACH13">
        <v>123</v>
      </c>
      <c r="ACI13">
        <v>78</v>
      </c>
      <c r="ACJ13">
        <v>114</v>
      </c>
      <c r="ACK13">
        <v>130</v>
      </c>
      <c r="ACL13">
        <v>88</v>
      </c>
      <c r="ACM13">
        <v>45</v>
      </c>
      <c r="ACO13">
        <v>189</v>
      </c>
      <c r="ACP13">
        <v>48</v>
      </c>
      <c r="ACQ13">
        <v>72</v>
      </c>
      <c r="ACR13">
        <v>93</v>
      </c>
      <c r="ACS13">
        <v>67</v>
      </c>
      <c r="ACT13">
        <v>143</v>
      </c>
      <c r="ACU13">
        <v>61</v>
      </c>
      <c r="ACV13">
        <v>64</v>
      </c>
      <c r="ACW13">
        <v>102</v>
      </c>
      <c r="ACX13">
        <v>96</v>
      </c>
      <c r="ACY13">
        <v>89</v>
      </c>
      <c r="ACZ13">
        <v>109</v>
      </c>
      <c r="ADB13">
        <v>37</v>
      </c>
      <c r="ADC13">
        <v>64</v>
      </c>
      <c r="ADD13">
        <v>88</v>
      </c>
      <c r="ADE13">
        <v>53</v>
      </c>
      <c r="ADF13">
        <v>56</v>
      </c>
      <c r="ADG13">
        <v>99</v>
      </c>
      <c r="ADH13">
        <v>50</v>
      </c>
      <c r="ADI13">
        <v>87</v>
      </c>
      <c r="ADJ13">
        <v>79</v>
      </c>
      <c r="ADK13">
        <v>58</v>
      </c>
      <c r="ADL13">
        <v>117</v>
      </c>
      <c r="ADM13">
        <v>87</v>
      </c>
      <c r="ADO13">
        <v>12</v>
      </c>
      <c r="ADP13">
        <v>91</v>
      </c>
      <c r="ADQ13">
        <v>28</v>
      </c>
      <c r="ADR13">
        <v>47</v>
      </c>
      <c r="ADS13">
        <v>80</v>
      </c>
      <c r="ADT13">
        <v>62</v>
      </c>
      <c r="ADU13">
        <v>25</v>
      </c>
      <c r="ADV13">
        <v>113</v>
      </c>
      <c r="ADW13">
        <v>75</v>
      </c>
      <c r="ADX13">
        <v>68</v>
      </c>
      <c r="ADY13">
        <v>78</v>
      </c>
      <c r="ADZ13">
        <v>38</v>
      </c>
      <c r="AEB13">
        <v>10</v>
      </c>
      <c r="AEC13">
        <v>66</v>
      </c>
      <c r="AED13">
        <v>82</v>
      </c>
      <c r="AEE13">
        <v>67</v>
      </c>
      <c r="AEF13">
        <v>69</v>
      </c>
      <c r="AEG13">
        <v>28</v>
      </c>
      <c r="AEH13">
        <v>34</v>
      </c>
      <c r="AEI13">
        <v>98</v>
      </c>
      <c r="AEJ13">
        <v>41</v>
      </c>
      <c r="AEK13">
        <v>106</v>
      </c>
      <c r="AEL13">
        <v>78</v>
      </c>
      <c r="AEM13">
        <v>33</v>
      </c>
      <c r="AEO13">
        <v>27</v>
      </c>
      <c r="AEP13">
        <v>20</v>
      </c>
      <c r="AEQ13">
        <v>48</v>
      </c>
      <c r="AER13">
        <v>53</v>
      </c>
      <c r="AES13">
        <v>82</v>
      </c>
      <c r="AET13">
        <v>49</v>
      </c>
      <c r="AEU13">
        <v>23</v>
      </c>
      <c r="AEV13">
        <v>68</v>
      </c>
      <c r="AEW13">
        <v>38</v>
      </c>
      <c r="AEX13">
        <v>64</v>
      </c>
      <c r="AEY13">
        <v>54</v>
      </c>
      <c r="AEZ13">
        <v>98</v>
      </c>
      <c r="AFB13">
        <v>877</v>
      </c>
      <c r="AFC13">
        <v>18</v>
      </c>
      <c r="AFD13">
        <v>75</v>
      </c>
      <c r="AFE13">
        <v>71</v>
      </c>
      <c r="AFF13">
        <v>58</v>
      </c>
      <c r="AFG13">
        <v>69</v>
      </c>
      <c r="AFH13">
        <v>34</v>
      </c>
      <c r="AFI13">
        <v>55</v>
      </c>
      <c r="AFJ13">
        <v>59</v>
      </c>
      <c r="AFK13">
        <v>99</v>
      </c>
      <c r="AFL13">
        <v>34</v>
      </c>
      <c r="AFM13">
        <v>69</v>
      </c>
      <c r="AFO13">
        <v>76</v>
      </c>
      <c r="AFP13">
        <v>65</v>
      </c>
      <c r="AFQ13">
        <v>47</v>
      </c>
      <c r="AFR13">
        <v>95</v>
      </c>
      <c r="AFS13">
        <v>71</v>
      </c>
      <c r="AFT13">
        <v>64</v>
      </c>
      <c r="AFU13">
        <v>19</v>
      </c>
      <c r="AFV13">
        <v>31</v>
      </c>
      <c r="AFW13">
        <v>72</v>
      </c>
    </row>
    <row r="14" spans="1:859" x14ac:dyDescent="0.25">
      <c r="A14" t="s">
        <v>94</v>
      </c>
      <c r="B14">
        <v>2034</v>
      </c>
      <c r="C14">
        <v>2328</v>
      </c>
      <c r="D14">
        <v>2399</v>
      </c>
      <c r="E14">
        <v>2386</v>
      </c>
      <c r="F14">
        <v>2118</v>
      </c>
      <c r="G14">
        <v>2214</v>
      </c>
      <c r="H14">
        <v>2213</v>
      </c>
      <c r="I14">
        <v>2350</v>
      </c>
      <c r="J14">
        <v>2302</v>
      </c>
      <c r="K14">
        <v>2259</v>
      </c>
      <c r="L14">
        <v>2285</v>
      </c>
      <c r="M14">
        <v>2429</v>
      </c>
      <c r="O14">
        <v>2596</v>
      </c>
      <c r="P14">
        <v>2849</v>
      </c>
      <c r="Q14">
        <v>3030</v>
      </c>
      <c r="R14">
        <v>3260</v>
      </c>
      <c r="S14">
        <v>3707</v>
      </c>
      <c r="T14">
        <v>3776</v>
      </c>
      <c r="U14">
        <v>4111</v>
      </c>
      <c r="V14">
        <v>4193</v>
      </c>
      <c r="W14">
        <v>4049</v>
      </c>
      <c r="X14">
        <v>4916</v>
      </c>
      <c r="Y14">
        <v>3996</v>
      </c>
      <c r="Z14">
        <v>4063</v>
      </c>
      <c r="AB14">
        <v>4026</v>
      </c>
      <c r="AC14">
        <v>3936</v>
      </c>
      <c r="AD14">
        <v>3876</v>
      </c>
      <c r="AE14">
        <v>3575</v>
      </c>
      <c r="AF14">
        <v>3434</v>
      </c>
      <c r="AG14">
        <v>3367</v>
      </c>
      <c r="AH14">
        <v>3120</v>
      </c>
      <c r="AI14">
        <v>2799</v>
      </c>
      <c r="AJ14">
        <v>2774</v>
      </c>
      <c r="AK14">
        <v>2625</v>
      </c>
      <c r="AL14">
        <v>2589</v>
      </c>
      <c r="AM14">
        <v>2639</v>
      </c>
      <c r="AO14">
        <v>2305</v>
      </c>
      <c r="AP14">
        <v>2117</v>
      </c>
      <c r="AQ14">
        <v>2125</v>
      </c>
      <c r="AR14">
        <v>1919</v>
      </c>
      <c r="AS14">
        <v>1856</v>
      </c>
      <c r="AT14">
        <v>1995</v>
      </c>
      <c r="AU14">
        <v>1950</v>
      </c>
      <c r="AV14">
        <v>1933</v>
      </c>
      <c r="AW14">
        <v>2067</v>
      </c>
      <c r="AX14">
        <v>2194</v>
      </c>
      <c r="AY14">
        <v>2178</v>
      </c>
      <c r="AZ14">
        <v>1960</v>
      </c>
      <c r="BB14">
        <v>1972</v>
      </c>
      <c r="BC14">
        <v>1957</v>
      </c>
      <c r="BD14">
        <v>1813</v>
      </c>
      <c r="BE14">
        <v>1811</v>
      </c>
      <c r="BF14">
        <v>1863</v>
      </c>
      <c r="BG14">
        <v>1884</v>
      </c>
      <c r="BH14">
        <v>1991</v>
      </c>
      <c r="BI14">
        <v>2087</v>
      </c>
      <c r="BJ14">
        <v>1936</v>
      </c>
      <c r="BK14">
        <v>1839</v>
      </c>
      <c r="BL14">
        <v>1743</v>
      </c>
      <c r="BM14">
        <v>1667</v>
      </c>
      <c r="BO14">
        <v>1839</v>
      </c>
      <c r="BP14">
        <v>1636</v>
      </c>
      <c r="BQ14">
        <v>1647</v>
      </c>
      <c r="BR14">
        <v>1723</v>
      </c>
      <c r="BS14">
        <v>1596</v>
      </c>
      <c r="BT14">
        <v>1607</v>
      </c>
      <c r="BU14">
        <v>1660</v>
      </c>
      <c r="BV14">
        <v>1665</v>
      </c>
      <c r="BW14">
        <v>1821</v>
      </c>
      <c r="BX14">
        <v>1974</v>
      </c>
      <c r="BY14">
        <v>2211</v>
      </c>
      <c r="BZ14">
        <v>2818</v>
      </c>
      <c r="CB14">
        <v>3077</v>
      </c>
      <c r="CC14">
        <v>3331</v>
      </c>
      <c r="CD14">
        <v>3607</v>
      </c>
      <c r="CE14">
        <v>3749</v>
      </c>
      <c r="CF14">
        <v>3767</v>
      </c>
      <c r="CG14">
        <v>3551</v>
      </c>
      <c r="CH14">
        <v>3659</v>
      </c>
      <c r="CI14">
        <v>3854</v>
      </c>
      <c r="CJ14">
        <v>3927</v>
      </c>
      <c r="CK14">
        <v>3666</v>
      </c>
      <c r="CL14">
        <v>3402</v>
      </c>
      <c r="CM14">
        <v>3196</v>
      </c>
      <c r="CO14">
        <v>3157</v>
      </c>
      <c r="CP14">
        <v>2969</v>
      </c>
      <c r="CQ14">
        <v>2918</v>
      </c>
      <c r="CR14">
        <v>3049</v>
      </c>
      <c r="CS14">
        <v>2747</v>
      </c>
      <c r="CT14">
        <v>2701</v>
      </c>
      <c r="CU14">
        <v>2632</v>
      </c>
      <c r="CV14">
        <v>2784</v>
      </c>
      <c r="CW14">
        <v>2678</v>
      </c>
      <c r="CX14">
        <v>2830</v>
      </c>
      <c r="CY14">
        <v>2780</v>
      </c>
      <c r="CZ14">
        <v>2761</v>
      </c>
      <c r="DB14">
        <v>2666</v>
      </c>
      <c r="DC14">
        <v>2606</v>
      </c>
      <c r="DD14">
        <v>2764</v>
      </c>
      <c r="DE14">
        <v>2650</v>
      </c>
      <c r="DF14">
        <v>2861</v>
      </c>
      <c r="DG14">
        <v>2882</v>
      </c>
      <c r="DH14">
        <v>2952</v>
      </c>
      <c r="DI14">
        <v>2701</v>
      </c>
      <c r="DJ14">
        <v>2635</v>
      </c>
      <c r="DK14">
        <v>2571</v>
      </c>
      <c r="DL14">
        <v>2861</v>
      </c>
      <c r="DM14">
        <v>2790</v>
      </c>
      <c r="DO14">
        <v>2796</v>
      </c>
      <c r="DP14">
        <v>2622</v>
      </c>
      <c r="DQ14">
        <v>2509</v>
      </c>
      <c r="DR14">
        <v>2600</v>
      </c>
      <c r="DS14">
        <v>2710</v>
      </c>
      <c r="DT14">
        <v>2856</v>
      </c>
      <c r="DU14">
        <v>2796</v>
      </c>
      <c r="DV14">
        <v>2747</v>
      </c>
      <c r="DW14">
        <v>2943</v>
      </c>
      <c r="DX14">
        <v>3020</v>
      </c>
      <c r="DY14">
        <v>3454</v>
      </c>
      <c r="DZ14">
        <v>3476</v>
      </c>
      <c r="EB14">
        <v>3875</v>
      </c>
      <c r="EC14">
        <v>4303</v>
      </c>
      <c r="ED14">
        <v>4492</v>
      </c>
      <c r="EE14">
        <v>5016</v>
      </c>
      <c r="EF14">
        <v>5021</v>
      </c>
      <c r="EG14">
        <v>4944</v>
      </c>
      <c r="EH14">
        <v>5079</v>
      </c>
      <c r="EI14">
        <v>5025</v>
      </c>
      <c r="EJ14">
        <v>4821</v>
      </c>
      <c r="EK14">
        <v>4570</v>
      </c>
      <c r="EL14">
        <v>4188</v>
      </c>
      <c r="EM14">
        <v>4191</v>
      </c>
      <c r="EO14">
        <v>4068</v>
      </c>
      <c r="EP14">
        <v>3965</v>
      </c>
      <c r="EQ14">
        <v>3801</v>
      </c>
      <c r="ER14">
        <v>3571</v>
      </c>
      <c r="ES14">
        <v>3479</v>
      </c>
      <c r="ET14">
        <v>3429</v>
      </c>
      <c r="EU14">
        <v>3528</v>
      </c>
      <c r="EV14">
        <v>3588</v>
      </c>
      <c r="EW14">
        <v>3775</v>
      </c>
      <c r="EX14">
        <v>3910</v>
      </c>
      <c r="EY14">
        <v>4003</v>
      </c>
      <c r="EZ14">
        <v>3653</v>
      </c>
      <c r="FB14">
        <v>3615</v>
      </c>
      <c r="FC14">
        <v>3329</v>
      </c>
      <c r="FD14">
        <v>3726</v>
      </c>
      <c r="FE14">
        <v>3620</v>
      </c>
      <c r="FF14">
        <v>3569</v>
      </c>
      <c r="FG14">
        <v>3766</v>
      </c>
      <c r="FH14">
        <v>3836</v>
      </c>
      <c r="FI14">
        <v>3946</v>
      </c>
      <c r="FJ14">
        <v>3884</v>
      </c>
      <c r="FK14">
        <v>4252</v>
      </c>
      <c r="FL14">
        <v>4330</v>
      </c>
      <c r="FM14">
        <v>4617</v>
      </c>
      <c r="FO14">
        <v>4671</v>
      </c>
      <c r="FP14">
        <v>4832</v>
      </c>
      <c r="FQ14">
        <v>4853</v>
      </c>
      <c r="FR14">
        <v>4893</v>
      </c>
      <c r="FS14">
        <v>5003</v>
      </c>
      <c r="FT14">
        <v>4885</v>
      </c>
      <c r="FU14">
        <v>4928</v>
      </c>
      <c r="FV14">
        <v>4682</v>
      </c>
      <c r="FW14">
        <v>4676</v>
      </c>
      <c r="FX14">
        <v>4573</v>
      </c>
      <c r="FY14">
        <v>4295</v>
      </c>
      <c r="FZ14">
        <v>4177</v>
      </c>
      <c r="GB14">
        <v>4081</v>
      </c>
      <c r="GC14">
        <v>3871</v>
      </c>
      <c r="GD14">
        <v>3921</v>
      </c>
      <c r="GE14">
        <v>3906</v>
      </c>
      <c r="GF14">
        <v>3863</v>
      </c>
      <c r="GG14">
        <v>3844</v>
      </c>
      <c r="GH14">
        <v>3819</v>
      </c>
      <c r="GI14">
        <v>4013</v>
      </c>
      <c r="GJ14">
        <v>3961</v>
      </c>
      <c r="GK14">
        <v>3803</v>
      </c>
      <c r="GL14">
        <v>4024</v>
      </c>
      <c r="GM14">
        <v>3907</v>
      </c>
      <c r="GO14">
        <v>4074</v>
      </c>
      <c r="GP14">
        <v>4238</v>
      </c>
      <c r="GQ14">
        <v>4072</v>
      </c>
      <c r="GR14">
        <v>4055</v>
      </c>
      <c r="GS14">
        <v>4217</v>
      </c>
      <c r="GT14">
        <v>3977</v>
      </c>
      <c r="GU14">
        <v>4051</v>
      </c>
      <c r="GV14">
        <v>3878</v>
      </c>
      <c r="GW14">
        <v>3957</v>
      </c>
      <c r="GX14">
        <v>3987</v>
      </c>
      <c r="GY14">
        <v>4151</v>
      </c>
      <c r="GZ14">
        <v>3975</v>
      </c>
      <c r="HB14">
        <v>4029</v>
      </c>
      <c r="HC14">
        <v>3932</v>
      </c>
      <c r="HD14">
        <v>3950</v>
      </c>
      <c r="HE14">
        <v>3918</v>
      </c>
      <c r="HF14">
        <v>3764</v>
      </c>
      <c r="HG14">
        <v>3814</v>
      </c>
      <c r="HH14">
        <v>3608</v>
      </c>
      <c r="HI14">
        <v>3655</v>
      </c>
      <c r="HJ14">
        <v>3712</v>
      </c>
      <c r="HK14">
        <v>3726</v>
      </c>
      <c r="HL14">
        <v>3551</v>
      </c>
      <c r="HM14">
        <v>3651</v>
      </c>
      <c r="HO14">
        <v>3572</v>
      </c>
      <c r="HP14">
        <v>3730</v>
      </c>
      <c r="HQ14">
        <v>3510</v>
      </c>
      <c r="HR14">
        <v>3595</v>
      </c>
      <c r="HS14">
        <v>3432</v>
      </c>
      <c r="HT14">
        <v>3387</v>
      </c>
      <c r="HU14">
        <v>3301</v>
      </c>
      <c r="HV14">
        <v>3254</v>
      </c>
      <c r="HW14">
        <v>3216</v>
      </c>
      <c r="HX14">
        <v>3143</v>
      </c>
      <c r="HY14">
        <v>3073</v>
      </c>
      <c r="HZ14">
        <v>3031</v>
      </c>
      <c r="IB14">
        <v>2988</v>
      </c>
      <c r="IC14">
        <v>2820</v>
      </c>
      <c r="ID14">
        <v>2887</v>
      </c>
      <c r="IE14">
        <v>2828</v>
      </c>
      <c r="IF14">
        <v>2950</v>
      </c>
      <c r="IG14">
        <v>2872</v>
      </c>
      <c r="IH14">
        <v>2876</v>
      </c>
      <c r="II14">
        <v>2900</v>
      </c>
      <c r="IJ14">
        <v>2798</v>
      </c>
      <c r="IK14">
        <v>2798</v>
      </c>
      <c r="IL14">
        <v>2770</v>
      </c>
      <c r="IM14">
        <v>2912</v>
      </c>
      <c r="IO14">
        <v>2968</v>
      </c>
      <c r="IP14">
        <v>2915</v>
      </c>
      <c r="IQ14">
        <v>2889</v>
      </c>
      <c r="IR14">
        <v>2895</v>
      </c>
      <c r="IS14">
        <v>2929</v>
      </c>
      <c r="IT14">
        <v>2992</v>
      </c>
      <c r="IU14">
        <v>2944</v>
      </c>
      <c r="IV14">
        <v>2945</v>
      </c>
      <c r="IW14">
        <v>2958</v>
      </c>
      <c r="IX14">
        <v>3143</v>
      </c>
      <c r="IY14">
        <v>3066</v>
      </c>
      <c r="IZ14">
        <v>3018</v>
      </c>
      <c r="JB14">
        <v>2878</v>
      </c>
      <c r="JC14">
        <v>3001</v>
      </c>
      <c r="JD14">
        <v>2877</v>
      </c>
      <c r="JE14">
        <v>2709</v>
      </c>
      <c r="JF14">
        <v>2740</v>
      </c>
      <c r="JG14">
        <v>2938</v>
      </c>
      <c r="JH14">
        <v>2883</v>
      </c>
      <c r="JI14">
        <v>2768</v>
      </c>
      <c r="JJ14">
        <v>2686</v>
      </c>
      <c r="JK14">
        <v>2689</v>
      </c>
      <c r="JL14">
        <v>2715</v>
      </c>
      <c r="JM14">
        <v>2685</v>
      </c>
      <c r="JO14">
        <v>2718</v>
      </c>
      <c r="JP14">
        <v>2692</v>
      </c>
      <c r="JQ14">
        <v>2712</v>
      </c>
      <c r="JR14">
        <v>2758</v>
      </c>
      <c r="JS14">
        <v>2713</v>
      </c>
      <c r="JT14">
        <v>2816</v>
      </c>
      <c r="JU14">
        <v>2868</v>
      </c>
      <c r="JV14">
        <v>2856</v>
      </c>
      <c r="JW14">
        <v>3040</v>
      </c>
      <c r="JX14">
        <v>3049</v>
      </c>
      <c r="JY14">
        <v>2856</v>
      </c>
      <c r="JZ14">
        <v>2884</v>
      </c>
      <c r="KB14">
        <v>3201</v>
      </c>
      <c r="KC14">
        <v>3453</v>
      </c>
      <c r="KD14">
        <v>3635</v>
      </c>
      <c r="KE14">
        <v>3797</v>
      </c>
      <c r="KF14">
        <v>3919</v>
      </c>
      <c r="KG14">
        <v>4071</v>
      </c>
      <c r="KH14">
        <v>4175</v>
      </c>
      <c r="KI14">
        <v>4256</v>
      </c>
      <c r="KJ14">
        <v>4456</v>
      </c>
      <c r="KK14">
        <v>4591</v>
      </c>
      <c r="KL14">
        <v>4898</v>
      </c>
      <c r="KM14">
        <v>5076</v>
      </c>
      <c r="KO14">
        <v>4986</v>
      </c>
      <c r="KP14">
        <v>4903</v>
      </c>
      <c r="KQ14">
        <v>4987</v>
      </c>
      <c r="KR14">
        <v>4959</v>
      </c>
      <c r="KS14">
        <v>4996</v>
      </c>
      <c r="KT14">
        <v>4949</v>
      </c>
      <c r="KU14">
        <v>5035</v>
      </c>
      <c r="KV14">
        <v>5134</v>
      </c>
      <c r="KW14">
        <v>5042</v>
      </c>
      <c r="KX14">
        <v>4954</v>
      </c>
      <c r="KY14">
        <v>5161</v>
      </c>
      <c r="KZ14">
        <v>5154</v>
      </c>
      <c r="LB14">
        <v>5019</v>
      </c>
      <c r="LC14">
        <v>4928</v>
      </c>
      <c r="LD14">
        <v>5038</v>
      </c>
      <c r="LE14">
        <v>4959</v>
      </c>
      <c r="LF14">
        <v>4922</v>
      </c>
      <c r="LG14">
        <v>4923</v>
      </c>
      <c r="LH14">
        <v>4913</v>
      </c>
      <c r="LI14">
        <v>4939</v>
      </c>
      <c r="LJ14">
        <v>4849</v>
      </c>
      <c r="LK14">
        <v>4875</v>
      </c>
      <c r="LL14">
        <v>4602</v>
      </c>
      <c r="LM14">
        <v>4543</v>
      </c>
      <c r="LO14">
        <v>4326</v>
      </c>
      <c r="LP14">
        <v>4452</v>
      </c>
      <c r="LQ14">
        <v>4394</v>
      </c>
      <c r="LR14">
        <v>4459</v>
      </c>
      <c r="LS14">
        <v>4329</v>
      </c>
      <c r="LT14">
        <v>4363</v>
      </c>
      <c r="LU14">
        <v>4305</v>
      </c>
      <c r="LV14">
        <v>4305</v>
      </c>
      <c r="LW14">
        <v>4350</v>
      </c>
      <c r="LX14">
        <v>4144</v>
      </c>
      <c r="LY14">
        <v>4396</v>
      </c>
      <c r="LZ14">
        <v>4489</v>
      </c>
      <c r="MB14">
        <v>4644</v>
      </c>
      <c r="MC14">
        <v>4731</v>
      </c>
      <c r="MD14">
        <v>4634</v>
      </c>
      <c r="ME14">
        <v>4618</v>
      </c>
      <c r="MF14">
        <v>4705</v>
      </c>
      <c r="MG14">
        <v>4927</v>
      </c>
      <c r="MH14">
        <v>5063</v>
      </c>
      <c r="MI14">
        <v>5022</v>
      </c>
      <c r="MJ14">
        <v>5437</v>
      </c>
      <c r="MK14">
        <v>5523</v>
      </c>
      <c r="ML14">
        <v>6140</v>
      </c>
      <c r="MM14">
        <v>6636</v>
      </c>
      <c r="MO14">
        <v>7501</v>
      </c>
      <c r="MP14">
        <v>7520</v>
      </c>
      <c r="MQ14">
        <v>7978</v>
      </c>
      <c r="MR14">
        <v>8210</v>
      </c>
      <c r="MS14">
        <v>8433</v>
      </c>
      <c r="MT14">
        <v>8220</v>
      </c>
      <c r="MU14">
        <v>8127</v>
      </c>
      <c r="MV14">
        <v>7928</v>
      </c>
      <c r="MW14">
        <v>7923</v>
      </c>
      <c r="MX14">
        <v>7897</v>
      </c>
      <c r="MY14">
        <v>7794</v>
      </c>
      <c r="MZ14">
        <v>7744</v>
      </c>
      <c r="NB14">
        <v>7534</v>
      </c>
      <c r="NC14">
        <v>7326</v>
      </c>
      <c r="ND14">
        <v>7230</v>
      </c>
      <c r="NE14">
        <v>7330</v>
      </c>
      <c r="NF14">
        <v>7053</v>
      </c>
      <c r="NG14">
        <v>7322</v>
      </c>
      <c r="NH14">
        <v>7490</v>
      </c>
      <c r="NI14">
        <v>7518</v>
      </c>
      <c r="NJ14">
        <v>7380</v>
      </c>
      <c r="NK14">
        <v>7430</v>
      </c>
      <c r="NL14">
        <v>7620</v>
      </c>
      <c r="NM14">
        <v>7545</v>
      </c>
      <c r="NO14">
        <v>7280</v>
      </c>
      <c r="NP14">
        <v>7443</v>
      </c>
      <c r="NQ14">
        <v>7307</v>
      </c>
      <c r="NR14">
        <v>7059</v>
      </c>
      <c r="NS14">
        <v>6911</v>
      </c>
      <c r="NT14">
        <v>7134</v>
      </c>
      <c r="NU14">
        <v>6829</v>
      </c>
      <c r="NV14">
        <v>6925</v>
      </c>
      <c r="NW14">
        <v>6751</v>
      </c>
      <c r="NX14">
        <v>6763</v>
      </c>
      <c r="NY14">
        <v>6815</v>
      </c>
      <c r="NZ14">
        <v>6386</v>
      </c>
      <c r="OB14">
        <v>6489</v>
      </c>
      <c r="OC14">
        <v>6318</v>
      </c>
      <c r="OD14">
        <v>6337</v>
      </c>
      <c r="OE14">
        <v>6180</v>
      </c>
      <c r="OF14">
        <v>6127</v>
      </c>
      <c r="OG14">
        <v>6028</v>
      </c>
      <c r="OH14">
        <v>6309</v>
      </c>
      <c r="OI14">
        <v>6080</v>
      </c>
      <c r="OJ14">
        <v>6125</v>
      </c>
      <c r="OK14">
        <v>5947</v>
      </c>
      <c r="OL14">
        <v>6077</v>
      </c>
      <c r="OM14">
        <v>6228</v>
      </c>
      <c r="OO14">
        <v>6109</v>
      </c>
      <c r="OP14">
        <v>6173</v>
      </c>
      <c r="OQ14">
        <v>6109</v>
      </c>
      <c r="OR14">
        <v>6069</v>
      </c>
      <c r="OS14">
        <v>5840</v>
      </c>
      <c r="OT14">
        <v>5959</v>
      </c>
      <c r="OU14">
        <v>5996</v>
      </c>
      <c r="OV14">
        <v>6320</v>
      </c>
      <c r="OW14">
        <v>6190</v>
      </c>
      <c r="OX14">
        <v>6296</v>
      </c>
      <c r="OY14">
        <v>6238</v>
      </c>
      <c r="OZ14">
        <v>6325</v>
      </c>
      <c r="PB14">
        <v>6683</v>
      </c>
      <c r="PC14">
        <v>6702</v>
      </c>
      <c r="PD14">
        <v>6729</v>
      </c>
      <c r="PE14">
        <v>7358</v>
      </c>
      <c r="PF14">
        <v>7984</v>
      </c>
      <c r="PG14">
        <v>8098</v>
      </c>
      <c r="PH14">
        <v>8363</v>
      </c>
      <c r="PI14">
        <v>8281</v>
      </c>
      <c r="PJ14">
        <v>8021</v>
      </c>
      <c r="PK14">
        <v>8088</v>
      </c>
      <c r="PL14">
        <v>8023</v>
      </c>
      <c r="PM14">
        <v>7718</v>
      </c>
      <c r="PO14">
        <v>8071</v>
      </c>
      <c r="PP14">
        <v>8051</v>
      </c>
      <c r="PQ14">
        <v>7982</v>
      </c>
      <c r="PR14">
        <v>7869</v>
      </c>
      <c r="PS14">
        <v>8174</v>
      </c>
      <c r="PT14">
        <v>8098</v>
      </c>
      <c r="PU14">
        <v>7863</v>
      </c>
      <c r="PV14">
        <v>8036</v>
      </c>
      <c r="PW14">
        <v>8230</v>
      </c>
      <c r="PX14">
        <v>8646</v>
      </c>
      <c r="PY14">
        <v>9029</v>
      </c>
      <c r="PZ14">
        <v>9267</v>
      </c>
      <c r="QB14">
        <v>9397</v>
      </c>
      <c r="QC14">
        <v>9705</v>
      </c>
      <c r="QD14">
        <v>9895</v>
      </c>
      <c r="QE14">
        <v>10244</v>
      </c>
      <c r="QF14">
        <v>10335</v>
      </c>
      <c r="QG14">
        <v>10538</v>
      </c>
      <c r="QH14">
        <v>10849</v>
      </c>
      <c r="QI14">
        <v>10881</v>
      </c>
      <c r="QJ14">
        <v>11217</v>
      </c>
      <c r="QK14">
        <v>11529</v>
      </c>
      <c r="QL14">
        <v>11938</v>
      </c>
      <c r="QM14">
        <v>12051</v>
      </c>
      <c r="QO14">
        <v>11534</v>
      </c>
      <c r="QP14">
        <v>11545</v>
      </c>
      <c r="QQ14">
        <v>11408</v>
      </c>
      <c r="QR14">
        <v>11268</v>
      </c>
      <c r="QS14">
        <v>11154</v>
      </c>
      <c r="QT14">
        <v>11246</v>
      </c>
      <c r="QU14">
        <v>10548</v>
      </c>
      <c r="QV14">
        <v>10623</v>
      </c>
      <c r="QW14">
        <v>10282</v>
      </c>
      <c r="QX14">
        <v>9887</v>
      </c>
      <c r="QY14">
        <v>9499</v>
      </c>
      <c r="QZ14">
        <v>9331</v>
      </c>
      <c r="RB14">
        <v>9008</v>
      </c>
      <c r="RC14">
        <v>8791</v>
      </c>
      <c r="RD14">
        <v>8746</v>
      </c>
      <c r="RE14">
        <v>8762</v>
      </c>
      <c r="RF14">
        <v>8456</v>
      </c>
      <c r="RG14">
        <v>8226</v>
      </c>
      <c r="RH14">
        <v>8537</v>
      </c>
      <c r="RI14">
        <v>8519</v>
      </c>
      <c r="RJ14">
        <v>8367</v>
      </c>
      <c r="RK14">
        <v>8381</v>
      </c>
      <c r="RL14">
        <v>8198</v>
      </c>
      <c r="RM14">
        <v>8358</v>
      </c>
      <c r="RO14">
        <v>8423</v>
      </c>
      <c r="RP14">
        <v>8321</v>
      </c>
      <c r="RQ14">
        <v>8339</v>
      </c>
      <c r="RR14">
        <v>8395</v>
      </c>
      <c r="RS14">
        <v>8302</v>
      </c>
      <c r="RT14">
        <v>8460</v>
      </c>
      <c r="RU14">
        <v>8513</v>
      </c>
      <c r="RV14">
        <v>8196</v>
      </c>
      <c r="RW14">
        <v>8248</v>
      </c>
      <c r="RX14">
        <v>8298</v>
      </c>
      <c r="RY14">
        <v>8128</v>
      </c>
      <c r="RZ14">
        <v>8138</v>
      </c>
      <c r="SB14">
        <v>7795</v>
      </c>
      <c r="SC14">
        <v>8402</v>
      </c>
      <c r="SD14">
        <v>8383</v>
      </c>
      <c r="SE14">
        <v>8364</v>
      </c>
      <c r="SF14">
        <v>8439</v>
      </c>
      <c r="SG14">
        <v>8508</v>
      </c>
      <c r="SH14">
        <v>8319</v>
      </c>
      <c r="SI14">
        <v>8135</v>
      </c>
      <c r="SJ14">
        <v>8310</v>
      </c>
      <c r="SK14">
        <v>8243</v>
      </c>
      <c r="SL14">
        <v>8159</v>
      </c>
      <c r="SM14">
        <v>7883</v>
      </c>
      <c r="SO14">
        <v>7892</v>
      </c>
      <c r="SP14">
        <v>7865</v>
      </c>
      <c r="SQ14">
        <v>7862</v>
      </c>
      <c r="SR14">
        <v>7542</v>
      </c>
      <c r="SS14">
        <v>7574</v>
      </c>
      <c r="ST14">
        <v>7398</v>
      </c>
      <c r="SU14">
        <v>7268</v>
      </c>
      <c r="SV14">
        <v>7261</v>
      </c>
      <c r="SW14">
        <v>7102</v>
      </c>
      <c r="SX14">
        <v>7227</v>
      </c>
      <c r="SY14">
        <v>7035</v>
      </c>
      <c r="SZ14">
        <v>6936</v>
      </c>
      <c r="TB14">
        <v>6953</v>
      </c>
      <c r="TC14">
        <v>6929</v>
      </c>
      <c r="TD14">
        <v>6876</v>
      </c>
      <c r="TE14">
        <v>6601</v>
      </c>
      <c r="TF14">
        <v>6779</v>
      </c>
      <c r="TG14">
        <v>6546</v>
      </c>
      <c r="TH14">
        <v>6605</v>
      </c>
      <c r="TI14">
        <v>6843</v>
      </c>
      <c r="TJ14">
        <v>6604</v>
      </c>
      <c r="TK14">
        <v>6568</v>
      </c>
      <c r="TL14">
        <v>6537</v>
      </c>
      <c r="TM14">
        <v>6518</v>
      </c>
      <c r="TO14">
        <v>6682</v>
      </c>
      <c r="TP14">
        <v>6359</v>
      </c>
      <c r="TQ14">
        <v>6205</v>
      </c>
      <c r="TR14">
        <v>6468</v>
      </c>
      <c r="TS14">
        <v>6375</v>
      </c>
      <c r="TT14">
        <v>6577</v>
      </c>
      <c r="TU14">
        <v>6495</v>
      </c>
      <c r="TV14">
        <v>6511</v>
      </c>
      <c r="TW14">
        <v>6590</v>
      </c>
      <c r="TX14">
        <v>6630</v>
      </c>
      <c r="TY14">
        <v>6725</v>
      </c>
      <c r="TZ14">
        <v>6667</v>
      </c>
      <c r="UB14">
        <v>6752</v>
      </c>
      <c r="UC14">
        <v>6651</v>
      </c>
      <c r="UD14">
        <v>6598</v>
      </c>
      <c r="UE14">
        <v>6797</v>
      </c>
      <c r="UF14">
        <v>6742</v>
      </c>
      <c r="UG14">
        <v>6590</v>
      </c>
      <c r="UH14">
        <v>6922</v>
      </c>
      <c r="UI14">
        <v>7188</v>
      </c>
      <c r="UJ14">
        <v>7368</v>
      </c>
      <c r="UK14">
        <v>7459</v>
      </c>
      <c r="UL14">
        <v>7764</v>
      </c>
      <c r="UM14">
        <v>7901</v>
      </c>
      <c r="UO14">
        <v>8015</v>
      </c>
      <c r="UP14">
        <v>8265</v>
      </c>
      <c r="UQ14">
        <v>8586</v>
      </c>
      <c r="UR14">
        <v>8439</v>
      </c>
      <c r="US14">
        <v>8736</v>
      </c>
      <c r="UT14">
        <v>8692</v>
      </c>
      <c r="UU14">
        <v>8586</v>
      </c>
      <c r="UV14">
        <v>8666</v>
      </c>
      <c r="UW14">
        <v>8722</v>
      </c>
      <c r="UX14">
        <v>8842</v>
      </c>
      <c r="UY14">
        <v>8931</v>
      </c>
      <c r="UZ14">
        <v>9198</v>
      </c>
      <c r="VB14">
        <v>9283</v>
      </c>
      <c r="VC14">
        <v>9454</v>
      </c>
      <c r="VD14">
        <v>9460</v>
      </c>
      <c r="VE14">
        <v>9415</v>
      </c>
      <c r="VF14">
        <v>9744</v>
      </c>
      <c r="VG14">
        <v>10040</v>
      </c>
      <c r="VH14">
        <v>9850</v>
      </c>
      <c r="VI14">
        <v>9787</v>
      </c>
      <c r="VJ14">
        <v>9781</v>
      </c>
      <c r="VK14">
        <v>9398</v>
      </c>
      <c r="VL14">
        <v>9565</v>
      </c>
      <c r="VM14">
        <v>9557</v>
      </c>
      <c r="VO14">
        <v>9325</v>
      </c>
      <c r="VP14">
        <v>9183</v>
      </c>
      <c r="VQ14">
        <v>9056</v>
      </c>
      <c r="VR14">
        <v>9110</v>
      </c>
      <c r="VS14">
        <v>9149</v>
      </c>
      <c r="VT14">
        <v>9121</v>
      </c>
      <c r="VU14">
        <v>8930</v>
      </c>
      <c r="VV14">
        <v>8763</v>
      </c>
      <c r="VW14">
        <v>8714</v>
      </c>
      <c r="VX14">
        <v>8750</v>
      </c>
      <c r="VY14">
        <v>8542</v>
      </c>
      <c r="VZ14">
        <v>8477</v>
      </c>
      <c r="WB14">
        <v>8630</v>
      </c>
      <c r="WC14">
        <v>8583</v>
      </c>
      <c r="WD14">
        <v>8470</v>
      </c>
      <c r="WE14">
        <v>8331</v>
      </c>
      <c r="WF14">
        <v>7915</v>
      </c>
      <c r="WG14">
        <v>7927</v>
      </c>
      <c r="WH14">
        <v>7946</v>
      </c>
      <c r="WI14">
        <v>7933</v>
      </c>
      <c r="WJ14">
        <v>7734</v>
      </c>
      <c r="WK14">
        <v>7632</v>
      </c>
      <c r="WL14">
        <v>7375</v>
      </c>
      <c r="WM14">
        <v>7230</v>
      </c>
      <c r="WO14">
        <v>7375</v>
      </c>
      <c r="WP14">
        <v>7187</v>
      </c>
      <c r="WQ14">
        <v>7153</v>
      </c>
      <c r="WR14">
        <v>7645</v>
      </c>
      <c r="WS14">
        <v>7430</v>
      </c>
      <c r="WT14">
        <v>7427</v>
      </c>
      <c r="WU14">
        <v>7527</v>
      </c>
      <c r="WV14">
        <v>7484</v>
      </c>
      <c r="WW14">
        <v>7478</v>
      </c>
      <c r="WX14">
        <v>7328</v>
      </c>
      <c r="WY14">
        <v>7426</v>
      </c>
      <c r="WZ14">
        <v>7423</v>
      </c>
      <c r="XB14">
        <v>7491</v>
      </c>
      <c r="XC14">
        <v>7313</v>
      </c>
      <c r="XD14">
        <v>7318</v>
      </c>
      <c r="XE14">
        <v>7415</v>
      </c>
      <c r="XF14">
        <v>7423</v>
      </c>
      <c r="XG14">
        <v>7095</v>
      </c>
      <c r="XH14">
        <v>7337</v>
      </c>
      <c r="XI14">
        <v>6882</v>
      </c>
      <c r="XJ14">
        <v>6979</v>
      </c>
      <c r="XK14">
        <v>7031</v>
      </c>
      <c r="XL14">
        <v>7236</v>
      </c>
      <c r="XM14">
        <v>7253</v>
      </c>
      <c r="XO14">
        <v>7158</v>
      </c>
      <c r="XP14">
        <v>7102</v>
      </c>
      <c r="XQ14">
        <v>7000</v>
      </c>
      <c r="XR14">
        <v>6873</v>
      </c>
      <c r="XS14">
        <v>6655</v>
      </c>
      <c r="XT14">
        <v>6799</v>
      </c>
      <c r="XU14">
        <v>6655</v>
      </c>
      <c r="XV14">
        <v>6608</v>
      </c>
      <c r="XW14">
        <v>6656</v>
      </c>
      <c r="XX14">
        <v>6454</v>
      </c>
      <c r="XY14">
        <v>6308</v>
      </c>
      <c r="XZ14">
        <v>6476</v>
      </c>
      <c r="YB14">
        <v>6368</v>
      </c>
      <c r="YC14">
        <v>6306</v>
      </c>
      <c r="YD14">
        <v>6422</v>
      </c>
      <c r="YE14">
        <v>5941</v>
      </c>
      <c r="YF14">
        <v>6047</v>
      </c>
      <c r="YG14">
        <v>6212</v>
      </c>
      <c r="YH14">
        <v>6259</v>
      </c>
      <c r="YI14">
        <v>6179</v>
      </c>
      <c r="YJ14">
        <v>6300</v>
      </c>
      <c r="YK14">
        <v>6280</v>
      </c>
      <c r="YL14">
        <v>6100</v>
      </c>
      <c r="YM14">
        <v>6032</v>
      </c>
      <c r="YO14">
        <v>5976</v>
      </c>
      <c r="YP14">
        <v>6111</v>
      </c>
      <c r="YQ14">
        <v>5783</v>
      </c>
      <c r="YR14">
        <v>6004</v>
      </c>
      <c r="YS14">
        <v>5796</v>
      </c>
      <c r="YT14">
        <v>5951</v>
      </c>
      <c r="YU14">
        <v>6025</v>
      </c>
      <c r="YV14">
        <v>5838</v>
      </c>
      <c r="YW14">
        <v>5915</v>
      </c>
      <c r="YX14">
        <v>5778</v>
      </c>
      <c r="YY14">
        <v>5716</v>
      </c>
      <c r="YZ14">
        <v>5653</v>
      </c>
      <c r="ZB14">
        <v>5708</v>
      </c>
      <c r="ZC14">
        <v>5858</v>
      </c>
      <c r="ZD14">
        <v>5733</v>
      </c>
      <c r="ZE14">
        <v>5481</v>
      </c>
      <c r="ZF14">
        <v>5758</v>
      </c>
      <c r="ZG14">
        <v>5651</v>
      </c>
      <c r="ZH14">
        <v>5747</v>
      </c>
      <c r="ZI14">
        <v>5853</v>
      </c>
      <c r="ZJ14">
        <v>5625</v>
      </c>
      <c r="ZK14">
        <v>5534</v>
      </c>
      <c r="ZL14">
        <v>5639</v>
      </c>
      <c r="ZM14">
        <v>5634</v>
      </c>
      <c r="ZO14">
        <v>6023</v>
      </c>
      <c r="ZP14">
        <v>6089</v>
      </c>
      <c r="ZQ14">
        <v>6141</v>
      </c>
      <c r="ZR14">
        <v>6271</v>
      </c>
      <c r="ZS14">
        <v>6226</v>
      </c>
      <c r="ZT14">
        <v>6484</v>
      </c>
      <c r="ZU14">
        <v>6583</v>
      </c>
      <c r="ZV14">
        <v>7042</v>
      </c>
      <c r="ZW14">
        <v>7142</v>
      </c>
      <c r="ZX14">
        <v>7694</v>
      </c>
      <c r="ZY14">
        <v>8003</v>
      </c>
      <c r="ZZ14">
        <v>8258</v>
      </c>
      <c r="AAB14">
        <v>8182</v>
      </c>
      <c r="AAC14">
        <v>8215</v>
      </c>
      <c r="AAD14">
        <v>8304</v>
      </c>
      <c r="AAE14">
        <v>8599</v>
      </c>
      <c r="AAF14">
        <v>8399</v>
      </c>
      <c r="AAG14">
        <v>8393</v>
      </c>
      <c r="AAH14">
        <v>8390</v>
      </c>
      <c r="AAI14">
        <v>8304</v>
      </c>
      <c r="AAJ14">
        <v>8251</v>
      </c>
      <c r="AAK14">
        <v>8307</v>
      </c>
      <c r="AAL14">
        <v>8520</v>
      </c>
      <c r="AAM14">
        <v>8640</v>
      </c>
      <c r="AAO14">
        <v>8520</v>
      </c>
      <c r="AAP14">
        <v>8618</v>
      </c>
      <c r="AAQ14">
        <v>8588</v>
      </c>
      <c r="AAR14">
        <v>8842</v>
      </c>
      <c r="AAS14">
        <v>8957</v>
      </c>
      <c r="AAT14">
        <v>9266</v>
      </c>
      <c r="AAU14">
        <v>9011</v>
      </c>
      <c r="AAV14">
        <v>8896</v>
      </c>
      <c r="AAW14">
        <v>8921</v>
      </c>
      <c r="AAX14">
        <v>8732</v>
      </c>
      <c r="AAY14">
        <v>8576</v>
      </c>
      <c r="AAZ14">
        <v>8317</v>
      </c>
      <c r="ABB14">
        <v>8370</v>
      </c>
      <c r="ABC14">
        <v>8167</v>
      </c>
      <c r="ABD14">
        <v>8491</v>
      </c>
      <c r="ABE14">
        <v>8170</v>
      </c>
      <c r="ABF14">
        <v>8212</v>
      </c>
      <c r="ABG14">
        <v>8286</v>
      </c>
      <c r="ABH14">
        <v>8136</v>
      </c>
      <c r="ABI14">
        <v>7990</v>
      </c>
      <c r="ABJ14">
        <v>7927</v>
      </c>
      <c r="ABK14">
        <v>8061</v>
      </c>
      <c r="ABL14">
        <v>7932</v>
      </c>
      <c r="ABM14">
        <v>7934</v>
      </c>
      <c r="ABO14">
        <v>7784</v>
      </c>
      <c r="ABP14">
        <v>7980</v>
      </c>
      <c r="ABQ14">
        <v>7737</v>
      </c>
      <c r="ABR14">
        <v>7672</v>
      </c>
      <c r="ABS14">
        <v>7651</v>
      </c>
      <c r="ABT14">
        <v>7524</v>
      </c>
      <c r="ABU14">
        <v>7406</v>
      </c>
      <c r="ABV14">
        <v>7345</v>
      </c>
      <c r="ABW14">
        <v>7553</v>
      </c>
      <c r="ABX14">
        <v>7453</v>
      </c>
      <c r="ABY14">
        <v>7566</v>
      </c>
      <c r="ABZ14">
        <v>7279</v>
      </c>
      <c r="ACB14">
        <v>7064</v>
      </c>
      <c r="ACC14">
        <v>7184</v>
      </c>
      <c r="ACD14">
        <v>7072</v>
      </c>
      <c r="ACE14">
        <v>7120</v>
      </c>
      <c r="ACF14">
        <v>6980</v>
      </c>
      <c r="ACG14">
        <v>7001</v>
      </c>
      <c r="ACH14">
        <v>7175</v>
      </c>
      <c r="ACI14">
        <v>7091</v>
      </c>
      <c r="ACJ14">
        <v>6847</v>
      </c>
      <c r="ACK14">
        <v>6727</v>
      </c>
      <c r="ACL14">
        <v>6872</v>
      </c>
      <c r="ACM14">
        <v>6762</v>
      </c>
      <c r="ACO14">
        <v>7116</v>
      </c>
      <c r="ACP14">
        <v>6927</v>
      </c>
      <c r="ACQ14">
        <v>6731</v>
      </c>
      <c r="ACR14">
        <v>6850</v>
      </c>
      <c r="ACS14">
        <v>6766</v>
      </c>
      <c r="ACT14">
        <v>6979</v>
      </c>
      <c r="ACU14">
        <v>7149</v>
      </c>
      <c r="ACV14">
        <v>7067</v>
      </c>
      <c r="ACW14">
        <v>7170</v>
      </c>
      <c r="ACX14">
        <v>7237</v>
      </c>
      <c r="ACY14">
        <v>7240</v>
      </c>
      <c r="ACZ14">
        <v>7645</v>
      </c>
      <c r="ADB14">
        <v>7685</v>
      </c>
      <c r="ADC14">
        <v>7497</v>
      </c>
      <c r="ADD14">
        <v>7822</v>
      </c>
      <c r="ADE14">
        <v>7637</v>
      </c>
      <c r="ADF14">
        <v>8395</v>
      </c>
      <c r="ADG14">
        <v>8575</v>
      </c>
      <c r="ADH14">
        <v>8937</v>
      </c>
      <c r="ADI14">
        <v>9438</v>
      </c>
      <c r="ADJ14">
        <v>9494</v>
      </c>
      <c r="ADK14">
        <v>10074</v>
      </c>
      <c r="ADL14">
        <v>10538</v>
      </c>
      <c r="ADM14">
        <v>11286</v>
      </c>
      <c r="ADO14">
        <v>12079</v>
      </c>
      <c r="ADP14">
        <v>12881</v>
      </c>
      <c r="ADQ14">
        <v>13421</v>
      </c>
      <c r="ADR14">
        <v>13826</v>
      </c>
      <c r="ADS14">
        <v>14492</v>
      </c>
      <c r="ADT14">
        <v>14705</v>
      </c>
      <c r="ADU14">
        <v>14607</v>
      </c>
      <c r="ADV14">
        <v>14819</v>
      </c>
      <c r="ADW14">
        <v>15005</v>
      </c>
      <c r="ADX14">
        <v>15382</v>
      </c>
      <c r="ADY14">
        <v>15223</v>
      </c>
      <c r="ADZ14">
        <v>15095</v>
      </c>
      <c r="AEB14">
        <v>15016</v>
      </c>
      <c r="AEC14">
        <v>15078</v>
      </c>
      <c r="AED14">
        <v>15192</v>
      </c>
      <c r="AEE14">
        <v>15281</v>
      </c>
      <c r="AEF14">
        <v>14856</v>
      </c>
      <c r="AEG14">
        <v>14475</v>
      </c>
      <c r="AEH14">
        <v>14542</v>
      </c>
      <c r="AEI14">
        <v>14673</v>
      </c>
      <c r="AEJ14">
        <v>14577</v>
      </c>
      <c r="AEK14">
        <v>14584</v>
      </c>
      <c r="AEL14">
        <v>15094</v>
      </c>
      <c r="AEM14">
        <v>14354</v>
      </c>
      <c r="AEO14">
        <v>13992</v>
      </c>
      <c r="AEP14">
        <v>13798</v>
      </c>
      <c r="AEQ14">
        <v>13716</v>
      </c>
      <c r="AER14">
        <v>13872</v>
      </c>
      <c r="AES14">
        <v>13871</v>
      </c>
      <c r="AET14">
        <v>13964</v>
      </c>
      <c r="AEU14">
        <v>13817</v>
      </c>
      <c r="AEV14">
        <v>13837</v>
      </c>
      <c r="AEW14">
        <v>13910</v>
      </c>
      <c r="AEX14">
        <v>13696</v>
      </c>
      <c r="AEY14">
        <v>13325</v>
      </c>
      <c r="AEZ14">
        <v>13049</v>
      </c>
      <c r="AFB14">
        <v>12748</v>
      </c>
      <c r="AFC14">
        <v>12806</v>
      </c>
      <c r="AFD14">
        <v>12686</v>
      </c>
      <c r="AFE14">
        <v>12518</v>
      </c>
      <c r="AFF14">
        <v>12695</v>
      </c>
      <c r="AFG14">
        <v>12701</v>
      </c>
      <c r="AFH14">
        <v>12745</v>
      </c>
      <c r="AFI14">
        <v>12483</v>
      </c>
      <c r="AFJ14">
        <v>12082</v>
      </c>
      <c r="AFK14">
        <v>12248</v>
      </c>
      <c r="AFL14">
        <v>12042</v>
      </c>
      <c r="AFM14">
        <v>12206</v>
      </c>
      <c r="AFO14">
        <v>12332</v>
      </c>
      <c r="AFP14">
        <v>12032</v>
      </c>
      <c r="AFQ14">
        <v>11742</v>
      </c>
      <c r="AFR14">
        <v>11659</v>
      </c>
      <c r="AFS14">
        <v>11760</v>
      </c>
      <c r="AFT14">
        <v>11777</v>
      </c>
      <c r="AFU14">
        <v>11514</v>
      </c>
      <c r="AFV14">
        <v>11316</v>
      </c>
      <c r="AFW14">
        <v>11255</v>
      </c>
    </row>
    <row r="15" spans="1:859" x14ac:dyDescent="0.25">
      <c r="A15" t="s">
        <v>95</v>
      </c>
      <c r="UC15">
        <v>1823</v>
      </c>
      <c r="UD15">
        <v>1764</v>
      </c>
      <c r="UE15">
        <v>1873</v>
      </c>
      <c r="UF15">
        <v>1676</v>
      </c>
      <c r="UG15">
        <v>1771</v>
      </c>
      <c r="UH15">
        <v>1941</v>
      </c>
      <c r="UI15">
        <v>1877</v>
      </c>
      <c r="UJ15">
        <v>1752</v>
      </c>
      <c r="UK15">
        <v>1902</v>
      </c>
      <c r="UL15">
        <v>2034</v>
      </c>
      <c r="UM15">
        <v>1874</v>
      </c>
      <c r="UO15">
        <v>1978</v>
      </c>
      <c r="UP15">
        <v>2084</v>
      </c>
      <c r="UQ15">
        <v>2130</v>
      </c>
      <c r="UR15">
        <v>1956</v>
      </c>
      <c r="US15">
        <v>2077</v>
      </c>
      <c r="UT15">
        <v>1909</v>
      </c>
      <c r="UU15">
        <v>1947</v>
      </c>
      <c r="UV15">
        <v>2043</v>
      </c>
      <c r="UW15">
        <v>1959</v>
      </c>
      <c r="UX15">
        <v>2019</v>
      </c>
      <c r="UY15">
        <v>1935</v>
      </c>
      <c r="UZ15">
        <v>1975</v>
      </c>
      <c r="VB15">
        <v>2150</v>
      </c>
      <c r="VC15">
        <v>2035</v>
      </c>
      <c r="VD15">
        <v>1773</v>
      </c>
      <c r="VE15">
        <v>1915</v>
      </c>
      <c r="VF15">
        <v>2028</v>
      </c>
      <c r="VG15">
        <v>2057</v>
      </c>
      <c r="VH15">
        <v>1940</v>
      </c>
      <c r="VI15">
        <v>1950</v>
      </c>
      <c r="VJ15">
        <v>2087</v>
      </c>
      <c r="VK15">
        <v>1923</v>
      </c>
      <c r="VL15">
        <v>1994</v>
      </c>
      <c r="VM15">
        <v>2019</v>
      </c>
      <c r="VO15">
        <v>1818</v>
      </c>
      <c r="VP15">
        <v>1903</v>
      </c>
      <c r="VQ15">
        <v>1930</v>
      </c>
      <c r="VR15">
        <v>1894</v>
      </c>
      <c r="VS15">
        <v>1895</v>
      </c>
      <c r="VT15">
        <v>1872</v>
      </c>
      <c r="VU15">
        <v>1925</v>
      </c>
      <c r="VV15">
        <v>1807</v>
      </c>
      <c r="VW15">
        <v>1852</v>
      </c>
      <c r="VX15">
        <v>1852</v>
      </c>
      <c r="VY15">
        <v>1807</v>
      </c>
      <c r="VZ15">
        <v>1932</v>
      </c>
      <c r="WB15">
        <v>1884</v>
      </c>
      <c r="WC15">
        <v>1898</v>
      </c>
      <c r="WD15">
        <v>1852</v>
      </c>
      <c r="WE15">
        <v>1898</v>
      </c>
      <c r="WF15">
        <v>1776</v>
      </c>
      <c r="WG15">
        <v>1875</v>
      </c>
      <c r="WH15">
        <v>1910</v>
      </c>
      <c r="WI15">
        <v>1848</v>
      </c>
      <c r="WJ15">
        <v>1783</v>
      </c>
      <c r="WK15">
        <v>1606</v>
      </c>
      <c r="WL15">
        <v>1791</v>
      </c>
      <c r="WM15">
        <v>1867</v>
      </c>
      <c r="WO15">
        <v>1969</v>
      </c>
      <c r="WP15">
        <v>1700</v>
      </c>
      <c r="WQ15">
        <v>1829</v>
      </c>
      <c r="WR15">
        <v>1873</v>
      </c>
      <c r="WS15">
        <v>1784</v>
      </c>
      <c r="WT15">
        <v>1871</v>
      </c>
      <c r="WU15">
        <v>1820</v>
      </c>
      <c r="WV15">
        <v>1910</v>
      </c>
      <c r="WW15">
        <v>1895</v>
      </c>
      <c r="WX15">
        <v>1857</v>
      </c>
      <c r="WY15">
        <v>1798</v>
      </c>
      <c r="WZ15">
        <v>1657</v>
      </c>
      <c r="XB15">
        <v>1867</v>
      </c>
      <c r="XC15">
        <v>1677</v>
      </c>
      <c r="XD15">
        <v>1752</v>
      </c>
      <c r="XE15">
        <v>1750</v>
      </c>
      <c r="XF15">
        <v>1787</v>
      </c>
      <c r="XG15">
        <v>1754</v>
      </c>
      <c r="XH15">
        <v>1765</v>
      </c>
      <c r="XI15">
        <v>1634</v>
      </c>
      <c r="XJ15">
        <v>1792</v>
      </c>
      <c r="XK15">
        <v>1666</v>
      </c>
      <c r="XL15">
        <v>1849</v>
      </c>
      <c r="XM15">
        <v>1604</v>
      </c>
      <c r="XO15">
        <v>1863</v>
      </c>
      <c r="XP15">
        <v>1789</v>
      </c>
      <c r="XQ15">
        <v>1650</v>
      </c>
      <c r="XR15">
        <v>1724</v>
      </c>
      <c r="XS15">
        <v>1639</v>
      </c>
      <c r="XT15">
        <v>1865</v>
      </c>
      <c r="XU15">
        <v>1685</v>
      </c>
      <c r="XV15">
        <v>1578</v>
      </c>
      <c r="XW15">
        <v>1667</v>
      </c>
      <c r="XX15">
        <v>1691</v>
      </c>
      <c r="XY15">
        <v>1596</v>
      </c>
      <c r="XZ15">
        <v>1880</v>
      </c>
      <c r="YB15">
        <v>1685</v>
      </c>
      <c r="YC15">
        <v>1750</v>
      </c>
      <c r="YD15">
        <v>1781</v>
      </c>
      <c r="YE15">
        <v>1586</v>
      </c>
      <c r="YF15">
        <v>1656</v>
      </c>
      <c r="YG15">
        <v>1661</v>
      </c>
      <c r="YH15">
        <v>1739</v>
      </c>
      <c r="YI15">
        <v>1684</v>
      </c>
      <c r="YJ15">
        <v>1758</v>
      </c>
      <c r="YK15">
        <v>1684</v>
      </c>
      <c r="YL15">
        <v>1643</v>
      </c>
      <c r="YM15">
        <v>1751</v>
      </c>
      <c r="YO15">
        <v>1576</v>
      </c>
      <c r="YP15">
        <v>1736</v>
      </c>
      <c r="YQ15">
        <v>1591</v>
      </c>
      <c r="YR15">
        <v>1682</v>
      </c>
      <c r="YS15">
        <v>1685</v>
      </c>
      <c r="YT15">
        <v>1662</v>
      </c>
      <c r="YU15">
        <v>1611</v>
      </c>
      <c r="YV15">
        <v>1603</v>
      </c>
      <c r="YW15">
        <v>1527</v>
      </c>
      <c r="YX15">
        <v>1613</v>
      </c>
      <c r="YY15">
        <v>1613</v>
      </c>
      <c r="YZ15">
        <v>1620</v>
      </c>
      <c r="ZB15">
        <v>1614</v>
      </c>
      <c r="ZC15">
        <v>1678</v>
      </c>
      <c r="ZD15">
        <v>1646</v>
      </c>
      <c r="ZE15">
        <v>1532</v>
      </c>
      <c r="ZF15">
        <v>1688</v>
      </c>
      <c r="ZG15">
        <v>1597</v>
      </c>
      <c r="ZH15">
        <v>1751</v>
      </c>
      <c r="ZI15">
        <v>1718</v>
      </c>
      <c r="ZJ15">
        <v>1643</v>
      </c>
      <c r="ZK15">
        <v>1549</v>
      </c>
      <c r="ZL15">
        <v>1444</v>
      </c>
      <c r="ZM15">
        <v>1472</v>
      </c>
      <c r="ZO15">
        <v>1758</v>
      </c>
      <c r="ZP15">
        <v>1729</v>
      </c>
      <c r="ZQ15">
        <v>1782</v>
      </c>
      <c r="ZR15">
        <v>1827</v>
      </c>
      <c r="ZS15">
        <v>1810</v>
      </c>
      <c r="ZT15">
        <v>1877</v>
      </c>
      <c r="ZU15">
        <v>1833</v>
      </c>
      <c r="ZV15">
        <v>1946</v>
      </c>
      <c r="ZW15">
        <v>1823</v>
      </c>
      <c r="ZX15">
        <v>2025</v>
      </c>
      <c r="ZY15">
        <v>2109</v>
      </c>
      <c r="ZZ15">
        <v>1986</v>
      </c>
      <c r="AAB15">
        <v>2130</v>
      </c>
      <c r="AAC15">
        <v>1950</v>
      </c>
      <c r="AAD15">
        <v>1884</v>
      </c>
      <c r="AAE15">
        <v>2008</v>
      </c>
      <c r="AAF15">
        <v>1797</v>
      </c>
      <c r="AAG15">
        <v>1989</v>
      </c>
      <c r="AAH15">
        <v>1935</v>
      </c>
      <c r="AAI15">
        <v>1934</v>
      </c>
      <c r="AAJ15">
        <v>1878</v>
      </c>
      <c r="AAK15">
        <v>2004</v>
      </c>
      <c r="AAL15">
        <v>2050</v>
      </c>
      <c r="AAM15">
        <v>1911</v>
      </c>
      <c r="AAO15">
        <v>2008</v>
      </c>
      <c r="AAP15">
        <v>1886</v>
      </c>
      <c r="AAQ15">
        <v>1959</v>
      </c>
      <c r="AAR15">
        <v>1978</v>
      </c>
      <c r="AAS15">
        <v>2000</v>
      </c>
      <c r="AAT15">
        <v>1949</v>
      </c>
      <c r="AAU15">
        <v>1882</v>
      </c>
      <c r="AAV15">
        <v>2041</v>
      </c>
      <c r="AAW15">
        <v>1931</v>
      </c>
      <c r="AAX15">
        <v>1733</v>
      </c>
      <c r="AAY15">
        <v>1832</v>
      </c>
      <c r="AAZ15">
        <v>1922</v>
      </c>
      <c r="ABB15">
        <v>1729</v>
      </c>
      <c r="ABC15">
        <v>1806</v>
      </c>
      <c r="ABD15">
        <v>1857</v>
      </c>
      <c r="ABE15">
        <v>1787</v>
      </c>
      <c r="ABF15">
        <v>1851</v>
      </c>
      <c r="ABG15">
        <v>1777</v>
      </c>
      <c r="ABH15">
        <v>1823</v>
      </c>
      <c r="ABI15">
        <v>1858</v>
      </c>
      <c r="ABJ15">
        <v>1907</v>
      </c>
      <c r="ABK15">
        <v>1890</v>
      </c>
      <c r="ABL15">
        <v>1801</v>
      </c>
      <c r="ABM15">
        <v>1848</v>
      </c>
      <c r="ABO15">
        <v>1814</v>
      </c>
      <c r="ABP15">
        <v>1853</v>
      </c>
      <c r="ABQ15">
        <v>1730</v>
      </c>
      <c r="ABR15">
        <v>1692</v>
      </c>
      <c r="ABS15">
        <v>1738</v>
      </c>
      <c r="ABT15">
        <v>1822</v>
      </c>
      <c r="ABU15">
        <v>1783</v>
      </c>
      <c r="ABV15">
        <v>1769</v>
      </c>
      <c r="ABW15">
        <v>1853</v>
      </c>
      <c r="ABX15">
        <v>1736</v>
      </c>
      <c r="ABY15">
        <v>1685</v>
      </c>
      <c r="ABZ15">
        <v>1732</v>
      </c>
      <c r="ACB15">
        <v>1595</v>
      </c>
      <c r="ACC15">
        <v>1692</v>
      </c>
      <c r="ACD15">
        <v>1728</v>
      </c>
      <c r="ACE15">
        <v>1882</v>
      </c>
      <c r="ACF15">
        <v>1754</v>
      </c>
      <c r="ACG15">
        <v>1752</v>
      </c>
      <c r="ACH15">
        <v>1900</v>
      </c>
      <c r="ACI15">
        <v>1725</v>
      </c>
      <c r="ACJ15">
        <v>1761</v>
      </c>
      <c r="ACK15">
        <v>1749</v>
      </c>
      <c r="ACL15">
        <v>1814</v>
      </c>
      <c r="ACM15">
        <v>1820</v>
      </c>
      <c r="ACO15">
        <v>1917</v>
      </c>
      <c r="ACP15">
        <v>1833</v>
      </c>
      <c r="ACQ15">
        <v>1701</v>
      </c>
      <c r="ACR15">
        <v>1763</v>
      </c>
      <c r="ACS15">
        <v>1712</v>
      </c>
      <c r="ACT15">
        <v>1774</v>
      </c>
      <c r="ACU15">
        <v>1843</v>
      </c>
      <c r="ACV15">
        <v>1714</v>
      </c>
      <c r="ACW15">
        <v>1795</v>
      </c>
      <c r="ACX15">
        <v>1818</v>
      </c>
      <c r="ACY15">
        <v>1725</v>
      </c>
      <c r="ACZ15">
        <v>1866</v>
      </c>
      <c r="ADB15">
        <v>1780</v>
      </c>
      <c r="ADC15">
        <v>1817</v>
      </c>
      <c r="ADD15">
        <v>2005</v>
      </c>
      <c r="ADE15">
        <v>1915</v>
      </c>
      <c r="ADF15">
        <v>2054</v>
      </c>
      <c r="ADG15">
        <v>1996</v>
      </c>
      <c r="ADH15">
        <v>1967</v>
      </c>
      <c r="ADI15">
        <v>2288</v>
      </c>
      <c r="ADJ15">
        <v>2140</v>
      </c>
      <c r="ADK15">
        <v>2259</v>
      </c>
      <c r="ADL15">
        <v>2506</v>
      </c>
      <c r="ADM15">
        <v>2519</v>
      </c>
      <c r="ADO15">
        <v>2764</v>
      </c>
      <c r="ADP15">
        <v>2827</v>
      </c>
      <c r="ADQ15">
        <v>2651</v>
      </c>
      <c r="ADR15">
        <v>2483</v>
      </c>
      <c r="ADS15">
        <v>2650</v>
      </c>
      <c r="ADT15">
        <v>2558</v>
      </c>
      <c r="ADU15">
        <v>2471</v>
      </c>
      <c r="ADV15">
        <v>2566</v>
      </c>
      <c r="ADW15">
        <v>2625</v>
      </c>
      <c r="ADX15">
        <v>2521</v>
      </c>
      <c r="ADY15">
        <v>2283</v>
      </c>
      <c r="ADZ15">
        <v>2379</v>
      </c>
      <c r="AEB15">
        <v>2240</v>
      </c>
      <c r="AEC15">
        <v>2329</v>
      </c>
      <c r="AED15">
        <v>2316</v>
      </c>
      <c r="AEE15">
        <v>2277</v>
      </c>
      <c r="AEF15">
        <v>2347</v>
      </c>
      <c r="AEG15">
        <v>2183</v>
      </c>
      <c r="AEH15">
        <v>2319</v>
      </c>
      <c r="AEI15">
        <v>2411</v>
      </c>
      <c r="AEJ15">
        <v>2229</v>
      </c>
      <c r="AEK15">
        <v>2245</v>
      </c>
      <c r="AEL15">
        <v>2575</v>
      </c>
      <c r="AEM15">
        <v>2207</v>
      </c>
      <c r="AEO15">
        <v>2163</v>
      </c>
      <c r="AEP15">
        <v>2024</v>
      </c>
      <c r="AEQ15">
        <v>2124</v>
      </c>
      <c r="AER15">
        <v>2276</v>
      </c>
      <c r="AES15">
        <v>2207</v>
      </c>
      <c r="AET15">
        <v>2156</v>
      </c>
      <c r="AEU15">
        <v>2135</v>
      </c>
      <c r="AEV15">
        <v>2043</v>
      </c>
      <c r="AEW15">
        <v>2384</v>
      </c>
      <c r="AEX15">
        <v>2170</v>
      </c>
      <c r="AEY15">
        <v>2104</v>
      </c>
      <c r="AEZ15">
        <v>2053</v>
      </c>
      <c r="AFB15">
        <v>1983</v>
      </c>
      <c r="AFC15">
        <v>1943</v>
      </c>
      <c r="AFD15">
        <v>2091</v>
      </c>
      <c r="AFE15">
        <v>2004</v>
      </c>
      <c r="AFF15">
        <v>1950</v>
      </c>
      <c r="AFG15">
        <v>2068</v>
      </c>
      <c r="AFH15">
        <v>2160</v>
      </c>
      <c r="AFI15">
        <v>2130</v>
      </c>
      <c r="AFJ15">
        <v>1897</v>
      </c>
      <c r="AFK15">
        <v>2017</v>
      </c>
      <c r="AFL15">
        <v>1908</v>
      </c>
      <c r="AFM15">
        <v>2123</v>
      </c>
      <c r="AFO15">
        <v>2104</v>
      </c>
      <c r="AFP15">
        <v>1884</v>
      </c>
      <c r="AFQ15">
        <v>1902</v>
      </c>
      <c r="AFR15">
        <v>2008</v>
      </c>
      <c r="AFS15">
        <v>1961</v>
      </c>
      <c r="AFT15">
        <v>2114</v>
      </c>
      <c r="AFU15">
        <v>1957</v>
      </c>
      <c r="AFV15">
        <v>2007</v>
      </c>
      <c r="AFW15">
        <v>1887</v>
      </c>
    </row>
    <row r="16" spans="1:859" x14ac:dyDescent="0.25">
      <c r="A16" t="s">
        <v>96</v>
      </c>
      <c r="UC16">
        <v>3238</v>
      </c>
      <c r="UD16">
        <v>3219</v>
      </c>
      <c r="UE16">
        <v>3402</v>
      </c>
      <c r="UF16">
        <v>3551</v>
      </c>
      <c r="UG16">
        <v>3402</v>
      </c>
      <c r="UH16">
        <v>3379</v>
      </c>
      <c r="UI16">
        <v>3625</v>
      </c>
      <c r="UJ16">
        <v>4045</v>
      </c>
      <c r="UK16">
        <v>3924</v>
      </c>
      <c r="UL16">
        <v>4027</v>
      </c>
      <c r="UM16">
        <v>4310</v>
      </c>
      <c r="UO16">
        <v>4302</v>
      </c>
      <c r="UP16">
        <v>4446</v>
      </c>
      <c r="UQ16">
        <v>4662</v>
      </c>
      <c r="UR16">
        <v>4751</v>
      </c>
      <c r="US16">
        <v>4846</v>
      </c>
      <c r="UT16">
        <v>4924</v>
      </c>
      <c r="UU16">
        <v>4969</v>
      </c>
      <c r="UV16">
        <v>4825</v>
      </c>
      <c r="UW16">
        <v>4829</v>
      </c>
      <c r="UX16">
        <v>4936</v>
      </c>
      <c r="UY16">
        <v>5123</v>
      </c>
      <c r="UZ16">
        <v>5321</v>
      </c>
      <c r="VB16">
        <v>5155</v>
      </c>
      <c r="VC16">
        <v>5696</v>
      </c>
      <c r="VD16">
        <v>5713</v>
      </c>
      <c r="VE16">
        <v>5538</v>
      </c>
      <c r="VF16">
        <v>5620</v>
      </c>
      <c r="VG16">
        <v>5899</v>
      </c>
      <c r="VH16">
        <v>5894</v>
      </c>
      <c r="VI16">
        <v>5939</v>
      </c>
      <c r="VJ16">
        <v>5741</v>
      </c>
      <c r="VK16">
        <v>5607</v>
      </c>
      <c r="VL16">
        <v>5536</v>
      </c>
      <c r="VM16">
        <v>5504</v>
      </c>
      <c r="VO16">
        <v>5628</v>
      </c>
      <c r="VP16">
        <v>5376</v>
      </c>
      <c r="VQ16">
        <v>5269</v>
      </c>
      <c r="VR16">
        <v>5265</v>
      </c>
      <c r="VS16">
        <v>5360</v>
      </c>
      <c r="VT16">
        <v>5451</v>
      </c>
      <c r="VU16">
        <v>5152</v>
      </c>
      <c r="VV16">
        <v>5131</v>
      </c>
      <c r="VW16">
        <v>5021</v>
      </c>
      <c r="VX16">
        <v>4969</v>
      </c>
      <c r="VY16">
        <v>4895</v>
      </c>
      <c r="VZ16">
        <v>4644</v>
      </c>
      <c r="WB16">
        <v>4641</v>
      </c>
      <c r="WC16">
        <v>4638</v>
      </c>
      <c r="WD16">
        <v>4477</v>
      </c>
      <c r="WE16">
        <v>4361</v>
      </c>
      <c r="WF16">
        <v>4181</v>
      </c>
      <c r="WG16">
        <v>3913</v>
      </c>
      <c r="WH16">
        <v>3952</v>
      </c>
      <c r="WI16">
        <v>3955</v>
      </c>
      <c r="WJ16">
        <v>3994</v>
      </c>
      <c r="WK16">
        <v>3997</v>
      </c>
      <c r="WL16">
        <v>3700</v>
      </c>
      <c r="WM16">
        <v>3431</v>
      </c>
      <c r="WO16">
        <v>3483</v>
      </c>
      <c r="WP16">
        <v>3603</v>
      </c>
      <c r="WQ16">
        <v>3566</v>
      </c>
      <c r="WR16">
        <v>3609</v>
      </c>
      <c r="WS16">
        <v>3775</v>
      </c>
      <c r="WT16">
        <v>3658</v>
      </c>
      <c r="WU16">
        <v>3705</v>
      </c>
      <c r="WV16">
        <v>3650</v>
      </c>
      <c r="WW16">
        <v>3636</v>
      </c>
      <c r="WX16">
        <v>3508</v>
      </c>
      <c r="WY16">
        <v>3663</v>
      </c>
      <c r="WZ16">
        <v>3808</v>
      </c>
      <c r="XB16">
        <v>3704</v>
      </c>
      <c r="XC16">
        <v>3687</v>
      </c>
      <c r="XD16">
        <v>3601</v>
      </c>
      <c r="XE16">
        <v>3713</v>
      </c>
      <c r="XF16">
        <v>3666</v>
      </c>
      <c r="XG16">
        <v>3544</v>
      </c>
      <c r="XH16">
        <v>3486</v>
      </c>
      <c r="XI16">
        <v>3541</v>
      </c>
      <c r="XJ16">
        <v>3264</v>
      </c>
      <c r="XK16">
        <v>3479</v>
      </c>
      <c r="XL16">
        <v>3466</v>
      </c>
      <c r="XM16">
        <v>3707</v>
      </c>
      <c r="XO16">
        <v>3418</v>
      </c>
      <c r="XP16">
        <v>3474</v>
      </c>
      <c r="XQ16">
        <v>3475</v>
      </c>
      <c r="XR16">
        <v>3379</v>
      </c>
      <c r="XS16">
        <v>3228</v>
      </c>
      <c r="XT16">
        <v>3126</v>
      </c>
      <c r="XU16">
        <v>3162</v>
      </c>
      <c r="XV16">
        <v>3165</v>
      </c>
      <c r="XW16">
        <v>3237</v>
      </c>
      <c r="XX16">
        <v>3115</v>
      </c>
      <c r="XY16">
        <v>3041</v>
      </c>
      <c r="XZ16">
        <v>2831</v>
      </c>
      <c r="YB16">
        <v>3026</v>
      </c>
      <c r="YC16">
        <v>2807</v>
      </c>
      <c r="YD16">
        <v>2842</v>
      </c>
      <c r="YE16">
        <v>2778</v>
      </c>
      <c r="YF16">
        <v>2748</v>
      </c>
      <c r="YG16">
        <v>2823</v>
      </c>
      <c r="YH16">
        <v>2854</v>
      </c>
      <c r="YI16">
        <v>2856</v>
      </c>
      <c r="YJ16">
        <v>2788</v>
      </c>
      <c r="YK16">
        <v>2870</v>
      </c>
      <c r="YL16">
        <v>2742</v>
      </c>
      <c r="YM16">
        <v>2641</v>
      </c>
      <c r="YO16">
        <v>2674</v>
      </c>
      <c r="YP16">
        <v>2660</v>
      </c>
      <c r="YQ16">
        <v>2599</v>
      </c>
      <c r="YR16">
        <v>2684</v>
      </c>
      <c r="YS16">
        <v>2607</v>
      </c>
      <c r="YT16">
        <v>2653</v>
      </c>
      <c r="YU16">
        <v>2741</v>
      </c>
      <c r="YV16">
        <v>2666</v>
      </c>
      <c r="YW16">
        <v>2673</v>
      </c>
      <c r="YX16">
        <v>2630</v>
      </c>
      <c r="YY16">
        <v>2380</v>
      </c>
      <c r="YZ16">
        <v>2370</v>
      </c>
      <c r="ZB16">
        <v>2391</v>
      </c>
      <c r="ZC16">
        <v>2527</v>
      </c>
      <c r="ZD16">
        <v>2513</v>
      </c>
      <c r="ZE16">
        <v>2393</v>
      </c>
      <c r="ZF16">
        <v>2440</v>
      </c>
      <c r="ZG16">
        <v>2415</v>
      </c>
      <c r="ZH16">
        <v>2473</v>
      </c>
      <c r="ZI16">
        <v>2492</v>
      </c>
      <c r="ZJ16">
        <v>2479</v>
      </c>
      <c r="ZK16">
        <v>2466</v>
      </c>
      <c r="ZL16">
        <v>2578</v>
      </c>
      <c r="ZM16">
        <v>2643</v>
      </c>
      <c r="ZO16">
        <v>2591</v>
      </c>
      <c r="ZP16">
        <v>2754</v>
      </c>
      <c r="ZQ16">
        <v>2717</v>
      </c>
      <c r="ZR16">
        <v>2745</v>
      </c>
      <c r="ZS16">
        <v>2773</v>
      </c>
      <c r="ZT16">
        <v>2877</v>
      </c>
      <c r="ZU16">
        <v>3071</v>
      </c>
      <c r="ZV16">
        <v>3214</v>
      </c>
      <c r="ZW16">
        <v>3446</v>
      </c>
      <c r="ZX16">
        <v>3646</v>
      </c>
      <c r="ZY16">
        <v>3948</v>
      </c>
      <c r="ZZ16">
        <v>4213</v>
      </c>
      <c r="AAB16">
        <v>4350</v>
      </c>
      <c r="AAC16">
        <v>4240</v>
      </c>
      <c r="AAD16">
        <v>4364</v>
      </c>
      <c r="AAE16">
        <v>4567</v>
      </c>
      <c r="AAF16">
        <v>4653</v>
      </c>
      <c r="AAG16">
        <v>4614</v>
      </c>
      <c r="AAH16">
        <v>4395</v>
      </c>
      <c r="AAI16">
        <v>4491</v>
      </c>
      <c r="AAJ16">
        <v>4411</v>
      </c>
      <c r="AAK16">
        <v>4429</v>
      </c>
      <c r="AAL16">
        <v>4527</v>
      </c>
      <c r="AAM16">
        <v>4764</v>
      </c>
      <c r="AAO16">
        <v>4475</v>
      </c>
      <c r="AAP16">
        <v>4756</v>
      </c>
      <c r="AAQ16">
        <v>4604</v>
      </c>
      <c r="AAR16">
        <v>4722</v>
      </c>
      <c r="AAS16">
        <v>4895</v>
      </c>
      <c r="AAT16">
        <v>5012</v>
      </c>
      <c r="AAU16">
        <v>5132</v>
      </c>
      <c r="AAV16">
        <v>4866</v>
      </c>
      <c r="AAW16">
        <v>4932</v>
      </c>
      <c r="AAX16">
        <v>4856</v>
      </c>
      <c r="AAY16">
        <v>4765</v>
      </c>
      <c r="AAZ16">
        <v>4435</v>
      </c>
      <c r="ABB16">
        <v>4579</v>
      </c>
      <c r="ABC16">
        <v>4436</v>
      </c>
      <c r="ABD16">
        <v>4370</v>
      </c>
      <c r="ABE16">
        <v>4464</v>
      </c>
      <c r="ABF16">
        <v>4314</v>
      </c>
      <c r="ABG16">
        <v>4381</v>
      </c>
      <c r="ABH16">
        <v>4287</v>
      </c>
      <c r="ABI16">
        <v>4164</v>
      </c>
      <c r="ABJ16">
        <v>3966</v>
      </c>
      <c r="ABK16">
        <v>4053</v>
      </c>
      <c r="ABL16">
        <v>4125</v>
      </c>
      <c r="ABM16">
        <v>4053</v>
      </c>
      <c r="ABO16">
        <v>4158</v>
      </c>
      <c r="ABP16">
        <v>4083</v>
      </c>
      <c r="ABQ16">
        <v>4065</v>
      </c>
      <c r="ABR16">
        <v>3959</v>
      </c>
      <c r="ABS16">
        <v>3915</v>
      </c>
      <c r="ABT16">
        <v>3852</v>
      </c>
      <c r="ABU16">
        <v>3762</v>
      </c>
      <c r="ABV16">
        <v>3565</v>
      </c>
      <c r="ABW16">
        <v>3712</v>
      </c>
      <c r="ABX16">
        <v>3780</v>
      </c>
      <c r="ABY16">
        <v>3686</v>
      </c>
      <c r="ABZ16">
        <v>3593</v>
      </c>
      <c r="ACB16">
        <v>3440</v>
      </c>
      <c r="ACC16">
        <v>3566</v>
      </c>
      <c r="ACD16">
        <v>3485</v>
      </c>
      <c r="ACE16">
        <v>3362</v>
      </c>
      <c r="ACF16">
        <v>3376</v>
      </c>
      <c r="ACG16">
        <v>3222</v>
      </c>
      <c r="ACH16">
        <v>3276</v>
      </c>
      <c r="ACI16">
        <v>3360</v>
      </c>
      <c r="ACJ16">
        <v>3325</v>
      </c>
      <c r="ACK16">
        <v>3226</v>
      </c>
      <c r="ACL16">
        <v>3305</v>
      </c>
      <c r="ACM16">
        <v>3194</v>
      </c>
      <c r="ACO16">
        <v>3272</v>
      </c>
      <c r="ACP16">
        <v>3248</v>
      </c>
      <c r="ACQ16">
        <v>3207</v>
      </c>
      <c r="ACR16">
        <v>3377</v>
      </c>
      <c r="ACS16">
        <v>3308</v>
      </c>
      <c r="ACT16">
        <v>3414</v>
      </c>
      <c r="ACU16">
        <v>3495</v>
      </c>
      <c r="ACV16">
        <v>3580</v>
      </c>
      <c r="ACW16">
        <v>3549</v>
      </c>
      <c r="ACX16">
        <v>3624</v>
      </c>
      <c r="ACY16">
        <v>3582</v>
      </c>
      <c r="ACZ16">
        <v>3792</v>
      </c>
      <c r="ADB16">
        <v>4016</v>
      </c>
      <c r="ADC16">
        <v>3845</v>
      </c>
      <c r="ADD16">
        <v>3787</v>
      </c>
      <c r="ADE16">
        <v>3794</v>
      </c>
      <c r="ADF16">
        <v>4070</v>
      </c>
      <c r="ADG16">
        <v>4558</v>
      </c>
      <c r="ADH16">
        <v>4781</v>
      </c>
      <c r="ADI16">
        <v>4930</v>
      </c>
      <c r="ADJ16">
        <v>5052</v>
      </c>
      <c r="ADK16">
        <v>5355</v>
      </c>
      <c r="ADL16">
        <v>5885</v>
      </c>
      <c r="ADM16">
        <v>6217</v>
      </c>
      <c r="ADO16">
        <v>6796</v>
      </c>
      <c r="ADP16">
        <v>7455</v>
      </c>
      <c r="ADQ16">
        <v>8178</v>
      </c>
      <c r="ADR16">
        <v>8501</v>
      </c>
      <c r="ADS16">
        <v>8984</v>
      </c>
      <c r="ADT16">
        <v>9315</v>
      </c>
      <c r="ADU16">
        <v>9346</v>
      </c>
      <c r="ADV16">
        <v>9329</v>
      </c>
      <c r="ADW16">
        <v>9578</v>
      </c>
      <c r="ADX16">
        <v>9911</v>
      </c>
      <c r="ADY16">
        <v>10010</v>
      </c>
      <c r="ADZ16">
        <v>9923</v>
      </c>
      <c r="AEB16">
        <v>9699</v>
      </c>
      <c r="AEC16">
        <v>9742</v>
      </c>
      <c r="AED16">
        <v>9639</v>
      </c>
      <c r="AEE16">
        <v>9696</v>
      </c>
      <c r="AEF16">
        <v>9593</v>
      </c>
      <c r="AEG16">
        <v>9421</v>
      </c>
      <c r="AEH16">
        <v>9113</v>
      </c>
      <c r="AEI16">
        <v>9190</v>
      </c>
      <c r="AEJ16">
        <v>9360</v>
      </c>
      <c r="AEK16">
        <v>9269</v>
      </c>
      <c r="AEL16">
        <v>9324</v>
      </c>
      <c r="AEM16">
        <v>9311</v>
      </c>
      <c r="AEO16">
        <v>8892</v>
      </c>
      <c r="AEP16">
        <v>8775</v>
      </c>
      <c r="AEQ16">
        <v>8676</v>
      </c>
      <c r="AER16">
        <v>8617</v>
      </c>
      <c r="AES16">
        <v>8696</v>
      </c>
      <c r="AET16">
        <v>8658</v>
      </c>
      <c r="AEU16">
        <v>8630</v>
      </c>
      <c r="AEV16">
        <v>8671</v>
      </c>
      <c r="AEW16">
        <v>8462</v>
      </c>
      <c r="AEX16">
        <v>8778</v>
      </c>
      <c r="AEY16">
        <v>8442</v>
      </c>
      <c r="AEZ16">
        <v>8087</v>
      </c>
      <c r="AFB16">
        <v>7793</v>
      </c>
      <c r="AFC16">
        <v>7753</v>
      </c>
      <c r="AFD16">
        <v>7737</v>
      </c>
      <c r="AFE16">
        <v>7744</v>
      </c>
      <c r="AFF16">
        <v>7644</v>
      </c>
      <c r="AFG16">
        <v>7742</v>
      </c>
      <c r="AFH16">
        <v>7721</v>
      </c>
      <c r="AFI16">
        <v>7519</v>
      </c>
      <c r="AFJ16">
        <v>7306</v>
      </c>
      <c r="AFK16">
        <v>7125</v>
      </c>
      <c r="AFL16">
        <v>7199</v>
      </c>
      <c r="AFM16">
        <v>7131</v>
      </c>
      <c r="AFO16">
        <v>7393</v>
      </c>
      <c r="AFP16">
        <v>7257</v>
      </c>
      <c r="AFQ16">
        <v>7133</v>
      </c>
      <c r="AFR16">
        <v>7012</v>
      </c>
      <c r="AFS16">
        <v>6990</v>
      </c>
      <c r="AFT16">
        <v>6947</v>
      </c>
      <c r="AFU16">
        <v>6814</v>
      </c>
      <c r="AFV16">
        <v>6611</v>
      </c>
      <c r="AFW16">
        <v>6753</v>
      </c>
    </row>
    <row r="17" spans="1:855" x14ac:dyDescent="0.25">
      <c r="A17" t="s">
        <v>97</v>
      </c>
      <c r="UC17">
        <v>1573</v>
      </c>
      <c r="UD17">
        <v>1604</v>
      </c>
      <c r="UE17">
        <v>1510</v>
      </c>
      <c r="UF17">
        <v>1496</v>
      </c>
      <c r="UG17">
        <v>1381</v>
      </c>
      <c r="UH17">
        <v>1566</v>
      </c>
      <c r="UI17">
        <v>1658</v>
      </c>
      <c r="UJ17">
        <v>1559</v>
      </c>
      <c r="UK17">
        <v>1613</v>
      </c>
      <c r="UL17">
        <v>1668</v>
      </c>
      <c r="UM17">
        <v>1692</v>
      </c>
      <c r="UO17">
        <v>1698</v>
      </c>
      <c r="UP17">
        <v>1718</v>
      </c>
      <c r="UQ17">
        <v>1774</v>
      </c>
      <c r="UR17">
        <v>1705</v>
      </c>
      <c r="US17">
        <v>1789</v>
      </c>
      <c r="UT17">
        <v>1834</v>
      </c>
      <c r="UU17">
        <v>1648</v>
      </c>
      <c r="UV17">
        <v>1773</v>
      </c>
      <c r="UW17">
        <v>1906</v>
      </c>
      <c r="UX17">
        <v>1855</v>
      </c>
      <c r="UY17">
        <v>1849</v>
      </c>
      <c r="UZ17">
        <v>1884</v>
      </c>
      <c r="VB17">
        <v>1951</v>
      </c>
      <c r="VC17">
        <v>1698</v>
      </c>
      <c r="VD17">
        <v>1959</v>
      </c>
      <c r="VE17">
        <v>1921</v>
      </c>
      <c r="VF17">
        <v>2067</v>
      </c>
      <c r="VG17">
        <v>2050</v>
      </c>
      <c r="VH17">
        <v>1972</v>
      </c>
      <c r="VI17">
        <v>1867</v>
      </c>
      <c r="VJ17">
        <v>1931</v>
      </c>
      <c r="VK17">
        <v>1848</v>
      </c>
      <c r="VL17">
        <v>2010</v>
      </c>
      <c r="VM17">
        <v>2022</v>
      </c>
      <c r="VO17">
        <v>1849</v>
      </c>
      <c r="VP17">
        <v>1896</v>
      </c>
      <c r="VQ17">
        <v>1822</v>
      </c>
      <c r="VR17">
        <v>1920</v>
      </c>
      <c r="VS17">
        <v>1869</v>
      </c>
      <c r="VT17">
        <v>1768</v>
      </c>
      <c r="VU17">
        <v>1816</v>
      </c>
      <c r="VV17">
        <v>1801</v>
      </c>
      <c r="VW17">
        <v>1803</v>
      </c>
      <c r="VX17">
        <v>1905</v>
      </c>
      <c r="VY17">
        <v>1815</v>
      </c>
      <c r="VZ17">
        <v>1884</v>
      </c>
      <c r="WB17">
        <v>2076</v>
      </c>
      <c r="WC17">
        <v>2029</v>
      </c>
      <c r="WD17">
        <v>2117</v>
      </c>
      <c r="WE17">
        <v>2051</v>
      </c>
      <c r="WF17">
        <v>1937</v>
      </c>
      <c r="WG17">
        <v>2111</v>
      </c>
      <c r="WH17">
        <v>2056</v>
      </c>
      <c r="WI17">
        <v>2099</v>
      </c>
      <c r="WJ17">
        <v>1930</v>
      </c>
      <c r="WK17">
        <v>2007</v>
      </c>
      <c r="WL17">
        <v>1858</v>
      </c>
      <c r="WM17">
        <v>1907</v>
      </c>
      <c r="WO17">
        <v>1892</v>
      </c>
      <c r="WP17">
        <v>1851</v>
      </c>
      <c r="WQ17">
        <v>1731</v>
      </c>
      <c r="WR17">
        <v>2144</v>
      </c>
      <c r="WS17">
        <v>1849</v>
      </c>
      <c r="WT17">
        <v>1864</v>
      </c>
      <c r="WU17">
        <v>1976</v>
      </c>
      <c r="WV17">
        <v>1898</v>
      </c>
      <c r="WW17">
        <v>1923</v>
      </c>
      <c r="WX17">
        <v>1907</v>
      </c>
      <c r="WY17">
        <v>1940</v>
      </c>
      <c r="WZ17">
        <v>1947</v>
      </c>
      <c r="XB17">
        <v>1890</v>
      </c>
      <c r="XC17">
        <v>1939</v>
      </c>
      <c r="XD17">
        <v>1944</v>
      </c>
      <c r="XE17">
        <v>1935</v>
      </c>
      <c r="XF17">
        <v>1950</v>
      </c>
      <c r="XG17">
        <v>1766</v>
      </c>
      <c r="XH17">
        <v>2061</v>
      </c>
      <c r="XI17">
        <v>1689</v>
      </c>
      <c r="XJ17">
        <v>1896</v>
      </c>
      <c r="XK17">
        <v>1867</v>
      </c>
      <c r="XL17">
        <v>1890</v>
      </c>
      <c r="XM17">
        <v>1922</v>
      </c>
      <c r="XO17">
        <v>1841</v>
      </c>
      <c r="XP17">
        <v>1810</v>
      </c>
      <c r="XQ17">
        <v>1855</v>
      </c>
      <c r="XR17">
        <v>1753</v>
      </c>
      <c r="XS17">
        <v>1764</v>
      </c>
      <c r="XT17">
        <v>1781</v>
      </c>
      <c r="XU17">
        <v>1788</v>
      </c>
      <c r="XV17">
        <v>1836</v>
      </c>
      <c r="XW17">
        <v>1741</v>
      </c>
      <c r="XX17">
        <v>1622</v>
      </c>
      <c r="XY17">
        <v>1649</v>
      </c>
      <c r="XZ17">
        <v>1747</v>
      </c>
      <c r="YB17">
        <v>1641</v>
      </c>
      <c r="YC17">
        <v>1723</v>
      </c>
      <c r="YD17">
        <v>1780</v>
      </c>
      <c r="YE17">
        <v>1557</v>
      </c>
      <c r="YF17">
        <v>1627</v>
      </c>
      <c r="YG17">
        <v>1704</v>
      </c>
      <c r="YH17">
        <v>1654</v>
      </c>
      <c r="YI17">
        <v>1621</v>
      </c>
      <c r="YJ17">
        <v>1737</v>
      </c>
      <c r="YK17">
        <v>1703</v>
      </c>
      <c r="YL17">
        <v>1691</v>
      </c>
      <c r="YM17">
        <v>1624</v>
      </c>
      <c r="YO17">
        <v>1679</v>
      </c>
      <c r="YP17">
        <v>1691</v>
      </c>
      <c r="YQ17">
        <v>1581</v>
      </c>
      <c r="YR17">
        <v>1603</v>
      </c>
      <c r="YS17">
        <v>1489</v>
      </c>
      <c r="YT17">
        <v>1606</v>
      </c>
      <c r="YU17">
        <v>1647</v>
      </c>
      <c r="YV17">
        <v>1552</v>
      </c>
      <c r="YW17">
        <v>1696</v>
      </c>
      <c r="YX17">
        <v>1525</v>
      </c>
      <c r="YY17">
        <v>1688</v>
      </c>
      <c r="YZ17">
        <v>1643</v>
      </c>
      <c r="ZB17">
        <v>1628</v>
      </c>
      <c r="ZC17">
        <v>1628</v>
      </c>
      <c r="ZD17">
        <v>1541</v>
      </c>
      <c r="ZE17">
        <v>1533</v>
      </c>
      <c r="ZF17">
        <v>1619</v>
      </c>
      <c r="ZG17">
        <v>1610</v>
      </c>
      <c r="ZH17">
        <v>1499</v>
      </c>
      <c r="ZI17">
        <v>1596</v>
      </c>
      <c r="ZJ17">
        <v>1471</v>
      </c>
      <c r="ZK17">
        <v>1498</v>
      </c>
      <c r="ZL17">
        <v>1596</v>
      </c>
      <c r="ZM17">
        <v>1487</v>
      </c>
      <c r="ZO17">
        <v>1660</v>
      </c>
      <c r="ZP17">
        <v>1573</v>
      </c>
      <c r="ZQ17">
        <v>1626</v>
      </c>
      <c r="ZR17">
        <v>1672</v>
      </c>
      <c r="ZS17">
        <v>1618</v>
      </c>
      <c r="ZT17">
        <v>1689</v>
      </c>
      <c r="ZU17">
        <v>1661</v>
      </c>
      <c r="ZV17">
        <v>1861</v>
      </c>
      <c r="ZW17">
        <v>1856</v>
      </c>
      <c r="ZX17">
        <v>1989</v>
      </c>
      <c r="ZY17">
        <v>1917</v>
      </c>
      <c r="ZZ17">
        <v>2036</v>
      </c>
      <c r="AAB17">
        <v>1687</v>
      </c>
      <c r="AAC17">
        <v>2013</v>
      </c>
      <c r="AAD17">
        <v>2029</v>
      </c>
      <c r="AAE17">
        <v>1992</v>
      </c>
      <c r="AAF17">
        <v>1927</v>
      </c>
      <c r="AAG17">
        <v>1774</v>
      </c>
      <c r="AAH17">
        <v>2028</v>
      </c>
      <c r="AAI17">
        <v>1852</v>
      </c>
      <c r="AAJ17">
        <v>1948</v>
      </c>
      <c r="AAK17">
        <v>1842</v>
      </c>
      <c r="AAL17">
        <v>1890</v>
      </c>
      <c r="AAM17">
        <v>1951</v>
      </c>
      <c r="AAO17">
        <v>1958</v>
      </c>
      <c r="AAP17">
        <v>1964</v>
      </c>
      <c r="AAQ17">
        <v>1999</v>
      </c>
      <c r="AAR17">
        <v>2124</v>
      </c>
      <c r="AAS17">
        <v>2048</v>
      </c>
      <c r="AAT17">
        <v>2273</v>
      </c>
      <c r="AAU17">
        <v>1972</v>
      </c>
      <c r="AAV17">
        <v>1973</v>
      </c>
      <c r="AAW17">
        <v>2040</v>
      </c>
      <c r="AAX17">
        <v>2121</v>
      </c>
      <c r="AAY17">
        <v>1959</v>
      </c>
      <c r="AAZ17">
        <v>1936</v>
      </c>
      <c r="ABB17">
        <v>2049</v>
      </c>
      <c r="ABC17">
        <v>1910</v>
      </c>
      <c r="ABD17">
        <v>2237</v>
      </c>
      <c r="ABE17">
        <v>1897</v>
      </c>
      <c r="ABF17">
        <v>2034</v>
      </c>
      <c r="ABG17">
        <v>2088</v>
      </c>
      <c r="ABH17">
        <v>1991</v>
      </c>
      <c r="ABI17">
        <v>1946</v>
      </c>
      <c r="ABJ17">
        <v>2025</v>
      </c>
      <c r="ABK17">
        <v>2085</v>
      </c>
      <c r="ABL17">
        <v>1992</v>
      </c>
      <c r="ABM17">
        <v>2015</v>
      </c>
      <c r="ABO17">
        <v>1776</v>
      </c>
      <c r="ABP17">
        <v>2030</v>
      </c>
      <c r="ABQ17">
        <v>1929</v>
      </c>
      <c r="ABR17">
        <v>1983</v>
      </c>
      <c r="ABS17">
        <v>1964</v>
      </c>
      <c r="ABT17">
        <v>1827</v>
      </c>
      <c r="ABU17">
        <v>1841</v>
      </c>
      <c r="ABV17">
        <v>1986</v>
      </c>
      <c r="ABW17">
        <v>1950</v>
      </c>
      <c r="ABX17">
        <v>1895</v>
      </c>
      <c r="ABY17">
        <v>2153</v>
      </c>
      <c r="ABZ17">
        <v>1928</v>
      </c>
      <c r="ACB17">
        <v>1997</v>
      </c>
      <c r="ACC17">
        <v>1903</v>
      </c>
      <c r="ACD17">
        <v>1833</v>
      </c>
      <c r="ACE17">
        <v>1866</v>
      </c>
      <c r="ACF17">
        <v>1832</v>
      </c>
      <c r="ACG17">
        <v>1983</v>
      </c>
      <c r="ACH17">
        <v>1974</v>
      </c>
      <c r="ACI17">
        <v>1955</v>
      </c>
      <c r="ACJ17">
        <v>1733</v>
      </c>
      <c r="ACK17">
        <v>1713</v>
      </c>
      <c r="ACL17">
        <v>1719</v>
      </c>
      <c r="ACM17">
        <v>1740</v>
      </c>
      <c r="ACO17">
        <v>1905</v>
      </c>
      <c r="ACP17">
        <v>1812</v>
      </c>
      <c r="ACQ17">
        <v>1788</v>
      </c>
      <c r="ACR17">
        <v>1683</v>
      </c>
      <c r="ACS17">
        <v>1736</v>
      </c>
      <c r="ACT17">
        <v>1757</v>
      </c>
      <c r="ACU17">
        <v>1787</v>
      </c>
      <c r="ACV17">
        <v>1735</v>
      </c>
      <c r="ACW17">
        <v>1797</v>
      </c>
      <c r="ACX17">
        <v>1774</v>
      </c>
      <c r="ACY17">
        <v>1902</v>
      </c>
      <c r="ACZ17">
        <v>1974</v>
      </c>
      <c r="ADB17">
        <v>1851</v>
      </c>
      <c r="ADC17">
        <v>1818</v>
      </c>
      <c r="ADD17">
        <v>2005</v>
      </c>
      <c r="ADE17">
        <v>1911</v>
      </c>
      <c r="ADF17">
        <v>2250</v>
      </c>
      <c r="ADG17">
        <v>2000</v>
      </c>
      <c r="ADH17">
        <v>2153</v>
      </c>
      <c r="ADI17">
        <v>2189</v>
      </c>
      <c r="ADJ17">
        <v>2281</v>
      </c>
      <c r="ADK17">
        <v>2422</v>
      </c>
      <c r="ADL17">
        <v>2125</v>
      </c>
      <c r="ADM17">
        <v>2515</v>
      </c>
      <c r="ADO17">
        <v>2507</v>
      </c>
      <c r="ADP17">
        <v>2577</v>
      </c>
      <c r="ADQ17">
        <v>2570</v>
      </c>
      <c r="ADR17">
        <v>2814</v>
      </c>
      <c r="ADS17">
        <v>2837</v>
      </c>
      <c r="ADT17">
        <v>2799</v>
      </c>
      <c r="ADU17">
        <v>2772</v>
      </c>
      <c r="ADV17">
        <v>2915</v>
      </c>
      <c r="ADW17">
        <v>2765</v>
      </c>
      <c r="ADX17">
        <v>2939</v>
      </c>
      <c r="ADY17">
        <v>2906</v>
      </c>
      <c r="ADZ17">
        <v>2779</v>
      </c>
      <c r="AEB17">
        <v>3060</v>
      </c>
      <c r="AEC17">
        <v>2994</v>
      </c>
      <c r="AED17">
        <v>3221</v>
      </c>
      <c r="AEE17">
        <v>3290</v>
      </c>
      <c r="AEF17">
        <v>2907</v>
      </c>
      <c r="AEG17">
        <v>2857</v>
      </c>
      <c r="AEH17">
        <v>3098</v>
      </c>
      <c r="AEI17">
        <v>3048</v>
      </c>
      <c r="AEJ17">
        <v>2968</v>
      </c>
      <c r="AEK17">
        <v>3042</v>
      </c>
      <c r="AEL17">
        <v>3173</v>
      </c>
      <c r="AEM17">
        <v>2816</v>
      </c>
      <c r="AEO17">
        <v>2926</v>
      </c>
      <c r="AEP17">
        <v>2986</v>
      </c>
      <c r="AEQ17">
        <v>2885</v>
      </c>
      <c r="AER17">
        <v>2966</v>
      </c>
      <c r="AES17">
        <v>2944</v>
      </c>
      <c r="AET17">
        <v>3131</v>
      </c>
      <c r="AEU17">
        <v>3038</v>
      </c>
      <c r="AEV17">
        <v>3099</v>
      </c>
      <c r="AEW17">
        <v>3053</v>
      </c>
      <c r="AEX17">
        <v>2728</v>
      </c>
      <c r="AEY17">
        <v>2761</v>
      </c>
      <c r="AEZ17">
        <v>2889</v>
      </c>
      <c r="AFB17">
        <v>2885</v>
      </c>
      <c r="AFC17">
        <v>3093</v>
      </c>
      <c r="AFD17">
        <v>2852</v>
      </c>
      <c r="AFE17">
        <v>2753</v>
      </c>
      <c r="AFF17">
        <v>3092</v>
      </c>
      <c r="AFG17">
        <v>2862</v>
      </c>
      <c r="AFH17">
        <v>2852</v>
      </c>
      <c r="AFI17">
        <v>2825</v>
      </c>
      <c r="AFJ17">
        <v>2865</v>
      </c>
      <c r="AFK17">
        <v>3099</v>
      </c>
      <c r="AFL17">
        <v>2910</v>
      </c>
      <c r="AFM17">
        <v>2945</v>
      </c>
      <c r="AFO17">
        <v>2811</v>
      </c>
      <c r="AFP17">
        <v>2881</v>
      </c>
      <c r="AFQ17">
        <v>2685</v>
      </c>
      <c r="AFR17">
        <v>2625</v>
      </c>
      <c r="AFS17">
        <v>2777</v>
      </c>
      <c r="AFT17">
        <v>2686</v>
      </c>
      <c r="AFU17">
        <v>2719</v>
      </c>
      <c r="AFV17">
        <v>2652</v>
      </c>
      <c r="AFW17">
        <v>2596</v>
      </c>
    </row>
    <row r="18" spans="1:855" x14ac:dyDescent="0.25">
      <c r="A18" t="s">
        <v>98</v>
      </c>
      <c r="UC18">
        <v>16</v>
      </c>
      <c r="UD18">
        <v>11</v>
      </c>
      <c r="UE18">
        <v>12</v>
      </c>
      <c r="UF18">
        <v>20</v>
      </c>
      <c r="UG18">
        <v>36</v>
      </c>
      <c r="UH18">
        <v>36</v>
      </c>
      <c r="UI18">
        <v>28</v>
      </c>
      <c r="UJ18">
        <v>12</v>
      </c>
      <c r="UK18">
        <v>19</v>
      </c>
      <c r="UL18">
        <v>35</v>
      </c>
      <c r="UM18">
        <v>26</v>
      </c>
      <c r="UO18">
        <v>37</v>
      </c>
      <c r="UP18">
        <v>17</v>
      </c>
      <c r="UQ18">
        <v>21</v>
      </c>
      <c r="UR18">
        <v>28</v>
      </c>
      <c r="US18">
        <v>24</v>
      </c>
      <c r="UT18">
        <v>25</v>
      </c>
      <c r="UU18">
        <v>23</v>
      </c>
      <c r="UV18">
        <v>25</v>
      </c>
      <c r="UW18">
        <v>27</v>
      </c>
      <c r="UX18">
        <v>32</v>
      </c>
      <c r="UY18">
        <v>24</v>
      </c>
      <c r="UZ18">
        <v>19</v>
      </c>
      <c r="VB18">
        <v>27</v>
      </c>
      <c r="VC18">
        <v>25</v>
      </c>
      <c r="VD18">
        <v>15</v>
      </c>
      <c r="VE18">
        <v>42</v>
      </c>
      <c r="VF18">
        <v>29</v>
      </c>
      <c r="VG18">
        <v>35</v>
      </c>
      <c r="VH18">
        <v>45</v>
      </c>
      <c r="VI18">
        <v>30</v>
      </c>
      <c r="VJ18">
        <v>22</v>
      </c>
      <c r="VK18">
        <v>21</v>
      </c>
      <c r="VL18">
        <v>25</v>
      </c>
      <c r="VM18">
        <v>12</v>
      </c>
      <c r="VO18">
        <v>31</v>
      </c>
      <c r="VP18">
        <v>8</v>
      </c>
      <c r="VQ18">
        <v>35</v>
      </c>
      <c r="VR18">
        <v>31</v>
      </c>
      <c r="VS18">
        <v>26</v>
      </c>
      <c r="VT18">
        <v>29</v>
      </c>
      <c r="VU18">
        <v>37</v>
      </c>
      <c r="VV18">
        <v>24</v>
      </c>
      <c r="VW18">
        <v>38</v>
      </c>
      <c r="VX18">
        <v>24</v>
      </c>
      <c r="VY18">
        <v>24</v>
      </c>
      <c r="VZ18">
        <v>16</v>
      </c>
      <c r="WB18">
        <v>29</v>
      </c>
      <c r="WC18">
        <v>18</v>
      </c>
      <c r="WD18">
        <v>23</v>
      </c>
      <c r="WE18">
        <v>21</v>
      </c>
      <c r="WF18">
        <v>21</v>
      </c>
      <c r="WG18">
        <v>28</v>
      </c>
      <c r="WH18">
        <v>27</v>
      </c>
      <c r="WI18">
        <v>32</v>
      </c>
      <c r="WJ18">
        <v>26</v>
      </c>
      <c r="WK18">
        <v>22</v>
      </c>
      <c r="WL18">
        <v>26</v>
      </c>
      <c r="WM18">
        <v>26</v>
      </c>
      <c r="WO18">
        <v>32</v>
      </c>
      <c r="WP18">
        <v>33</v>
      </c>
      <c r="WQ18">
        <v>27</v>
      </c>
      <c r="WR18">
        <v>20</v>
      </c>
      <c r="WS18">
        <v>22</v>
      </c>
      <c r="WT18">
        <v>34</v>
      </c>
      <c r="WU18">
        <v>26</v>
      </c>
      <c r="WV18">
        <v>26</v>
      </c>
      <c r="WW18">
        <v>23</v>
      </c>
      <c r="WX18">
        <v>56</v>
      </c>
      <c r="WY18">
        <v>24</v>
      </c>
      <c r="WZ18">
        <v>11</v>
      </c>
      <c r="XB18">
        <v>30</v>
      </c>
      <c r="XC18">
        <v>10</v>
      </c>
      <c r="XD18">
        <v>21</v>
      </c>
      <c r="XE18">
        <v>18</v>
      </c>
      <c r="XF18">
        <v>21</v>
      </c>
      <c r="XG18">
        <v>31</v>
      </c>
      <c r="XH18">
        <v>25</v>
      </c>
      <c r="XI18">
        <v>18</v>
      </c>
      <c r="XJ18">
        <v>27</v>
      </c>
      <c r="XK18">
        <v>19</v>
      </c>
      <c r="XL18">
        <v>31</v>
      </c>
      <c r="XM18">
        <v>19</v>
      </c>
      <c r="XO18">
        <v>36</v>
      </c>
      <c r="XP18">
        <v>30</v>
      </c>
      <c r="XQ18">
        <v>20</v>
      </c>
      <c r="XR18">
        <v>17</v>
      </c>
      <c r="XS18">
        <v>24</v>
      </c>
      <c r="XT18">
        <v>26</v>
      </c>
      <c r="XU18">
        <v>21</v>
      </c>
      <c r="XV18">
        <v>29</v>
      </c>
      <c r="XW18">
        <v>11</v>
      </c>
      <c r="XX18">
        <v>25</v>
      </c>
      <c r="XY18">
        <v>21</v>
      </c>
      <c r="XZ18">
        <v>17</v>
      </c>
      <c r="YB18">
        <v>17</v>
      </c>
      <c r="YC18">
        <v>25</v>
      </c>
      <c r="YD18">
        <v>20</v>
      </c>
      <c r="YE18">
        <v>21</v>
      </c>
      <c r="YF18">
        <v>16</v>
      </c>
      <c r="YG18">
        <v>24</v>
      </c>
      <c r="YH18">
        <v>12</v>
      </c>
      <c r="YI18">
        <v>18</v>
      </c>
      <c r="YJ18">
        <v>17</v>
      </c>
      <c r="YK18">
        <v>24</v>
      </c>
      <c r="YL18">
        <v>24</v>
      </c>
      <c r="YM18">
        <v>16</v>
      </c>
      <c r="YO18">
        <v>48</v>
      </c>
      <c r="YP18">
        <v>23</v>
      </c>
      <c r="YQ18">
        <v>12</v>
      </c>
      <c r="YR18">
        <v>35</v>
      </c>
      <c r="YS18">
        <v>15</v>
      </c>
      <c r="YT18">
        <v>30</v>
      </c>
      <c r="YU18">
        <v>26</v>
      </c>
      <c r="YV18">
        <v>18</v>
      </c>
      <c r="YW18">
        <v>20</v>
      </c>
      <c r="YX18">
        <v>11</v>
      </c>
      <c r="YY18">
        <v>35</v>
      </c>
      <c r="YZ18">
        <v>20</v>
      </c>
      <c r="ZB18">
        <v>75</v>
      </c>
      <c r="ZC18">
        <v>24</v>
      </c>
      <c r="ZD18">
        <v>32</v>
      </c>
      <c r="ZE18">
        <v>23</v>
      </c>
      <c r="ZF18">
        <v>11</v>
      </c>
      <c r="ZG18">
        <v>28</v>
      </c>
      <c r="ZH18">
        <v>24</v>
      </c>
      <c r="ZI18">
        <v>47</v>
      </c>
      <c r="ZJ18">
        <v>32</v>
      </c>
      <c r="ZK18">
        <v>22</v>
      </c>
      <c r="ZL18">
        <v>22</v>
      </c>
      <c r="ZM18">
        <v>32</v>
      </c>
      <c r="ZO18">
        <v>13</v>
      </c>
      <c r="ZP18">
        <v>34</v>
      </c>
      <c r="ZQ18">
        <v>16</v>
      </c>
      <c r="ZR18">
        <v>27</v>
      </c>
      <c r="ZS18">
        <v>25</v>
      </c>
      <c r="ZT18">
        <v>41</v>
      </c>
      <c r="ZU18">
        <v>17</v>
      </c>
      <c r="ZV18">
        <v>21</v>
      </c>
      <c r="ZW18">
        <v>17</v>
      </c>
      <c r="ZX18">
        <v>34</v>
      </c>
      <c r="ZY18">
        <v>29</v>
      </c>
      <c r="ZZ18">
        <v>23</v>
      </c>
      <c r="AAB18">
        <v>15</v>
      </c>
      <c r="AAC18">
        <v>12</v>
      </c>
      <c r="AAD18">
        <v>27</v>
      </c>
      <c r="AAE18">
        <v>32</v>
      </c>
      <c r="AAF18">
        <v>22</v>
      </c>
      <c r="AAG18">
        <v>17</v>
      </c>
      <c r="AAH18">
        <v>31</v>
      </c>
      <c r="AAI18">
        <v>27</v>
      </c>
      <c r="AAJ18">
        <v>15</v>
      </c>
      <c r="AAK18">
        <v>31</v>
      </c>
      <c r="AAL18">
        <v>53</v>
      </c>
      <c r="AAM18">
        <v>14</v>
      </c>
      <c r="AAO18">
        <v>79</v>
      </c>
      <c r="AAP18">
        <v>12</v>
      </c>
      <c r="AAQ18">
        <v>25</v>
      </c>
      <c r="AAR18">
        <v>18</v>
      </c>
      <c r="AAS18">
        <v>13</v>
      </c>
      <c r="AAT18">
        <v>31</v>
      </c>
      <c r="AAU18">
        <v>25</v>
      </c>
      <c r="AAV18">
        <v>16</v>
      </c>
      <c r="AAW18">
        <v>17</v>
      </c>
      <c r="AAX18">
        <v>22</v>
      </c>
      <c r="AAY18">
        <v>20</v>
      </c>
      <c r="AAZ18">
        <v>24</v>
      </c>
      <c r="ABB18">
        <v>13</v>
      </c>
      <c r="ABC18">
        <v>14</v>
      </c>
      <c r="ABD18">
        <v>28</v>
      </c>
      <c r="ABE18">
        <v>22</v>
      </c>
      <c r="ABF18">
        <v>14</v>
      </c>
      <c r="ABG18">
        <v>40</v>
      </c>
      <c r="ABH18">
        <v>35</v>
      </c>
      <c r="ABI18">
        <v>23</v>
      </c>
      <c r="ABJ18">
        <v>30</v>
      </c>
      <c r="ABK18">
        <v>34</v>
      </c>
      <c r="ABL18">
        <v>13</v>
      </c>
      <c r="ABM18">
        <v>18</v>
      </c>
      <c r="ABO18">
        <v>37</v>
      </c>
      <c r="ABP18">
        <v>14</v>
      </c>
      <c r="ABQ18">
        <v>12</v>
      </c>
      <c r="ABR18">
        <v>38</v>
      </c>
      <c r="ABS18">
        <v>34</v>
      </c>
      <c r="ABT18">
        <v>22</v>
      </c>
      <c r="ABU18">
        <v>19</v>
      </c>
      <c r="ABV18">
        <v>26</v>
      </c>
      <c r="ABW18">
        <v>38</v>
      </c>
      <c r="ABX18">
        <v>43</v>
      </c>
      <c r="ABY18">
        <v>42</v>
      </c>
      <c r="ABZ18">
        <v>26</v>
      </c>
      <c r="ACB18">
        <v>31</v>
      </c>
      <c r="ACC18">
        <v>24</v>
      </c>
      <c r="ACD18">
        <v>26</v>
      </c>
      <c r="ACE18">
        <v>10</v>
      </c>
      <c r="ACF18">
        <v>18</v>
      </c>
      <c r="ACG18">
        <v>45</v>
      </c>
      <c r="ACH18">
        <v>25</v>
      </c>
      <c r="ACI18">
        <v>50</v>
      </c>
      <c r="ACJ18">
        <v>28</v>
      </c>
      <c r="ACK18">
        <v>39</v>
      </c>
      <c r="ACL18">
        <v>35</v>
      </c>
      <c r="ACM18">
        <v>8</v>
      </c>
      <c r="ACO18">
        <v>23</v>
      </c>
      <c r="ACP18">
        <v>34</v>
      </c>
      <c r="ACQ18">
        <v>35</v>
      </c>
      <c r="ACR18">
        <v>27</v>
      </c>
      <c r="ACS18">
        <v>11</v>
      </c>
      <c r="ACT18">
        <v>34</v>
      </c>
      <c r="ACU18">
        <v>24</v>
      </c>
      <c r="ACV18">
        <v>38</v>
      </c>
      <c r="ACW18">
        <v>29</v>
      </c>
      <c r="ACX18">
        <v>21</v>
      </c>
      <c r="ACY18">
        <v>31</v>
      </c>
      <c r="ACZ18">
        <v>13</v>
      </c>
      <c r="ADB18">
        <v>37</v>
      </c>
      <c r="ADC18">
        <v>16</v>
      </c>
      <c r="ADD18">
        <v>26</v>
      </c>
      <c r="ADE18">
        <v>17</v>
      </c>
      <c r="ADF18">
        <v>21</v>
      </c>
      <c r="ADG18">
        <v>21</v>
      </c>
      <c r="ADH18">
        <v>35</v>
      </c>
      <c r="ADI18">
        <v>30</v>
      </c>
      <c r="ADJ18">
        <v>20</v>
      </c>
      <c r="ADK18">
        <v>38</v>
      </c>
      <c r="ADL18">
        <v>22</v>
      </c>
      <c r="ADM18">
        <v>36</v>
      </c>
      <c r="ADO18">
        <v>12</v>
      </c>
      <c r="ADP18">
        <v>21</v>
      </c>
      <c r="ADQ18">
        <v>22</v>
      </c>
      <c r="ADR18">
        <v>28</v>
      </c>
      <c r="ADS18">
        <v>21</v>
      </c>
      <c r="ADT18">
        <v>33</v>
      </c>
      <c r="ADU18">
        <v>17</v>
      </c>
      <c r="ADV18">
        <v>9</v>
      </c>
      <c r="ADW18">
        <v>36</v>
      </c>
      <c r="ADX18">
        <v>11</v>
      </c>
      <c r="ADY18">
        <v>23</v>
      </c>
      <c r="ADZ18">
        <v>15</v>
      </c>
      <c r="AEB18">
        <v>18</v>
      </c>
      <c r="AEC18">
        <v>13</v>
      </c>
      <c r="AED18">
        <v>16</v>
      </c>
      <c r="AEE18">
        <v>18</v>
      </c>
      <c r="AEF18">
        <v>9</v>
      </c>
      <c r="AEG18">
        <v>15</v>
      </c>
      <c r="AEH18">
        <v>12</v>
      </c>
      <c r="AEI18">
        <v>23</v>
      </c>
      <c r="AEJ18">
        <v>21</v>
      </c>
      <c r="AEK18">
        <v>26</v>
      </c>
      <c r="AEL18">
        <v>21</v>
      </c>
      <c r="AEM18">
        <v>20</v>
      </c>
      <c r="AEO18">
        <v>10</v>
      </c>
      <c r="AEP18">
        <v>13</v>
      </c>
      <c r="AEQ18">
        <v>31</v>
      </c>
      <c r="AER18">
        <v>12</v>
      </c>
      <c r="AES18">
        <v>24</v>
      </c>
      <c r="AET18">
        <v>19</v>
      </c>
      <c r="AEU18">
        <v>13</v>
      </c>
      <c r="AEV18">
        <v>23</v>
      </c>
      <c r="AEW18">
        <v>11</v>
      </c>
      <c r="AEX18">
        <v>20</v>
      </c>
      <c r="AEY18">
        <v>18</v>
      </c>
      <c r="AEZ18">
        <v>21</v>
      </c>
      <c r="AFB18">
        <v>86</v>
      </c>
      <c r="AFC18">
        <v>17</v>
      </c>
      <c r="AFD18">
        <v>6</v>
      </c>
      <c r="AFE18">
        <v>17</v>
      </c>
      <c r="AFF18">
        <v>10</v>
      </c>
      <c r="AFG18">
        <v>28</v>
      </c>
      <c r="AFH18">
        <v>11</v>
      </c>
      <c r="AFI18">
        <v>9</v>
      </c>
      <c r="AFJ18">
        <v>13</v>
      </c>
      <c r="AFK18">
        <v>8</v>
      </c>
      <c r="AFL18">
        <v>25</v>
      </c>
      <c r="AFM18">
        <v>8</v>
      </c>
      <c r="AFO18">
        <v>24</v>
      </c>
      <c r="AFP18">
        <v>9</v>
      </c>
      <c r="AFQ18">
        <v>22</v>
      </c>
      <c r="AFR18">
        <v>14</v>
      </c>
      <c r="AFS18">
        <v>32</v>
      </c>
      <c r="AFT18">
        <v>30</v>
      </c>
      <c r="AFU18">
        <v>23</v>
      </c>
      <c r="AFV18">
        <v>46</v>
      </c>
      <c r="AFW18">
        <v>20</v>
      </c>
    </row>
    <row r="19" spans="1:855" x14ac:dyDescent="0.25">
      <c r="A19" t="s">
        <v>99</v>
      </c>
      <c r="MO19">
        <v>58627</v>
      </c>
      <c r="MP19">
        <v>59214</v>
      </c>
      <c r="MQ19">
        <v>59052</v>
      </c>
      <c r="MR19">
        <v>59044</v>
      </c>
      <c r="MS19">
        <v>58820</v>
      </c>
      <c r="MT19">
        <v>59400</v>
      </c>
      <c r="MU19">
        <v>59288</v>
      </c>
      <c r="MV19">
        <v>59418</v>
      </c>
      <c r="MW19">
        <v>59646</v>
      </c>
      <c r="MX19">
        <v>59815</v>
      </c>
      <c r="MY19">
        <v>60088</v>
      </c>
      <c r="MZ19">
        <v>60180</v>
      </c>
      <c r="NB19">
        <v>59919</v>
      </c>
      <c r="NC19">
        <v>60068</v>
      </c>
      <c r="ND19">
        <v>60091</v>
      </c>
      <c r="NE19">
        <v>59783</v>
      </c>
      <c r="NF19">
        <v>59918</v>
      </c>
      <c r="NG19">
        <v>60142</v>
      </c>
      <c r="NH19">
        <v>59693</v>
      </c>
      <c r="NI19">
        <v>59784</v>
      </c>
      <c r="NJ19">
        <v>60226</v>
      </c>
      <c r="NK19">
        <v>60289</v>
      </c>
      <c r="NL19">
        <v>59981</v>
      </c>
      <c r="NM19">
        <v>60090</v>
      </c>
      <c r="NO19">
        <v>60480</v>
      </c>
      <c r="NP19">
        <v>60128</v>
      </c>
      <c r="NQ19">
        <v>60016</v>
      </c>
      <c r="NR19">
        <v>60041</v>
      </c>
      <c r="NS19">
        <v>59992</v>
      </c>
      <c r="NT19">
        <v>59836</v>
      </c>
      <c r="NU19">
        <v>60272</v>
      </c>
      <c r="NV19">
        <v>60064</v>
      </c>
      <c r="NW19">
        <v>60221</v>
      </c>
      <c r="NX19">
        <v>60100</v>
      </c>
      <c r="NY19">
        <v>59553</v>
      </c>
      <c r="NZ19">
        <v>59886</v>
      </c>
      <c r="OB19">
        <v>59744</v>
      </c>
      <c r="OC19">
        <v>59994</v>
      </c>
      <c r="OD19">
        <v>59946</v>
      </c>
      <c r="OE19">
        <v>59689</v>
      </c>
      <c r="OF19">
        <v>59622</v>
      </c>
      <c r="OG19">
        <v>59424</v>
      </c>
      <c r="OH19">
        <v>59635</v>
      </c>
      <c r="OI19">
        <v>59748</v>
      </c>
      <c r="OJ19">
        <v>59707</v>
      </c>
      <c r="OK19">
        <v>59703</v>
      </c>
      <c r="OL19">
        <v>59455</v>
      </c>
      <c r="OM19">
        <v>59463</v>
      </c>
      <c r="OO19">
        <v>59459</v>
      </c>
      <c r="OP19">
        <v>59224</v>
      </c>
      <c r="OQ19">
        <v>59438</v>
      </c>
      <c r="OR19">
        <v>59990</v>
      </c>
      <c r="OS19">
        <v>60288</v>
      </c>
      <c r="OT19">
        <v>60082</v>
      </c>
      <c r="OU19">
        <v>59968</v>
      </c>
      <c r="OV19">
        <v>60102</v>
      </c>
      <c r="OW19">
        <v>59901</v>
      </c>
      <c r="OX19">
        <v>60113</v>
      </c>
      <c r="OY19">
        <v>60239</v>
      </c>
      <c r="OZ19">
        <v>60042</v>
      </c>
      <c r="PB19">
        <v>59982</v>
      </c>
      <c r="PC19">
        <v>60062</v>
      </c>
      <c r="PD19">
        <v>60542</v>
      </c>
      <c r="PE19">
        <v>60606</v>
      </c>
      <c r="PF19">
        <v>60478</v>
      </c>
      <c r="PG19">
        <v>60863</v>
      </c>
      <c r="PH19">
        <v>60773</v>
      </c>
      <c r="PI19">
        <v>60998</v>
      </c>
      <c r="PJ19">
        <v>61199</v>
      </c>
      <c r="PK19">
        <v>61098</v>
      </c>
      <c r="PL19">
        <v>61127</v>
      </c>
      <c r="PM19">
        <v>61531</v>
      </c>
      <c r="PO19">
        <v>61078</v>
      </c>
      <c r="PP19">
        <v>61038</v>
      </c>
      <c r="PQ19">
        <v>60900</v>
      </c>
      <c r="PR19">
        <v>60716</v>
      </c>
      <c r="PS19">
        <v>60607</v>
      </c>
      <c r="PT19">
        <v>61646</v>
      </c>
      <c r="PU19">
        <v>61690</v>
      </c>
      <c r="PV19">
        <v>61674</v>
      </c>
      <c r="PW19">
        <v>62299</v>
      </c>
      <c r="PX19">
        <v>61785</v>
      </c>
      <c r="PY19">
        <v>61760</v>
      </c>
      <c r="PZ19">
        <v>62254</v>
      </c>
      <c r="QB19">
        <v>62246</v>
      </c>
      <c r="QC19">
        <v>62022</v>
      </c>
      <c r="QD19">
        <v>62100</v>
      </c>
      <c r="QE19">
        <v>62024</v>
      </c>
      <c r="QF19">
        <v>61575</v>
      </c>
      <c r="QG19">
        <v>62109</v>
      </c>
      <c r="QH19">
        <v>62022</v>
      </c>
      <c r="QI19">
        <v>61997</v>
      </c>
      <c r="QJ19">
        <v>61969</v>
      </c>
      <c r="QK19">
        <v>62137</v>
      </c>
      <c r="QL19">
        <v>62008</v>
      </c>
      <c r="QM19">
        <v>62116</v>
      </c>
      <c r="QO19">
        <v>62659</v>
      </c>
      <c r="QP19">
        <v>62871</v>
      </c>
      <c r="QQ19">
        <v>63069</v>
      </c>
      <c r="QR19">
        <v>62966</v>
      </c>
      <c r="QS19">
        <v>63157</v>
      </c>
      <c r="QT19">
        <v>62246</v>
      </c>
      <c r="QU19">
        <v>62550</v>
      </c>
      <c r="QV19">
        <v>62209</v>
      </c>
      <c r="QW19">
        <v>62304</v>
      </c>
      <c r="QX19">
        <v>62853</v>
      </c>
      <c r="QY19">
        <v>62723</v>
      </c>
      <c r="QZ19">
        <v>62794</v>
      </c>
      <c r="RB19">
        <v>63324</v>
      </c>
      <c r="RC19">
        <v>63064</v>
      </c>
      <c r="RD19">
        <v>63111</v>
      </c>
      <c r="RE19">
        <v>62871</v>
      </c>
      <c r="RF19">
        <v>62474</v>
      </c>
      <c r="RG19">
        <v>62467</v>
      </c>
      <c r="RH19">
        <v>62468</v>
      </c>
      <c r="RI19">
        <v>62901</v>
      </c>
      <c r="RJ19">
        <v>62906</v>
      </c>
      <c r="RK19">
        <v>62937</v>
      </c>
      <c r="RL19">
        <v>62965</v>
      </c>
      <c r="RM19">
        <v>62725</v>
      </c>
      <c r="RO19">
        <v>62659</v>
      </c>
      <c r="RP19">
        <v>62640</v>
      </c>
      <c r="RQ19">
        <v>62339</v>
      </c>
      <c r="RR19">
        <v>62468</v>
      </c>
      <c r="RS19">
        <v>62710</v>
      </c>
      <c r="RT19">
        <v>63131</v>
      </c>
      <c r="RU19">
        <v>62943</v>
      </c>
      <c r="RV19">
        <v>63114</v>
      </c>
      <c r="RW19">
        <v>62667</v>
      </c>
      <c r="RX19">
        <v>62625</v>
      </c>
      <c r="RY19">
        <v>62805</v>
      </c>
      <c r="RZ19">
        <v>62758</v>
      </c>
      <c r="SB19">
        <v>62988</v>
      </c>
      <c r="SC19">
        <v>62939</v>
      </c>
      <c r="SD19">
        <v>62765</v>
      </c>
      <c r="SE19">
        <v>62832</v>
      </c>
      <c r="SF19">
        <v>62783</v>
      </c>
      <c r="SG19">
        <v>62419</v>
      </c>
      <c r="SH19">
        <v>62553</v>
      </c>
      <c r="SI19">
        <v>62678</v>
      </c>
      <c r="SJ19">
        <v>62602</v>
      </c>
      <c r="SK19">
        <v>62670</v>
      </c>
      <c r="SL19">
        <v>62729</v>
      </c>
      <c r="SM19">
        <v>62936</v>
      </c>
      <c r="SO19">
        <v>62982</v>
      </c>
      <c r="SP19">
        <v>62876</v>
      </c>
      <c r="SQ19">
        <v>62909</v>
      </c>
      <c r="SR19">
        <v>63008</v>
      </c>
      <c r="SS19">
        <v>62525</v>
      </c>
      <c r="ST19">
        <v>63059</v>
      </c>
      <c r="SU19">
        <v>62983</v>
      </c>
      <c r="SV19">
        <v>62684</v>
      </c>
      <c r="SW19">
        <v>63150</v>
      </c>
      <c r="SX19">
        <v>62802</v>
      </c>
      <c r="SY19">
        <v>62930</v>
      </c>
      <c r="SZ19">
        <v>62891</v>
      </c>
      <c r="TB19">
        <v>62853</v>
      </c>
      <c r="TC19">
        <v>62813</v>
      </c>
      <c r="TD19">
        <v>63198</v>
      </c>
      <c r="TE19">
        <v>62981</v>
      </c>
      <c r="TF19">
        <v>63303</v>
      </c>
      <c r="TG19">
        <v>63089</v>
      </c>
      <c r="TH19">
        <v>63064</v>
      </c>
      <c r="TI19">
        <v>62705</v>
      </c>
      <c r="TJ19">
        <v>63002</v>
      </c>
      <c r="TK19">
        <v>62908</v>
      </c>
      <c r="TL19">
        <v>62607</v>
      </c>
      <c r="TM19">
        <v>62780</v>
      </c>
      <c r="TO19">
        <v>62254</v>
      </c>
      <c r="TP19">
        <v>62642</v>
      </c>
      <c r="TQ19">
        <v>62670</v>
      </c>
      <c r="TR19">
        <v>62459</v>
      </c>
      <c r="TS19">
        <v>62707</v>
      </c>
      <c r="TT19">
        <v>62334</v>
      </c>
      <c r="TU19">
        <v>62516</v>
      </c>
      <c r="TV19">
        <v>62432</v>
      </c>
      <c r="TW19">
        <v>62782</v>
      </c>
      <c r="TX19">
        <v>62660</v>
      </c>
      <c r="TY19">
        <v>62380</v>
      </c>
      <c r="TZ19">
        <v>62668</v>
      </c>
      <c r="UB19">
        <v>62580</v>
      </c>
      <c r="UC19">
        <v>62806</v>
      </c>
      <c r="UD19">
        <v>62829</v>
      </c>
      <c r="UE19">
        <v>63129</v>
      </c>
      <c r="UF19">
        <v>63020</v>
      </c>
      <c r="UG19">
        <v>63485</v>
      </c>
      <c r="UH19">
        <v>63456</v>
      </c>
      <c r="UI19">
        <v>63352</v>
      </c>
      <c r="UJ19">
        <v>63636</v>
      </c>
      <c r="UK19">
        <v>63715</v>
      </c>
      <c r="UL19">
        <v>63802</v>
      </c>
      <c r="UM19">
        <v>63875</v>
      </c>
      <c r="UO19">
        <v>64208</v>
      </c>
      <c r="UP19">
        <v>64251</v>
      </c>
      <c r="UQ19">
        <v>64143</v>
      </c>
      <c r="UR19">
        <v>63969</v>
      </c>
      <c r="US19">
        <v>64474</v>
      </c>
      <c r="UT19">
        <v>64469</v>
      </c>
      <c r="UU19">
        <v>64792</v>
      </c>
      <c r="UV19">
        <v>64966</v>
      </c>
      <c r="UW19">
        <v>64652</v>
      </c>
      <c r="UX19">
        <v>64855</v>
      </c>
      <c r="UY19">
        <v>64956</v>
      </c>
      <c r="UZ19">
        <v>65134</v>
      </c>
      <c r="VB19">
        <v>64692</v>
      </c>
      <c r="VC19">
        <v>64860</v>
      </c>
      <c r="VD19">
        <v>64600</v>
      </c>
      <c r="VE19">
        <v>64513</v>
      </c>
      <c r="VF19">
        <v>64384</v>
      </c>
      <c r="VG19">
        <v>64204</v>
      </c>
      <c r="VH19">
        <v>64263</v>
      </c>
      <c r="VI19">
        <v>64405</v>
      </c>
      <c r="VJ19">
        <v>64728</v>
      </c>
      <c r="VK19">
        <v>65416</v>
      </c>
      <c r="VL19">
        <v>65180</v>
      </c>
      <c r="VM19">
        <v>65230</v>
      </c>
      <c r="VO19">
        <v>65562</v>
      </c>
      <c r="VP19">
        <v>65650</v>
      </c>
      <c r="VQ19">
        <v>65650</v>
      </c>
      <c r="VR19">
        <v>65814</v>
      </c>
      <c r="VS19">
        <v>65285</v>
      </c>
      <c r="VT19">
        <v>65308</v>
      </c>
      <c r="VU19">
        <v>65485</v>
      </c>
      <c r="VV19">
        <v>65444</v>
      </c>
      <c r="VW19">
        <v>65991</v>
      </c>
      <c r="VX19">
        <v>65871</v>
      </c>
      <c r="VY19">
        <v>65914</v>
      </c>
      <c r="VZ19">
        <v>65853</v>
      </c>
      <c r="WB19">
        <v>65357</v>
      </c>
      <c r="WC19">
        <v>65421</v>
      </c>
      <c r="WD19">
        <v>65813</v>
      </c>
      <c r="WE19">
        <v>65742</v>
      </c>
      <c r="WF19">
        <v>65731</v>
      </c>
      <c r="WG19">
        <v>66132</v>
      </c>
      <c r="WH19">
        <v>66207</v>
      </c>
      <c r="WI19">
        <v>65768</v>
      </c>
      <c r="WJ19">
        <v>65827</v>
      </c>
      <c r="WK19">
        <v>65686</v>
      </c>
      <c r="WL19">
        <v>65716</v>
      </c>
      <c r="WM19">
        <v>65814</v>
      </c>
      <c r="WO19">
        <v>65715</v>
      </c>
      <c r="WP19">
        <v>65770</v>
      </c>
      <c r="WQ19">
        <v>65899</v>
      </c>
      <c r="WR19">
        <v>65558</v>
      </c>
      <c r="WS19">
        <v>66435</v>
      </c>
      <c r="WT19">
        <v>66504</v>
      </c>
      <c r="WU19">
        <v>66272</v>
      </c>
      <c r="WV19">
        <v>66465</v>
      </c>
      <c r="WW19">
        <v>66394</v>
      </c>
      <c r="WX19">
        <v>66476</v>
      </c>
      <c r="WY19">
        <v>66741</v>
      </c>
      <c r="WZ19">
        <v>66997</v>
      </c>
      <c r="XB19">
        <v>67018</v>
      </c>
      <c r="XC19">
        <v>66820</v>
      </c>
      <c r="XD19">
        <v>66741</v>
      </c>
      <c r="XE19">
        <v>66692</v>
      </c>
      <c r="XF19">
        <v>66611</v>
      </c>
      <c r="XG19">
        <v>66762</v>
      </c>
      <c r="XH19">
        <v>66357</v>
      </c>
      <c r="XI19">
        <v>66793</v>
      </c>
      <c r="XJ19">
        <v>66546</v>
      </c>
      <c r="XK19">
        <v>66352</v>
      </c>
      <c r="XL19">
        <v>66456</v>
      </c>
      <c r="XM19">
        <v>66523</v>
      </c>
      <c r="XO19">
        <v>66829</v>
      </c>
      <c r="XP19">
        <v>66988</v>
      </c>
      <c r="XQ19">
        <v>66622</v>
      </c>
      <c r="XR19">
        <v>66658</v>
      </c>
      <c r="XS19">
        <v>66713</v>
      </c>
      <c r="XT19">
        <v>66789</v>
      </c>
      <c r="XU19">
        <v>66689</v>
      </c>
      <c r="XV19">
        <v>66746</v>
      </c>
      <c r="XW19">
        <v>66895</v>
      </c>
      <c r="XX19">
        <v>67134</v>
      </c>
      <c r="XY19">
        <v>66980</v>
      </c>
      <c r="XZ19">
        <v>66943</v>
      </c>
      <c r="YB19">
        <v>67143</v>
      </c>
      <c r="YC19">
        <v>67288</v>
      </c>
      <c r="YD19">
        <v>67311</v>
      </c>
      <c r="YE19">
        <v>67581</v>
      </c>
      <c r="YF19">
        <v>67527</v>
      </c>
      <c r="YG19">
        <v>67630</v>
      </c>
      <c r="YH19">
        <v>67682</v>
      </c>
      <c r="YI19">
        <v>67910</v>
      </c>
      <c r="YJ19">
        <v>67413</v>
      </c>
      <c r="YK19">
        <v>67640</v>
      </c>
      <c r="YL19">
        <v>67723</v>
      </c>
      <c r="YM19">
        <v>67635</v>
      </c>
      <c r="YO19">
        <v>67715</v>
      </c>
      <c r="YP19">
        <v>67906</v>
      </c>
      <c r="YQ19">
        <v>68306</v>
      </c>
      <c r="YR19">
        <v>68277</v>
      </c>
      <c r="YS19">
        <v>68320</v>
      </c>
      <c r="YT19">
        <v>68304</v>
      </c>
      <c r="YU19">
        <v>68390</v>
      </c>
      <c r="YV19">
        <v>68609</v>
      </c>
      <c r="YW19">
        <v>68642</v>
      </c>
      <c r="YX19">
        <v>68712</v>
      </c>
      <c r="YY19">
        <v>68641</v>
      </c>
      <c r="YZ19">
        <v>68655</v>
      </c>
      <c r="ZB19">
        <v>69142</v>
      </c>
      <c r="ZC19">
        <v>69120</v>
      </c>
      <c r="ZD19">
        <v>69338</v>
      </c>
      <c r="ZE19">
        <v>69267</v>
      </c>
      <c r="ZF19">
        <v>69853</v>
      </c>
      <c r="ZG19">
        <v>69876</v>
      </c>
      <c r="ZH19">
        <v>70398</v>
      </c>
      <c r="ZI19">
        <v>70401</v>
      </c>
      <c r="ZJ19">
        <v>70645</v>
      </c>
      <c r="ZK19">
        <v>70782</v>
      </c>
      <c r="ZL19">
        <v>70579</v>
      </c>
      <c r="ZM19">
        <v>70488</v>
      </c>
      <c r="ZO19">
        <v>70088</v>
      </c>
      <c r="ZP19">
        <v>70409</v>
      </c>
      <c r="ZQ19">
        <v>70381</v>
      </c>
      <c r="ZR19">
        <v>70956</v>
      </c>
      <c r="ZS19">
        <v>71414</v>
      </c>
      <c r="ZT19">
        <v>71592</v>
      </c>
      <c r="ZU19">
        <v>71526</v>
      </c>
      <c r="ZV19">
        <v>72136</v>
      </c>
      <c r="ZW19">
        <v>71676</v>
      </c>
      <c r="ZX19">
        <v>71817</v>
      </c>
      <c r="ZY19">
        <v>71876</v>
      </c>
      <c r="ZZ19">
        <v>72010</v>
      </c>
      <c r="AAB19">
        <v>72623</v>
      </c>
      <c r="AAC19">
        <v>72010</v>
      </c>
      <c r="AAD19">
        <v>72343</v>
      </c>
      <c r="AAE19">
        <v>72281</v>
      </c>
      <c r="AAF19">
        <v>72260</v>
      </c>
      <c r="AAG19">
        <v>72600</v>
      </c>
      <c r="AAH19">
        <v>72827</v>
      </c>
      <c r="AAI19">
        <v>72856</v>
      </c>
      <c r="AAJ19">
        <v>72554</v>
      </c>
      <c r="AAK19">
        <v>73026</v>
      </c>
      <c r="AAL19">
        <v>73508</v>
      </c>
      <c r="AAM19">
        <v>73675</v>
      </c>
      <c r="AAO19">
        <v>73960</v>
      </c>
      <c r="AAP19">
        <v>74015</v>
      </c>
      <c r="AAQ19">
        <v>74295</v>
      </c>
      <c r="AAR19">
        <v>74066</v>
      </c>
      <c r="AAS19">
        <v>74268</v>
      </c>
      <c r="AAT19">
        <v>73958</v>
      </c>
      <c r="AAU19">
        <v>74767</v>
      </c>
      <c r="AAV19">
        <v>75062</v>
      </c>
      <c r="AAW19">
        <v>75249</v>
      </c>
      <c r="AAX19">
        <v>75324</v>
      </c>
      <c r="AAY19">
        <v>75280</v>
      </c>
      <c r="AAZ19">
        <v>75780</v>
      </c>
      <c r="ABB19">
        <v>75319</v>
      </c>
      <c r="ABC19">
        <v>75648</v>
      </c>
      <c r="ABD19">
        <v>75606</v>
      </c>
      <c r="ABE19">
        <v>75907</v>
      </c>
      <c r="ABF19">
        <v>75903</v>
      </c>
      <c r="ABG19">
        <v>75735</v>
      </c>
      <c r="ABH19">
        <v>75730</v>
      </c>
      <c r="ABI19">
        <v>76113</v>
      </c>
      <c r="ABJ19">
        <v>76526</v>
      </c>
      <c r="ABK19">
        <v>76399</v>
      </c>
      <c r="ABL19">
        <v>76259</v>
      </c>
      <c r="ABM19">
        <v>76581</v>
      </c>
      <c r="ABO19">
        <v>76808</v>
      </c>
      <c r="ABP19">
        <v>76677</v>
      </c>
      <c r="ABQ19">
        <v>76846</v>
      </c>
      <c r="ABR19">
        <v>76514</v>
      </c>
      <c r="ABS19">
        <v>76409</v>
      </c>
      <c r="ABT19">
        <v>76673</v>
      </c>
      <c r="ABU19">
        <v>76721</v>
      </c>
      <c r="ABV19">
        <v>76642</v>
      </c>
      <c r="ABW19">
        <v>76739</v>
      </c>
      <c r="ABX19">
        <v>76958</v>
      </c>
      <c r="ABY19">
        <v>77138</v>
      </c>
      <c r="ABZ19">
        <v>77394</v>
      </c>
      <c r="ACB19">
        <v>77339</v>
      </c>
      <c r="ACC19">
        <v>77122</v>
      </c>
      <c r="ACD19">
        <v>77161</v>
      </c>
      <c r="ACE19">
        <v>77318</v>
      </c>
      <c r="ACF19">
        <v>77359</v>
      </c>
      <c r="ACG19">
        <v>77317</v>
      </c>
      <c r="ACH19">
        <v>77535</v>
      </c>
      <c r="ACI19">
        <v>77451</v>
      </c>
      <c r="ACJ19">
        <v>77757</v>
      </c>
      <c r="ACK19">
        <v>77634</v>
      </c>
      <c r="ACL19">
        <v>77499</v>
      </c>
      <c r="ACM19">
        <v>77376</v>
      </c>
      <c r="ACO19">
        <v>77506</v>
      </c>
      <c r="ACP19">
        <v>77851</v>
      </c>
      <c r="ACQ19">
        <v>77982</v>
      </c>
      <c r="ACR19">
        <v>78818</v>
      </c>
      <c r="ACS19">
        <v>78810</v>
      </c>
      <c r="ACT19">
        <v>78671</v>
      </c>
      <c r="ACU19">
        <v>78904</v>
      </c>
      <c r="ACV19">
        <v>79461</v>
      </c>
      <c r="ACW19">
        <v>79047</v>
      </c>
      <c r="ACX19">
        <v>79532</v>
      </c>
      <c r="ACY19">
        <v>79105</v>
      </c>
      <c r="ACZ19">
        <v>79238</v>
      </c>
      <c r="ADB19">
        <v>78554</v>
      </c>
      <c r="ADC19">
        <v>79156</v>
      </c>
      <c r="ADD19">
        <v>79087</v>
      </c>
      <c r="ADE19">
        <v>79429</v>
      </c>
      <c r="ADF19">
        <v>79102</v>
      </c>
      <c r="ADG19">
        <v>79314</v>
      </c>
      <c r="ADH19">
        <v>79395</v>
      </c>
      <c r="ADI19">
        <v>79466</v>
      </c>
      <c r="ADJ19">
        <v>79790</v>
      </c>
      <c r="ADK19">
        <v>79736</v>
      </c>
      <c r="ADL19">
        <v>80189</v>
      </c>
      <c r="ADM19">
        <v>80380</v>
      </c>
      <c r="ADO19">
        <v>80507</v>
      </c>
      <c r="ADP19">
        <v>80387</v>
      </c>
      <c r="ADQ19">
        <v>80944</v>
      </c>
      <c r="ADR19">
        <v>80793</v>
      </c>
      <c r="ADS19">
        <v>80710</v>
      </c>
      <c r="ADT19">
        <v>80944</v>
      </c>
      <c r="ADU19">
        <v>81365</v>
      </c>
      <c r="ADV19">
        <v>81787</v>
      </c>
      <c r="ADW19">
        <v>82507</v>
      </c>
      <c r="ADX19">
        <v>82746</v>
      </c>
      <c r="ADY19">
        <v>82855</v>
      </c>
      <c r="ADZ19">
        <v>83804</v>
      </c>
      <c r="AEB19">
        <v>83378</v>
      </c>
      <c r="AEC19">
        <v>83296</v>
      </c>
      <c r="AED19">
        <v>83199</v>
      </c>
      <c r="AEE19">
        <v>82752</v>
      </c>
      <c r="AEF19">
        <v>83389</v>
      </c>
      <c r="AEG19">
        <v>84067</v>
      </c>
      <c r="AEH19">
        <v>84180</v>
      </c>
      <c r="AEI19">
        <v>84022</v>
      </c>
      <c r="AEJ19">
        <v>84356</v>
      </c>
      <c r="AEK19">
        <v>84849</v>
      </c>
      <c r="AEL19">
        <v>84575</v>
      </c>
      <c r="AEM19">
        <v>85241</v>
      </c>
      <c r="AEO19">
        <v>85460</v>
      </c>
      <c r="AEP19">
        <v>85582</v>
      </c>
      <c r="AEQ19">
        <v>85641</v>
      </c>
      <c r="AER19">
        <v>85668</v>
      </c>
      <c r="AES19">
        <v>85761</v>
      </c>
      <c r="AET19">
        <v>86120</v>
      </c>
      <c r="AEU19">
        <v>86345</v>
      </c>
      <c r="AEV19">
        <v>86165</v>
      </c>
      <c r="AEW19">
        <v>85997</v>
      </c>
      <c r="AEX19">
        <v>86260</v>
      </c>
      <c r="AEY19">
        <v>86345</v>
      </c>
      <c r="AEZ19">
        <v>86640</v>
      </c>
      <c r="AFB19">
        <v>87913</v>
      </c>
      <c r="AFC19">
        <v>87611</v>
      </c>
      <c r="AFD19">
        <v>87898</v>
      </c>
      <c r="AFE19">
        <v>88332</v>
      </c>
      <c r="AFF19">
        <v>87968</v>
      </c>
      <c r="AFG19">
        <v>88006</v>
      </c>
      <c r="AFH19">
        <v>88359</v>
      </c>
      <c r="AFI19">
        <v>88919</v>
      </c>
      <c r="AFJ19">
        <v>88716</v>
      </c>
      <c r="AFK19">
        <v>88407</v>
      </c>
      <c r="AFL19">
        <v>88855</v>
      </c>
      <c r="AFM19">
        <v>88839</v>
      </c>
      <c r="AFO19">
        <v>89008</v>
      </c>
      <c r="AFP19">
        <v>89304</v>
      </c>
      <c r="AFQ19">
        <v>89967</v>
      </c>
      <c r="AFR19">
        <v>89936</v>
      </c>
      <c r="AFS19">
        <v>89705</v>
      </c>
      <c r="AFT19">
        <v>89717</v>
      </c>
      <c r="AFU19">
        <v>89957</v>
      </c>
      <c r="AFV19">
        <v>90473</v>
      </c>
      <c r="AFW19">
        <v>90609</v>
      </c>
    </row>
    <row r="20" spans="1:855" x14ac:dyDescent="0.25">
      <c r="A20" t="s">
        <v>100</v>
      </c>
      <c r="UC20">
        <v>3583</v>
      </c>
      <c r="UD20">
        <v>3367</v>
      </c>
      <c r="UE20">
        <v>3495</v>
      </c>
      <c r="UF20">
        <v>3125</v>
      </c>
      <c r="UG20">
        <v>3389</v>
      </c>
      <c r="UH20">
        <v>3297</v>
      </c>
      <c r="UI20">
        <v>3106</v>
      </c>
      <c r="UJ20">
        <v>3356</v>
      </c>
      <c r="UK20">
        <v>3236</v>
      </c>
      <c r="UL20">
        <v>3308</v>
      </c>
      <c r="UM20">
        <v>3185</v>
      </c>
      <c r="UO20">
        <v>3237</v>
      </c>
      <c r="UP20">
        <v>3022</v>
      </c>
      <c r="UQ20">
        <v>3082</v>
      </c>
      <c r="UR20">
        <v>2958</v>
      </c>
      <c r="US20">
        <v>3356</v>
      </c>
      <c r="UT20">
        <v>3170</v>
      </c>
      <c r="UU20">
        <v>3156</v>
      </c>
      <c r="UV20">
        <v>3082</v>
      </c>
      <c r="UW20">
        <v>2958</v>
      </c>
      <c r="UX20">
        <v>3086</v>
      </c>
      <c r="UY20">
        <v>3000</v>
      </c>
      <c r="UZ20">
        <v>3011</v>
      </c>
      <c r="VB20">
        <v>2934</v>
      </c>
      <c r="VC20">
        <v>2978</v>
      </c>
      <c r="VD20">
        <v>2949</v>
      </c>
      <c r="VE20">
        <v>2869</v>
      </c>
      <c r="VF20">
        <v>3154</v>
      </c>
      <c r="VG20">
        <v>2990</v>
      </c>
      <c r="VH20">
        <v>2970</v>
      </c>
      <c r="VI20">
        <v>3083</v>
      </c>
      <c r="VJ20">
        <v>3152</v>
      </c>
      <c r="VK20">
        <v>3311</v>
      </c>
      <c r="VL20">
        <v>3043</v>
      </c>
      <c r="VM20">
        <v>3111</v>
      </c>
      <c r="VO20">
        <v>3187</v>
      </c>
      <c r="VP20">
        <v>3235</v>
      </c>
      <c r="VQ20">
        <v>3057</v>
      </c>
      <c r="VR20">
        <v>3228</v>
      </c>
      <c r="VS20">
        <v>3028</v>
      </c>
      <c r="VT20">
        <v>2988</v>
      </c>
      <c r="VU20">
        <v>3027</v>
      </c>
      <c r="VV20">
        <v>3105</v>
      </c>
      <c r="VW20">
        <v>3435</v>
      </c>
      <c r="VX20">
        <v>3011</v>
      </c>
      <c r="VY20">
        <v>3088</v>
      </c>
      <c r="VZ20">
        <v>3178</v>
      </c>
      <c r="WB20">
        <v>3077</v>
      </c>
      <c r="WC20">
        <v>3531</v>
      </c>
      <c r="WD20">
        <v>3592</v>
      </c>
      <c r="WE20">
        <v>3131</v>
      </c>
      <c r="WF20">
        <v>3192</v>
      </c>
      <c r="WG20">
        <v>3341</v>
      </c>
      <c r="WH20">
        <v>3315</v>
      </c>
      <c r="WI20">
        <v>3139</v>
      </c>
      <c r="WJ20">
        <v>3196</v>
      </c>
      <c r="WK20">
        <v>3229</v>
      </c>
      <c r="WL20">
        <v>3300</v>
      </c>
      <c r="WM20">
        <v>3532</v>
      </c>
      <c r="WO20">
        <v>3317</v>
      </c>
      <c r="WP20">
        <v>3093</v>
      </c>
      <c r="WQ20">
        <v>3303</v>
      </c>
      <c r="WR20">
        <v>3392</v>
      </c>
      <c r="WS20">
        <v>3545</v>
      </c>
      <c r="WT20">
        <v>3424</v>
      </c>
      <c r="WU20">
        <v>3252</v>
      </c>
      <c r="WV20">
        <v>3396</v>
      </c>
      <c r="WW20">
        <v>3292</v>
      </c>
      <c r="WX20">
        <v>3376</v>
      </c>
      <c r="WY20">
        <v>3452</v>
      </c>
      <c r="WZ20">
        <v>3243</v>
      </c>
      <c r="XB20">
        <v>3174</v>
      </c>
      <c r="XC20">
        <v>3234</v>
      </c>
      <c r="XD20">
        <v>3251</v>
      </c>
      <c r="XE20">
        <v>3162</v>
      </c>
      <c r="XF20">
        <v>3198</v>
      </c>
      <c r="XG20">
        <v>3225</v>
      </c>
      <c r="XH20">
        <v>3314</v>
      </c>
      <c r="XI20">
        <v>3408</v>
      </c>
      <c r="XJ20">
        <v>3115</v>
      </c>
      <c r="XK20">
        <v>3229</v>
      </c>
      <c r="XL20">
        <v>3227</v>
      </c>
      <c r="XM20">
        <v>3106</v>
      </c>
      <c r="XO20">
        <v>3357</v>
      </c>
      <c r="XP20">
        <v>3396</v>
      </c>
      <c r="XQ20">
        <v>3336</v>
      </c>
      <c r="XR20">
        <v>3332</v>
      </c>
      <c r="XS20">
        <v>3328</v>
      </c>
      <c r="XT20">
        <v>3353</v>
      </c>
      <c r="XU20">
        <v>3157</v>
      </c>
      <c r="XV20">
        <v>3282</v>
      </c>
      <c r="XW20">
        <v>3369</v>
      </c>
      <c r="XX20">
        <v>3303</v>
      </c>
      <c r="XY20">
        <v>3309</v>
      </c>
      <c r="XZ20">
        <v>3567</v>
      </c>
      <c r="YB20">
        <v>3453</v>
      </c>
      <c r="YC20">
        <v>3377</v>
      </c>
      <c r="YD20">
        <v>3432</v>
      </c>
      <c r="YE20">
        <v>3463</v>
      </c>
      <c r="YF20">
        <v>3417</v>
      </c>
      <c r="YG20">
        <v>3620</v>
      </c>
      <c r="YH20">
        <v>3531</v>
      </c>
      <c r="YI20">
        <v>3887</v>
      </c>
      <c r="YJ20">
        <v>3590</v>
      </c>
      <c r="YK20">
        <v>3760</v>
      </c>
      <c r="YL20">
        <v>3677</v>
      </c>
      <c r="YM20">
        <v>3629</v>
      </c>
      <c r="YO20">
        <v>3665</v>
      </c>
      <c r="YP20">
        <v>3740</v>
      </c>
      <c r="YQ20">
        <v>3722</v>
      </c>
      <c r="YR20">
        <v>3736</v>
      </c>
      <c r="YS20">
        <v>3693</v>
      </c>
      <c r="YT20">
        <v>3730</v>
      </c>
      <c r="YU20">
        <v>3851</v>
      </c>
      <c r="YV20">
        <v>3811</v>
      </c>
      <c r="YW20">
        <v>3779</v>
      </c>
      <c r="YX20">
        <v>3656</v>
      </c>
      <c r="YY20">
        <v>3666</v>
      </c>
      <c r="YZ20">
        <v>3707</v>
      </c>
      <c r="ZB20">
        <v>3591</v>
      </c>
      <c r="ZC20">
        <v>3739</v>
      </c>
      <c r="ZD20">
        <v>3798</v>
      </c>
      <c r="ZE20">
        <v>3547</v>
      </c>
      <c r="ZF20">
        <v>3992</v>
      </c>
      <c r="ZG20">
        <v>3696</v>
      </c>
      <c r="ZH20">
        <v>3921</v>
      </c>
      <c r="ZI20">
        <v>3684</v>
      </c>
      <c r="ZJ20">
        <v>3901</v>
      </c>
      <c r="ZK20">
        <v>3929</v>
      </c>
      <c r="ZL20">
        <v>3894</v>
      </c>
      <c r="ZM20">
        <v>3748</v>
      </c>
      <c r="ZO20">
        <v>3894</v>
      </c>
      <c r="ZP20">
        <v>4170</v>
      </c>
      <c r="ZQ20">
        <v>3836</v>
      </c>
      <c r="ZR20">
        <v>4193</v>
      </c>
      <c r="ZS20">
        <v>4163</v>
      </c>
      <c r="ZT20">
        <v>3958</v>
      </c>
      <c r="ZU20">
        <v>4028</v>
      </c>
      <c r="ZV20">
        <v>4523</v>
      </c>
      <c r="ZW20">
        <v>3839</v>
      </c>
      <c r="ZX20">
        <v>3890</v>
      </c>
      <c r="ZY20">
        <v>3719</v>
      </c>
      <c r="ZZ20">
        <v>3883</v>
      </c>
      <c r="AAB20">
        <v>3897</v>
      </c>
      <c r="AAC20">
        <v>3419</v>
      </c>
      <c r="AAD20">
        <v>3992</v>
      </c>
      <c r="AAE20">
        <v>3801</v>
      </c>
      <c r="AAF20">
        <v>3817</v>
      </c>
      <c r="AAG20">
        <v>3988</v>
      </c>
      <c r="AAH20">
        <v>3721</v>
      </c>
      <c r="AAI20">
        <v>3682</v>
      </c>
      <c r="AAJ20">
        <v>3413</v>
      </c>
      <c r="AAK20">
        <v>3956</v>
      </c>
      <c r="AAL20">
        <v>4040</v>
      </c>
      <c r="AAM20">
        <v>3701</v>
      </c>
      <c r="AAO20">
        <v>3705</v>
      </c>
      <c r="AAP20">
        <v>3710</v>
      </c>
      <c r="AAQ20">
        <v>3790</v>
      </c>
      <c r="AAR20">
        <v>3608</v>
      </c>
      <c r="AAS20">
        <v>3667</v>
      </c>
      <c r="AAT20">
        <v>3801</v>
      </c>
      <c r="AAU20">
        <v>4074</v>
      </c>
      <c r="AAV20">
        <v>3781</v>
      </c>
      <c r="AAW20">
        <v>3894</v>
      </c>
      <c r="AAX20">
        <v>3768</v>
      </c>
      <c r="AAY20">
        <v>3822</v>
      </c>
      <c r="AAZ20">
        <v>3991</v>
      </c>
      <c r="ABB20">
        <v>3766</v>
      </c>
      <c r="ABC20">
        <v>3747</v>
      </c>
      <c r="ABD20">
        <v>3910</v>
      </c>
      <c r="ABE20">
        <v>3845</v>
      </c>
      <c r="ABF20">
        <v>3846</v>
      </c>
      <c r="ABG20">
        <v>3604</v>
      </c>
      <c r="ABH20">
        <v>3887</v>
      </c>
      <c r="ABI20">
        <v>3946</v>
      </c>
      <c r="ABJ20">
        <v>4006</v>
      </c>
      <c r="ABK20">
        <v>4014</v>
      </c>
      <c r="ABL20">
        <v>3815</v>
      </c>
      <c r="ABM20">
        <v>4119</v>
      </c>
      <c r="ABO20">
        <v>3978</v>
      </c>
      <c r="ABP20">
        <v>3890</v>
      </c>
      <c r="ABQ20">
        <v>3847</v>
      </c>
      <c r="ABR20">
        <v>3863</v>
      </c>
      <c r="ABS20">
        <v>3894</v>
      </c>
      <c r="ABT20">
        <v>3863</v>
      </c>
      <c r="ABU20">
        <v>3993</v>
      </c>
      <c r="ABV20">
        <v>3875</v>
      </c>
      <c r="ABW20">
        <v>3934</v>
      </c>
      <c r="ABX20">
        <v>4044</v>
      </c>
      <c r="ABY20">
        <v>4037</v>
      </c>
      <c r="ABZ20">
        <v>4095</v>
      </c>
      <c r="ACB20">
        <v>3935</v>
      </c>
      <c r="ACC20">
        <v>3791</v>
      </c>
      <c r="ACD20">
        <v>4011</v>
      </c>
      <c r="ACE20">
        <v>4229</v>
      </c>
      <c r="ACF20">
        <v>4132</v>
      </c>
      <c r="ACG20">
        <v>4136</v>
      </c>
      <c r="ACH20">
        <v>4244</v>
      </c>
      <c r="ACI20">
        <v>4086</v>
      </c>
      <c r="ACJ20">
        <v>4154</v>
      </c>
      <c r="ACK20">
        <v>3904</v>
      </c>
      <c r="ACL20">
        <v>4175</v>
      </c>
      <c r="ACM20">
        <v>4137</v>
      </c>
      <c r="ACO20">
        <v>4283</v>
      </c>
      <c r="ACP20">
        <v>4333</v>
      </c>
      <c r="ACQ20">
        <v>4191</v>
      </c>
      <c r="ACR20">
        <v>4502</v>
      </c>
      <c r="ACS20">
        <v>3961</v>
      </c>
      <c r="ACT20">
        <v>4035</v>
      </c>
      <c r="ACU20">
        <v>3998</v>
      </c>
      <c r="ACV20">
        <v>4412</v>
      </c>
      <c r="ACW20">
        <v>3685</v>
      </c>
      <c r="ACX20">
        <v>4277</v>
      </c>
      <c r="ACY20">
        <v>3772</v>
      </c>
      <c r="ACZ20">
        <v>4160</v>
      </c>
      <c r="ADB20">
        <v>3630</v>
      </c>
      <c r="ADC20">
        <v>4048</v>
      </c>
      <c r="ADD20">
        <v>3957</v>
      </c>
      <c r="ADE20">
        <v>3886</v>
      </c>
      <c r="ADF20">
        <v>3819</v>
      </c>
      <c r="ADG20">
        <v>4031</v>
      </c>
      <c r="ADH20">
        <v>3974</v>
      </c>
      <c r="ADI20">
        <v>3756</v>
      </c>
      <c r="ADJ20">
        <v>3944</v>
      </c>
      <c r="ADK20">
        <v>3701</v>
      </c>
      <c r="ADL20">
        <v>3867</v>
      </c>
      <c r="ADM20">
        <v>3797</v>
      </c>
      <c r="ADO20">
        <v>4031</v>
      </c>
      <c r="ADP20">
        <v>3574</v>
      </c>
      <c r="ADQ20">
        <v>3784</v>
      </c>
      <c r="ADR20">
        <v>3676</v>
      </c>
      <c r="ADS20">
        <v>3472</v>
      </c>
      <c r="ADT20">
        <v>3628</v>
      </c>
      <c r="ADU20">
        <v>3498</v>
      </c>
      <c r="ADV20">
        <v>3765</v>
      </c>
      <c r="ADW20">
        <v>3833</v>
      </c>
      <c r="ADX20">
        <v>3587</v>
      </c>
      <c r="ADY20">
        <v>3409</v>
      </c>
      <c r="ADZ20">
        <v>3858</v>
      </c>
      <c r="AEB20">
        <v>3454</v>
      </c>
      <c r="AEC20">
        <v>3569</v>
      </c>
      <c r="AED20">
        <v>3742</v>
      </c>
      <c r="AEE20">
        <v>3481</v>
      </c>
      <c r="AEF20">
        <v>3830</v>
      </c>
      <c r="AEG20">
        <v>3583</v>
      </c>
      <c r="AEH20">
        <v>3574</v>
      </c>
      <c r="AEI20">
        <v>3532</v>
      </c>
      <c r="AEJ20">
        <v>3542</v>
      </c>
      <c r="AEK20">
        <v>3982</v>
      </c>
      <c r="AEL20">
        <v>3582</v>
      </c>
      <c r="AEM20">
        <v>3692</v>
      </c>
      <c r="AEO20">
        <v>3685</v>
      </c>
      <c r="AEP20">
        <v>3672</v>
      </c>
      <c r="AEQ20">
        <v>3543</v>
      </c>
      <c r="AER20">
        <v>3575</v>
      </c>
      <c r="AES20">
        <v>3749</v>
      </c>
      <c r="AET20">
        <v>3866</v>
      </c>
      <c r="AEU20">
        <v>3816</v>
      </c>
      <c r="AEV20">
        <v>3541</v>
      </c>
      <c r="AEW20">
        <v>3484</v>
      </c>
      <c r="AEX20">
        <v>3740</v>
      </c>
      <c r="AEY20">
        <v>3601</v>
      </c>
      <c r="AEZ20">
        <v>3916</v>
      </c>
      <c r="AFB20">
        <v>3978</v>
      </c>
      <c r="AFC20">
        <v>3535</v>
      </c>
      <c r="AFD20">
        <v>3773</v>
      </c>
      <c r="AFE20">
        <v>3966</v>
      </c>
      <c r="AFF20">
        <v>3672</v>
      </c>
      <c r="AFG20">
        <v>3750</v>
      </c>
      <c r="AFH20">
        <v>3896</v>
      </c>
      <c r="AFI20">
        <v>4080</v>
      </c>
      <c r="AFJ20">
        <v>3466</v>
      </c>
      <c r="AFK20">
        <v>3673</v>
      </c>
      <c r="AFL20">
        <v>3939</v>
      </c>
      <c r="AFM20">
        <v>3754</v>
      </c>
      <c r="AFO20">
        <v>3745</v>
      </c>
      <c r="AFP20">
        <v>4015</v>
      </c>
      <c r="AFQ20">
        <v>4204</v>
      </c>
      <c r="AFR20">
        <v>3941</v>
      </c>
      <c r="AFS20">
        <v>3825</v>
      </c>
      <c r="AFT20">
        <v>4003</v>
      </c>
      <c r="AFU20">
        <v>3854</v>
      </c>
      <c r="AFV20">
        <v>4068</v>
      </c>
      <c r="AFW20">
        <v>3955</v>
      </c>
    </row>
    <row r="21" spans="1:855" x14ac:dyDescent="0.25">
      <c r="A21" t="s">
        <v>101</v>
      </c>
      <c r="UC21">
        <v>1360</v>
      </c>
      <c r="UD21">
        <v>1466</v>
      </c>
      <c r="UE21">
        <v>1394</v>
      </c>
      <c r="UF21">
        <v>1313</v>
      </c>
      <c r="UG21">
        <v>1393</v>
      </c>
      <c r="UH21">
        <v>1391</v>
      </c>
      <c r="UI21">
        <v>1355</v>
      </c>
      <c r="UJ21">
        <v>1378</v>
      </c>
      <c r="UK21">
        <v>1413</v>
      </c>
      <c r="UL21">
        <v>1455</v>
      </c>
      <c r="UM21">
        <v>1490</v>
      </c>
      <c r="UO21">
        <v>1582</v>
      </c>
      <c r="UP21">
        <v>1522</v>
      </c>
      <c r="UQ21">
        <v>1510</v>
      </c>
      <c r="UR21">
        <v>1493</v>
      </c>
      <c r="US21">
        <v>1613</v>
      </c>
      <c r="UT21">
        <v>1612</v>
      </c>
      <c r="UU21">
        <v>1665</v>
      </c>
      <c r="UV21">
        <v>1610</v>
      </c>
      <c r="UW21">
        <v>1588</v>
      </c>
      <c r="UX21">
        <v>1675</v>
      </c>
      <c r="UY21">
        <v>1595</v>
      </c>
      <c r="UZ21">
        <v>1673</v>
      </c>
      <c r="VB21">
        <v>1616</v>
      </c>
      <c r="VC21">
        <v>1542</v>
      </c>
      <c r="VD21">
        <v>1623</v>
      </c>
      <c r="VE21">
        <v>1740</v>
      </c>
      <c r="VF21">
        <v>1633</v>
      </c>
      <c r="VG21">
        <v>1627</v>
      </c>
      <c r="VH21">
        <v>1839</v>
      </c>
      <c r="VI21">
        <v>1721</v>
      </c>
      <c r="VJ21">
        <v>1803</v>
      </c>
      <c r="VK21">
        <v>1909</v>
      </c>
      <c r="VL21">
        <v>1609</v>
      </c>
      <c r="VM21">
        <v>1813</v>
      </c>
      <c r="VO21">
        <v>1747</v>
      </c>
      <c r="VP21">
        <v>1846</v>
      </c>
      <c r="VQ21">
        <v>1732</v>
      </c>
      <c r="VR21">
        <v>1651</v>
      </c>
      <c r="VS21">
        <v>1532</v>
      </c>
      <c r="VT21">
        <v>1578</v>
      </c>
      <c r="VU21">
        <v>1725</v>
      </c>
      <c r="VV21">
        <v>1689</v>
      </c>
      <c r="VW21">
        <v>1718</v>
      </c>
      <c r="VX21">
        <v>1629</v>
      </c>
      <c r="VY21">
        <v>1690</v>
      </c>
      <c r="VZ21">
        <v>1684</v>
      </c>
      <c r="WB21">
        <v>1663</v>
      </c>
      <c r="WC21">
        <v>1782</v>
      </c>
      <c r="WD21">
        <v>1911</v>
      </c>
      <c r="WE21">
        <v>1909</v>
      </c>
      <c r="WF21">
        <v>1899</v>
      </c>
      <c r="WG21">
        <v>1961</v>
      </c>
      <c r="WH21">
        <v>1832</v>
      </c>
      <c r="WI21">
        <v>1778</v>
      </c>
      <c r="WJ21">
        <v>1772</v>
      </c>
      <c r="WK21">
        <v>1723</v>
      </c>
      <c r="WL21">
        <v>1820</v>
      </c>
      <c r="WM21">
        <v>1708</v>
      </c>
      <c r="WO21">
        <v>1678</v>
      </c>
      <c r="WP21">
        <v>1686</v>
      </c>
      <c r="WQ21">
        <v>1576</v>
      </c>
      <c r="WR21">
        <v>1534</v>
      </c>
      <c r="WS21">
        <v>1834</v>
      </c>
      <c r="WT21">
        <v>1695</v>
      </c>
      <c r="WU21">
        <v>1661</v>
      </c>
      <c r="WV21">
        <v>1693</v>
      </c>
      <c r="WW21">
        <v>1785</v>
      </c>
      <c r="WX21">
        <v>1811</v>
      </c>
      <c r="WY21">
        <v>1694</v>
      </c>
      <c r="WZ21">
        <v>1718</v>
      </c>
      <c r="XB21">
        <v>1682</v>
      </c>
      <c r="XC21">
        <v>1759</v>
      </c>
      <c r="XD21">
        <v>1689</v>
      </c>
      <c r="XE21">
        <v>1641</v>
      </c>
      <c r="XF21">
        <v>1754</v>
      </c>
      <c r="XG21">
        <v>1839</v>
      </c>
      <c r="XH21">
        <v>1601</v>
      </c>
      <c r="XI21">
        <v>1671</v>
      </c>
      <c r="XJ21">
        <v>1640</v>
      </c>
      <c r="XK21">
        <v>1464</v>
      </c>
      <c r="XL21">
        <v>1617</v>
      </c>
      <c r="XM21">
        <v>1593</v>
      </c>
      <c r="XO21">
        <v>1647</v>
      </c>
      <c r="XP21">
        <v>1609</v>
      </c>
      <c r="XQ21">
        <v>1569</v>
      </c>
      <c r="XR21">
        <v>1644</v>
      </c>
      <c r="XS21">
        <v>1593</v>
      </c>
      <c r="XT21">
        <v>1538</v>
      </c>
      <c r="XU21">
        <v>1539</v>
      </c>
      <c r="XV21">
        <v>1677</v>
      </c>
      <c r="XW21">
        <v>1534</v>
      </c>
      <c r="XX21">
        <v>1587</v>
      </c>
      <c r="XY21">
        <v>1511</v>
      </c>
      <c r="XZ21">
        <v>1478</v>
      </c>
      <c r="YB21">
        <v>1552</v>
      </c>
      <c r="YC21">
        <v>1606</v>
      </c>
      <c r="YD21">
        <v>1587</v>
      </c>
      <c r="YE21">
        <v>1582</v>
      </c>
      <c r="YF21">
        <v>1432</v>
      </c>
      <c r="YG21">
        <v>1331</v>
      </c>
      <c r="YH21">
        <v>1473</v>
      </c>
      <c r="YI21">
        <v>1461</v>
      </c>
      <c r="YJ21">
        <v>1447</v>
      </c>
      <c r="YK21">
        <v>1511</v>
      </c>
      <c r="YL21">
        <v>1595</v>
      </c>
      <c r="YM21">
        <v>1576</v>
      </c>
      <c r="YO21">
        <v>1488</v>
      </c>
      <c r="YP21">
        <v>1442</v>
      </c>
      <c r="YQ21">
        <v>1471</v>
      </c>
      <c r="YR21">
        <v>1438</v>
      </c>
      <c r="YS21">
        <v>1528</v>
      </c>
      <c r="YT21">
        <v>1316</v>
      </c>
      <c r="YU21">
        <v>1360</v>
      </c>
      <c r="YV21">
        <v>1413</v>
      </c>
      <c r="YW21">
        <v>1292</v>
      </c>
      <c r="YX21">
        <v>1457</v>
      </c>
      <c r="YY21">
        <v>1404</v>
      </c>
      <c r="YZ21">
        <v>1401</v>
      </c>
      <c r="ZB21">
        <v>1256</v>
      </c>
      <c r="ZC21">
        <v>1395</v>
      </c>
      <c r="ZD21">
        <v>1451</v>
      </c>
      <c r="ZE21">
        <v>1398</v>
      </c>
      <c r="ZF21">
        <v>1379</v>
      </c>
      <c r="ZG21">
        <v>1491</v>
      </c>
      <c r="ZH21">
        <v>1289</v>
      </c>
      <c r="ZI21">
        <v>1422</v>
      </c>
      <c r="ZJ21">
        <v>1497</v>
      </c>
      <c r="ZK21">
        <v>1273</v>
      </c>
      <c r="ZL21">
        <v>1244</v>
      </c>
      <c r="ZM21">
        <v>1293</v>
      </c>
      <c r="ZO21">
        <v>1258</v>
      </c>
      <c r="ZP21">
        <v>1436</v>
      </c>
      <c r="ZQ21">
        <v>1478</v>
      </c>
      <c r="ZR21">
        <v>1536</v>
      </c>
      <c r="ZS21">
        <v>1462</v>
      </c>
      <c r="ZT21">
        <v>1437</v>
      </c>
      <c r="ZU21">
        <v>1456</v>
      </c>
      <c r="ZV21">
        <v>1454</v>
      </c>
      <c r="ZW21">
        <v>1550</v>
      </c>
      <c r="ZX21">
        <v>1562</v>
      </c>
      <c r="ZY21">
        <v>1624</v>
      </c>
      <c r="ZZ21">
        <v>1680</v>
      </c>
      <c r="AAB21">
        <v>1796</v>
      </c>
      <c r="AAC21">
        <v>1608</v>
      </c>
      <c r="AAD21">
        <v>1655</v>
      </c>
      <c r="AAE21">
        <v>1651</v>
      </c>
      <c r="AAF21">
        <v>1814</v>
      </c>
      <c r="AAG21">
        <v>1786</v>
      </c>
      <c r="AAH21">
        <v>1975</v>
      </c>
      <c r="AAI21">
        <v>1713</v>
      </c>
      <c r="AAJ21">
        <v>1714</v>
      </c>
      <c r="AAK21">
        <v>1778</v>
      </c>
      <c r="AAL21">
        <v>1819</v>
      </c>
      <c r="AAM21">
        <v>1777</v>
      </c>
      <c r="AAO21">
        <v>1988</v>
      </c>
      <c r="AAP21">
        <v>1796</v>
      </c>
      <c r="AAQ21">
        <v>2015</v>
      </c>
      <c r="AAR21">
        <v>1778</v>
      </c>
      <c r="AAS21">
        <v>1897</v>
      </c>
      <c r="AAT21">
        <v>1828</v>
      </c>
      <c r="AAU21">
        <v>2005</v>
      </c>
      <c r="AAV21">
        <v>2016</v>
      </c>
      <c r="AAW21">
        <v>1912</v>
      </c>
      <c r="AAX21">
        <v>1997</v>
      </c>
      <c r="AAY21">
        <v>1845</v>
      </c>
      <c r="AAZ21">
        <v>1892</v>
      </c>
      <c r="ABB21">
        <v>1661</v>
      </c>
      <c r="ABC21">
        <v>1948</v>
      </c>
      <c r="ABD21">
        <v>1871</v>
      </c>
      <c r="ABE21">
        <v>1879</v>
      </c>
      <c r="ABF21">
        <v>1766</v>
      </c>
      <c r="ABG21">
        <v>1797</v>
      </c>
      <c r="ABH21">
        <v>1845</v>
      </c>
      <c r="ABI21">
        <v>1974</v>
      </c>
      <c r="ABJ21">
        <v>1886</v>
      </c>
      <c r="ABK21">
        <v>1740</v>
      </c>
      <c r="ABL21">
        <v>1780</v>
      </c>
      <c r="ABM21">
        <v>1797</v>
      </c>
      <c r="ABO21">
        <v>1733</v>
      </c>
      <c r="ABP21">
        <v>1648</v>
      </c>
      <c r="ABQ21">
        <v>1853</v>
      </c>
      <c r="ABR21">
        <v>1716</v>
      </c>
      <c r="ABS21">
        <v>1777</v>
      </c>
      <c r="ABT21">
        <v>1819</v>
      </c>
      <c r="ABU21">
        <v>1816</v>
      </c>
      <c r="ABV21">
        <v>1721</v>
      </c>
      <c r="ABW21">
        <v>1780</v>
      </c>
      <c r="ABX21">
        <v>1817</v>
      </c>
      <c r="ABY21">
        <v>1712</v>
      </c>
      <c r="ABZ21">
        <v>2004</v>
      </c>
      <c r="ACB21">
        <v>1800</v>
      </c>
      <c r="ACC21">
        <v>1672</v>
      </c>
      <c r="ACD21">
        <v>1745</v>
      </c>
      <c r="ACE21">
        <v>1733</v>
      </c>
      <c r="ACF21">
        <v>1745</v>
      </c>
      <c r="ACG21">
        <v>1734</v>
      </c>
      <c r="ACH21">
        <v>1711</v>
      </c>
      <c r="ACI21">
        <v>1738</v>
      </c>
      <c r="ACJ21">
        <v>1683</v>
      </c>
      <c r="ACK21">
        <v>1739</v>
      </c>
      <c r="ACL21">
        <v>1488</v>
      </c>
      <c r="ACM21">
        <v>1600</v>
      </c>
      <c r="ACO21">
        <v>1544</v>
      </c>
      <c r="ACP21">
        <v>1741</v>
      </c>
      <c r="ACQ21">
        <v>1630</v>
      </c>
      <c r="ACR21">
        <v>1502</v>
      </c>
      <c r="ACS21">
        <v>1559</v>
      </c>
      <c r="ACT21">
        <v>1598</v>
      </c>
      <c r="ACU21">
        <v>1582</v>
      </c>
      <c r="ACV21">
        <v>1592</v>
      </c>
      <c r="ACW21">
        <v>1606</v>
      </c>
      <c r="ACX21">
        <v>1637</v>
      </c>
      <c r="ACY21">
        <v>1697</v>
      </c>
      <c r="ACZ21">
        <v>1496</v>
      </c>
      <c r="ADB21">
        <v>1567</v>
      </c>
      <c r="ADC21">
        <v>1873</v>
      </c>
      <c r="ADD21">
        <v>1712</v>
      </c>
      <c r="ADE21">
        <v>1905</v>
      </c>
      <c r="ADF21">
        <v>1666</v>
      </c>
      <c r="ADG21">
        <v>1819</v>
      </c>
      <c r="ADH21">
        <v>1736</v>
      </c>
      <c r="ADI21">
        <v>1919</v>
      </c>
      <c r="ADJ21">
        <v>2091</v>
      </c>
      <c r="ADK21">
        <v>1998</v>
      </c>
      <c r="ADL21">
        <v>2090</v>
      </c>
      <c r="ADM21">
        <v>2240</v>
      </c>
      <c r="ADO21">
        <v>2230</v>
      </c>
      <c r="ADP21">
        <v>2323</v>
      </c>
      <c r="ADQ21">
        <v>2490</v>
      </c>
      <c r="ADR21">
        <v>2423</v>
      </c>
      <c r="ADS21">
        <v>2590</v>
      </c>
      <c r="ADT21">
        <v>2554</v>
      </c>
      <c r="ADU21">
        <v>2770</v>
      </c>
      <c r="ADV21">
        <v>2877</v>
      </c>
      <c r="ADW21">
        <v>2658</v>
      </c>
      <c r="ADX21">
        <v>2778</v>
      </c>
      <c r="ADY21">
        <v>2785</v>
      </c>
      <c r="ADZ21">
        <v>2944</v>
      </c>
      <c r="AEB21">
        <v>2845</v>
      </c>
      <c r="AEC21">
        <v>2786</v>
      </c>
      <c r="AED21">
        <v>2838</v>
      </c>
      <c r="AEE21">
        <v>2740</v>
      </c>
      <c r="AEF21">
        <v>3010</v>
      </c>
      <c r="AEG21">
        <v>3040</v>
      </c>
      <c r="AEH21">
        <v>2851</v>
      </c>
      <c r="AEI21">
        <v>2882</v>
      </c>
      <c r="AEJ21">
        <v>2952</v>
      </c>
      <c r="AEK21">
        <v>2867</v>
      </c>
      <c r="AEL21">
        <v>2814</v>
      </c>
      <c r="AEM21">
        <v>3168</v>
      </c>
      <c r="AEO21">
        <v>3048</v>
      </c>
      <c r="AEP21">
        <v>2895</v>
      </c>
      <c r="AEQ21">
        <v>2774</v>
      </c>
      <c r="AER21">
        <v>2841</v>
      </c>
      <c r="AES21">
        <v>2814</v>
      </c>
      <c r="AET21">
        <v>2790</v>
      </c>
      <c r="AEU21">
        <v>2955</v>
      </c>
      <c r="AEV21">
        <v>2744</v>
      </c>
      <c r="AEW21">
        <v>2978</v>
      </c>
      <c r="AEX21">
        <v>2682</v>
      </c>
      <c r="AEY21">
        <v>2769</v>
      </c>
      <c r="AEZ21">
        <v>2733</v>
      </c>
      <c r="AFB21">
        <v>2842</v>
      </c>
      <c r="AFC21">
        <v>2637</v>
      </c>
      <c r="AFD21">
        <v>2743</v>
      </c>
      <c r="AFE21">
        <v>2669</v>
      </c>
      <c r="AFF21">
        <v>2610</v>
      </c>
      <c r="AFG21">
        <v>2667</v>
      </c>
      <c r="AFH21">
        <v>2693</v>
      </c>
      <c r="AFI21">
        <v>2933</v>
      </c>
      <c r="AFJ21">
        <v>2783</v>
      </c>
      <c r="AFK21">
        <v>2702</v>
      </c>
      <c r="AFL21">
        <v>2890</v>
      </c>
      <c r="AFM21">
        <v>2735</v>
      </c>
      <c r="AFO21">
        <v>2563</v>
      </c>
      <c r="AFP21">
        <v>2762</v>
      </c>
      <c r="AFQ21">
        <v>2745</v>
      </c>
      <c r="AFR21">
        <v>2469</v>
      </c>
      <c r="AFS21">
        <v>2416</v>
      </c>
      <c r="AFT21">
        <v>2481</v>
      </c>
      <c r="AFU21">
        <v>2619</v>
      </c>
      <c r="AFV21">
        <v>2658</v>
      </c>
      <c r="AFW21">
        <v>2425</v>
      </c>
    </row>
    <row r="22" spans="1:855" x14ac:dyDescent="0.25">
      <c r="A22" t="s">
        <v>102</v>
      </c>
      <c r="UC22">
        <v>57654</v>
      </c>
      <c r="UD22">
        <v>57812</v>
      </c>
      <c r="UE22">
        <v>58024</v>
      </c>
      <c r="UF22">
        <v>58364</v>
      </c>
      <c r="UG22">
        <v>58502</v>
      </c>
      <c r="UH22">
        <v>58571</v>
      </c>
      <c r="UI22">
        <v>58690</v>
      </c>
      <c r="UJ22">
        <v>58671</v>
      </c>
      <c r="UK22">
        <v>58843</v>
      </c>
      <c r="UL22">
        <v>58804</v>
      </c>
      <c r="UM22">
        <v>58998</v>
      </c>
      <c r="UO22">
        <v>59193</v>
      </c>
      <c r="UP22">
        <v>59474</v>
      </c>
      <c r="UQ22">
        <v>59345</v>
      </c>
      <c r="UR22">
        <v>59318</v>
      </c>
      <c r="US22">
        <v>59294</v>
      </c>
      <c r="UT22">
        <v>59498</v>
      </c>
      <c r="UU22">
        <v>59782</v>
      </c>
      <c r="UV22">
        <v>59992</v>
      </c>
      <c r="UW22">
        <v>59864</v>
      </c>
      <c r="UX22">
        <v>59843</v>
      </c>
      <c r="UY22">
        <v>60135</v>
      </c>
      <c r="UZ22">
        <v>60262</v>
      </c>
      <c r="VB22">
        <v>59898</v>
      </c>
      <c r="VC22">
        <v>60135</v>
      </c>
      <c r="VD22">
        <v>59830</v>
      </c>
      <c r="VE22">
        <v>59693</v>
      </c>
      <c r="VF22">
        <v>59384</v>
      </c>
      <c r="VG22">
        <v>59385</v>
      </c>
      <c r="VH22">
        <v>59128</v>
      </c>
      <c r="VI22">
        <v>59398</v>
      </c>
      <c r="VJ22">
        <v>59557</v>
      </c>
      <c r="VK22">
        <v>59915</v>
      </c>
      <c r="VL22">
        <v>60291</v>
      </c>
      <c r="VM22">
        <v>60128</v>
      </c>
      <c r="VO22">
        <v>60356</v>
      </c>
      <c r="VP22">
        <v>60348</v>
      </c>
      <c r="VQ22">
        <v>60688</v>
      </c>
      <c r="VR22">
        <v>60707</v>
      </c>
      <c r="VS22">
        <v>60523</v>
      </c>
      <c r="VT22">
        <v>60523</v>
      </c>
      <c r="VU22">
        <v>60515</v>
      </c>
      <c r="VV22">
        <v>60433</v>
      </c>
      <c r="VW22">
        <v>60598</v>
      </c>
      <c r="VX22">
        <v>60963</v>
      </c>
      <c r="VY22">
        <v>60892</v>
      </c>
      <c r="VZ22">
        <v>60785</v>
      </c>
      <c r="WB22">
        <v>60397</v>
      </c>
      <c r="WC22">
        <v>59916</v>
      </c>
      <c r="WD22">
        <v>60139</v>
      </c>
      <c r="WE22">
        <v>60507</v>
      </c>
      <c r="WF22">
        <v>60473</v>
      </c>
      <c r="WG22">
        <v>60611</v>
      </c>
      <c r="WH22">
        <v>60862</v>
      </c>
      <c r="WI22">
        <v>60648</v>
      </c>
      <c r="WJ22">
        <v>60614</v>
      </c>
      <c r="WK22">
        <v>60541</v>
      </c>
      <c r="WL22">
        <v>60400</v>
      </c>
      <c r="WM22">
        <v>60393</v>
      </c>
      <c r="WO22">
        <v>60515</v>
      </c>
      <c r="WP22">
        <v>60791</v>
      </c>
      <c r="WQ22">
        <v>60843</v>
      </c>
      <c r="WR22">
        <v>60451</v>
      </c>
      <c r="WS22">
        <v>60880</v>
      </c>
      <c r="WT22">
        <v>61202</v>
      </c>
      <c r="WU22">
        <v>61161</v>
      </c>
      <c r="WV22">
        <v>61180</v>
      </c>
      <c r="WW22">
        <v>61090</v>
      </c>
      <c r="WX22">
        <v>61117</v>
      </c>
      <c r="WY22">
        <v>61368</v>
      </c>
      <c r="WZ22">
        <v>61861</v>
      </c>
      <c r="XB22">
        <v>61960</v>
      </c>
      <c r="XC22">
        <v>61594</v>
      </c>
      <c r="XD22">
        <v>61610</v>
      </c>
      <c r="XE22">
        <v>61655</v>
      </c>
      <c r="XF22">
        <v>61455</v>
      </c>
      <c r="XG22">
        <v>61495</v>
      </c>
      <c r="XH22">
        <v>61235</v>
      </c>
      <c r="XI22">
        <v>61449</v>
      </c>
      <c r="XJ22">
        <v>61591</v>
      </c>
      <c r="XK22">
        <v>61443</v>
      </c>
      <c r="XL22">
        <v>61382</v>
      </c>
      <c r="XM22">
        <v>61636</v>
      </c>
      <c r="XO22">
        <v>61431</v>
      </c>
      <c r="XP22">
        <v>61803</v>
      </c>
      <c r="XQ22">
        <v>61525</v>
      </c>
      <c r="XR22">
        <v>61497</v>
      </c>
      <c r="XS22">
        <v>61564</v>
      </c>
      <c r="XT22">
        <v>61699</v>
      </c>
      <c r="XU22">
        <v>61747</v>
      </c>
      <c r="XV22">
        <v>61553</v>
      </c>
      <c r="XW22">
        <v>61773</v>
      </c>
      <c r="XX22">
        <v>62001</v>
      </c>
      <c r="XY22">
        <v>61945</v>
      </c>
      <c r="XZ22">
        <v>61672</v>
      </c>
      <c r="YB22">
        <v>61910</v>
      </c>
      <c r="YC22">
        <v>62059</v>
      </c>
      <c r="YD22">
        <v>62077</v>
      </c>
      <c r="YE22">
        <v>62306</v>
      </c>
      <c r="YF22">
        <v>62464</v>
      </c>
      <c r="YG22">
        <v>62467</v>
      </c>
      <c r="YH22">
        <v>62426</v>
      </c>
      <c r="YI22">
        <v>62325</v>
      </c>
      <c r="YJ22">
        <v>62141</v>
      </c>
      <c r="YK22">
        <v>62137</v>
      </c>
      <c r="YL22">
        <v>62250</v>
      </c>
      <c r="YM22">
        <v>62256</v>
      </c>
      <c r="YO22">
        <v>62132</v>
      </c>
      <c r="YP22">
        <v>62466</v>
      </c>
      <c r="YQ22">
        <v>62808</v>
      </c>
      <c r="YR22">
        <v>62792</v>
      </c>
      <c r="YS22">
        <v>62847</v>
      </c>
      <c r="YT22">
        <v>62994</v>
      </c>
      <c r="YU22">
        <v>62877</v>
      </c>
      <c r="YV22">
        <v>63103</v>
      </c>
      <c r="YW22">
        <v>63246</v>
      </c>
      <c r="YX22">
        <v>63311</v>
      </c>
      <c r="YY22">
        <v>63315</v>
      </c>
      <c r="YZ22">
        <v>63270</v>
      </c>
      <c r="ZB22">
        <v>63235</v>
      </c>
      <c r="ZC22">
        <v>63702</v>
      </c>
      <c r="ZD22">
        <v>63829</v>
      </c>
      <c r="ZE22">
        <v>64029</v>
      </c>
      <c r="ZF22">
        <v>64218</v>
      </c>
      <c r="ZG22">
        <v>64415</v>
      </c>
      <c r="ZH22">
        <v>64936</v>
      </c>
      <c r="ZI22">
        <v>64993</v>
      </c>
      <c r="ZJ22">
        <v>64989</v>
      </c>
      <c r="ZK22">
        <v>65290</v>
      </c>
      <c r="ZL22">
        <v>65145</v>
      </c>
      <c r="ZM22">
        <v>65132</v>
      </c>
      <c r="ZO22">
        <v>64689</v>
      </c>
      <c r="ZP22">
        <v>64506</v>
      </c>
      <c r="ZQ22">
        <v>64777</v>
      </c>
      <c r="ZR22">
        <v>64947</v>
      </c>
      <c r="ZS22">
        <v>65494</v>
      </c>
      <c r="ZT22">
        <v>65896</v>
      </c>
      <c r="ZU22">
        <v>65761</v>
      </c>
      <c r="ZV22">
        <v>65834</v>
      </c>
      <c r="ZW22">
        <v>65989</v>
      </c>
      <c r="ZX22">
        <v>66104</v>
      </c>
      <c r="ZY22">
        <v>66199</v>
      </c>
      <c r="ZZ22">
        <v>66167</v>
      </c>
      <c r="AAB22">
        <v>66587</v>
      </c>
      <c r="AAC22">
        <v>66658</v>
      </c>
      <c r="AAD22">
        <v>66452</v>
      </c>
      <c r="AAE22">
        <v>66543</v>
      </c>
      <c r="AAF22">
        <v>66331</v>
      </c>
      <c r="AAG22">
        <v>66551</v>
      </c>
      <c r="AAH22">
        <v>66840</v>
      </c>
      <c r="AAI22">
        <v>67074</v>
      </c>
      <c r="AAJ22">
        <v>67128</v>
      </c>
      <c r="AAK22">
        <v>66931</v>
      </c>
      <c r="AAL22">
        <v>67344</v>
      </c>
      <c r="AAM22">
        <v>67941</v>
      </c>
      <c r="AAO22">
        <v>67645</v>
      </c>
      <c r="AAP22">
        <v>68202</v>
      </c>
      <c r="AAQ22">
        <v>68221</v>
      </c>
      <c r="AAR22">
        <v>68361</v>
      </c>
      <c r="AAS22">
        <v>68368</v>
      </c>
      <c r="AAT22">
        <v>68047</v>
      </c>
      <c r="AAU22">
        <v>68317</v>
      </c>
      <c r="AAV22">
        <v>68923</v>
      </c>
      <c r="AAW22">
        <v>69092</v>
      </c>
      <c r="AAX22">
        <v>69137</v>
      </c>
      <c r="AAY22">
        <v>69306</v>
      </c>
      <c r="AAZ22">
        <v>69587</v>
      </c>
      <c r="ABB22">
        <v>69605</v>
      </c>
      <c r="ABC22">
        <v>69687</v>
      </c>
      <c r="ABD22">
        <v>69534</v>
      </c>
      <c r="ABE22">
        <v>69880</v>
      </c>
      <c r="ABF22">
        <v>69978</v>
      </c>
      <c r="ABG22">
        <v>69999</v>
      </c>
      <c r="ABH22">
        <v>69663</v>
      </c>
      <c r="ABI22">
        <v>69898</v>
      </c>
      <c r="ABJ22">
        <v>70306</v>
      </c>
      <c r="ABK22">
        <v>70330</v>
      </c>
      <c r="ABL22">
        <v>70356</v>
      </c>
      <c r="ABM22">
        <v>70343</v>
      </c>
      <c r="ABO22">
        <v>70751</v>
      </c>
      <c r="ABP22">
        <v>70846</v>
      </c>
      <c r="ABQ22">
        <v>70831</v>
      </c>
      <c r="ABR22">
        <v>70653</v>
      </c>
      <c r="ABS22">
        <v>70433</v>
      </c>
      <c r="ABT22">
        <v>70649</v>
      </c>
      <c r="ABU22">
        <v>70593</v>
      </c>
      <c r="ABV22">
        <v>70709</v>
      </c>
      <c r="ABW22">
        <v>70670</v>
      </c>
      <c r="ABX22">
        <v>70786</v>
      </c>
      <c r="ABY22">
        <v>70989</v>
      </c>
      <c r="ABZ22">
        <v>70967</v>
      </c>
      <c r="ACB22">
        <v>71212</v>
      </c>
      <c r="ACC22">
        <v>71316</v>
      </c>
      <c r="ACD22">
        <v>71097</v>
      </c>
      <c r="ACE22">
        <v>71054</v>
      </c>
      <c r="ACF22">
        <v>71187</v>
      </c>
      <c r="ACG22">
        <v>71107</v>
      </c>
      <c r="ACH22">
        <v>71284</v>
      </c>
      <c r="ACI22">
        <v>71290</v>
      </c>
      <c r="ACJ22">
        <v>71607</v>
      </c>
      <c r="ACK22">
        <v>71702</v>
      </c>
      <c r="ACL22">
        <v>71503</v>
      </c>
      <c r="ACM22">
        <v>71285</v>
      </c>
      <c r="ACO22">
        <v>71146</v>
      </c>
      <c r="ACP22">
        <v>71471</v>
      </c>
      <c r="ACQ22">
        <v>71865</v>
      </c>
      <c r="ACR22">
        <v>72510</v>
      </c>
      <c r="ACS22">
        <v>72935</v>
      </c>
      <c r="ACT22">
        <v>72778</v>
      </c>
      <c r="ACU22">
        <v>72958</v>
      </c>
      <c r="ACV22">
        <v>73101</v>
      </c>
      <c r="ACW22">
        <v>73432</v>
      </c>
      <c r="ACX22">
        <v>73274</v>
      </c>
      <c r="ACY22">
        <v>73326</v>
      </c>
      <c r="ACZ22">
        <v>73281</v>
      </c>
      <c r="ADB22">
        <v>72994</v>
      </c>
      <c r="ADC22">
        <v>72904</v>
      </c>
      <c r="ADD22">
        <v>73140</v>
      </c>
      <c r="ADE22">
        <v>73299</v>
      </c>
      <c r="ADF22">
        <v>73281</v>
      </c>
      <c r="ADG22">
        <v>73156</v>
      </c>
      <c r="ADH22">
        <v>73204</v>
      </c>
      <c r="ADI22">
        <v>73459</v>
      </c>
      <c r="ADJ22">
        <v>73394</v>
      </c>
      <c r="ADK22">
        <v>73666</v>
      </c>
      <c r="ADL22">
        <v>73948</v>
      </c>
      <c r="ADM22">
        <v>74051</v>
      </c>
      <c r="ADO22">
        <v>73907</v>
      </c>
      <c r="ADP22">
        <v>74222</v>
      </c>
      <c r="ADQ22">
        <v>74340</v>
      </c>
      <c r="ADR22">
        <v>74375</v>
      </c>
      <c r="ADS22">
        <v>74361</v>
      </c>
      <c r="ADT22">
        <v>74447</v>
      </c>
      <c r="ADU22">
        <v>74576</v>
      </c>
      <c r="ADV22">
        <v>74841</v>
      </c>
      <c r="ADW22">
        <v>75683</v>
      </c>
      <c r="ADX22">
        <v>76024</v>
      </c>
      <c r="ADY22">
        <v>76361</v>
      </c>
      <c r="ADZ22">
        <v>76664</v>
      </c>
      <c r="AEB22">
        <v>76757</v>
      </c>
      <c r="AEC22">
        <v>76644</v>
      </c>
      <c r="AED22">
        <v>76348</v>
      </c>
      <c r="AEE22">
        <v>76235</v>
      </c>
      <c r="AEF22">
        <v>76247</v>
      </c>
      <c r="AEG22">
        <v>77056</v>
      </c>
      <c r="AEH22">
        <v>77328</v>
      </c>
      <c r="AEI22">
        <v>77309</v>
      </c>
      <c r="AEJ22">
        <v>77478</v>
      </c>
      <c r="AEK22">
        <v>77714</v>
      </c>
      <c r="AEL22">
        <v>77883</v>
      </c>
      <c r="AEM22">
        <v>78048</v>
      </c>
      <c r="AEO22">
        <v>78364</v>
      </c>
      <c r="AEP22">
        <v>78689</v>
      </c>
      <c r="AEQ22">
        <v>79024</v>
      </c>
      <c r="AER22">
        <v>78960</v>
      </c>
      <c r="AES22">
        <v>78926</v>
      </c>
      <c r="AET22">
        <v>79130</v>
      </c>
      <c r="AEU22">
        <v>79164</v>
      </c>
      <c r="AEV22">
        <v>79558</v>
      </c>
      <c r="AEW22">
        <v>79173</v>
      </c>
      <c r="AEX22">
        <v>79512</v>
      </c>
      <c r="AEY22">
        <v>79662</v>
      </c>
      <c r="AEZ22">
        <v>79753</v>
      </c>
      <c r="AFB22">
        <v>80083</v>
      </c>
      <c r="AFC22">
        <v>81084</v>
      </c>
      <c r="AFD22">
        <v>81080</v>
      </c>
      <c r="AFE22">
        <v>81391</v>
      </c>
      <c r="AFF22">
        <v>81358</v>
      </c>
      <c r="AFG22">
        <v>81283</v>
      </c>
      <c r="AFH22">
        <v>81300</v>
      </c>
      <c r="AFI22">
        <v>81543</v>
      </c>
      <c r="AFJ22">
        <v>82118</v>
      </c>
      <c r="AFK22">
        <v>81713</v>
      </c>
      <c r="AFL22">
        <v>81678</v>
      </c>
      <c r="AFM22">
        <v>82036</v>
      </c>
      <c r="AFO22">
        <v>82271</v>
      </c>
      <c r="AFP22">
        <v>82220</v>
      </c>
      <c r="AFQ22">
        <v>82704</v>
      </c>
      <c r="AFR22">
        <v>83240</v>
      </c>
      <c r="AFS22">
        <v>83162</v>
      </c>
      <c r="AFT22">
        <v>82920</v>
      </c>
      <c r="AFU22">
        <v>82996</v>
      </c>
      <c r="AFV22">
        <v>83403</v>
      </c>
      <c r="AFW22">
        <v>83896</v>
      </c>
    </row>
    <row r="23" spans="1:855" x14ac:dyDescent="0.25">
      <c r="A23" t="s">
        <v>103</v>
      </c>
      <c r="UC23">
        <v>210</v>
      </c>
      <c r="UD23">
        <v>184</v>
      </c>
      <c r="UE23">
        <v>216</v>
      </c>
      <c r="UF23">
        <v>217</v>
      </c>
      <c r="UG23">
        <v>201</v>
      </c>
      <c r="UH23">
        <v>197</v>
      </c>
      <c r="UI23">
        <v>201</v>
      </c>
      <c r="UJ23">
        <v>232</v>
      </c>
      <c r="UK23">
        <v>222</v>
      </c>
      <c r="UL23">
        <v>233</v>
      </c>
      <c r="UM23">
        <v>201</v>
      </c>
      <c r="UO23">
        <v>195</v>
      </c>
      <c r="UP23">
        <v>233</v>
      </c>
      <c r="UQ23">
        <v>206</v>
      </c>
      <c r="UR23">
        <v>199</v>
      </c>
      <c r="US23">
        <v>209</v>
      </c>
      <c r="UT23">
        <v>190</v>
      </c>
      <c r="UU23">
        <v>189</v>
      </c>
      <c r="UV23">
        <v>283</v>
      </c>
      <c r="UW23">
        <v>243</v>
      </c>
      <c r="UX23">
        <v>252</v>
      </c>
      <c r="UY23">
        <v>225</v>
      </c>
      <c r="UZ23">
        <v>190</v>
      </c>
      <c r="VB23">
        <v>243</v>
      </c>
      <c r="VC23">
        <v>205</v>
      </c>
      <c r="VD23">
        <v>197</v>
      </c>
      <c r="VE23">
        <v>212</v>
      </c>
      <c r="VF23">
        <v>213</v>
      </c>
      <c r="VG23">
        <v>203</v>
      </c>
      <c r="VH23">
        <v>326</v>
      </c>
      <c r="VI23">
        <v>203</v>
      </c>
      <c r="VJ23">
        <v>215</v>
      </c>
      <c r="VK23">
        <v>281</v>
      </c>
      <c r="VL23">
        <v>237</v>
      </c>
      <c r="VM23">
        <v>178</v>
      </c>
      <c r="VO23">
        <v>273</v>
      </c>
      <c r="VP23">
        <v>221</v>
      </c>
      <c r="VQ23">
        <v>173</v>
      </c>
      <c r="VR23">
        <v>228</v>
      </c>
      <c r="VS23">
        <v>202</v>
      </c>
      <c r="VT23">
        <v>219</v>
      </c>
      <c r="VU23">
        <v>217</v>
      </c>
      <c r="VV23">
        <v>217</v>
      </c>
      <c r="VW23">
        <v>241</v>
      </c>
      <c r="VX23">
        <v>268</v>
      </c>
      <c r="VY23">
        <v>244</v>
      </c>
      <c r="VZ23">
        <v>207</v>
      </c>
      <c r="WB23">
        <v>219</v>
      </c>
      <c r="WC23">
        <v>192</v>
      </c>
      <c r="WD23">
        <v>172</v>
      </c>
      <c r="WE23">
        <v>196</v>
      </c>
      <c r="WF23">
        <v>166</v>
      </c>
      <c r="WG23">
        <v>219</v>
      </c>
      <c r="WH23">
        <v>198</v>
      </c>
      <c r="WI23">
        <v>204</v>
      </c>
      <c r="WJ23">
        <v>246</v>
      </c>
      <c r="WK23">
        <v>193</v>
      </c>
      <c r="WL23">
        <v>195</v>
      </c>
      <c r="WM23">
        <v>181</v>
      </c>
      <c r="WO23">
        <v>205</v>
      </c>
      <c r="WP23">
        <v>200</v>
      </c>
      <c r="WQ23">
        <v>178</v>
      </c>
      <c r="WR23">
        <v>182</v>
      </c>
      <c r="WS23">
        <v>177</v>
      </c>
      <c r="WT23">
        <v>182</v>
      </c>
      <c r="WU23">
        <v>197</v>
      </c>
      <c r="WV23">
        <v>196</v>
      </c>
      <c r="WW23">
        <v>228</v>
      </c>
      <c r="WX23">
        <v>172</v>
      </c>
      <c r="WY23">
        <v>227</v>
      </c>
      <c r="WZ23">
        <v>175</v>
      </c>
      <c r="XB23">
        <v>202</v>
      </c>
      <c r="XC23">
        <v>233</v>
      </c>
      <c r="XD23">
        <v>191</v>
      </c>
      <c r="XE23">
        <v>234</v>
      </c>
      <c r="XF23">
        <v>205</v>
      </c>
      <c r="XG23">
        <v>202</v>
      </c>
      <c r="XH23">
        <v>208</v>
      </c>
      <c r="XI23">
        <v>265</v>
      </c>
      <c r="XJ23">
        <v>198</v>
      </c>
      <c r="XK23">
        <v>217</v>
      </c>
      <c r="XL23">
        <v>229</v>
      </c>
      <c r="XM23">
        <v>188</v>
      </c>
      <c r="XO23">
        <v>394</v>
      </c>
      <c r="XP23">
        <v>180</v>
      </c>
      <c r="XQ23">
        <v>192</v>
      </c>
      <c r="XR23">
        <v>186</v>
      </c>
      <c r="XS23">
        <v>227</v>
      </c>
      <c r="XT23">
        <v>199</v>
      </c>
      <c r="XU23">
        <v>247</v>
      </c>
      <c r="XV23">
        <v>234</v>
      </c>
      <c r="XW23">
        <v>219</v>
      </c>
      <c r="XX23">
        <v>243</v>
      </c>
      <c r="XY23">
        <v>214</v>
      </c>
      <c r="XZ23">
        <v>226</v>
      </c>
      <c r="YB23">
        <v>229</v>
      </c>
      <c r="YC23">
        <v>245</v>
      </c>
      <c r="YD23">
        <v>214</v>
      </c>
      <c r="YE23">
        <v>229</v>
      </c>
      <c r="YF23">
        <v>213</v>
      </c>
      <c r="YG23">
        <v>213</v>
      </c>
      <c r="YH23">
        <v>252</v>
      </c>
      <c r="YI23">
        <v>237</v>
      </c>
      <c r="YJ23">
        <v>234</v>
      </c>
      <c r="YK23">
        <v>233</v>
      </c>
      <c r="YL23">
        <v>201</v>
      </c>
      <c r="YM23">
        <v>175</v>
      </c>
      <c r="YO23">
        <v>431</v>
      </c>
      <c r="YP23">
        <v>258</v>
      </c>
      <c r="YQ23">
        <v>305</v>
      </c>
      <c r="YR23">
        <v>311</v>
      </c>
      <c r="YS23">
        <v>251</v>
      </c>
      <c r="YT23">
        <v>263</v>
      </c>
      <c r="YU23">
        <v>301</v>
      </c>
      <c r="YV23">
        <v>282</v>
      </c>
      <c r="YW23">
        <v>325</v>
      </c>
      <c r="YX23">
        <v>288</v>
      </c>
      <c r="YY23">
        <v>256</v>
      </c>
      <c r="YZ23">
        <v>277</v>
      </c>
      <c r="ZB23">
        <v>1060</v>
      </c>
      <c r="ZC23">
        <v>285</v>
      </c>
      <c r="ZD23">
        <v>262</v>
      </c>
      <c r="ZE23">
        <v>293</v>
      </c>
      <c r="ZF23">
        <v>265</v>
      </c>
      <c r="ZG23">
        <v>274</v>
      </c>
      <c r="ZH23">
        <v>253</v>
      </c>
      <c r="ZI23">
        <v>301</v>
      </c>
      <c r="ZJ23">
        <v>259</v>
      </c>
      <c r="ZK23">
        <v>291</v>
      </c>
      <c r="ZL23">
        <v>297</v>
      </c>
      <c r="ZM23">
        <v>315</v>
      </c>
      <c r="ZO23">
        <v>247</v>
      </c>
      <c r="ZP23">
        <v>298</v>
      </c>
      <c r="ZQ23">
        <v>290</v>
      </c>
      <c r="ZR23">
        <v>281</v>
      </c>
      <c r="ZS23">
        <v>295</v>
      </c>
      <c r="ZT23">
        <v>301</v>
      </c>
      <c r="ZU23">
        <v>282</v>
      </c>
      <c r="ZV23">
        <v>326</v>
      </c>
      <c r="ZW23">
        <v>300</v>
      </c>
      <c r="ZX23">
        <v>261</v>
      </c>
      <c r="ZY23">
        <v>334</v>
      </c>
      <c r="ZZ23">
        <v>281</v>
      </c>
      <c r="AAB23">
        <v>343</v>
      </c>
      <c r="AAC23">
        <v>325</v>
      </c>
      <c r="AAD23">
        <v>244</v>
      </c>
      <c r="AAE23">
        <v>286</v>
      </c>
      <c r="AAF23">
        <v>298</v>
      </c>
      <c r="AAG23">
        <v>274</v>
      </c>
      <c r="AAH23">
        <v>291</v>
      </c>
      <c r="AAI23">
        <v>388</v>
      </c>
      <c r="AAJ23">
        <v>300</v>
      </c>
      <c r="AAK23">
        <v>360</v>
      </c>
      <c r="AAL23">
        <v>306</v>
      </c>
      <c r="AAM23">
        <v>255</v>
      </c>
      <c r="AAO23">
        <v>623</v>
      </c>
      <c r="AAP23">
        <v>306</v>
      </c>
      <c r="AAQ23">
        <v>269</v>
      </c>
      <c r="AAR23">
        <v>318</v>
      </c>
      <c r="AAS23">
        <v>336</v>
      </c>
      <c r="AAT23">
        <v>282</v>
      </c>
      <c r="AAU23">
        <v>371</v>
      </c>
      <c r="AAV23">
        <v>342</v>
      </c>
      <c r="AAW23">
        <v>351</v>
      </c>
      <c r="AAX23">
        <v>421</v>
      </c>
      <c r="AAY23">
        <v>308</v>
      </c>
      <c r="AAZ23">
        <v>311</v>
      </c>
      <c r="ABB23">
        <v>287</v>
      </c>
      <c r="ABC23">
        <v>267</v>
      </c>
      <c r="ABD23">
        <v>291</v>
      </c>
      <c r="ABE23">
        <v>303</v>
      </c>
      <c r="ABF23">
        <v>312</v>
      </c>
      <c r="ABG23">
        <v>336</v>
      </c>
      <c r="ABH23">
        <v>335</v>
      </c>
      <c r="ABI23">
        <v>295</v>
      </c>
      <c r="ABJ23">
        <v>328</v>
      </c>
      <c r="ABK23">
        <v>314</v>
      </c>
      <c r="ABL23">
        <v>308</v>
      </c>
      <c r="ABM23">
        <v>321</v>
      </c>
      <c r="ABO23">
        <v>346</v>
      </c>
      <c r="ABP23">
        <v>293</v>
      </c>
      <c r="ABQ23">
        <v>315</v>
      </c>
      <c r="ABR23">
        <v>282</v>
      </c>
      <c r="ABS23">
        <v>306</v>
      </c>
      <c r="ABT23">
        <v>342</v>
      </c>
      <c r="ABU23">
        <v>318</v>
      </c>
      <c r="ABV23">
        <v>337</v>
      </c>
      <c r="ABW23">
        <v>355</v>
      </c>
      <c r="ABX23">
        <v>310</v>
      </c>
      <c r="ABY23">
        <v>401</v>
      </c>
      <c r="ABZ23">
        <v>328</v>
      </c>
      <c r="ACB23">
        <v>393</v>
      </c>
      <c r="ACC23">
        <v>344</v>
      </c>
      <c r="ACD23">
        <v>308</v>
      </c>
      <c r="ACE23">
        <v>303</v>
      </c>
      <c r="ACF23">
        <v>295</v>
      </c>
      <c r="ACG23">
        <v>340</v>
      </c>
      <c r="ACH23">
        <v>295</v>
      </c>
      <c r="ACI23">
        <v>338</v>
      </c>
      <c r="ACJ23">
        <v>313</v>
      </c>
      <c r="ACK23">
        <v>289</v>
      </c>
      <c r="ACL23">
        <v>333</v>
      </c>
      <c r="ACM23">
        <v>354</v>
      </c>
      <c r="ACO23">
        <v>533</v>
      </c>
      <c r="ACP23">
        <v>307</v>
      </c>
      <c r="ACQ23">
        <v>296</v>
      </c>
      <c r="ACR23">
        <v>304</v>
      </c>
      <c r="ACS23">
        <v>355</v>
      </c>
      <c r="ACT23">
        <v>260</v>
      </c>
      <c r="ACU23">
        <v>366</v>
      </c>
      <c r="ACV23">
        <v>357</v>
      </c>
      <c r="ACW23">
        <v>324</v>
      </c>
      <c r="ACX23">
        <v>344</v>
      </c>
      <c r="ACY23">
        <v>310</v>
      </c>
      <c r="ACZ23">
        <v>301</v>
      </c>
      <c r="ADB23">
        <v>362</v>
      </c>
      <c r="ADC23">
        <v>332</v>
      </c>
      <c r="ADD23">
        <v>277</v>
      </c>
      <c r="ADE23">
        <v>339</v>
      </c>
      <c r="ADF23">
        <v>336</v>
      </c>
      <c r="ADG23">
        <v>308</v>
      </c>
      <c r="ADH23">
        <v>481</v>
      </c>
      <c r="ADI23">
        <v>332</v>
      </c>
      <c r="ADJ23">
        <v>361</v>
      </c>
      <c r="ADK23">
        <v>372</v>
      </c>
      <c r="ADL23">
        <v>283</v>
      </c>
      <c r="ADM23">
        <v>292</v>
      </c>
      <c r="ADO23">
        <v>338</v>
      </c>
      <c r="ADP23">
        <v>269</v>
      </c>
      <c r="ADQ23">
        <v>330</v>
      </c>
      <c r="ADR23">
        <v>318</v>
      </c>
      <c r="ADS23">
        <v>287</v>
      </c>
      <c r="ADT23">
        <v>316</v>
      </c>
      <c r="ADU23">
        <v>520</v>
      </c>
      <c r="ADV23">
        <v>304</v>
      </c>
      <c r="ADW23">
        <v>334</v>
      </c>
      <c r="ADX23">
        <v>357</v>
      </c>
      <c r="ADY23">
        <v>301</v>
      </c>
      <c r="ADZ23">
        <v>338</v>
      </c>
      <c r="AEB23">
        <v>321</v>
      </c>
      <c r="AEC23">
        <v>297</v>
      </c>
      <c r="AED23">
        <v>272</v>
      </c>
      <c r="AEE23">
        <v>294</v>
      </c>
      <c r="AEF23">
        <v>302</v>
      </c>
      <c r="AEG23">
        <v>388</v>
      </c>
      <c r="AEH23">
        <v>428</v>
      </c>
      <c r="AEI23">
        <v>299</v>
      </c>
      <c r="AEJ23">
        <v>384</v>
      </c>
      <c r="AEK23">
        <v>286</v>
      </c>
      <c r="AEL23">
        <v>296</v>
      </c>
      <c r="AEM23">
        <v>332</v>
      </c>
      <c r="AEO23">
        <v>362</v>
      </c>
      <c r="AEP23">
        <v>325</v>
      </c>
      <c r="AEQ23">
        <v>300</v>
      </c>
      <c r="AER23">
        <v>292</v>
      </c>
      <c r="AES23">
        <v>272</v>
      </c>
      <c r="AET23">
        <v>335</v>
      </c>
      <c r="AEU23">
        <v>411</v>
      </c>
      <c r="AEV23">
        <v>322</v>
      </c>
      <c r="AEW23">
        <v>362</v>
      </c>
      <c r="AEX23">
        <v>326</v>
      </c>
      <c r="AEY23">
        <v>312</v>
      </c>
      <c r="AEZ23">
        <v>238</v>
      </c>
      <c r="AFB23">
        <v>1011</v>
      </c>
      <c r="AFC23">
        <v>355</v>
      </c>
      <c r="AFD23">
        <v>302</v>
      </c>
      <c r="AFE23">
        <v>306</v>
      </c>
      <c r="AFF23">
        <v>328</v>
      </c>
      <c r="AFG23">
        <v>307</v>
      </c>
      <c r="AFH23">
        <v>470</v>
      </c>
      <c r="AFI23">
        <v>363</v>
      </c>
      <c r="AFJ23">
        <v>349</v>
      </c>
      <c r="AFK23">
        <v>319</v>
      </c>
      <c r="AFL23">
        <v>348</v>
      </c>
      <c r="AFM23">
        <v>314</v>
      </c>
      <c r="AFO23">
        <v>429</v>
      </c>
      <c r="AFP23">
        <v>307</v>
      </c>
      <c r="AFQ23">
        <v>315</v>
      </c>
      <c r="AFR23">
        <v>286</v>
      </c>
      <c r="AFS23">
        <v>302</v>
      </c>
      <c r="AFT23">
        <v>312</v>
      </c>
      <c r="AFU23">
        <v>488</v>
      </c>
      <c r="AFV23">
        <v>344</v>
      </c>
      <c r="AFW23">
        <v>334</v>
      </c>
    </row>
    <row r="24" spans="1:855" x14ac:dyDescent="0.25">
      <c r="A24" t="s">
        <v>104</v>
      </c>
      <c r="UC24">
        <v>25</v>
      </c>
      <c r="UD24">
        <v>18</v>
      </c>
      <c r="UE24">
        <v>18</v>
      </c>
      <c r="UF24">
        <v>23</v>
      </c>
      <c r="UG24">
        <v>21</v>
      </c>
      <c r="UH24">
        <v>42</v>
      </c>
      <c r="UI24">
        <v>19</v>
      </c>
      <c r="UJ24">
        <v>19</v>
      </c>
      <c r="UK24">
        <v>19</v>
      </c>
      <c r="UL24">
        <v>28</v>
      </c>
      <c r="UM24">
        <v>19</v>
      </c>
      <c r="UO24">
        <v>19</v>
      </c>
      <c r="UP24">
        <v>49</v>
      </c>
      <c r="UQ24">
        <v>22</v>
      </c>
      <c r="UR24">
        <v>19</v>
      </c>
      <c r="US24">
        <v>19</v>
      </c>
      <c r="UT24">
        <v>19</v>
      </c>
      <c r="UU24">
        <v>19</v>
      </c>
      <c r="UV24">
        <v>40</v>
      </c>
      <c r="UW24">
        <v>19</v>
      </c>
      <c r="UX24">
        <v>19</v>
      </c>
      <c r="UY24">
        <v>19</v>
      </c>
      <c r="UZ24">
        <v>19</v>
      </c>
      <c r="VB24">
        <v>28</v>
      </c>
      <c r="VC24">
        <v>23</v>
      </c>
      <c r="VD24">
        <v>19</v>
      </c>
      <c r="VE24">
        <v>19</v>
      </c>
      <c r="VF24">
        <v>19</v>
      </c>
      <c r="VG24">
        <v>19</v>
      </c>
      <c r="VH24">
        <v>70</v>
      </c>
      <c r="VI24">
        <v>19</v>
      </c>
      <c r="VJ24">
        <v>19</v>
      </c>
      <c r="VK24">
        <v>19</v>
      </c>
      <c r="VL24">
        <v>19</v>
      </c>
      <c r="VM24">
        <v>19</v>
      </c>
      <c r="VO24">
        <v>25</v>
      </c>
      <c r="VP24">
        <v>19</v>
      </c>
      <c r="VQ24">
        <v>19</v>
      </c>
      <c r="VR24">
        <v>19</v>
      </c>
      <c r="VS24">
        <v>19</v>
      </c>
      <c r="VT24">
        <v>19</v>
      </c>
      <c r="VU24">
        <v>19</v>
      </c>
      <c r="VV24">
        <v>19</v>
      </c>
      <c r="VW24">
        <v>19</v>
      </c>
      <c r="VX24">
        <v>19</v>
      </c>
      <c r="VY24">
        <v>19</v>
      </c>
      <c r="VZ24">
        <v>19</v>
      </c>
      <c r="WB24">
        <v>19</v>
      </c>
      <c r="WC24">
        <v>19</v>
      </c>
      <c r="WD24">
        <v>19</v>
      </c>
      <c r="WE24">
        <v>19</v>
      </c>
      <c r="WF24">
        <v>19</v>
      </c>
      <c r="WG24">
        <v>19</v>
      </c>
      <c r="WH24">
        <v>19</v>
      </c>
      <c r="WI24">
        <v>19</v>
      </c>
      <c r="WJ24">
        <v>19</v>
      </c>
      <c r="WK24">
        <v>19</v>
      </c>
      <c r="WL24">
        <v>19</v>
      </c>
      <c r="WM24">
        <v>19</v>
      </c>
      <c r="WO24">
        <v>132</v>
      </c>
      <c r="WP24">
        <v>19</v>
      </c>
      <c r="WQ24">
        <v>19</v>
      </c>
      <c r="WR24">
        <v>19</v>
      </c>
      <c r="WS24">
        <v>19</v>
      </c>
      <c r="WT24">
        <v>19</v>
      </c>
      <c r="WU24">
        <v>19</v>
      </c>
      <c r="WV24">
        <v>19</v>
      </c>
      <c r="WW24">
        <v>19</v>
      </c>
      <c r="WX24">
        <v>20</v>
      </c>
      <c r="WY24">
        <v>20</v>
      </c>
      <c r="WZ24">
        <v>20</v>
      </c>
      <c r="XB24">
        <v>25</v>
      </c>
      <c r="XC24">
        <v>20</v>
      </c>
      <c r="XD24">
        <v>20</v>
      </c>
      <c r="XE24">
        <v>20</v>
      </c>
      <c r="XF24">
        <v>20</v>
      </c>
      <c r="XG24">
        <v>20</v>
      </c>
      <c r="XH24">
        <v>20</v>
      </c>
      <c r="XI24">
        <v>20</v>
      </c>
      <c r="XJ24">
        <v>20</v>
      </c>
      <c r="XK24">
        <v>20</v>
      </c>
      <c r="XL24">
        <v>20</v>
      </c>
      <c r="XM24">
        <v>20</v>
      </c>
      <c r="XO24">
        <v>20</v>
      </c>
      <c r="XP24">
        <v>20</v>
      </c>
      <c r="XQ24">
        <v>20</v>
      </c>
      <c r="XR24">
        <v>20</v>
      </c>
      <c r="XS24">
        <v>20</v>
      </c>
      <c r="XT24">
        <v>20</v>
      </c>
      <c r="XU24">
        <v>20</v>
      </c>
      <c r="XV24">
        <v>20</v>
      </c>
      <c r="XW24">
        <v>20</v>
      </c>
      <c r="XX24">
        <v>20</v>
      </c>
      <c r="XY24">
        <v>20</v>
      </c>
      <c r="XZ24">
        <v>20</v>
      </c>
      <c r="YB24">
        <v>42</v>
      </c>
      <c r="YC24">
        <v>20</v>
      </c>
      <c r="YD24">
        <v>20</v>
      </c>
      <c r="YE24">
        <v>20</v>
      </c>
      <c r="YF24">
        <v>20</v>
      </c>
      <c r="YG24">
        <v>20</v>
      </c>
      <c r="YH24">
        <v>20</v>
      </c>
      <c r="YI24">
        <v>20</v>
      </c>
      <c r="YJ24">
        <v>20</v>
      </c>
      <c r="YK24">
        <v>20</v>
      </c>
      <c r="YL24">
        <v>20</v>
      </c>
      <c r="YM24">
        <v>20</v>
      </c>
      <c r="YO24">
        <v>145</v>
      </c>
      <c r="YP24">
        <v>26</v>
      </c>
      <c r="YQ24">
        <v>40</v>
      </c>
      <c r="YR24">
        <v>44</v>
      </c>
      <c r="YS24">
        <v>20</v>
      </c>
      <c r="YT24">
        <v>22</v>
      </c>
      <c r="YU24">
        <v>40</v>
      </c>
      <c r="YV24">
        <v>24</v>
      </c>
      <c r="YW24">
        <v>42</v>
      </c>
      <c r="YX24">
        <v>20</v>
      </c>
      <c r="YY24">
        <v>20</v>
      </c>
      <c r="YZ24">
        <v>27</v>
      </c>
      <c r="ZB24">
        <v>20</v>
      </c>
      <c r="ZC24">
        <v>32</v>
      </c>
      <c r="ZD24">
        <v>21</v>
      </c>
      <c r="ZE24">
        <v>21</v>
      </c>
      <c r="ZF24">
        <v>21</v>
      </c>
      <c r="ZG24">
        <v>31</v>
      </c>
      <c r="ZH24">
        <v>21</v>
      </c>
      <c r="ZI24">
        <v>32</v>
      </c>
      <c r="ZJ24">
        <v>21</v>
      </c>
      <c r="ZK24">
        <v>21</v>
      </c>
      <c r="ZL24">
        <v>86</v>
      </c>
      <c r="ZM24">
        <v>94</v>
      </c>
      <c r="ZO24">
        <v>21</v>
      </c>
      <c r="ZP24">
        <v>21</v>
      </c>
      <c r="ZQ24">
        <v>21</v>
      </c>
      <c r="ZR24">
        <v>24</v>
      </c>
      <c r="ZS24">
        <v>21</v>
      </c>
      <c r="ZT24">
        <v>30</v>
      </c>
      <c r="ZU24">
        <v>21</v>
      </c>
      <c r="ZV24">
        <v>22</v>
      </c>
      <c r="ZW24">
        <v>21</v>
      </c>
      <c r="ZX24">
        <v>21</v>
      </c>
      <c r="ZY24">
        <v>30</v>
      </c>
      <c r="ZZ24">
        <v>21</v>
      </c>
      <c r="AAB24">
        <v>49</v>
      </c>
      <c r="AAC24">
        <v>44</v>
      </c>
      <c r="AAD24">
        <v>21</v>
      </c>
      <c r="AAE24">
        <v>24</v>
      </c>
      <c r="AAF24">
        <v>25</v>
      </c>
      <c r="AAG24">
        <v>21</v>
      </c>
      <c r="AAH24">
        <v>21</v>
      </c>
      <c r="AAI24">
        <v>41</v>
      </c>
      <c r="AAJ24">
        <v>21</v>
      </c>
      <c r="AAK24">
        <v>41</v>
      </c>
      <c r="AAL24">
        <v>24</v>
      </c>
      <c r="AAM24">
        <v>21</v>
      </c>
      <c r="AAO24">
        <v>21</v>
      </c>
      <c r="AAP24">
        <v>22</v>
      </c>
      <c r="AAQ24">
        <v>22</v>
      </c>
      <c r="AAR24">
        <v>22</v>
      </c>
      <c r="AAS24">
        <v>22</v>
      </c>
      <c r="AAT24">
        <v>22</v>
      </c>
      <c r="AAU24">
        <v>37</v>
      </c>
      <c r="AAV24">
        <v>22</v>
      </c>
      <c r="AAW24">
        <v>22</v>
      </c>
      <c r="AAX24">
        <v>47</v>
      </c>
      <c r="AAY24">
        <v>22</v>
      </c>
      <c r="AAZ24">
        <v>22</v>
      </c>
      <c r="ABB24">
        <v>313</v>
      </c>
      <c r="ABC24">
        <v>22</v>
      </c>
      <c r="ABD24">
        <v>22</v>
      </c>
      <c r="ABE24">
        <v>22</v>
      </c>
      <c r="ABF24">
        <v>22</v>
      </c>
      <c r="ABG24">
        <v>39</v>
      </c>
      <c r="ABH24">
        <v>33</v>
      </c>
      <c r="ABI24">
        <v>22</v>
      </c>
      <c r="ABJ24">
        <v>22</v>
      </c>
      <c r="ABK24">
        <v>22</v>
      </c>
      <c r="ABL24">
        <v>22</v>
      </c>
      <c r="ABM24">
        <v>22</v>
      </c>
      <c r="ABO24">
        <v>43</v>
      </c>
      <c r="ABP24">
        <v>22</v>
      </c>
      <c r="ABQ24">
        <v>22</v>
      </c>
      <c r="ABR24">
        <v>22</v>
      </c>
      <c r="ABS24">
        <v>22</v>
      </c>
      <c r="ABT24">
        <v>27</v>
      </c>
      <c r="ABU24">
        <v>22</v>
      </c>
      <c r="ABV24">
        <v>22</v>
      </c>
      <c r="ABW24">
        <v>26</v>
      </c>
      <c r="ABX24">
        <v>22</v>
      </c>
      <c r="ABY24">
        <v>58</v>
      </c>
      <c r="ABZ24">
        <v>22</v>
      </c>
      <c r="ACB24">
        <v>99</v>
      </c>
      <c r="ACC24">
        <v>24</v>
      </c>
      <c r="ACD24">
        <v>22</v>
      </c>
      <c r="ACE24">
        <v>22</v>
      </c>
      <c r="ACF24">
        <v>22</v>
      </c>
      <c r="ACG24">
        <v>30</v>
      </c>
      <c r="ACH24">
        <v>22</v>
      </c>
      <c r="ACI24">
        <v>28</v>
      </c>
      <c r="ACJ24">
        <v>23</v>
      </c>
      <c r="ACK24">
        <v>23</v>
      </c>
      <c r="ACL24">
        <v>36</v>
      </c>
      <c r="ACM24">
        <v>23</v>
      </c>
      <c r="ACO24">
        <v>23</v>
      </c>
      <c r="ACP24">
        <v>23</v>
      </c>
      <c r="ACQ24">
        <v>23</v>
      </c>
      <c r="ACR24">
        <v>23</v>
      </c>
      <c r="ACS24">
        <v>23</v>
      </c>
      <c r="ACT24">
        <v>23</v>
      </c>
      <c r="ACU24">
        <v>23</v>
      </c>
      <c r="ACV24">
        <v>23</v>
      </c>
      <c r="ACW24">
        <v>23</v>
      </c>
      <c r="ACX24">
        <v>23</v>
      </c>
      <c r="ACY24">
        <v>23</v>
      </c>
      <c r="ACZ24">
        <v>23</v>
      </c>
      <c r="ADB24">
        <v>520</v>
      </c>
      <c r="ADC24">
        <v>31</v>
      </c>
      <c r="ADD24">
        <v>23</v>
      </c>
      <c r="ADE24">
        <v>23</v>
      </c>
      <c r="ADF24">
        <v>23</v>
      </c>
      <c r="ADG24">
        <v>23</v>
      </c>
      <c r="ADH24">
        <v>100</v>
      </c>
      <c r="ADI24">
        <v>23</v>
      </c>
      <c r="ADJ24">
        <v>23</v>
      </c>
      <c r="ADK24">
        <v>27</v>
      </c>
      <c r="ADL24">
        <v>23</v>
      </c>
      <c r="ADM24">
        <v>23</v>
      </c>
      <c r="ADO24">
        <v>305</v>
      </c>
      <c r="ADP24">
        <v>23</v>
      </c>
      <c r="ADQ24">
        <v>23</v>
      </c>
      <c r="ADR24">
        <v>23</v>
      </c>
      <c r="ADS24">
        <v>23</v>
      </c>
      <c r="ADT24">
        <v>23</v>
      </c>
      <c r="ADU24">
        <v>108</v>
      </c>
      <c r="ADV24">
        <v>23</v>
      </c>
      <c r="ADW24">
        <v>23</v>
      </c>
      <c r="ADX24">
        <v>23</v>
      </c>
      <c r="ADY24">
        <v>23</v>
      </c>
      <c r="ADZ24">
        <v>23</v>
      </c>
      <c r="AEB24">
        <v>162</v>
      </c>
      <c r="AEC24">
        <v>23</v>
      </c>
      <c r="AED24">
        <v>23</v>
      </c>
      <c r="AEE24">
        <v>23</v>
      </c>
      <c r="AEF24">
        <v>23</v>
      </c>
      <c r="AEG24">
        <v>41</v>
      </c>
      <c r="AEH24">
        <v>63</v>
      </c>
      <c r="AEI24">
        <v>23</v>
      </c>
      <c r="AEJ24">
        <v>31</v>
      </c>
      <c r="AEK24">
        <v>23</v>
      </c>
      <c r="AEL24">
        <v>23</v>
      </c>
      <c r="AEM24">
        <v>23</v>
      </c>
      <c r="AEO24">
        <v>226</v>
      </c>
      <c r="AEP24">
        <v>24</v>
      </c>
      <c r="AEQ24">
        <v>35</v>
      </c>
      <c r="AER24">
        <v>23</v>
      </c>
      <c r="AES24">
        <v>23</v>
      </c>
      <c r="AET24">
        <v>32</v>
      </c>
      <c r="AEU24">
        <v>54</v>
      </c>
      <c r="AEV24">
        <v>24</v>
      </c>
      <c r="AEW24">
        <v>24</v>
      </c>
      <c r="AEX24">
        <v>24</v>
      </c>
      <c r="AEY24">
        <v>24</v>
      </c>
      <c r="AEZ24">
        <v>24</v>
      </c>
      <c r="AFB24">
        <v>73</v>
      </c>
      <c r="AFC24">
        <v>30</v>
      </c>
      <c r="AFD24">
        <v>24</v>
      </c>
      <c r="AFE24">
        <v>24</v>
      </c>
      <c r="AFF24">
        <v>24</v>
      </c>
      <c r="AFG24">
        <v>24</v>
      </c>
      <c r="AFH24">
        <v>84</v>
      </c>
      <c r="AFI24">
        <v>24</v>
      </c>
      <c r="AFJ24">
        <v>24</v>
      </c>
      <c r="AFK24">
        <v>24</v>
      </c>
      <c r="AFL24">
        <v>24</v>
      </c>
      <c r="AFM24">
        <v>24</v>
      </c>
      <c r="AFO24">
        <v>24</v>
      </c>
      <c r="AFP24">
        <v>24</v>
      </c>
      <c r="AFQ24">
        <v>24</v>
      </c>
      <c r="AFR24">
        <v>24</v>
      </c>
      <c r="AFS24">
        <v>24</v>
      </c>
      <c r="AFT24">
        <v>24</v>
      </c>
      <c r="AFU24">
        <v>92</v>
      </c>
      <c r="AFV24">
        <v>24</v>
      </c>
      <c r="AFW24">
        <v>24</v>
      </c>
    </row>
    <row r="25" spans="1:855" x14ac:dyDescent="0.25">
      <c r="A25" t="s">
        <v>105</v>
      </c>
      <c r="UC25">
        <v>2</v>
      </c>
      <c r="UD25">
        <v>1</v>
      </c>
      <c r="UE25">
        <v>1</v>
      </c>
      <c r="UF25">
        <v>2</v>
      </c>
      <c r="UG25">
        <v>1</v>
      </c>
      <c r="UH25">
        <v>3</v>
      </c>
      <c r="UI25">
        <v>1</v>
      </c>
      <c r="UJ25">
        <v>1</v>
      </c>
      <c r="UK25">
        <v>1</v>
      </c>
      <c r="UL25">
        <v>2</v>
      </c>
      <c r="UM25">
        <v>1</v>
      </c>
      <c r="UO25">
        <v>1</v>
      </c>
      <c r="UP25">
        <v>3</v>
      </c>
      <c r="UQ25">
        <v>2</v>
      </c>
      <c r="UR25">
        <v>1</v>
      </c>
      <c r="US25">
        <v>1</v>
      </c>
      <c r="UT25">
        <v>1</v>
      </c>
      <c r="UU25">
        <v>1</v>
      </c>
      <c r="UV25">
        <v>3</v>
      </c>
      <c r="UW25">
        <v>1</v>
      </c>
      <c r="UX25">
        <v>1</v>
      </c>
      <c r="UY25">
        <v>1</v>
      </c>
      <c r="UZ25">
        <v>1</v>
      </c>
      <c r="VB25">
        <v>2</v>
      </c>
      <c r="VC25">
        <v>2</v>
      </c>
      <c r="VD25">
        <v>1</v>
      </c>
      <c r="VE25">
        <v>1</v>
      </c>
      <c r="VF25">
        <v>1</v>
      </c>
      <c r="VG25">
        <v>1</v>
      </c>
      <c r="VH25">
        <v>6</v>
      </c>
      <c r="VI25">
        <v>1</v>
      </c>
      <c r="VJ25">
        <v>1</v>
      </c>
      <c r="VK25">
        <v>1</v>
      </c>
      <c r="VL25">
        <v>1</v>
      </c>
      <c r="VM25">
        <v>1</v>
      </c>
      <c r="VO25">
        <v>2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O25">
        <v>8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B25">
        <v>2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B25">
        <v>2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O25">
        <v>7</v>
      </c>
      <c r="YP25">
        <v>2</v>
      </c>
      <c r="YQ25">
        <v>2</v>
      </c>
      <c r="YR25">
        <v>2</v>
      </c>
      <c r="YS25">
        <v>1</v>
      </c>
      <c r="YT25">
        <v>1</v>
      </c>
      <c r="YU25">
        <v>2</v>
      </c>
      <c r="YV25">
        <v>2</v>
      </c>
      <c r="YW25">
        <v>2</v>
      </c>
      <c r="YX25">
        <v>1</v>
      </c>
      <c r="YY25">
        <v>1</v>
      </c>
      <c r="YZ25">
        <v>2</v>
      </c>
      <c r="ZB25">
        <v>1</v>
      </c>
      <c r="ZC25">
        <v>2</v>
      </c>
      <c r="ZD25">
        <v>1</v>
      </c>
      <c r="ZE25">
        <v>1</v>
      </c>
      <c r="ZF25">
        <v>1</v>
      </c>
      <c r="ZG25">
        <v>2</v>
      </c>
      <c r="ZH25">
        <v>1</v>
      </c>
      <c r="ZI25">
        <v>2</v>
      </c>
      <c r="ZJ25">
        <v>1</v>
      </c>
      <c r="ZK25">
        <v>1</v>
      </c>
      <c r="ZL25">
        <v>4</v>
      </c>
      <c r="ZM25">
        <v>4</v>
      </c>
      <c r="ZO25">
        <v>1</v>
      </c>
      <c r="ZP25">
        <v>1</v>
      </c>
      <c r="ZQ25">
        <v>1</v>
      </c>
      <c r="ZR25">
        <v>2</v>
      </c>
      <c r="ZS25">
        <v>1</v>
      </c>
      <c r="ZT25">
        <v>2</v>
      </c>
      <c r="ZU25">
        <v>1</v>
      </c>
      <c r="ZV25">
        <v>2</v>
      </c>
      <c r="ZW25">
        <v>1</v>
      </c>
      <c r="ZX25">
        <v>1</v>
      </c>
      <c r="ZY25">
        <v>2</v>
      </c>
      <c r="ZZ25">
        <v>1</v>
      </c>
      <c r="AAB25">
        <v>3</v>
      </c>
      <c r="AAC25">
        <v>3</v>
      </c>
      <c r="AAD25">
        <v>1</v>
      </c>
      <c r="AAE25">
        <v>2</v>
      </c>
      <c r="AAF25">
        <v>2</v>
      </c>
      <c r="AAG25">
        <v>1</v>
      </c>
      <c r="AAH25">
        <v>1</v>
      </c>
      <c r="AAI25">
        <v>3</v>
      </c>
      <c r="AAJ25">
        <v>1</v>
      </c>
      <c r="AAK25">
        <v>3</v>
      </c>
      <c r="AAL25">
        <v>2</v>
      </c>
      <c r="AAM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2</v>
      </c>
      <c r="AAV25">
        <v>1</v>
      </c>
      <c r="AAW25">
        <v>1</v>
      </c>
      <c r="AAX25">
        <v>3</v>
      </c>
      <c r="AAY25">
        <v>1</v>
      </c>
      <c r="AAZ25">
        <v>2</v>
      </c>
      <c r="ABB25">
        <v>19</v>
      </c>
      <c r="ABC25">
        <v>2</v>
      </c>
      <c r="ABD25">
        <v>2</v>
      </c>
      <c r="ABE25">
        <v>2</v>
      </c>
      <c r="ABF25">
        <v>2</v>
      </c>
      <c r="ABG25">
        <v>2</v>
      </c>
      <c r="ABH25">
        <v>2</v>
      </c>
      <c r="ABI25">
        <v>2</v>
      </c>
      <c r="ABJ25">
        <v>2</v>
      </c>
      <c r="ABK25">
        <v>2</v>
      </c>
      <c r="ABL25">
        <v>2</v>
      </c>
      <c r="ABM25">
        <v>2</v>
      </c>
      <c r="ABO25">
        <v>3</v>
      </c>
      <c r="ABP25">
        <v>2</v>
      </c>
      <c r="ABQ25">
        <v>2</v>
      </c>
      <c r="ABR25">
        <v>2</v>
      </c>
      <c r="ABS25">
        <v>2</v>
      </c>
      <c r="ABT25">
        <v>2</v>
      </c>
      <c r="ABU25">
        <v>2</v>
      </c>
      <c r="ABV25">
        <v>2</v>
      </c>
      <c r="ABW25">
        <v>2</v>
      </c>
      <c r="ABX25">
        <v>2</v>
      </c>
      <c r="ABY25">
        <v>3</v>
      </c>
      <c r="ABZ25">
        <v>2</v>
      </c>
      <c r="ACB25">
        <v>5</v>
      </c>
      <c r="ACC25">
        <v>2</v>
      </c>
      <c r="ACD25">
        <v>2</v>
      </c>
      <c r="ACE25">
        <v>2</v>
      </c>
      <c r="ACF25">
        <v>2</v>
      </c>
      <c r="ACG25">
        <v>2</v>
      </c>
      <c r="ACH25">
        <v>2</v>
      </c>
      <c r="ACI25">
        <v>2</v>
      </c>
      <c r="ACJ25">
        <v>2</v>
      </c>
      <c r="ACK25">
        <v>2</v>
      </c>
      <c r="ACL25">
        <v>2</v>
      </c>
      <c r="ACM25">
        <v>2</v>
      </c>
      <c r="ACO25">
        <v>2</v>
      </c>
      <c r="ACP25">
        <v>2</v>
      </c>
      <c r="ACQ25">
        <v>2</v>
      </c>
      <c r="ACR25">
        <v>2</v>
      </c>
      <c r="ACS25">
        <v>2</v>
      </c>
      <c r="ACT25">
        <v>2</v>
      </c>
      <c r="ACU25">
        <v>2</v>
      </c>
      <c r="ACV25">
        <v>2</v>
      </c>
      <c r="ACW25">
        <v>2</v>
      </c>
      <c r="ACX25">
        <v>2</v>
      </c>
      <c r="ACY25">
        <v>2</v>
      </c>
      <c r="ACZ25">
        <v>2</v>
      </c>
      <c r="ADB25">
        <v>28</v>
      </c>
      <c r="ADC25">
        <v>2</v>
      </c>
      <c r="ADD25">
        <v>2</v>
      </c>
      <c r="ADE25">
        <v>2</v>
      </c>
      <c r="ADF25">
        <v>2</v>
      </c>
      <c r="ADG25">
        <v>2</v>
      </c>
      <c r="ADH25">
        <v>6</v>
      </c>
      <c r="ADI25">
        <v>2</v>
      </c>
      <c r="ADJ25">
        <v>2</v>
      </c>
      <c r="ADK25">
        <v>2</v>
      </c>
      <c r="ADL25">
        <v>2</v>
      </c>
      <c r="ADM25">
        <v>2</v>
      </c>
      <c r="ADO25">
        <v>24</v>
      </c>
      <c r="ADP25">
        <v>2</v>
      </c>
      <c r="ADQ25">
        <v>2</v>
      </c>
      <c r="ADR25">
        <v>2</v>
      </c>
      <c r="ADS25">
        <v>2</v>
      </c>
      <c r="ADT25">
        <v>2</v>
      </c>
      <c r="ADU25">
        <v>11</v>
      </c>
      <c r="ADV25">
        <v>2</v>
      </c>
      <c r="ADW25">
        <v>2</v>
      </c>
      <c r="ADX25">
        <v>2</v>
      </c>
      <c r="ADY25">
        <v>2</v>
      </c>
      <c r="ADZ25">
        <v>2</v>
      </c>
      <c r="AEB25">
        <v>17</v>
      </c>
      <c r="AEC25">
        <v>2</v>
      </c>
      <c r="AED25">
        <v>2</v>
      </c>
      <c r="AEE25">
        <v>2</v>
      </c>
      <c r="AEF25">
        <v>2</v>
      </c>
      <c r="AEG25">
        <v>4</v>
      </c>
      <c r="AEH25">
        <v>6</v>
      </c>
      <c r="AEI25">
        <v>2</v>
      </c>
      <c r="AEJ25">
        <v>3</v>
      </c>
      <c r="AEK25">
        <v>2</v>
      </c>
      <c r="AEL25">
        <v>2</v>
      </c>
      <c r="AEM25">
        <v>2</v>
      </c>
      <c r="AEO25">
        <v>21</v>
      </c>
      <c r="AEP25">
        <v>2</v>
      </c>
      <c r="AEQ25">
        <v>3</v>
      </c>
      <c r="AER25">
        <v>2</v>
      </c>
      <c r="AES25">
        <v>2</v>
      </c>
      <c r="AET25">
        <v>2</v>
      </c>
      <c r="AEU25">
        <v>4</v>
      </c>
      <c r="AEV25">
        <v>2</v>
      </c>
      <c r="AEW25">
        <v>2</v>
      </c>
      <c r="AEX25">
        <v>2</v>
      </c>
      <c r="AEY25">
        <v>2</v>
      </c>
      <c r="AEZ25">
        <v>2</v>
      </c>
      <c r="AFB25">
        <v>6</v>
      </c>
      <c r="AFC25">
        <v>2</v>
      </c>
      <c r="AFD25">
        <v>2</v>
      </c>
      <c r="AFE25">
        <v>2</v>
      </c>
      <c r="AFF25">
        <v>2</v>
      </c>
      <c r="AFG25">
        <v>2</v>
      </c>
      <c r="AFH25">
        <v>7</v>
      </c>
      <c r="AFI25">
        <v>2</v>
      </c>
      <c r="AFJ25">
        <v>2</v>
      </c>
      <c r="AFK25">
        <v>2</v>
      </c>
      <c r="AFL25">
        <v>2</v>
      </c>
      <c r="AFM25">
        <v>2</v>
      </c>
      <c r="AFO25">
        <v>2</v>
      </c>
      <c r="AFP25">
        <v>2</v>
      </c>
      <c r="AFQ25">
        <v>2</v>
      </c>
      <c r="AFR25">
        <v>2</v>
      </c>
      <c r="AFS25">
        <v>2</v>
      </c>
      <c r="AFT25">
        <v>2</v>
      </c>
      <c r="AFU25">
        <v>7</v>
      </c>
      <c r="AFV25">
        <v>2</v>
      </c>
      <c r="AFW25">
        <v>2</v>
      </c>
    </row>
    <row r="26" spans="1:855" x14ac:dyDescent="0.25">
      <c r="A26" t="s">
        <v>106</v>
      </c>
      <c r="UC26">
        <v>149</v>
      </c>
      <c r="UD26">
        <v>147</v>
      </c>
      <c r="UE26">
        <v>147</v>
      </c>
      <c r="UF26">
        <v>151</v>
      </c>
      <c r="UG26">
        <v>149</v>
      </c>
      <c r="UH26">
        <v>155</v>
      </c>
      <c r="UI26">
        <v>147</v>
      </c>
      <c r="UJ26">
        <v>147</v>
      </c>
      <c r="UK26">
        <v>148</v>
      </c>
      <c r="UL26">
        <v>151</v>
      </c>
      <c r="UM26">
        <v>148</v>
      </c>
      <c r="UO26">
        <v>148</v>
      </c>
      <c r="UP26">
        <v>158</v>
      </c>
      <c r="UQ26">
        <v>149</v>
      </c>
      <c r="UR26">
        <v>148</v>
      </c>
      <c r="US26">
        <v>148</v>
      </c>
      <c r="UT26">
        <v>149</v>
      </c>
      <c r="UU26">
        <v>149</v>
      </c>
      <c r="UV26">
        <v>159</v>
      </c>
      <c r="UW26">
        <v>149</v>
      </c>
      <c r="UX26">
        <v>149</v>
      </c>
      <c r="UY26">
        <v>149</v>
      </c>
      <c r="UZ26">
        <v>149</v>
      </c>
      <c r="VB26">
        <v>153</v>
      </c>
      <c r="VC26">
        <v>151</v>
      </c>
      <c r="VD26">
        <v>150</v>
      </c>
      <c r="VE26">
        <v>150</v>
      </c>
      <c r="VF26">
        <v>150</v>
      </c>
      <c r="VG26">
        <v>150</v>
      </c>
      <c r="VH26">
        <v>171</v>
      </c>
      <c r="VI26">
        <v>150</v>
      </c>
      <c r="VJ26">
        <v>150</v>
      </c>
      <c r="VK26">
        <v>151</v>
      </c>
      <c r="VL26">
        <v>151</v>
      </c>
      <c r="VM26">
        <v>151</v>
      </c>
      <c r="VO26">
        <v>156</v>
      </c>
      <c r="VP26">
        <v>151</v>
      </c>
      <c r="VQ26">
        <v>151</v>
      </c>
      <c r="VR26">
        <v>151</v>
      </c>
      <c r="VS26">
        <v>151</v>
      </c>
      <c r="VT26">
        <v>152</v>
      </c>
      <c r="VU26">
        <v>152</v>
      </c>
      <c r="VV26">
        <v>152</v>
      </c>
      <c r="VW26">
        <v>152</v>
      </c>
      <c r="VX26">
        <v>152</v>
      </c>
      <c r="VY26">
        <v>152</v>
      </c>
      <c r="VZ26">
        <v>152</v>
      </c>
      <c r="WB26">
        <v>153</v>
      </c>
      <c r="WC26">
        <v>153</v>
      </c>
      <c r="WD26">
        <v>153</v>
      </c>
      <c r="WE26">
        <v>153</v>
      </c>
      <c r="WF26">
        <v>153</v>
      </c>
      <c r="WG26">
        <v>153</v>
      </c>
      <c r="WH26">
        <v>153</v>
      </c>
      <c r="WI26">
        <v>153</v>
      </c>
      <c r="WJ26">
        <v>154</v>
      </c>
      <c r="WK26">
        <v>154</v>
      </c>
      <c r="WL26">
        <v>154</v>
      </c>
      <c r="WM26">
        <v>154</v>
      </c>
      <c r="WO26">
        <v>193</v>
      </c>
      <c r="WP26">
        <v>154</v>
      </c>
      <c r="WQ26">
        <v>154</v>
      </c>
      <c r="WR26">
        <v>154</v>
      </c>
      <c r="WS26">
        <v>154</v>
      </c>
      <c r="WT26">
        <v>154</v>
      </c>
      <c r="WU26">
        <v>155</v>
      </c>
      <c r="WV26">
        <v>155</v>
      </c>
      <c r="WW26">
        <v>155</v>
      </c>
      <c r="WX26">
        <v>155</v>
      </c>
      <c r="WY26">
        <v>155</v>
      </c>
      <c r="WZ26">
        <v>155</v>
      </c>
      <c r="XB26">
        <v>157</v>
      </c>
      <c r="XC26">
        <v>156</v>
      </c>
      <c r="XD26">
        <v>156</v>
      </c>
      <c r="XE26">
        <v>156</v>
      </c>
      <c r="XF26">
        <v>156</v>
      </c>
      <c r="XG26">
        <v>156</v>
      </c>
      <c r="XH26">
        <v>156</v>
      </c>
      <c r="XI26">
        <v>156</v>
      </c>
      <c r="XJ26">
        <v>156</v>
      </c>
      <c r="XK26">
        <v>157</v>
      </c>
      <c r="XL26">
        <v>157</v>
      </c>
      <c r="XM26">
        <v>157</v>
      </c>
      <c r="XO26">
        <v>157</v>
      </c>
      <c r="XP26">
        <v>157</v>
      </c>
      <c r="XQ26">
        <v>158</v>
      </c>
      <c r="XR26">
        <v>158</v>
      </c>
      <c r="XS26">
        <v>158</v>
      </c>
      <c r="XT26">
        <v>158</v>
      </c>
      <c r="XU26">
        <v>158</v>
      </c>
      <c r="XV26">
        <v>158</v>
      </c>
      <c r="XW26">
        <v>158</v>
      </c>
      <c r="XX26">
        <v>159</v>
      </c>
      <c r="XY26">
        <v>159</v>
      </c>
      <c r="XZ26">
        <v>159</v>
      </c>
      <c r="YB26">
        <v>167</v>
      </c>
      <c r="YC26">
        <v>159</v>
      </c>
      <c r="YD26">
        <v>159</v>
      </c>
      <c r="YE26">
        <v>159</v>
      </c>
      <c r="YF26">
        <v>159</v>
      </c>
      <c r="YG26">
        <v>160</v>
      </c>
      <c r="YH26">
        <v>160</v>
      </c>
      <c r="YI26">
        <v>160</v>
      </c>
      <c r="YJ26">
        <v>160</v>
      </c>
      <c r="YK26">
        <v>160</v>
      </c>
      <c r="YL26">
        <v>160</v>
      </c>
      <c r="YM26">
        <v>160</v>
      </c>
      <c r="YO26">
        <v>204</v>
      </c>
      <c r="YP26">
        <v>165</v>
      </c>
      <c r="YQ26">
        <v>168</v>
      </c>
      <c r="YR26">
        <v>175</v>
      </c>
      <c r="YS26">
        <v>161</v>
      </c>
      <c r="YT26">
        <v>163</v>
      </c>
      <c r="YU26">
        <v>169</v>
      </c>
      <c r="YV26">
        <v>163</v>
      </c>
      <c r="YW26">
        <v>170</v>
      </c>
      <c r="YX26">
        <v>162</v>
      </c>
      <c r="YY26">
        <v>162</v>
      </c>
      <c r="YZ26">
        <v>167</v>
      </c>
      <c r="ZB26">
        <v>163</v>
      </c>
      <c r="ZC26">
        <v>173</v>
      </c>
      <c r="ZD26">
        <v>165</v>
      </c>
      <c r="ZE26">
        <v>165</v>
      </c>
      <c r="ZF26">
        <v>165</v>
      </c>
      <c r="ZG26">
        <v>169</v>
      </c>
      <c r="ZH26">
        <v>166</v>
      </c>
      <c r="ZI26">
        <v>170</v>
      </c>
      <c r="ZJ26">
        <v>166</v>
      </c>
      <c r="ZK26">
        <v>166</v>
      </c>
      <c r="ZL26">
        <v>212</v>
      </c>
      <c r="ZM26">
        <v>192</v>
      </c>
      <c r="ZO26">
        <v>166</v>
      </c>
      <c r="ZP26">
        <v>167</v>
      </c>
      <c r="ZQ26">
        <v>167</v>
      </c>
      <c r="ZR26">
        <v>169</v>
      </c>
      <c r="ZS26">
        <v>167</v>
      </c>
      <c r="ZT26">
        <v>174</v>
      </c>
      <c r="ZU26">
        <v>167</v>
      </c>
      <c r="ZV26">
        <v>168</v>
      </c>
      <c r="ZW26">
        <v>168</v>
      </c>
      <c r="ZX26">
        <v>168</v>
      </c>
      <c r="ZY26">
        <v>172</v>
      </c>
      <c r="ZZ26">
        <v>168</v>
      </c>
      <c r="AAB26">
        <v>179</v>
      </c>
      <c r="AAC26">
        <v>185</v>
      </c>
      <c r="AAD26">
        <v>169</v>
      </c>
      <c r="AAE26">
        <v>171</v>
      </c>
      <c r="AAF26">
        <v>172</v>
      </c>
      <c r="AAG26">
        <v>169</v>
      </c>
      <c r="AAH26">
        <v>169</v>
      </c>
      <c r="AAI26">
        <v>183</v>
      </c>
      <c r="AAJ26">
        <v>170</v>
      </c>
      <c r="AAK26">
        <v>177</v>
      </c>
      <c r="AAL26">
        <v>172</v>
      </c>
      <c r="AAM26">
        <v>170</v>
      </c>
      <c r="AAO26">
        <v>170</v>
      </c>
      <c r="AAP26">
        <v>171</v>
      </c>
      <c r="AAQ26">
        <v>171</v>
      </c>
      <c r="AAR26">
        <v>172</v>
      </c>
      <c r="AAS26">
        <v>172</v>
      </c>
      <c r="AAT26">
        <v>172</v>
      </c>
      <c r="AAU26">
        <v>183</v>
      </c>
      <c r="AAV26">
        <v>172</v>
      </c>
      <c r="AAW26">
        <v>173</v>
      </c>
      <c r="AAX26">
        <v>191</v>
      </c>
      <c r="AAY26">
        <v>173</v>
      </c>
      <c r="AAZ26">
        <v>173</v>
      </c>
      <c r="ABB26">
        <v>358</v>
      </c>
      <c r="ABC26">
        <v>173</v>
      </c>
      <c r="ABD26">
        <v>173</v>
      </c>
      <c r="ABE26">
        <v>173</v>
      </c>
      <c r="ABF26">
        <v>174</v>
      </c>
      <c r="ABG26">
        <v>186</v>
      </c>
      <c r="ABH26">
        <v>178</v>
      </c>
      <c r="ABI26">
        <v>174</v>
      </c>
      <c r="ABJ26">
        <v>174</v>
      </c>
      <c r="ABK26">
        <v>174</v>
      </c>
      <c r="ABL26">
        <v>175</v>
      </c>
      <c r="ABM26">
        <v>175</v>
      </c>
      <c r="ABO26">
        <v>188</v>
      </c>
      <c r="ABP26">
        <v>175</v>
      </c>
      <c r="ABQ26">
        <v>175</v>
      </c>
      <c r="ABR26">
        <v>175</v>
      </c>
      <c r="ABS26">
        <v>176</v>
      </c>
      <c r="ABT26">
        <v>178</v>
      </c>
      <c r="ABU26">
        <v>176</v>
      </c>
      <c r="ABV26">
        <v>176</v>
      </c>
      <c r="ABW26">
        <v>178</v>
      </c>
      <c r="ABX26">
        <v>177</v>
      </c>
      <c r="ABY26">
        <v>191</v>
      </c>
      <c r="ABZ26">
        <v>177</v>
      </c>
      <c r="ACB26">
        <v>217</v>
      </c>
      <c r="ACC26">
        <v>179</v>
      </c>
      <c r="ACD26">
        <v>177</v>
      </c>
      <c r="ACE26">
        <v>178</v>
      </c>
      <c r="ACF26">
        <v>178</v>
      </c>
      <c r="ACG26">
        <v>181</v>
      </c>
      <c r="ACH26">
        <v>178</v>
      </c>
      <c r="ACI26">
        <v>182</v>
      </c>
      <c r="ACJ26">
        <v>179</v>
      </c>
      <c r="ACK26">
        <v>179</v>
      </c>
      <c r="ACL26">
        <v>189</v>
      </c>
      <c r="ACM26">
        <v>179</v>
      </c>
      <c r="ACO26">
        <v>179</v>
      </c>
      <c r="ACP26">
        <v>180</v>
      </c>
      <c r="ACQ26">
        <v>180</v>
      </c>
      <c r="ACR26">
        <v>180</v>
      </c>
      <c r="ACS26">
        <v>181</v>
      </c>
      <c r="ACT26">
        <v>180</v>
      </c>
      <c r="ACU26">
        <v>181</v>
      </c>
      <c r="ACV26">
        <v>181</v>
      </c>
      <c r="ACW26">
        <v>181</v>
      </c>
      <c r="ACX26">
        <v>181</v>
      </c>
      <c r="ACY26">
        <v>181</v>
      </c>
      <c r="ACZ26">
        <v>181</v>
      </c>
      <c r="ADB26">
        <v>428</v>
      </c>
      <c r="ADC26">
        <v>187</v>
      </c>
      <c r="ADD26">
        <v>181</v>
      </c>
      <c r="ADE26">
        <v>182</v>
      </c>
      <c r="ADF26">
        <v>182</v>
      </c>
      <c r="ADG26">
        <v>182</v>
      </c>
      <c r="ADH26">
        <v>224</v>
      </c>
      <c r="ADI26">
        <v>182</v>
      </c>
      <c r="ADJ26">
        <v>182</v>
      </c>
      <c r="ADK26">
        <v>186</v>
      </c>
      <c r="ADL26">
        <v>183</v>
      </c>
      <c r="ADM26">
        <v>183</v>
      </c>
      <c r="ADO26">
        <v>328</v>
      </c>
      <c r="ADP26">
        <v>183</v>
      </c>
      <c r="ADQ26">
        <v>183</v>
      </c>
      <c r="ADR26">
        <v>183</v>
      </c>
      <c r="ADS26">
        <v>183</v>
      </c>
      <c r="ADT26">
        <v>183</v>
      </c>
      <c r="ADU26">
        <v>228</v>
      </c>
      <c r="ADV26">
        <v>184</v>
      </c>
      <c r="ADW26">
        <v>184</v>
      </c>
      <c r="ADX26">
        <v>184</v>
      </c>
      <c r="ADY26">
        <v>184</v>
      </c>
      <c r="ADZ26">
        <v>184</v>
      </c>
      <c r="AEB26">
        <v>261</v>
      </c>
      <c r="AEC26">
        <v>184</v>
      </c>
      <c r="AED26">
        <v>185</v>
      </c>
      <c r="AEE26">
        <v>185</v>
      </c>
      <c r="AEF26">
        <v>185</v>
      </c>
      <c r="AEG26">
        <v>195</v>
      </c>
      <c r="AEH26">
        <v>204</v>
      </c>
      <c r="AEI26">
        <v>185</v>
      </c>
      <c r="AEJ26">
        <v>189</v>
      </c>
      <c r="AEK26">
        <v>186</v>
      </c>
      <c r="AEL26">
        <v>186</v>
      </c>
      <c r="AEM26">
        <v>186</v>
      </c>
      <c r="AEO26">
        <v>338</v>
      </c>
      <c r="AEP26">
        <v>186</v>
      </c>
      <c r="AEQ26">
        <v>192</v>
      </c>
      <c r="AER26">
        <v>186</v>
      </c>
      <c r="AES26">
        <v>186</v>
      </c>
      <c r="AET26">
        <v>193</v>
      </c>
      <c r="AEU26">
        <v>208</v>
      </c>
      <c r="AEV26">
        <v>187</v>
      </c>
      <c r="AEW26">
        <v>187</v>
      </c>
      <c r="AEX26">
        <v>187</v>
      </c>
      <c r="AEY26">
        <v>187</v>
      </c>
      <c r="AEZ26">
        <v>187</v>
      </c>
      <c r="AFB26">
        <v>210</v>
      </c>
      <c r="AFC26">
        <v>191</v>
      </c>
      <c r="AFD26">
        <v>189</v>
      </c>
      <c r="AFE26">
        <v>189</v>
      </c>
      <c r="AFF26">
        <v>189</v>
      </c>
      <c r="AFG26">
        <v>189</v>
      </c>
      <c r="AFH26">
        <v>225</v>
      </c>
      <c r="AFI26">
        <v>190</v>
      </c>
      <c r="AFJ26">
        <v>190</v>
      </c>
      <c r="AFK26">
        <v>190</v>
      </c>
      <c r="AFL26">
        <v>190</v>
      </c>
      <c r="AFM26">
        <v>190</v>
      </c>
      <c r="AFO26">
        <v>190</v>
      </c>
      <c r="AFP26">
        <v>191</v>
      </c>
      <c r="AFQ26">
        <v>191</v>
      </c>
      <c r="AFR26">
        <v>191</v>
      </c>
      <c r="AFS26">
        <v>191</v>
      </c>
      <c r="AFT26">
        <v>191</v>
      </c>
      <c r="AFU26">
        <v>228</v>
      </c>
      <c r="AFV26">
        <v>191</v>
      </c>
      <c r="AFW26">
        <v>192</v>
      </c>
    </row>
    <row r="27" spans="1:855" x14ac:dyDescent="0.25">
      <c r="A27" t="s">
        <v>107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9"/>
  <sheetViews>
    <sheetView workbookViewId="0">
      <pane xSplit="1" ySplit="1" topLeftCell="B2" activePane="bottomRight" state="frozen"/>
      <selection activeCell="A8" sqref="A8:AGA26"/>
      <selection pane="topRight" activeCell="A8" sqref="A8:AGA26"/>
      <selection pane="bottomLeft" activeCell="A8" sqref="A8:AGA26"/>
      <selection pane="bottomRight" activeCell="B2" sqref="B2"/>
    </sheetView>
  </sheetViews>
  <sheetFormatPr defaultColWidth="11" defaultRowHeight="15.75" x14ac:dyDescent="0.25"/>
  <cols>
    <col min="1" max="1" width="11.5" style="2" bestFit="1" customWidth="1"/>
    <col min="2" max="19" width="12.375" bestFit="1" customWidth="1"/>
  </cols>
  <sheetData>
    <row r="1" spans="1:19" x14ac:dyDescent="0.25">
      <c r="A1" s="2" t="s">
        <v>10</v>
      </c>
      <c r="B1" t="s">
        <v>77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98</v>
      </c>
      <c r="L1" t="s">
        <v>99</v>
      </c>
      <c r="M1" t="s">
        <v>100</v>
      </c>
      <c r="N1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</row>
    <row r="2" spans="1:19" x14ac:dyDescent="0.25">
      <c r="A2" s="2">
        <v>17533</v>
      </c>
      <c r="B2">
        <v>58061</v>
      </c>
      <c r="C2" t="e">
        <v>#N/A</v>
      </c>
      <c r="D2" t="e">
        <v>#N/A</v>
      </c>
      <c r="E2" t="e">
        <v>#N/A</v>
      </c>
      <c r="F2" t="e">
        <v>#N/A</v>
      </c>
      <c r="G2">
        <v>2034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</row>
    <row r="3" spans="1:19" x14ac:dyDescent="0.25">
      <c r="A3" s="2">
        <v>17564</v>
      </c>
      <c r="B3">
        <v>58196</v>
      </c>
      <c r="C3" t="e">
        <v>#N/A</v>
      </c>
      <c r="D3" t="e">
        <v>#N/A</v>
      </c>
      <c r="E3" t="e">
        <v>#N/A</v>
      </c>
      <c r="F3" t="e">
        <v>#N/A</v>
      </c>
      <c r="G3">
        <v>2328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</row>
    <row r="4" spans="1:19" x14ac:dyDescent="0.25">
      <c r="A4" s="2">
        <v>17593</v>
      </c>
      <c r="B4">
        <v>57671</v>
      </c>
      <c r="C4" t="e">
        <v>#N/A</v>
      </c>
      <c r="D4" t="e">
        <v>#N/A</v>
      </c>
      <c r="E4" t="e">
        <v>#N/A</v>
      </c>
      <c r="F4" t="e">
        <v>#N/A</v>
      </c>
      <c r="G4">
        <v>2399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</row>
    <row r="5" spans="1:19" x14ac:dyDescent="0.25">
      <c r="A5" s="2">
        <v>17624</v>
      </c>
      <c r="B5">
        <v>58291</v>
      </c>
      <c r="C5" t="e">
        <v>#N/A</v>
      </c>
      <c r="D5" t="e">
        <v>#N/A</v>
      </c>
      <c r="E5" t="e">
        <v>#N/A</v>
      </c>
      <c r="F5" t="e">
        <v>#N/A</v>
      </c>
      <c r="G5">
        <v>2386</v>
      </c>
      <c r="H5" t="e">
        <v>#N/A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</row>
    <row r="6" spans="1:19" x14ac:dyDescent="0.25">
      <c r="A6" s="2">
        <v>17654</v>
      </c>
      <c r="B6">
        <v>57854</v>
      </c>
      <c r="C6" t="e">
        <v>#N/A</v>
      </c>
      <c r="D6" t="e">
        <v>#N/A</v>
      </c>
      <c r="E6" t="e">
        <v>#N/A</v>
      </c>
      <c r="F6" t="e">
        <v>#N/A</v>
      </c>
      <c r="G6">
        <v>2118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</row>
    <row r="7" spans="1:19" x14ac:dyDescent="0.25">
      <c r="A7" s="2">
        <v>17685</v>
      </c>
      <c r="B7">
        <v>58743</v>
      </c>
      <c r="C7" t="e">
        <v>#N/A</v>
      </c>
      <c r="D7" t="e">
        <v>#N/A</v>
      </c>
      <c r="E7" t="e">
        <v>#N/A</v>
      </c>
      <c r="F7" t="e">
        <v>#N/A</v>
      </c>
      <c r="G7">
        <v>2214</v>
      </c>
      <c r="H7" t="e">
        <v>#N/A</v>
      </c>
      <c r="I7" t="e">
        <v>#N/A</v>
      </c>
      <c r="J7" t="e">
        <v>#N/A</v>
      </c>
      <c r="K7" t="e">
        <v>#N/A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</row>
    <row r="8" spans="1:19" x14ac:dyDescent="0.25">
      <c r="A8" s="2">
        <v>17715</v>
      </c>
      <c r="B8">
        <v>58968</v>
      </c>
      <c r="C8" t="e">
        <v>#N/A</v>
      </c>
      <c r="D8" t="e">
        <v>#N/A</v>
      </c>
      <c r="E8" t="e">
        <v>#N/A</v>
      </c>
      <c r="F8" t="e">
        <v>#N/A</v>
      </c>
      <c r="G8">
        <v>2213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</row>
    <row r="9" spans="1:19" x14ac:dyDescent="0.25">
      <c r="A9" s="2">
        <v>17746</v>
      </c>
      <c r="B9">
        <v>58456</v>
      </c>
      <c r="C9" t="e">
        <v>#N/A</v>
      </c>
      <c r="D9" t="e">
        <v>#N/A</v>
      </c>
      <c r="E9" t="e">
        <v>#N/A</v>
      </c>
      <c r="F9" t="e">
        <v>#N/A</v>
      </c>
      <c r="G9">
        <v>2350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</row>
    <row r="10" spans="1:19" x14ac:dyDescent="0.25">
      <c r="A10" s="2">
        <v>17777</v>
      </c>
      <c r="B10">
        <v>58513</v>
      </c>
      <c r="C10" t="e">
        <v>#N/A</v>
      </c>
      <c r="D10" t="e">
        <v>#N/A</v>
      </c>
      <c r="E10" t="e">
        <v>#N/A</v>
      </c>
      <c r="F10" t="e">
        <v>#N/A</v>
      </c>
      <c r="G10">
        <v>2302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</row>
    <row r="11" spans="1:19" x14ac:dyDescent="0.25">
      <c r="A11" s="2">
        <v>17807</v>
      </c>
      <c r="B11">
        <v>58387</v>
      </c>
      <c r="C11" t="e">
        <v>#N/A</v>
      </c>
      <c r="D11" t="e">
        <v>#N/A</v>
      </c>
      <c r="E11" t="e">
        <v>#N/A</v>
      </c>
      <c r="F11" t="e">
        <v>#N/A</v>
      </c>
      <c r="G11">
        <v>2259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</row>
    <row r="12" spans="1:19" x14ac:dyDescent="0.25">
      <c r="A12" s="2">
        <v>17838</v>
      </c>
      <c r="B12">
        <v>58417</v>
      </c>
      <c r="C12" t="e">
        <v>#N/A</v>
      </c>
      <c r="D12" t="e">
        <v>#N/A</v>
      </c>
      <c r="E12" t="e">
        <v>#N/A</v>
      </c>
      <c r="F12" t="e">
        <v>#N/A</v>
      </c>
      <c r="G12">
        <v>2285</v>
      </c>
      <c r="H12" t="e">
        <v>#N/A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</row>
    <row r="13" spans="1:19" x14ac:dyDescent="0.25">
      <c r="A13" s="2">
        <v>17868</v>
      </c>
      <c r="B13">
        <v>58740</v>
      </c>
      <c r="C13" t="e">
        <v>#N/A</v>
      </c>
      <c r="D13" t="e">
        <v>#N/A</v>
      </c>
      <c r="E13" t="e">
        <v>#N/A</v>
      </c>
      <c r="F13" t="e">
        <v>#N/A</v>
      </c>
      <c r="G13">
        <v>2429</v>
      </c>
      <c r="H13" t="e">
        <v>#N/A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</row>
    <row r="14" spans="1:19" x14ac:dyDescent="0.25">
      <c r="A14" s="2" t="s">
        <v>11</v>
      </c>
      <c r="B14" t="e">
        <v>#N/A</v>
      </c>
      <c r="C14" t="e">
        <v>#N/A</v>
      </c>
      <c r="D14" t="e">
        <v>#N/A</v>
      </c>
      <c r="E14" t="e">
        <v>#N/A</v>
      </c>
      <c r="F14" t="e">
        <v>#N/A</v>
      </c>
      <c r="G14" t="e">
        <v>#N/A</v>
      </c>
      <c r="H14" t="e">
        <v>#N/A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</row>
    <row r="15" spans="1:19" x14ac:dyDescent="0.25">
      <c r="A15" s="2">
        <v>17899</v>
      </c>
      <c r="B15">
        <v>58175</v>
      </c>
      <c r="C15" t="e">
        <v>#N/A</v>
      </c>
      <c r="D15" t="e">
        <v>#N/A</v>
      </c>
      <c r="E15" t="e">
        <v>#N/A</v>
      </c>
      <c r="F15" t="e">
        <v>#N/A</v>
      </c>
      <c r="G15">
        <v>2596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</row>
    <row r="16" spans="1:19" x14ac:dyDescent="0.25">
      <c r="A16" s="2">
        <v>17930</v>
      </c>
      <c r="B16">
        <v>58208</v>
      </c>
      <c r="C16" t="e">
        <v>#N/A</v>
      </c>
      <c r="D16" t="e">
        <v>#N/A</v>
      </c>
      <c r="E16" t="e">
        <v>#N/A</v>
      </c>
      <c r="F16" t="e">
        <v>#N/A</v>
      </c>
      <c r="G16">
        <v>2849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</row>
    <row r="17" spans="1:19" x14ac:dyDescent="0.25">
      <c r="A17" s="2">
        <v>17958</v>
      </c>
      <c r="B17">
        <v>58043</v>
      </c>
      <c r="C17" t="e">
        <v>#N/A</v>
      </c>
      <c r="D17" t="e">
        <v>#N/A</v>
      </c>
      <c r="E17" t="e">
        <v>#N/A</v>
      </c>
      <c r="F17" t="e">
        <v>#N/A</v>
      </c>
      <c r="G17">
        <v>3030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</row>
    <row r="18" spans="1:19" x14ac:dyDescent="0.25">
      <c r="A18" s="2">
        <v>17989</v>
      </c>
      <c r="B18">
        <v>57747</v>
      </c>
      <c r="C18" t="e">
        <v>#N/A</v>
      </c>
      <c r="D18" t="e">
        <v>#N/A</v>
      </c>
      <c r="E18" t="e">
        <v>#N/A</v>
      </c>
      <c r="F18" t="e">
        <v>#N/A</v>
      </c>
      <c r="G18">
        <v>3260</v>
      </c>
      <c r="H18" t="e">
        <v>#N/A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</row>
    <row r="19" spans="1:19" x14ac:dyDescent="0.25">
      <c r="A19" s="2">
        <v>18019</v>
      </c>
      <c r="B19">
        <v>57552</v>
      </c>
      <c r="C19" t="e">
        <v>#N/A</v>
      </c>
      <c r="D19" t="e">
        <v>#N/A</v>
      </c>
      <c r="E19" t="e">
        <v>#N/A</v>
      </c>
      <c r="F19" t="e">
        <v>#N/A</v>
      </c>
      <c r="G19">
        <v>3707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</row>
    <row r="20" spans="1:19" x14ac:dyDescent="0.25">
      <c r="A20" s="2">
        <v>18050</v>
      </c>
      <c r="B20">
        <v>57172</v>
      </c>
      <c r="C20" t="e">
        <v>#N/A</v>
      </c>
      <c r="D20" t="e">
        <v>#N/A</v>
      </c>
      <c r="E20" t="e">
        <v>#N/A</v>
      </c>
      <c r="F20" t="e">
        <v>#N/A</v>
      </c>
      <c r="G20">
        <v>3776</v>
      </c>
      <c r="H20" t="e">
        <v>#N/A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</row>
    <row r="21" spans="1:19" x14ac:dyDescent="0.25">
      <c r="A21" s="2">
        <v>18080</v>
      </c>
      <c r="B21">
        <v>57190</v>
      </c>
      <c r="C21" t="e">
        <v>#N/A</v>
      </c>
      <c r="D21" t="e">
        <v>#N/A</v>
      </c>
      <c r="E21" t="e">
        <v>#N/A</v>
      </c>
      <c r="F21" t="e">
        <v>#N/A</v>
      </c>
      <c r="G21">
        <v>4111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</row>
    <row r="22" spans="1:19" x14ac:dyDescent="0.25">
      <c r="A22" s="2">
        <v>18111</v>
      </c>
      <c r="B22">
        <v>57397</v>
      </c>
      <c r="C22" t="e">
        <v>#N/A</v>
      </c>
      <c r="D22" t="e">
        <v>#N/A</v>
      </c>
      <c r="E22" t="e">
        <v>#N/A</v>
      </c>
      <c r="F22" t="e">
        <v>#N/A</v>
      </c>
      <c r="G22">
        <v>4193</v>
      </c>
      <c r="H22" t="e">
        <v>#N/A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</row>
    <row r="23" spans="1:19" x14ac:dyDescent="0.25">
      <c r="A23" s="2">
        <v>18142</v>
      </c>
      <c r="B23">
        <v>57584</v>
      </c>
      <c r="C23" t="e">
        <v>#N/A</v>
      </c>
      <c r="D23" t="e">
        <v>#N/A</v>
      </c>
      <c r="E23" t="e">
        <v>#N/A</v>
      </c>
      <c r="F23" t="e">
        <v>#N/A</v>
      </c>
      <c r="G23">
        <v>4049</v>
      </c>
      <c r="H23" t="e">
        <v>#N/A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</row>
    <row r="24" spans="1:19" x14ac:dyDescent="0.25">
      <c r="A24" s="2">
        <v>18172</v>
      </c>
      <c r="B24">
        <v>57269</v>
      </c>
      <c r="C24" t="e">
        <v>#N/A</v>
      </c>
      <c r="D24" t="e">
        <v>#N/A</v>
      </c>
      <c r="E24" t="e">
        <v>#N/A</v>
      </c>
      <c r="F24" t="e">
        <v>#N/A</v>
      </c>
      <c r="G24">
        <v>4916</v>
      </c>
      <c r="H24" t="e">
        <v>#N/A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</row>
    <row r="25" spans="1:19" x14ac:dyDescent="0.25">
      <c r="A25" s="2">
        <v>18203</v>
      </c>
      <c r="B25">
        <v>58009</v>
      </c>
      <c r="C25" t="e">
        <v>#N/A</v>
      </c>
      <c r="D25" t="e">
        <v>#N/A</v>
      </c>
      <c r="E25" t="e">
        <v>#N/A</v>
      </c>
      <c r="F25" t="e">
        <v>#N/A</v>
      </c>
      <c r="G25">
        <v>3996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</row>
    <row r="26" spans="1:19" x14ac:dyDescent="0.25">
      <c r="A26" s="2">
        <v>18233</v>
      </c>
      <c r="B26">
        <v>57845</v>
      </c>
      <c r="C26" t="e">
        <v>#N/A</v>
      </c>
      <c r="D26" t="e">
        <v>#N/A</v>
      </c>
      <c r="E26" t="e">
        <v>#N/A</v>
      </c>
      <c r="F26" t="e">
        <v>#N/A</v>
      </c>
      <c r="G26">
        <v>4063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</row>
    <row r="27" spans="1:19" x14ac:dyDescent="0.25">
      <c r="A27" s="2" t="s">
        <v>12</v>
      </c>
      <c r="B27" t="e">
        <v>#N/A</v>
      </c>
      <c r="C27" t="e">
        <v>#N/A</v>
      </c>
      <c r="D27" t="e">
        <v>#N/A</v>
      </c>
      <c r="E27" t="e">
        <v>#N/A</v>
      </c>
      <c r="F27" t="e">
        <v>#N/A</v>
      </c>
      <c r="G27" t="e">
        <v>#N/A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</row>
    <row r="28" spans="1:19" x14ac:dyDescent="0.25">
      <c r="A28" s="2">
        <v>18264</v>
      </c>
      <c r="B28">
        <v>57635</v>
      </c>
      <c r="C28" t="e">
        <v>#N/A</v>
      </c>
      <c r="D28" t="e">
        <v>#N/A</v>
      </c>
      <c r="E28" t="e">
        <v>#N/A</v>
      </c>
      <c r="F28" t="e">
        <v>#N/A</v>
      </c>
      <c r="G28">
        <v>4026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</row>
    <row r="29" spans="1:19" x14ac:dyDescent="0.25">
      <c r="A29" s="2">
        <v>18295</v>
      </c>
      <c r="B29">
        <v>57751</v>
      </c>
      <c r="C29" t="e">
        <v>#N/A</v>
      </c>
      <c r="D29" t="e">
        <v>#N/A</v>
      </c>
      <c r="E29" t="e">
        <v>#N/A</v>
      </c>
      <c r="F29" t="e">
        <v>#N/A</v>
      </c>
      <c r="G29">
        <v>3936</v>
      </c>
      <c r="H29" t="e">
        <v>#N/A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</row>
    <row r="30" spans="1:19" x14ac:dyDescent="0.25">
      <c r="A30" s="2">
        <v>18323</v>
      </c>
      <c r="B30">
        <v>57728</v>
      </c>
      <c r="C30" t="e">
        <v>#N/A</v>
      </c>
      <c r="D30" t="e">
        <v>#N/A</v>
      </c>
      <c r="E30" t="e">
        <v>#N/A</v>
      </c>
      <c r="F30" t="e">
        <v>#N/A</v>
      </c>
      <c r="G30">
        <v>3876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</row>
    <row r="31" spans="1:19" x14ac:dyDescent="0.25">
      <c r="A31" s="2">
        <v>18354</v>
      </c>
      <c r="B31">
        <v>58583</v>
      </c>
      <c r="C31" t="e">
        <v>#N/A</v>
      </c>
      <c r="D31" t="e">
        <v>#N/A</v>
      </c>
      <c r="E31" t="e">
        <v>#N/A</v>
      </c>
      <c r="F31" t="e">
        <v>#N/A</v>
      </c>
      <c r="G31">
        <v>3575</v>
      </c>
      <c r="H31" t="e">
        <v>#N/A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</row>
    <row r="32" spans="1:19" x14ac:dyDescent="0.25">
      <c r="A32" s="2">
        <v>18384</v>
      </c>
      <c r="B32">
        <v>58649</v>
      </c>
      <c r="C32" t="e">
        <v>#N/A</v>
      </c>
      <c r="D32" t="e">
        <v>#N/A</v>
      </c>
      <c r="E32" t="e">
        <v>#N/A</v>
      </c>
      <c r="F32" t="e">
        <v>#N/A</v>
      </c>
      <c r="G32">
        <v>3434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</row>
    <row r="33" spans="1:19" x14ac:dyDescent="0.25">
      <c r="A33" s="2">
        <v>18415</v>
      </c>
      <c r="B33">
        <v>59052</v>
      </c>
      <c r="C33" t="e">
        <v>#N/A</v>
      </c>
      <c r="D33" t="e">
        <v>#N/A</v>
      </c>
      <c r="E33" t="e">
        <v>#N/A</v>
      </c>
      <c r="F33" t="e">
        <v>#N/A</v>
      </c>
      <c r="G33">
        <v>3367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</row>
    <row r="34" spans="1:19" x14ac:dyDescent="0.25">
      <c r="A34" s="2">
        <v>18445</v>
      </c>
      <c r="B34">
        <v>59001</v>
      </c>
      <c r="C34" t="e">
        <v>#N/A</v>
      </c>
      <c r="D34" t="e">
        <v>#N/A</v>
      </c>
      <c r="E34" t="e">
        <v>#N/A</v>
      </c>
      <c r="F34" t="e">
        <v>#N/A</v>
      </c>
      <c r="G34">
        <v>3120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</row>
    <row r="35" spans="1:19" x14ac:dyDescent="0.25">
      <c r="A35" s="2">
        <v>18476</v>
      </c>
      <c r="B35">
        <v>59797</v>
      </c>
      <c r="C35" t="e">
        <v>#N/A</v>
      </c>
      <c r="D35" t="e">
        <v>#N/A</v>
      </c>
      <c r="E35" t="e">
        <v>#N/A</v>
      </c>
      <c r="F35" t="e">
        <v>#N/A</v>
      </c>
      <c r="G35">
        <v>2799</v>
      </c>
      <c r="H35" t="e">
        <v>#N/A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</row>
    <row r="36" spans="1:19" x14ac:dyDescent="0.25">
      <c r="A36" s="2">
        <v>18507</v>
      </c>
      <c r="B36">
        <v>59575</v>
      </c>
      <c r="C36" t="e">
        <v>#N/A</v>
      </c>
      <c r="D36" t="e">
        <v>#N/A</v>
      </c>
      <c r="E36" t="e">
        <v>#N/A</v>
      </c>
      <c r="F36" t="e">
        <v>#N/A</v>
      </c>
      <c r="G36">
        <v>2774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</row>
    <row r="37" spans="1:19" x14ac:dyDescent="0.25">
      <c r="A37" s="2">
        <v>18537</v>
      </c>
      <c r="B37">
        <v>59803</v>
      </c>
      <c r="C37" t="e">
        <v>#N/A</v>
      </c>
      <c r="D37" t="e">
        <v>#N/A</v>
      </c>
      <c r="E37" t="e">
        <v>#N/A</v>
      </c>
      <c r="F37" t="e">
        <v>#N/A</v>
      </c>
      <c r="G37">
        <v>2625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</row>
    <row r="38" spans="1:19" x14ac:dyDescent="0.25">
      <c r="A38" s="2">
        <v>18568</v>
      </c>
      <c r="B38">
        <v>59697</v>
      </c>
      <c r="C38" t="e">
        <v>#N/A</v>
      </c>
      <c r="D38" t="e">
        <v>#N/A</v>
      </c>
      <c r="E38" t="e">
        <v>#N/A</v>
      </c>
      <c r="F38" t="e">
        <v>#N/A</v>
      </c>
      <c r="G38">
        <v>2589</v>
      </c>
      <c r="H38" t="e">
        <v>#N/A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</row>
    <row r="39" spans="1:19" x14ac:dyDescent="0.25">
      <c r="A39" s="2">
        <v>18598</v>
      </c>
      <c r="B39">
        <v>59429</v>
      </c>
      <c r="C39" t="e">
        <v>#N/A</v>
      </c>
      <c r="D39" t="e">
        <v>#N/A</v>
      </c>
      <c r="E39" t="e">
        <v>#N/A</v>
      </c>
      <c r="F39" t="e">
        <v>#N/A</v>
      </c>
      <c r="G39">
        <v>2639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</row>
    <row r="40" spans="1:19" x14ac:dyDescent="0.25">
      <c r="A40" s="2" t="s">
        <v>13</v>
      </c>
      <c r="B40" t="e">
        <v>#N/A</v>
      </c>
      <c r="C40" t="e">
        <v>#N/A</v>
      </c>
      <c r="D40" t="e">
        <v>#N/A</v>
      </c>
      <c r="E40" t="e">
        <v>#N/A</v>
      </c>
      <c r="F40" t="e">
        <v>#N/A</v>
      </c>
      <c r="G40" t="e">
        <v>#N/A</v>
      </c>
      <c r="H40" t="e">
        <v>#N/A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</row>
    <row r="41" spans="1:19" x14ac:dyDescent="0.25">
      <c r="A41" s="2">
        <v>18629</v>
      </c>
      <c r="B41">
        <v>59636</v>
      </c>
      <c r="C41" t="e">
        <v>#N/A</v>
      </c>
      <c r="D41" t="e">
        <v>#N/A</v>
      </c>
      <c r="E41" t="e">
        <v>#N/A</v>
      </c>
      <c r="F41" t="e">
        <v>#N/A</v>
      </c>
      <c r="G41">
        <v>2305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</row>
    <row r="42" spans="1:19" x14ac:dyDescent="0.25">
      <c r="A42" s="2">
        <v>18660</v>
      </c>
      <c r="B42">
        <v>59661</v>
      </c>
      <c r="C42" t="e">
        <v>#N/A</v>
      </c>
      <c r="D42" t="e">
        <v>#N/A</v>
      </c>
      <c r="E42" t="e">
        <v>#N/A</v>
      </c>
      <c r="F42" t="e">
        <v>#N/A</v>
      </c>
      <c r="G42">
        <v>2117</v>
      </c>
      <c r="H42" t="e">
        <v>#N/A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</row>
    <row r="43" spans="1:19" x14ac:dyDescent="0.25">
      <c r="A43" s="2">
        <v>18688</v>
      </c>
      <c r="B43">
        <v>60401</v>
      </c>
      <c r="C43" t="e">
        <v>#N/A</v>
      </c>
      <c r="D43" t="e">
        <v>#N/A</v>
      </c>
      <c r="E43" t="e">
        <v>#N/A</v>
      </c>
      <c r="F43" t="e">
        <v>#N/A</v>
      </c>
      <c r="G43">
        <v>2125</v>
      </c>
      <c r="H43" t="e">
        <v>#N/A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</row>
    <row r="44" spans="1:19" x14ac:dyDescent="0.25">
      <c r="A44" s="2">
        <v>18719</v>
      </c>
      <c r="B44">
        <v>59889</v>
      </c>
      <c r="C44" t="e">
        <v>#N/A</v>
      </c>
      <c r="D44" t="e">
        <v>#N/A</v>
      </c>
      <c r="E44" t="e">
        <v>#N/A</v>
      </c>
      <c r="F44" t="e">
        <v>#N/A</v>
      </c>
      <c r="G44">
        <v>1919</v>
      </c>
      <c r="H44" t="e">
        <v>#N/A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</row>
    <row r="45" spans="1:19" x14ac:dyDescent="0.25">
      <c r="A45" s="2">
        <v>18749</v>
      </c>
      <c r="B45">
        <v>60188</v>
      </c>
      <c r="C45" t="e">
        <v>#N/A</v>
      </c>
      <c r="D45" t="e">
        <v>#N/A</v>
      </c>
      <c r="E45" t="e">
        <v>#N/A</v>
      </c>
      <c r="F45" t="e">
        <v>#N/A</v>
      </c>
      <c r="G45">
        <v>1856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</row>
    <row r="46" spans="1:19" x14ac:dyDescent="0.25">
      <c r="A46" s="2">
        <v>18780</v>
      </c>
      <c r="B46">
        <v>59620</v>
      </c>
      <c r="C46" t="e">
        <v>#N/A</v>
      </c>
      <c r="D46" t="e">
        <v>#N/A</v>
      </c>
      <c r="E46" t="e">
        <v>#N/A</v>
      </c>
      <c r="F46" t="e">
        <v>#N/A</v>
      </c>
      <c r="G46">
        <v>1995</v>
      </c>
      <c r="H46" t="e">
        <v>#N/A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</row>
    <row r="47" spans="1:19" x14ac:dyDescent="0.25">
      <c r="A47" s="2">
        <v>18810</v>
      </c>
      <c r="B47">
        <v>60156</v>
      </c>
      <c r="C47" t="e">
        <v>#N/A</v>
      </c>
      <c r="D47" t="e">
        <v>#N/A</v>
      </c>
      <c r="E47" t="e">
        <v>#N/A</v>
      </c>
      <c r="F47" t="e">
        <v>#N/A</v>
      </c>
      <c r="G47">
        <v>1950</v>
      </c>
      <c r="H47" t="e">
        <v>#N/A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</row>
    <row r="48" spans="1:19" x14ac:dyDescent="0.25">
      <c r="A48" s="2">
        <v>18841</v>
      </c>
      <c r="B48">
        <v>59994</v>
      </c>
      <c r="C48" t="e">
        <v>#N/A</v>
      </c>
      <c r="D48" t="e">
        <v>#N/A</v>
      </c>
      <c r="E48" t="e">
        <v>#N/A</v>
      </c>
      <c r="F48" t="e">
        <v>#N/A</v>
      </c>
      <c r="G48">
        <v>1933</v>
      </c>
      <c r="H48" t="e">
        <v>#N/A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</row>
    <row r="49" spans="1:19" x14ac:dyDescent="0.25">
      <c r="A49" s="2">
        <v>18872</v>
      </c>
      <c r="B49">
        <v>59713</v>
      </c>
      <c r="C49" t="e">
        <v>#N/A</v>
      </c>
      <c r="D49" t="e">
        <v>#N/A</v>
      </c>
      <c r="E49" t="e">
        <v>#N/A</v>
      </c>
      <c r="F49" t="e">
        <v>#N/A</v>
      </c>
      <c r="G49">
        <v>2067</v>
      </c>
      <c r="H49" t="e">
        <v>#N/A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</row>
    <row r="50" spans="1:19" x14ac:dyDescent="0.25">
      <c r="A50" s="2">
        <v>18902</v>
      </c>
      <c r="B50">
        <v>60010</v>
      </c>
      <c r="C50" t="e">
        <v>#N/A</v>
      </c>
      <c r="D50" t="e">
        <v>#N/A</v>
      </c>
      <c r="E50" t="e">
        <v>#N/A</v>
      </c>
      <c r="F50" t="e">
        <v>#N/A</v>
      </c>
      <c r="G50">
        <v>2194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</row>
    <row r="51" spans="1:19" x14ac:dyDescent="0.25">
      <c r="A51" s="2">
        <v>18933</v>
      </c>
      <c r="B51">
        <v>59836</v>
      </c>
      <c r="C51" t="e">
        <v>#N/A</v>
      </c>
      <c r="D51" t="e">
        <v>#N/A</v>
      </c>
      <c r="E51" t="e">
        <v>#N/A</v>
      </c>
      <c r="F51" t="e">
        <v>#N/A</v>
      </c>
      <c r="G51">
        <v>2178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</row>
    <row r="52" spans="1:19" x14ac:dyDescent="0.25">
      <c r="A52" s="2">
        <v>18963</v>
      </c>
      <c r="B52">
        <v>60497</v>
      </c>
      <c r="C52" t="e">
        <v>#N/A</v>
      </c>
      <c r="D52" t="e">
        <v>#N/A</v>
      </c>
      <c r="E52" t="e">
        <v>#N/A</v>
      </c>
      <c r="F52" t="e">
        <v>#N/A</v>
      </c>
      <c r="G52">
        <v>1960</v>
      </c>
      <c r="H52" t="e">
        <v>#N/A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</row>
    <row r="53" spans="1:19" x14ac:dyDescent="0.25">
      <c r="A53" s="2" t="s">
        <v>14</v>
      </c>
      <c r="B53" t="e">
        <v>#N/A</v>
      </c>
      <c r="C53" t="e">
        <v>#N/A</v>
      </c>
      <c r="D53" t="e">
        <v>#N/A</v>
      </c>
      <c r="E53" t="e">
        <v>#N/A</v>
      </c>
      <c r="F53" t="e">
        <v>#N/A</v>
      </c>
      <c r="G53" t="e">
        <v>#N/A</v>
      </c>
      <c r="H53" t="e">
        <v>#N/A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</row>
    <row r="54" spans="1:19" x14ac:dyDescent="0.25">
      <c r="A54" s="2">
        <v>18994</v>
      </c>
      <c r="B54">
        <v>60460</v>
      </c>
      <c r="C54" t="e">
        <v>#N/A</v>
      </c>
      <c r="D54" t="e">
        <v>#N/A</v>
      </c>
      <c r="E54" t="e">
        <v>#N/A</v>
      </c>
      <c r="F54" t="e">
        <v>#N/A</v>
      </c>
      <c r="G54">
        <v>1972</v>
      </c>
      <c r="H54" t="e">
        <v>#N/A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</row>
    <row r="55" spans="1:19" x14ac:dyDescent="0.25">
      <c r="A55" s="2">
        <v>19025</v>
      </c>
      <c r="B55">
        <v>60462</v>
      </c>
      <c r="C55" t="e">
        <v>#N/A</v>
      </c>
      <c r="D55" t="e">
        <v>#N/A</v>
      </c>
      <c r="E55" t="e">
        <v>#N/A</v>
      </c>
      <c r="F55" t="e">
        <v>#N/A</v>
      </c>
      <c r="G55">
        <v>1957</v>
      </c>
      <c r="H55" t="e">
        <v>#N/A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</row>
    <row r="56" spans="1:19" x14ac:dyDescent="0.25">
      <c r="A56" s="2">
        <v>19054</v>
      </c>
      <c r="B56">
        <v>59908</v>
      </c>
      <c r="C56" t="e">
        <v>#N/A</v>
      </c>
      <c r="D56" t="e">
        <v>#N/A</v>
      </c>
      <c r="E56" t="e">
        <v>#N/A</v>
      </c>
      <c r="F56" t="e">
        <v>#N/A</v>
      </c>
      <c r="G56">
        <v>1813</v>
      </c>
      <c r="H56" t="e">
        <v>#N/A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</row>
    <row r="57" spans="1:19" x14ac:dyDescent="0.25">
      <c r="A57" s="2">
        <v>19085</v>
      </c>
      <c r="B57">
        <v>59909</v>
      </c>
      <c r="C57" t="e">
        <v>#N/A</v>
      </c>
      <c r="D57" t="e">
        <v>#N/A</v>
      </c>
      <c r="E57" t="e">
        <v>#N/A</v>
      </c>
      <c r="F57" t="e">
        <v>#N/A</v>
      </c>
      <c r="G57">
        <v>1811</v>
      </c>
      <c r="H57" t="e">
        <v>#N/A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</row>
    <row r="58" spans="1:19" x14ac:dyDescent="0.25">
      <c r="A58" s="2">
        <v>19115</v>
      </c>
      <c r="B58">
        <v>60195</v>
      </c>
      <c r="C58" t="e">
        <v>#N/A</v>
      </c>
      <c r="D58" t="e">
        <v>#N/A</v>
      </c>
      <c r="E58" t="e">
        <v>#N/A</v>
      </c>
      <c r="F58" t="e">
        <v>#N/A</v>
      </c>
      <c r="G58">
        <v>1863</v>
      </c>
      <c r="H58" t="e">
        <v>#N/A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</row>
    <row r="59" spans="1:19" x14ac:dyDescent="0.25">
      <c r="A59" s="2">
        <v>19146</v>
      </c>
      <c r="B59">
        <v>60219</v>
      </c>
      <c r="C59" t="e">
        <v>#N/A</v>
      </c>
      <c r="D59" t="e">
        <v>#N/A</v>
      </c>
      <c r="E59" t="e">
        <v>#N/A</v>
      </c>
      <c r="F59" t="e">
        <v>#N/A</v>
      </c>
      <c r="G59">
        <v>1884</v>
      </c>
      <c r="H59" t="e">
        <v>#N/A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</row>
    <row r="60" spans="1:19" x14ac:dyDescent="0.25">
      <c r="A60" s="2">
        <v>19176</v>
      </c>
      <c r="B60">
        <v>59971</v>
      </c>
      <c r="C60" t="e">
        <v>#N/A</v>
      </c>
      <c r="D60" t="e">
        <v>#N/A</v>
      </c>
      <c r="E60" t="e">
        <v>#N/A</v>
      </c>
      <c r="F60" t="e">
        <v>#N/A</v>
      </c>
      <c r="G60">
        <v>1991</v>
      </c>
      <c r="H60" t="e">
        <v>#N/A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</row>
    <row r="61" spans="1:19" x14ac:dyDescent="0.25">
      <c r="A61" s="2">
        <v>19207</v>
      </c>
      <c r="B61">
        <v>59790</v>
      </c>
      <c r="C61" t="e">
        <v>#N/A</v>
      </c>
      <c r="D61" t="e">
        <v>#N/A</v>
      </c>
      <c r="E61" t="e">
        <v>#N/A</v>
      </c>
      <c r="F61" t="e">
        <v>#N/A</v>
      </c>
      <c r="G61">
        <v>2087</v>
      </c>
      <c r="H61" t="e">
        <v>#N/A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</row>
    <row r="62" spans="1:19" x14ac:dyDescent="0.25">
      <c r="A62" s="2">
        <v>19238</v>
      </c>
      <c r="B62">
        <v>60521</v>
      </c>
      <c r="C62" t="e">
        <v>#N/A</v>
      </c>
      <c r="D62" t="e">
        <v>#N/A</v>
      </c>
      <c r="E62" t="e">
        <v>#N/A</v>
      </c>
      <c r="F62" t="e">
        <v>#N/A</v>
      </c>
      <c r="G62">
        <v>1936</v>
      </c>
      <c r="H62" t="e">
        <v>#N/A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</row>
    <row r="63" spans="1:19" x14ac:dyDescent="0.25">
      <c r="A63" s="2">
        <v>19268</v>
      </c>
      <c r="B63">
        <v>60132</v>
      </c>
      <c r="C63" t="e">
        <v>#N/A</v>
      </c>
      <c r="D63" t="e">
        <v>#N/A</v>
      </c>
      <c r="E63" t="e">
        <v>#N/A</v>
      </c>
      <c r="F63" t="e">
        <v>#N/A</v>
      </c>
      <c r="G63">
        <v>1839</v>
      </c>
      <c r="H63" t="e">
        <v>#N/A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</row>
    <row r="64" spans="1:19" x14ac:dyDescent="0.25">
      <c r="A64" s="2">
        <v>19299</v>
      </c>
      <c r="B64">
        <v>60748</v>
      </c>
      <c r="C64" t="e">
        <v>#N/A</v>
      </c>
      <c r="D64" t="e">
        <v>#N/A</v>
      </c>
      <c r="E64" t="e">
        <v>#N/A</v>
      </c>
      <c r="F64" t="e">
        <v>#N/A</v>
      </c>
      <c r="G64">
        <v>1743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</row>
    <row r="65" spans="1:19" x14ac:dyDescent="0.25">
      <c r="A65" s="2">
        <v>19329</v>
      </c>
      <c r="B65">
        <v>60954</v>
      </c>
      <c r="C65" t="e">
        <v>#N/A</v>
      </c>
      <c r="D65" t="e">
        <v>#N/A</v>
      </c>
      <c r="E65" t="e">
        <v>#N/A</v>
      </c>
      <c r="F65" t="e">
        <v>#N/A</v>
      </c>
      <c r="G65">
        <v>1667</v>
      </c>
      <c r="H65" t="e">
        <v>#N/A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</row>
    <row r="66" spans="1:19" x14ac:dyDescent="0.25">
      <c r="A66" s="2" t="s">
        <v>15</v>
      </c>
      <c r="B66" t="e">
        <v>#N/A</v>
      </c>
      <c r="C66" t="e">
        <v>#N/A</v>
      </c>
      <c r="D66" t="e">
        <v>#N/A</v>
      </c>
      <c r="E66" t="e">
        <v>#N/A</v>
      </c>
      <c r="F66" t="e">
        <v>#N/A</v>
      </c>
      <c r="G66" t="e">
        <v>#N/A</v>
      </c>
      <c r="H66" t="e">
        <v>#N/A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</row>
    <row r="67" spans="1:19" x14ac:dyDescent="0.25">
      <c r="A67" s="2">
        <v>19360</v>
      </c>
      <c r="B67">
        <v>61600</v>
      </c>
      <c r="C67" t="e">
        <v>#N/A</v>
      </c>
      <c r="D67" t="e">
        <v>#N/A</v>
      </c>
      <c r="E67" t="e">
        <v>#N/A</v>
      </c>
      <c r="F67" t="e">
        <v>#N/A</v>
      </c>
      <c r="G67">
        <v>1839</v>
      </c>
      <c r="H67" t="e">
        <v>#N/A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</row>
    <row r="68" spans="1:19" x14ac:dyDescent="0.25">
      <c r="A68" s="2">
        <v>19391</v>
      </c>
      <c r="B68">
        <v>61884</v>
      </c>
      <c r="C68" t="e">
        <v>#N/A</v>
      </c>
      <c r="D68" t="e">
        <v>#N/A</v>
      </c>
      <c r="E68" t="e">
        <v>#N/A</v>
      </c>
      <c r="F68" t="e">
        <v>#N/A</v>
      </c>
      <c r="G68">
        <v>1636</v>
      </c>
      <c r="H68" t="e">
        <v>#N/A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</row>
    <row r="69" spans="1:19" x14ac:dyDescent="0.25">
      <c r="A69" s="2">
        <v>19419</v>
      </c>
      <c r="B69">
        <v>62010</v>
      </c>
      <c r="C69" t="e">
        <v>#N/A</v>
      </c>
      <c r="D69" t="e">
        <v>#N/A</v>
      </c>
      <c r="E69" t="e">
        <v>#N/A</v>
      </c>
      <c r="F69" t="e">
        <v>#N/A</v>
      </c>
      <c r="G69">
        <v>1647</v>
      </c>
      <c r="H69" t="e">
        <v>#N/A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</row>
    <row r="70" spans="1:19" x14ac:dyDescent="0.25">
      <c r="A70" s="2">
        <v>19450</v>
      </c>
      <c r="B70">
        <v>61444</v>
      </c>
      <c r="C70" t="e">
        <v>#N/A</v>
      </c>
      <c r="D70" t="e">
        <v>#N/A</v>
      </c>
      <c r="E70" t="e">
        <v>#N/A</v>
      </c>
      <c r="F70" t="e">
        <v>#N/A</v>
      </c>
      <c r="G70">
        <v>1723</v>
      </c>
      <c r="H70" t="e">
        <v>#N/A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</row>
    <row r="71" spans="1:19" x14ac:dyDescent="0.25">
      <c r="A71" s="2">
        <v>19480</v>
      </c>
      <c r="B71">
        <v>61019</v>
      </c>
      <c r="C71" t="e">
        <v>#N/A</v>
      </c>
      <c r="D71" t="e">
        <v>#N/A</v>
      </c>
      <c r="E71" t="e">
        <v>#N/A</v>
      </c>
      <c r="F71" t="e">
        <v>#N/A</v>
      </c>
      <c r="G71">
        <v>1596</v>
      </c>
      <c r="H71" t="e">
        <v>#N/A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</row>
    <row r="72" spans="1:19" x14ac:dyDescent="0.25">
      <c r="A72" s="2">
        <v>19511</v>
      </c>
      <c r="B72">
        <v>61456</v>
      </c>
      <c r="C72" t="e">
        <v>#N/A</v>
      </c>
      <c r="D72" t="e">
        <v>#N/A</v>
      </c>
      <c r="E72" t="e">
        <v>#N/A</v>
      </c>
      <c r="F72" t="e">
        <v>#N/A</v>
      </c>
      <c r="G72">
        <v>1607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</row>
    <row r="73" spans="1:19" x14ac:dyDescent="0.25">
      <c r="A73" s="2">
        <v>19541</v>
      </c>
      <c r="B73">
        <v>61397</v>
      </c>
      <c r="C73" t="e">
        <v>#N/A</v>
      </c>
      <c r="D73" t="e">
        <v>#N/A</v>
      </c>
      <c r="E73" t="e">
        <v>#N/A</v>
      </c>
      <c r="F73" t="e">
        <v>#N/A</v>
      </c>
      <c r="G73">
        <v>1660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</row>
    <row r="74" spans="1:19" x14ac:dyDescent="0.25">
      <c r="A74" s="2">
        <v>19572</v>
      </c>
      <c r="B74">
        <v>61151</v>
      </c>
      <c r="C74" t="e">
        <v>#N/A</v>
      </c>
      <c r="D74" t="e">
        <v>#N/A</v>
      </c>
      <c r="E74" t="e">
        <v>#N/A</v>
      </c>
      <c r="F74" t="e">
        <v>#N/A</v>
      </c>
      <c r="G74">
        <v>1665</v>
      </c>
      <c r="H74" t="e">
        <v>#N/A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</row>
    <row r="75" spans="1:19" x14ac:dyDescent="0.25">
      <c r="A75" s="2">
        <v>19603</v>
      </c>
      <c r="B75">
        <v>60906</v>
      </c>
      <c r="C75" t="e">
        <v>#N/A</v>
      </c>
      <c r="D75" t="e">
        <v>#N/A</v>
      </c>
      <c r="E75" t="e">
        <v>#N/A</v>
      </c>
      <c r="F75" t="e">
        <v>#N/A</v>
      </c>
      <c r="G75">
        <v>1821</v>
      </c>
      <c r="H75" t="e">
        <v>#N/A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</row>
    <row r="76" spans="1:19" x14ac:dyDescent="0.25">
      <c r="A76" s="2">
        <v>19633</v>
      </c>
      <c r="B76">
        <v>60893</v>
      </c>
      <c r="C76" t="e">
        <v>#N/A</v>
      </c>
      <c r="D76" t="e">
        <v>#N/A</v>
      </c>
      <c r="E76" t="e">
        <v>#N/A</v>
      </c>
      <c r="F76" t="e">
        <v>#N/A</v>
      </c>
      <c r="G76">
        <v>1974</v>
      </c>
      <c r="H76" t="e">
        <v>#N/A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</row>
    <row r="77" spans="1:19" x14ac:dyDescent="0.25">
      <c r="A77" s="2">
        <v>19664</v>
      </c>
      <c r="B77">
        <v>60738</v>
      </c>
      <c r="C77" t="e">
        <v>#N/A</v>
      </c>
      <c r="D77" t="e">
        <v>#N/A</v>
      </c>
      <c r="E77" t="e">
        <v>#N/A</v>
      </c>
      <c r="F77" t="e">
        <v>#N/A</v>
      </c>
      <c r="G77">
        <v>2211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</row>
    <row r="78" spans="1:19" x14ac:dyDescent="0.25">
      <c r="A78" s="2">
        <v>19694</v>
      </c>
      <c r="B78">
        <v>59977</v>
      </c>
      <c r="C78" t="e">
        <v>#N/A</v>
      </c>
      <c r="D78" t="e">
        <v>#N/A</v>
      </c>
      <c r="E78" t="e">
        <v>#N/A</v>
      </c>
      <c r="F78" t="e">
        <v>#N/A</v>
      </c>
      <c r="G78">
        <v>2818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</row>
    <row r="79" spans="1:19" x14ac:dyDescent="0.25">
      <c r="A79" s="2" t="s">
        <v>16</v>
      </c>
      <c r="B79" t="e">
        <v>#N/A</v>
      </c>
      <c r="C79" t="e">
        <v>#N/A</v>
      </c>
      <c r="D79" t="e">
        <v>#N/A</v>
      </c>
      <c r="E79" t="e">
        <v>#N/A</v>
      </c>
      <c r="F79" t="e">
        <v>#N/A</v>
      </c>
      <c r="G79" t="e">
        <v>#N/A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</row>
    <row r="80" spans="1:19" x14ac:dyDescent="0.25">
      <c r="A80" s="2">
        <v>19725</v>
      </c>
      <c r="B80">
        <v>60024</v>
      </c>
      <c r="C80" t="e">
        <v>#N/A</v>
      </c>
      <c r="D80" t="e">
        <v>#N/A</v>
      </c>
      <c r="E80" t="e">
        <v>#N/A</v>
      </c>
      <c r="F80" t="e">
        <v>#N/A</v>
      </c>
      <c r="G80">
        <v>3077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</row>
    <row r="81" spans="1:19" x14ac:dyDescent="0.25">
      <c r="A81" s="2">
        <v>19756</v>
      </c>
      <c r="B81">
        <v>60663</v>
      </c>
      <c r="C81" t="e">
        <v>#N/A</v>
      </c>
      <c r="D81" t="e">
        <v>#N/A</v>
      </c>
      <c r="E81" t="e">
        <v>#N/A</v>
      </c>
      <c r="F81" t="e">
        <v>#N/A</v>
      </c>
      <c r="G81">
        <v>3331</v>
      </c>
      <c r="H81" t="e">
        <v>#N/A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</row>
    <row r="82" spans="1:19" x14ac:dyDescent="0.25">
      <c r="A82" s="2">
        <v>19784</v>
      </c>
      <c r="B82">
        <v>60186</v>
      </c>
      <c r="C82" t="e">
        <v>#N/A</v>
      </c>
      <c r="D82" t="e">
        <v>#N/A</v>
      </c>
      <c r="E82" t="e">
        <v>#N/A</v>
      </c>
      <c r="F82" t="e">
        <v>#N/A</v>
      </c>
      <c r="G82">
        <v>3607</v>
      </c>
      <c r="H82" t="e">
        <v>#N/A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</row>
    <row r="83" spans="1:19" x14ac:dyDescent="0.25">
      <c r="A83" s="2">
        <v>19815</v>
      </c>
      <c r="B83">
        <v>60185</v>
      </c>
      <c r="C83" t="e">
        <v>#N/A</v>
      </c>
      <c r="D83" t="e">
        <v>#N/A</v>
      </c>
      <c r="E83" t="e">
        <v>#N/A</v>
      </c>
      <c r="F83" t="e">
        <v>#N/A</v>
      </c>
      <c r="G83">
        <v>3749</v>
      </c>
      <c r="H83" t="e">
        <v>#N/A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</row>
    <row r="84" spans="1:19" x14ac:dyDescent="0.25">
      <c r="A84" s="2">
        <v>19845</v>
      </c>
      <c r="B84">
        <v>59908</v>
      </c>
      <c r="C84" t="e">
        <v>#N/A</v>
      </c>
      <c r="D84" t="e">
        <v>#N/A</v>
      </c>
      <c r="E84" t="e">
        <v>#N/A</v>
      </c>
      <c r="F84" t="e">
        <v>#N/A</v>
      </c>
      <c r="G84">
        <v>3767</v>
      </c>
      <c r="H84" t="e">
        <v>#N/A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</row>
    <row r="85" spans="1:19" x14ac:dyDescent="0.25">
      <c r="A85" s="2">
        <v>19876</v>
      </c>
      <c r="B85">
        <v>59792</v>
      </c>
      <c r="C85" t="e">
        <v>#N/A</v>
      </c>
      <c r="D85" t="e">
        <v>#N/A</v>
      </c>
      <c r="E85" t="e">
        <v>#N/A</v>
      </c>
      <c r="F85" t="e">
        <v>#N/A</v>
      </c>
      <c r="G85">
        <v>3551</v>
      </c>
      <c r="H85" t="e">
        <v>#N/A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</row>
    <row r="86" spans="1:19" x14ac:dyDescent="0.25">
      <c r="A86" s="2">
        <v>19906</v>
      </c>
      <c r="B86">
        <v>59643</v>
      </c>
      <c r="C86" t="e">
        <v>#N/A</v>
      </c>
      <c r="D86" t="e">
        <v>#N/A</v>
      </c>
      <c r="E86" t="e">
        <v>#N/A</v>
      </c>
      <c r="F86" t="e">
        <v>#N/A</v>
      </c>
      <c r="G86">
        <v>3659</v>
      </c>
      <c r="H86" t="e">
        <v>#N/A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</row>
    <row r="87" spans="1:19" x14ac:dyDescent="0.25">
      <c r="A87" s="2">
        <v>19937</v>
      </c>
      <c r="B87">
        <v>59853</v>
      </c>
      <c r="C87" t="e">
        <v>#N/A</v>
      </c>
      <c r="D87" t="e">
        <v>#N/A</v>
      </c>
      <c r="E87" t="e">
        <v>#N/A</v>
      </c>
      <c r="F87" t="e">
        <v>#N/A</v>
      </c>
      <c r="G87">
        <v>3854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</row>
    <row r="88" spans="1:19" x14ac:dyDescent="0.25">
      <c r="A88" s="2">
        <v>19968</v>
      </c>
      <c r="B88">
        <v>60282</v>
      </c>
      <c r="C88" t="e">
        <v>#N/A</v>
      </c>
      <c r="D88" t="e">
        <v>#N/A</v>
      </c>
      <c r="E88" t="e">
        <v>#N/A</v>
      </c>
      <c r="F88" t="e">
        <v>#N/A</v>
      </c>
      <c r="G88">
        <v>3927</v>
      </c>
      <c r="H88" t="e">
        <v>#N/A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</row>
    <row r="89" spans="1:19" x14ac:dyDescent="0.25">
      <c r="A89" s="2">
        <v>19998</v>
      </c>
      <c r="B89">
        <v>60270</v>
      </c>
      <c r="C89" t="e">
        <v>#N/A</v>
      </c>
      <c r="D89" t="e">
        <v>#N/A</v>
      </c>
      <c r="E89" t="e">
        <v>#N/A</v>
      </c>
      <c r="F89" t="e">
        <v>#N/A</v>
      </c>
      <c r="G89">
        <v>3666</v>
      </c>
      <c r="H89" t="e">
        <v>#N/A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</row>
    <row r="90" spans="1:19" x14ac:dyDescent="0.25">
      <c r="A90" s="2">
        <v>20029</v>
      </c>
      <c r="B90">
        <v>60357</v>
      </c>
      <c r="C90" t="e">
        <v>#N/A</v>
      </c>
      <c r="D90" t="e">
        <v>#N/A</v>
      </c>
      <c r="E90" t="e">
        <v>#N/A</v>
      </c>
      <c r="F90" t="e">
        <v>#N/A</v>
      </c>
      <c r="G90">
        <v>3402</v>
      </c>
      <c r="H90" t="e">
        <v>#N/A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</row>
    <row r="91" spans="1:19" x14ac:dyDescent="0.25">
      <c r="A91" s="2">
        <v>20059</v>
      </c>
      <c r="B91">
        <v>60116</v>
      </c>
      <c r="C91" t="e">
        <v>#N/A</v>
      </c>
      <c r="D91" t="e">
        <v>#N/A</v>
      </c>
      <c r="E91" t="e">
        <v>#N/A</v>
      </c>
      <c r="F91" t="e">
        <v>#N/A</v>
      </c>
      <c r="G91">
        <v>3196</v>
      </c>
      <c r="H91" t="e">
        <v>#N/A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</row>
    <row r="92" spans="1:19" x14ac:dyDescent="0.25">
      <c r="A92" s="2" t="s">
        <v>17</v>
      </c>
      <c r="B92" t="e">
        <v>#N/A</v>
      </c>
      <c r="C92" t="e">
        <v>#N/A</v>
      </c>
      <c r="D92" t="e">
        <v>#N/A</v>
      </c>
      <c r="E92" t="e">
        <v>#N/A</v>
      </c>
      <c r="F92" t="e">
        <v>#N/A</v>
      </c>
      <c r="G92" t="e">
        <v>#N/A</v>
      </c>
      <c r="H92" t="e">
        <v>#N/A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</row>
    <row r="93" spans="1:19" x14ac:dyDescent="0.25">
      <c r="A93" s="2">
        <v>20090</v>
      </c>
      <c r="B93">
        <v>60753</v>
      </c>
      <c r="C93" t="e">
        <v>#N/A</v>
      </c>
      <c r="D93" t="e">
        <v>#N/A</v>
      </c>
      <c r="E93" t="e">
        <v>#N/A</v>
      </c>
      <c r="F93" t="e">
        <v>#N/A</v>
      </c>
      <c r="G93">
        <v>3157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</row>
    <row r="94" spans="1:19" x14ac:dyDescent="0.25">
      <c r="A94" s="2">
        <v>20121</v>
      </c>
      <c r="B94">
        <v>60727</v>
      </c>
      <c r="C94" t="e">
        <v>#N/A</v>
      </c>
      <c r="D94" t="e">
        <v>#N/A</v>
      </c>
      <c r="E94" t="e">
        <v>#N/A</v>
      </c>
      <c r="F94" t="e">
        <v>#N/A</v>
      </c>
      <c r="G94">
        <v>2969</v>
      </c>
      <c r="H94" t="e">
        <v>#N/A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</row>
    <row r="95" spans="1:19" x14ac:dyDescent="0.25">
      <c r="A95" s="2">
        <v>20149</v>
      </c>
      <c r="B95">
        <v>60964</v>
      </c>
      <c r="C95" t="e">
        <v>#N/A</v>
      </c>
      <c r="D95" t="e">
        <v>#N/A</v>
      </c>
      <c r="E95" t="e">
        <v>#N/A</v>
      </c>
      <c r="F95" t="e">
        <v>#N/A</v>
      </c>
      <c r="G95">
        <v>2918</v>
      </c>
      <c r="H95" t="e">
        <v>#N/A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</row>
    <row r="96" spans="1:19" x14ac:dyDescent="0.25">
      <c r="A96" s="2">
        <v>20180</v>
      </c>
      <c r="B96">
        <v>61515</v>
      </c>
      <c r="C96" t="e">
        <v>#N/A</v>
      </c>
      <c r="D96" t="e">
        <v>#N/A</v>
      </c>
      <c r="E96" t="e">
        <v>#N/A</v>
      </c>
      <c r="F96" t="e">
        <v>#N/A</v>
      </c>
      <c r="G96">
        <v>3049</v>
      </c>
      <c r="H96" t="e">
        <v>#N/A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</row>
    <row r="97" spans="1:19" x14ac:dyDescent="0.25">
      <c r="A97" s="2">
        <v>20210</v>
      </c>
      <c r="B97">
        <v>61634</v>
      </c>
      <c r="C97" t="e">
        <v>#N/A</v>
      </c>
      <c r="D97" t="e">
        <v>#N/A</v>
      </c>
      <c r="E97" t="e">
        <v>#N/A</v>
      </c>
      <c r="F97" t="e">
        <v>#N/A</v>
      </c>
      <c r="G97">
        <v>2747</v>
      </c>
      <c r="H97" t="e">
        <v>#N/A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</row>
    <row r="98" spans="1:19" x14ac:dyDescent="0.25">
      <c r="A98" s="2">
        <v>20241</v>
      </c>
      <c r="B98">
        <v>61781</v>
      </c>
      <c r="C98" t="e">
        <v>#N/A</v>
      </c>
      <c r="D98" t="e">
        <v>#N/A</v>
      </c>
      <c r="E98" t="e">
        <v>#N/A</v>
      </c>
      <c r="F98" t="e">
        <v>#N/A</v>
      </c>
      <c r="G98">
        <v>2701</v>
      </c>
      <c r="H98" t="e">
        <v>#N/A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</row>
    <row r="99" spans="1:19" x14ac:dyDescent="0.25">
      <c r="A99" s="2">
        <v>20271</v>
      </c>
      <c r="B99">
        <v>62513</v>
      </c>
      <c r="C99" t="e">
        <v>#N/A</v>
      </c>
      <c r="D99" t="e">
        <v>#N/A</v>
      </c>
      <c r="E99" t="e">
        <v>#N/A</v>
      </c>
      <c r="F99" t="e">
        <v>#N/A</v>
      </c>
      <c r="G99">
        <v>2632</v>
      </c>
      <c r="H99" t="e">
        <v>#N/A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</row>
    <row r="100" spans="1:19" x14ac:dyDescent="0.25">
      <c r="A100" s="2">
        <v>20302</v>
      </c>
      <c r="B100">
        <v>62797</v>
      </c>
      <c r="C100" t="e">
        <v>#N/A</v>
      </c>
      <c r="D100" t="e">
        <v>#N/A</v>
      </c>
      <c r="E100" t="e">
        <v>#N/A</v>
      </c>
      <c r="F100" t="e">
        <v>#N/A</v>
      </c>
      <c r="G100">
        <v>2784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</row>
    <row r="101" spans="1:19" x14ac:dyDescent="0.25">
      <c r="A101" s="2">
        <v>20333</v>
      </c>
      <c r="B101">
        <v>62950</v>
      </c>
      <c r="C101" t="e">
        <v>#N/A</v>
      </c>
      <c r="D101" t="e">
        <v>#N/A</v>
      </c>
      <c r="E101" t="e">
        <v>#N/A</v>
      </c>
      <c r="F101" t="e">
        <v>#N/A</v>
      </c>
      <c r="G101">
        <v>2678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</row>
    <row r="102" spans="1:19" x14ac:dyDescent="0.25">
      <c r="A102" s="2">
        <v>20363</v>
      </c>
      <c r="B102">
        <v>62991</v>
      </c>
      <c r="C102" t="e">
        <v>#N/A</v>
      </c>
      <c r="D102" t="e">
        <v>#N/A</v>
      </c>
      <c r="E102" t="e">
        <v>#N/A</v>
      </c>
      <c r="F102" t="e">
        <v>#N/A</v>
      </c>
      <c r="G102">
        <v>2830</v>
      </c>
      <c r="H102" t="e">
        <v>#N/A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</row>
    <row r="103" spans="1:19" x14ac:dyDescent="0.25">
      <c r="A103" s="2">
        <v>20394</v>
      </c>
      <c r="B103">
        <v>63257</v>
      </c>
      <c r="C103" t="e">
        <v>#N/A</v>
      </c>
      <c r="D103" t="e">
        <v>#N/A</v>
      </c>
      <c r="E103" t="e">
        <v>#N/A</v>
      </c>
      <c r="F103" t="e">
        <v>#N/A</v>
      </c>
      <c r="G103">
        <v>2780</v>
      </c>
      <c r="H103" t="e">
        <v>#N/A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</row>
    <row r="104" spans="1:19" x14ac:dyDescent="0.25">
      <c r="A104" s="2">
        <v>20424</v>
      </c>
      <c r="B104">
        <v>63684</v>
      </c>
      <c r="C104" t="e">
        <v>#N/A</v>
      </c>
      <c r="D104" t="e">
        <v>#N/A</v>
      </c>
      <c r="E104" t="e">
        <v>#N/A</v>
      </c>
      <c r="F104" t="e">
        <v>#N/A</v>
      </c>
      <c r="G104">
        <v>2761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</row>
    <row r="105" spans="1:19" x14ac:dyDescent="0.25">
      <c r="A105" s="2" t="s">
        <v>18</v>
      </c>
      <c r="B105" t="e">
        <v>#N/A</v>
      </c>
      <c r="C105" t="e">
        <v>#N/A</v>
      </c>
      <c r="D105" t="e">
        <v>#N/A</v>
      </c>
      <c r="E105" t="e">
        <v>#N/A</v>
      </c>
      <c r="F105" t="e">
        <v>#N/A</v>
      </c>
      <c r="G105" t="e">
        <v>#N/A</v>
      </c>
      <c r="H105" t="e">
        <v>#N/A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</row>
    <row r="106" spans="1:19" x14ac:dyDescent="0.25">
      <c r="A106" s="2">
        <v>20455</v>
      </c>
      <c r="B106">
        <v>63753</v>
      </c>
      <c r="C106" t="e">
        <v>#N/A</v>
      </c>
      <c r="D106" t="e">
        <v>#N/A</v>
      </c>
      <c r="E106" t="e">
        <v>#N/A</v>
      </c>
      <c r="F106" t="e">
        <v>#N/A</v>
      </c>
      <c r="G106">
        <v>2666</v>
      </c>
      <c r="H106" t="e">
        <v>#N/A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</row>
    <row r="107" spans="1:19" x14ac:dyDescent="0.25">
      <c r="A107" s="2">
        <v>20486</v>
      </c>
      <c r="B107">
        <v>63518</v>
      </c>
      <c r="C107" t="e">
        <v>#N/A</v>
      </c>
      <c r="D107" t="e">
        <v>#N/A</v>
      </c>
      <c r="E107" t="e">
        <v>#N/A</v>
      </c>
      <c r="F107" t="e">
        <v>#N/A</v>
      </c>
      <c r="G107">
        <v>2606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</row>
    <row r="108" spans="1:19" x14ac:dyDescent="0.25">
      <c r="A108" s="2">
        <v>20515</v>
      </c>
      <c r="B108">
        <v>63411</v>
      </c>
      <c r="C108" t="e">
        <v>#N/A</v>
      </c>
      <c r="D108" t="e">
        <v>#N/A</v>
      </c>
      <c r="E108" t="e">
        <v>#N/A</v>
      </c>
      <c r="F108" t="e">
        <v>#N/A</v>
      </c>
      <c r="G108">
        <v>2764</v>
      </c>
      <c r="H108" t="e">
        <v>#N/A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</row>
    <row r="109" spans="1:19" x14ac:dyDescent="0.25">
      <c r="A109" s="2">
        <v>20546</v>
      </c>
      <c r="B109">
        <v>63614</v>
      </c>
      <c r="C109" t="e">
        <v>#N/A</v>
      </c>
      <c r="D109" t="e">
        <v>#N/A</v>
      </c>
      <c r="E109" t="e">
        <v>#N/A</v>
      </c>
      <c r="F109" t="e">
        <v>#N/A</v>
      </c>
      <c r="G109">
        <v>2650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</row>
    <row r="110" spans="1:19" x14ac:dyDescent="0.25">
      <c r="A110" s="2">
        <v>20576</v>
      </c>
      <c r="B110">
        <v>63861</v>
      </c>
      <c r="C110" t="e">
        <v>#N/A</v>
      </c>
      <c r="D110" t="e">
        <v>#N/A</v>
      </c>
      <c r="E110" t="e">
        <v>#N/A</v>
      </c>
      <c r="F110" t="e">
        <v>#N/A</v>
      </c>
      <c r="G110">
        <v>2861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</row>
    <row r="111" spans="1:19" x14ac:dyDescent="0.25">
      <c r="A111" s="2">
        <v>20607</v>
      </c>
      <c r="B111">
        <v>63820</v>
      </c>
      <c r="C111" t="e">
        <v>#N/A</v>
      </c>
      <c r="D111" t="e">
        <v>#N/A</v>
      </c>
      <c r="E111" t="e">
        <v>#N/A</v>
      </c>
      <c r="F111" t="e">
        <v>#N/A</v>
      </c>
      <c r="G111">
        <v>2882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</row>
    <row r="112" spans="1:19" x14ac:dyDescent="0.25">
      <c r="A112" s="2">
        <v>20637</v>
      </c>
      <c r="B112">
        <v>63800</v>
      </c>
      <c r="C112" t="e">
        <v>#N/A</v>
      </c>
      <c r="D112" t="e">
        <v>#N/A</v>
      </c>
      <c r="E112" t="e">
        <v>#N/A</v>
      </c>
      <c r="F112" t="e">
        <v>#N/A</v>
      </c>
      <c r="G112">
        <v>2952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</row>
    <row r="113" spans="1:19" x14ac:dyDescent="0.25">
      <c r="A113" s="2">
        <v>20668</v>
      </c>
      <c r="B113">
        <v>63972</v>
      </c>
      <c r="C113" t="e">
        <v>#N/A</v>
      </c>
      <c r="D113" t="e">
        <v>#N/A</v>
      </c>
      <c r="E113" t="e">
        <v>#N/A</v>
      </c>
      <c r="F113" t="e">
        <v>#N/A</v>
      </c>
      <c r="G113">
        <v>2701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</row>
    <row r="114" spans="1:19" x14ac:dyDescent="0.25">
      <c r="A114" s="2">
        <v>20699</v>
      </c>
      <c r="B114">
        <v>64079</v>
      </c>
      <c r="C114" t="e">
        <v>#N/A</v>
      </c>
      <c r="D114" t="e">
        <v>#N/A</v>
      </c>
      <c r="E114" t="e">
        <v>#N/A</v>
      </c>
      <c r="F114" t="e">
        <v>#N/A</v>
      </c>
      <c r="G114">
        <v>2635</v>
      </c>
      <c r="H114" t="e">
        <v>#N/A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</row>
    <row r="115" spans="1:19" x14ac:dyDescent="0.25">
      <c r="A115" s="2">
        <v>20729</v>
      </c>
      <c r="B115">
        <v>63975</v>
      </c>
      <c r="C115" t="e">
        <v>#N/A</v>
      </c>
      <c r="D115" t="e">
        <v>#N/A</v>
      </c>
      <c r="E115" t="e">
        <v>#N/A</v>
      </c>
      <c r="F115" t="e">
        <v>#N/A</v>
      </c>
      <c r="G115">
        <v>2571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</row>
    <row r="116" spans="1:19" x14ac:dyDescent="0.25">
      <c r="A116" s="2">
        <v>20760</v>
      </c>
      <c r="B116">
        <v>63796</v>
      </c>
      <c r="C116" t="e">
        <v>#N/A</v>
      </c>
      <c r="D116" t="e">
        <v>#N/A</v>
      </c>
      <c r="E116" t="e">
        <v>#N/A</v>
      </c>
      <c r="F116" t="e">
        <v>#N/A</v>
      </c>
      <c r="G116">
        <v>2861</v>
      </c>
      <c r="H116" t="e">
        <v>#N/A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</row>
    <row r="117" spans="1:19" x14ac:dyDescent="0.25">
      <c r="A117" s="2">
        <v>20790</v>
      </c>
      <c r="B117">
        <v>63910</v>
      </c>
      <c r="C117" t="e">
        <v>#N/A</v>
      </c>
      <c r="D117" t="e">
        <v>#N/A</v>
      </c>
      <c r="E117" t="e">
        <v>#N/A</v>
      </c>
      <c r="F117" t="e">
        <v>#N/A</v>
      </c>
      <c r="G117">
        <v>2790</v>
      </c>
      <c r="H117" t="e">
        <v>#N/A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</row>
    <row r="118" spans="1:19" x14ac:dyDescent="0.25">
      <c r="A118" s="2" t="s">
        <v>19</v>
      </c>
      <c r="B118" t="e">
        <v>#N/A</v>
      </c>
      <c r="C118" t="e">
        <v>#N/A</v>
      </c>
      <c r="D118" t="e">
        <v>#N/A</v>
      </c>
      <c r="E118" t="e">
        <v>#N/A</v>
      </c>
      <c r="F118" t="e">
        <v>#N/A</v>
      </c>
      <c r="G118" t="e">
        <v>#N/A</v>
      </c>
      <c r="H118" t="e">
        <v>#N/A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</row>
    <row r="119" spans="1:19" x14ac:dyDescent="0.25">
      <c r="A119" s="2">
        <v>20821</v>
      </c>
      <c r="B119">
        <v>63632</v>
      </c>
      <c r="C119" t="e">
        <v>#N/A</v>
      </c>
      <c r="D119" t="e">
        <v>#N/A</v>
      </c>
      <c r="E119" t="e">
        <v>#N/A</v>
      </c>
      <c r="F119" t="e">
        <v>#N/A</v>
      </c>
      <c r="G119">
        <v>2796</v>
      </c>
      <c r="H119" t="e">
        <v>#N/A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</row>
    <row r="120" spans="1:19" x14ac:dyDescent="0.25">
      <c r="A120" s="2">
        <v>20852</v>
      </c>
      <c r="B120">
        <v>64257</v>
      </c>
      <c r="C120" t="e">
        <v>#N/A</v>
      </c>
      <c r="D120" t="e">
        <v>#N/A</v>
      </c>
      <c r="E120" t="e">
        <v>#N/A</v>
      </c>
      <c r="F120" t="e">
        <v>#N/A</v>
      </c>
      <c r="G120">
        <v>2622</v>
      </c>
      <c r="H120" t="e">
        <v>#N/A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</row>
    <row r="121" spans="1:19" x14ac:dyDescent="0.25">
      <c r="A121" s="2">
        <v>20880</v>
      </c>
      <c r="B121">
        <v>64404</v>
      </c>
      <c r="C121" t="e">
        <v>#N/A</v>
      </c>
      <c r="D121" t="e">
        <v>#N/A</v>
      </c>
      <c r="E121" t="e">
        <v>#N/A</v>
      </c>
      <c r="F121" t="e">
        <v>#N/A</v>
      </c>
      <c r="G121">
        <v>2509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</row>
    <row r="122" spans="1:19" x14ac:dyDescent="0.25">
      <c r="A122" s="2">
        <v>20911</v>
      </c>
      <c r="B122">
        <v>64047</v>
      </c>
      <c r="C122" t="e">
        <v>#N/A</v>
      </c>
      <c r="D122" t="e">
        <v>#N/A</v>
      </c>
      <c r="E122" t="e">
        <v>#N/A</v>
      </c>
      <c r="F122" t="e">
        <v>#N/A</v>
      </c>
      <c r="G122">
        <v>2600</v>
      </c>
      <c r="H122" t="e">
        <v>#N/A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</row>
    <row r="123" spans="1:19" x14ac:dyDescent="0.25">
      <c r="A123" s="2">
        <v>20941</v>
      </c>
      <c r="B123">
        <v>63985</v>
      </c>
      <c r="C123" t="e">
        <v>#N/A</v>
      </c>
      <c r="D123" t="e">
        <v>#N/A</v>
      </c>
      <c r="E123" t="e">
        <v>#N/A</v>
      </c>
      <c r="F123" t="e">
        <v>#N/A</v>
      </c>
      <c r="G123">
        <v>2710</v>
      </c>
      <c r="H123" t="e">
        <v>#N/A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</row>
    <row r="124" spans="1:19" x14ac:dyDescent="0.25">
      <c r="A124" s="2">
        <v>20972</v>
      </c>
      <c r="B124">
        <v>64196</v>
      </c>
      <c r="C124" t="e">
        <v>#N/A</v>
      </c>
      <c r="D124" t="e">
        <v>#N/A</v>
      </c>
      <c r="E124" t="e">
        <v>#N/A</v>
      </c>
      <c r="F124" t="e">
        <v>#N/A</v>
      </c>
      <c r="G124">
        <v>2856</v>
      </c>
      <c r="H124" t="e">
        <v>#N/A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</row>
    <row r="125" spans="1:19" x14ac:dyDescent="0.25">
      <c r="A125" s="2">
        <v>21002</v>
      </c>
      <c r="B125">
        <v>64540</v>
      </c>
      <c r="C125" t="e">
        <v>#N/A</v>
      </c>
      <c r="D125" t="e">
        <v>#N/A</v>
      </c>
      <c r="E125" t="e">
        <v>#N/A</v>
      </c>
      <c r="F125" t="e">
        <v>#N/A</v>
      </c>
      <c r="G125">
        <v>2796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</row>
    <row r="126" spans="1:19" x14ac:dyDescent="0.25">
      <c r="A126" s="2">
        <v>21033</v>
      </c>
      <c r="B126">
        <v>63959</v>
      </c>
      <c r="C126" t="e">
        <v>#N/A</v>
      </c>
      <c r="D126" t="e">
        <v>#N/A</v>
      </c>
      <c r="E126" t="e">
        <v>#N/A</v>
      </c>
      <c r="F126" t="e">
        <v>#N/A</v>
      </c>
      <c r="G126">
        <v>2747</v>
      </c>
      <c r="H126" t="e">
        <v>#N/A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</row>
    <row r="127" spans="1:19" x14ac:dyDescent="0.25">
      <c r="A127" s="2">
        <v>21064</v>
      </c>
      <c r="B127">
        <v>64121</v>
      </c>
      <c r="C127" t="e">
        <v>#N/A</v>
      </c>
      <c r="D127" t="e">
        <v>#N/A</v>
      </c>
      <c r="E127" t="e">
        <v>#N/A</v>
      </c>
      <c r="F127" t="e">
        <v>#N/A</v>
      </c>
      <c r="G127">
        <v>2943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</row>
    <row r="128" spans="1:19" x14ac:dyDescent="0.25">
      <c r="A128" s="2">
        <v>21094</v>
      </c>
      <c r="B128">
        <v>64046</v>
      </c>
      <c r="C128" t="e">
        <v>#N/A</v>
      </c>
      <c r="D128" t="e">
        <v>#N/A</v>
      </c>
      <c r="E128" t="e">
        <v>#N/A</v>
      </c>
      <c r="F128" t="e">
        <v>#N/A</v>
      </c>
      <c r="G128">
        <v>3020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</row>
    <row r="129" spans="1:19" x14ac:dyDescent="0.25">
      <c r="A129" s="2">
        <v>21125</v>
      </c>
      <c r="B129">
        <v>63669</v>
      </c>
      <c r="C129" t="e">
        <v>#N/A</v>
      </c>
      <c r="D129" t="e">
        <v>#N/A</v>
      </c>
      <c r="E129" t="e">
        <v>#N/A</v>
      </c>
      <c r="F129" t="e">
        <v>#N/A</v>
      </c>
      <c r="G129">
        <v>3454</v>
      </c>
      <c r="H129" t="e">
        <v>#N/A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</row>
    <row r="130" spans="1:19" x14ac:dyDescent="0.25">
      <c r="A130" s="2">
        <v>21155</v>
      </c>
      <c r="B130">
        <v>63922</v>
      </c>
      <c r="C130" t="e">
        <v>#N/A</v>
      </c>
      <c r="D130" t="e">
        <v>#N/A</v>
      </c>
      <c r="E130" t="e">
        <v>#N/A</v>
      </c>
      <c r="F130" t="e">
        <v>#N/A</v>
      </c>
      <c r="G130">
        <v>3476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</row>
    <row r="131" spans="1:19" x14ac:dyDescent="0.25">
      <c r="A131" s="2" t="s">
        <v>20</v>
      </c>
      <c r="B131" t="e">
        <v>#N/A</v>
      </c>
      <c r="C131" t="e">
        <v>#N/A</v>
      </c>
      <c r="D131" t="e">
        <v>#N/A</v>
      </c>
      <c r="E131" t="e">
        <v>#N/A</v>
      </c>
      <c r="F131" t="e">
        <v>#N/A</v>
      </c>
      <c r="G131" t="e">
        <v>#N/A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</row>
    <row r="132" spans="1:19" x14ac:dyDescent="0.25">
      <c r="A132" s="2">
        <v>21186</v>
      </c>
      <c r="B132">
        <v>63220</v>
      </c>
      <c r="C132" t="e">
        <v>#N/A</v>
      </c>
      <c r="D132" t="e">
        <v>#N/A</v>
      </c>
      <c r="E132" t="e">
        <v>#N/A</v>
      </c>
      <c r="F132" t="e">
        <v>#N/A</v>
      </c>
      <c r="G132">
        <v>3875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</row>
    <row r="133" spans="1:19" x14ac:dyDescent="0.25">
      <c r="A133" s="2">
        <v>21217</v>
      </c>
      <c r="B133">
        <v>62898</v>
      </c>
      <c r="C133" t="e">
        <v>#N/A</v>
      </c>
      <c r="D133" t="e">
        <v>#N/A</v>
      </c>
      <c r="E133" t="e">
        <v>#N/A</v>
      </c>
      <c r="F133" t="e">
        <v>#N/A</v>
      </c>
      <c r="G133">
        <v>4303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</row>
    <row r="134" spans="1:19" x14ac:dyDescent="0.25">
      <c r="A134" s="2">
        <v>21245</v>
      </c>
      <c r="B134">
        <v>62731</v>
      </c>
      <c r="C134" t="e">
        <v>#N/A</v>
      </c>
      <c r="D134" t="e">
        <v>#N/A</v>
      </c>
      <c r="E134" t="e">
        <v>#N/A</v>
      </c>
      <c r="F134" t="e">
        <v>#N/A</v>
      </c>
      <c r="G134">
        <v>4492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</row>
    <row r="135" spans="1:19" x14ac:dyDescent="0.25">
      <c r="A135" s="2">
        <v>21276</v>
      </c>
      <c r="B135">
        <v>62631</v>
      </c>
      <c r="C135" t="e">
        <v>#N/A</v>
      </c>
      <c r="D135" t="e">
        <v>#N/A</v>
      </c>
      <c r="E135" t="e">
        <v>#N/A</v>
      </c>
      <c r="F135" t="e">
        <v>#N/A</v>
      </c>
      <c r="G135">
        <v>5016</v>
      </c>
      <c r="H135" t="e">
        <v>#N/A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</row>
    <row r="136" spans="1:19" x14ac:dyDescent="0.25">
      <c r="A136" s="2">
        <v>21306</v>
      </c>
      <c r="B136">
        <v>62874</v>
      </c>
      <c r="C136" t="e">
        <v>#N/A</v>
      </c>
      <c r="D136" t="e">
        <v>#N/A</v>
      </c>
      <c r="E136" t="e">
        <v>#N/A</v>
      </c>
      <c r="F136" t="e">
        <v>#N/A</v>
      </c>
      <c r="G136">
        <v>5021</v>
      </c>
      <c r="H136" t="e">
        <v>#N/A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</row>
    <row r="137" spans="1:19" x14ac:dyDescent="0.25">
      <c r="A137" s="2">
        <v>21337</v>
      </c>
      <c r="B137">
        <v>62730</v>
      </c>
      <c r="C137" t="e">
        <v>#N/A</v>
      </c>
      <c r="D137" t="e">
        <v>#N/A</v>
      </c>
      <c r="E137" t="e">
        <v>#N/A</v>
      </c>
      <c r="F137" t="e">
        <v>#N/A</v>
      </c>
      <c r="G137">
        <v>4944</v>
      </c>
      <c r="H137" t="e">
        <v>#N/A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</row>
    <row r="138" spans="1:19" x14ac:dyDescent="0.25">
      <c r="A138" s="2">
        <v>21367</v>
      </c>
      <c r="B138">
        <v>62745</v>
      </c>
      <c r="C138" t="e">
        <v>#N/A</v>
      </c>
      <c r="D138" t="e">
        <v>#N/A</v>
      </c>
      <c r="E138" t="e">
        <v>#N/A</v>
      </c>
      <c r="F138" t="e">
        <v>#N/A</v>
      </c>
      <c r="G138">
        <v>5079</v>
      </c>
      <c r="H138" t="e">
        <v>#N/A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</row>
    <row r="139" spans="1:19" x14ac:dyDescent="0.25">
      <c r="A139" s="2">
        <v>21398</v>
      </c>
      <c r="B139">
        <v>63012</v>
      </c>
      <c r="C139" t="e">
        <v>#N/A</v>
      </c>
      <c r="D139" t="e">
        <v>#N/A</v>
      </c>
      <c r="E139" t="e">
        <v>#N/A</v>
      </c>
      <c r="F139" t="e">
        <v>#N/A</v>
      </c>
      <c r="G139">
        <v>5025</v>
      </c>
      <c r="H139" t="e">
        <v>#N/A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</row>
    <row r="140" spans="1:19" x14ac:dyDescent="0.25">
      <c r="A140" s="2">
        <v>21429</v>
      </c>
      <c r="B140">
        <v>63181</v>
      </c>
      <c r="C140" t="e">
        <v>#N/A</v>
      </c>
      <c r="D140" t="e">
        <v>#N/A</v>
      </c>
      <c r="E140" t="e">
        <v>#N/A</v>
      </c>
      <c r="F140" t="e">
        <v>#N/A</v>
      </c>
      <c r="G140">
        <v>4821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</row>
    <row r="141" spans="1:19" x14ac:dyDescent="0.25">
      <c r="A141" s="2">
        <v>21459</v>
      </c>
      <c r="B141">
        <v>63475</v>
      </c>
      <c r="C141" t="e">
        <v>#N/A</v>
      </c>
      <c r="D141" t="e">
        <v>#N/A</v>
      </c>
      <c r="E141" t="e">
        <v>#N/A</v>
      </c>
      <c r="F141" t="e">
        <v>#N/A</v>
      </c>
      <c r="G141">
        <v>4570</v>
      </c>
      <c r="H141" t="e">
        <v>#N/A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</row>
    <row r="142" spans="1:19" x14ac:dyDescent="0.25">
      <c r="A142" s="2">
        <v>21490</v>
      </c>
      <c r="B142">
        <v>63470</v>
      </c>
      <c r="C142" t="e">
        <v>#N/A</v>
      </c>
      <c r="D142" t="e">
        <v>#N/A</v>
      </c>
      <c r="E142" t="e">
        <v>#N/A</v>
      </c>
      <c r="F142" t="e">
        <v>#N/A</v>
      </c>
      <c r="G142">
        <v>4188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</row>
    <row r="143" spans="1:19" x14ac:dyDescent="0.25">
      <c r="A143" s="2">
        <v>21520</v>
      </c>
      <c r="B143">
        <v>63549</v>
      </c>
      <c r="C143" t="e">
        <v>#N/A</v>
      </c>
      <c r="D143" t="e">
        <v>#N/A</v>
      </c>
      <c r="E143" t="e">
        <v>#N/A</v>
      </c>
      <c r="F143" t="e">
        <v>#N/A</v>
      </c>
      <c r="G143">
        <v>4191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</row>
    <row r="144" spans="1:19" x14ac:dyDescent="0.25">
      <c r="A144" s="2" t="s">
        <v>21</v>
      </c>
      <c r="B144" t="e">
        <v>#N/A</v>
      </c>
      <c r="C144" t="e">
        <v>#N/A</v>
      </c>
      <c r="D144" t="e">
        <v>#N/A</v>
      </c>
      <c r="E144" t="e">
        <v>#N/A</v>
      </c>
      <c r="F144" t="e">
        <v>#N/A</v>
      </c>
      <c r="G144" t="e">
        <v>#N/A</v>
      </c>
      <c r="H144" t="e">
        <v>#N/A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</row>
    <row r="145" spans="1:19" x14ac:dyDescent="0.25">
      <c r="A145" s="2">
        <v>21551</v>
      </c>
      <c r="B145">
        <v>63868</v>
      </c>
      <c r="C145" t="e">
        <v>#N/A</v>
      </c>
      <c r="D145" t="e">
        <v>#N/A</v>
      </c>
      <c r="E145" t="e">
        <v>#N/A</v>
      </c>
      <c r="F145" t="e">
        <v>#N/A</v>
      </c>
      <c r="G145">
        <v>4068</v>
      </c>
      <c r="H145" t="e">
        <v>#N/A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</row>
    <row r="146" spans="1:19" x14ac:dyDescent="0.25">
      <c r="A146" s="2">
        <v>21582</v>
      </c>
      <c r="B146">
        <v>63684</v>
      </c>
      <c r="C146" t="e">
        <v>#N/A</v>
      </c>
      <c r="D146" t="e">
        <v>#N/A</v>
      </c>
      <c r="E146" t="e">
        <v>#N/A</v>
      </c>
      <c r="F146" t="e">
        <v>#N/A</v>
      </c>
      <c r="G146">
        <v>3965</v>
      </c>
      <c r="H146" t="e">
        <v>#N/A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</row>
    <row r="147" spans="1:19" x14ac:dyDescent="0.25">
      <c r="A147" s="2">
        <v>21610</v>
      </c>
      <c r="B147">
        <v>64267</v>
      </c>
      <c r="C147" t="e">
        <v>#N/A</v>
      </c>
      <c r="D147" t="e">
        <v>#N/A</v>
      </c>
      <c r="E147" t="e">
        <v>#N/A</v>
      </c>
      <c r="F147" t="e">
        <v>#N/A</v>
      </c>
      <c r="G147">
        <v>3801</v>
      </c>
      <c r="H147" t="e">
        <v>#N/A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</row>
    <row r="148" spans="1:19" x14ac:dyDescent="0.25">
      <c r="A148" s="2">
        <v>21641</v>
      </c>
      <c r="B148">
        <v>64768</v>
      </c>
      <c r="C148" t="e">
        <v>#N/A</v>
      </c>
      <c r="D148" t="e">
        <v>#N/A</v>
      </c>
      <c r="E148" t="e">
        <v>#N/A</v>
      </c>
      <c r="F148" t="e">
        <v>#N/A</v>
      </c>
      <c r="G148">
        <v>3571</v>
      </c>
      <c r="H148" t="e">
        <v>#N/A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</row>
    <row r="149" spans="1:19" x14ac:dyDescent="0.25">
      <c r="A149" s="2">
        <v>21671</v>
      </c>
      <c r="B149">
        <v>64699</v>
      </c>
      <c r="C149" t="e">
        <v>#N/A</v>
      </c>
      <c r="D149" t="e">
        <v>#N/A</v>
      </c>
      <c r="E149" t="e">
        <v>#N/A</v>
      </c>
      <c r="F149" t="e">
        <v>#N/A</v>
      </c>
      <c r="G149">
        <v>3479</v>
      </c>
      <c r="H149" t="e">
        <v>#N/A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</row>
    <row r="150" spans="1:19" x14ac:dyDescent="0.25">
      <c r="A150" s="2">
        <v>21702</v>
      </c>
      <c r="B150">
        <v>64849</v>
      </c>
      <c r="C150" t="e">
        <v>#N/A</v>
      </c>
      <c r="D150" t="e">
        <v>#N/A</v>
      </c>
      <c r="E150" t="e">
        <v>#N/A</v>
      </c>
      <c r="F150" t="e">
        <v>#N/A</v>
      </c>
      <c r="G150">
        <v>3429</v>
      </c>
      <c r="H150" t="e">
        <v>#N/A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</row>
    <row r="151" spans="1:19" x14ac:dyDescent="0.25">
      <c r="A151" s="2">
        <v>21732</v>
      </c>
      <c r="B151">
        <v>65011</v>
      </c>
      <c r="C151" t="e">
        <v>#N/A</v>
      </c>
      <c r="D151" t="e">
        <v>#N/A</v>
      </c>
      <c r="E151" t="e">
        <v>#N/A</v>
      </c>
      <c r="F151" t="e">
        <v>#N/A</v>
      </c>
      <c r="G151">
        <v>3528</v>
      </c>
      <c r="H151" t="e">
        <v>#N/A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</row>
    <row r="152" spans="1:19" x14ac:dyDescent="0.25">
      <c r="A152" s="2">
        <v>21763</v>
      </c>
      <c r="B152">
        <v>64844</v>
      </c>
      <c r="C152" t="e">
        <v>#N/A</v>
      </c>
      <c r="D152" t="e">
        <v>#N/A</v>
      </c>
      <c r="E152" t="e">
        <v>#N/A</v>
      </c>
      <c r="F152" t="e">
        <v>#N/A</v>
      </c>
      <c r="G152">
        <v>3588</v>
      </c>
      <c r="H152" t="e">
        <v>#N/A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</row>
    <row r="153" spans="1:19" x14ac:dyDescent="0.25">
      <c r="A153" s="2">
        <v>21794</v>
      </c>
      <c r="B153">
        <v>64770</v>
      </c>
      <c r="C153" t="e">
        <v>#N/A</v>
      </c>
      <c r="D153" t="e">
        <v>#N/A</v>
      </c>
      <c r="E153" t="e">
        <v>#N/A</v>
      </c>
      <c r="F153" t="e">
        <v>#N/A</v>
      </c>
      <c r="G153">
        <v>3775</v>
      </c>
      <c r="H153" t="e">
        <v>#N/A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</row>
    <row r="154" spans="1:19" x14ac:dyDescent="0.25">
      <c r="A154" s="2">
        <v>21824</v>
      </c>
      <c r="B154">
        <v>64911</v>
      </c>
      <c r="C154" t="e">
        <v>#N/A</v>
      </c>
      <c r="D154" t="e">
        <v>#N/A</v>
      </c>
      <c r="E154" t="e">
        <v>#N/A</v>
      </c>
      <c r="F154" t="e">
        <v>#N/A</v>
      </c>
      <c r="G154">
        <v>3910</v>
      </c>
      <c r="H154" t="e">
        <v>#N/A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</row>
    <row r="155" spans="1:19" x14ac:dyDescent="0.25">
      <c r="A155" s="2">
        <v>21855</v>
      </c>
      <c r="B155">
        <v>64530</v>
      </c>
      <c r="C155" t="e">
        <v>#N/A</v>
      </c>
      <c r="D155" t="e">
        <v>#N/A</v>
      </c>
      <c r="E155" t="e">
        <v>#N/A</v>
      </c>
      <c r="F155" t="e">
        <v>#N/A</v>
      </c>
      <c r="G155">
        <v>4003</v>
      </c>
      <c r="H155" t="e">
        <v>#N/A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</row>
    <row r="156" spans="1:19" x14ac:dyDescent="0.25">
      <c r="A156" s="2">
        <v>21885</v>
      </c>
      <c r="B156">
        <v>65341</v>
      </c>
      <c r="C156" t="e">
        <v>#N/A</v>
      </c>
      <c r="D156" t="e">
        <v>#N/A</v>
      </c>
      <c r="E156" t="e">
        <v>#N/A</v>
      </c>
      <c r="F156" t="e">
        <v>#N/A</v>
      </c>
      <c r="G156">
        <v>3653</v>
      </c>
      <c r="H156" t="e">
        <v>#N/A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</row>
    <row r="157" spans="1:19" x14ac:dyDescent="0.25">
      <c r="A157" s="2" t="s">
        <v>22</v>
      </c>
      <c r="B157" t="e">
        <v>#N/A</v>
      </c>
      <c r="C157" t="e">
        <v>#N/A</v>
      </c>
      <c r="D157" t="e">
        <v>#N/A</v>
      </c>
      <c r="E157" t="e">
        <v>#N/A</v>
      </c>
      <c r="F157" t="e">
        <v>#N/A</v>
      </c>
      <c r="G157" t="e">
        <v>#N/A</v>
      </c>
      <c r="H157" t="e">
        <v>#N/A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</row>
    <row r="158" spans="1:19" x14ac:dyDescent="0.25">
      <c r="A158" s="2">
        <v>21916</v>
      </c>
      <c r="B158">
        <v>65347</v>
      </c>
      <c r="C158" t="e">
        <v>#N/A</v>
      </c>
      <c r="D158" t="e">
        <v>#N/A</v>
      </c>
      <c r="E158" t="e">
        <v>#N/A</v>
      </c>
      <c r="F158" t="e">
        <v>#N/A</v>
      </c>
      <c r="G158">
        <v>3615</v>
      </c>
      <c r="H158" t="e">
        <v>#N/A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</row>
    <row r="159" spans="1:19" x14ac:dyDescent="0.25">
      <c r="A159" s="2">
        <v>21947</v>
      </c>
      <c r="B159">
        <v>65620</v>
      </c>
      <c r="C159" t="e">
        <v>#N/A</v>
      </c>
      <c r="D159" t="e">
        <v>#N/A</v>
      </c>
      <c r="E159" t="e">
        <v>#N/A</v>
      </c>
      <c r="F159" t="e">
        <v>#N/A</v>
      </c>
      <c r="G159">
        <v>3329</v>
      </c>
      <c r="H159" t="e">
        <v>#N/A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</row>
    <row r="160" spans="1:19" x14ac:dyDescent="0.25">
      <c r="A160" s="2">
        <v>21976</v>
      </c>
      <c r="B160">
        <v>64673</v>
      </c>
      <c r="C160" t="e">
        <v>#N/A</v>
      </c>
      <c r="D160" t="e">
        <v>#N/A</v>
      </c>
      <c r="E160" t="e">
        <v>#N/A</v>
      </c>
      <c r="F160" t="e">
        <v>#N/A</v>
      </c>
      <c r="G160">
        <v>3726</v>
      </c>
      <c r="H160" t="e">
        <v>#N/A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</row>
    <row r="161" spans="1:19" x14ac:dyDescent="0.25">
      <c r="A161" s="2">
        <v>22007</v>
      </c>
      <c r="B161">
        <v>65959</v>
      </c>
      <c r="C161" t="e">
        <v>#N/A</v>
      </c>
      <c r="D161" t="e">
        <v>#N/A</v>
      </c>
      <c r="E161" t="e">
        <v>#N/A</v>
      </c>
      <c r="F161" t="e">
        <v>#N/A</v>
      </c>
      <c r="G161">
        <v>3620</v>
      </c>
      <c r="H161" t="e">
        <v>#N/A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</row>
    <row r="162" spans="1:19" x14ac:dyDescent="0.25">
      <c r="A162" s="2">
        <v>22037</v>
      </c>
      <c r="B162">
        <v>66057</v>
      </c>
      <c r="C162" t="e">
        <v>#N/A</v>
      </c>
      <c r="D162" t="e">
        <v>#N/A</v>
      </c>
      <c r="E162" t="e">
        <v>#N/A</v>
      </c>
      <c r="F162" t="e">
        <v>#N/A</v>
      </c>
      <c r="G162">
        <v>3569</v>
      </c>
      <c r="H162" t="e">
        <v>#N/A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</row>
    <row r="163" spans="1:19" x14ac:dyDescent="0.25">
      <c r="A163" s="2">
        <v>22068</v>
      </c>
      <c r="B163">
        <v>66168</v>
      </c>
      <c r="C163" t="e">
        <v>#N/A</v>
      </c>
      <c r="D163" t="e">
        <v>#N/A</v>
      </c>
      <c r="E163" t="e">
        <v>#N/A</v>
      </c>
      <c r="F163" t="e">
        <v>#N/A</v>
      </c>
      <c r="G163">
        <v>3766</v>
      </c>
      <c r="H163" t="e">
        <v>#N/A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</row>
    <row r="164" spans="1:19" x14ac:dyDescent="0.25">
      <c r="A164" s="2">
        <v>22098</v>
      </c>
      <c r="B164">
        <v>65909</v>
      </c>
      <c r="C164" t="e">
        <v>#N/A</v>
      </c>
      <c r="D164" t="e">
        <v>#N/A</v>
      </c>
      <c r="E164" t="e">
        <v>#N/A</v>
      </c>
      <c r="F164" t="e">
        <v>#N/A</v>
      </c>
      <c r="G164">
        <v>3836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</row>
    <row r="165" spans="1:19" x14ac:dyDescent="0.25">
      <c r="A165" s="2">
        <v>22129</v>
      </c>
      <c r="B165">
        <v>65895</v>
      </c>
      <c r="C165" t="e">
        <v>#N/A</v>
      </c>
      <c r="D165" t="e">
        <v>#N/A</v>
      </c>
      <c r="E165" t="e">
        <v>#N/A</v>
      </c>
      <c r="F165" t="e">
        <v>#N/A</v>
      </c>
      <c r="G165">
        <v>3946</v>
      </c>
      <c r="H165" t="e">
        <v>#N/A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</row>
    <row r="166" spans="1:19" x14ac:dyDescent="0.25">
      <c r="A166" s="2">
        <v>22160</v>
      </c>
      <c r="B166">
        <v>66267</v>
      </c>
      <c r="C166" t="e">
        <v>#N/A</v>
      </c>
      <c r="D166" t="e">
        <v>#N/A</v>
      </c>
      <c r="E166" t="e">
        <v>#N/A</v>
      </c>
      <c r="F166" t="e">
        <v>#N/A</v>
      </c>
      <c r="G166">
        <v>3884</v>
      </c>
      <c r="H166" t="e">
        <v>#N/A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</row>
    <row r="167" spans="1:19" x14ac:dyDescent="0.25">
      <c r="A167" s="2">
        <v>22190</v>
      </c>
      <c r="B167">
        <v>65632</v>
      </c>
      <c r="C167" t="e">
        <v>#N/A</v>
      </c>
      <c r="D167" t="e">
        <v>#N/A</v>
      </c>
      <c r="E167" t="e">
        <v>#N/A</v>
      </c>
      <c r="F167" t="e">
        <v>#N/A</v>
      </c>
      <c r="G167">
        <v>4252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</row>
    <row r="168" spans="1:19" x14ac:dyDescent="0.25">
      <c r="A168" s="2">
        <v>22221</v>
      </c>
      <c r="B168">
        <v>66109</v>
      </c>
      <c r="C168" t="e">
        <v>#N/A</v>
      </c>
      <c r="D168" t="e">
        <v>#N/A</v>
      </c>
      <c r="E168" t="e">
        <v>#N/A</v>
      </c>
      <c r="F168" t="e">
        <v>#N/A</v>
      </c>
      <c r="G168">
        <v>4330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</row>
    <row r="169" spans="1:19" x14ac:dyDescent="0.25">
      <c r="A169" s="2">
        <v>22251</v>
      </c>
      <c r="B169">
        <v>65778</v>
      </c>
      <c r="C169" t="e">
        <v>#N/A</v>
      </c>
      <c r="D169" t="e">
        <v>#N/A</v>
      </c>
      <c r="E169" t="e">
        <v>#N/A</v>
      </c>
      <c r="F169" t="e">
        <v>#N/A</v>
      </c>
      <c r="G169">
        <v>4617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</row>
    <row r="170" spans="1:19" x14ac:dyDescent="0.25">
      <c r="A170" s="2" t="s">
        <v>23</v>
      </c>
      <c r="B170" t="e">
        <v>#N/A</v>
      </c>
      <c r="C170" t="e">
        <v>#N/A</v>
      </c>
      <c r="D170" t="e">
        <v>#N/A</v>
      </c>
      <c r="E170" t="e">
        <v>#N/A</v>
      </c>
      <c r="F170" t="e">
        <v>#N/A</v>
      </c>
      <c r="G170" t="e">
        <v>#N/A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</row>
    <row r="171" spans="1:19" x14ac:dyDescent="0.25">
      <c r="A171" s="2">
        <v>22282</v>
      </c>
      <c r="B171">
        <v>65776</v>
      </c>
      <c r="C171" t="e">
        <v>#N/A</v>
      </c>
      <c r="D171" t="e">
        <v>#N/A</v>
      </c>
      <c r="E171" t="e">
        <v>#N/A</v>
      </c>
      <c r="F171" t="e">
        <v>#N/A</v>
      </c>
      <c r="G171">
        <v>4671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</row>
    <row r="172" spans="1:19" x14ac:dyDescent="0.25">
      <c r="A172" s="2">
        <v>22313</v>
      </c>
      <c r="B172">
        <v>65588</v>
      </c>
      <c r="C172" t="e">
        <v>#N/A</v>
      </c>
      <c r="D172" t="e">
        <v>#N/A</v>
      </c>
      <c r="E172" t="e">
        <v>#N/A</v>
      </c>
      <c r="F172" t="e">
        <v>#N/A</v>
      </c>
      <c r="G172">
        <v>4832</v>
      </c>
      <c r="H172" t="e">
        <v>#N/A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</row>
    <row r="173" spans="1:19" x14ac:dyDescent="0.25">
      <c r="A173" s="2">
        <v>22341</v>
      </c>
      <c r="B173">
        <v>65850</v>
      </c>
      <c r="C173" t="e">
        <v>#N/A</v>
      </c>
      <c r="D173" t="e">
        <v>#N/A</v>
      </c>
      <c r="E173" t="e">
        <v>#N/A</v>
      </c>
      <c r="F173" t="e">
        <v>#N/A</v>
      </c>
      <c r="G173">
        <v>4853</v>
      </c>
      <c r="H173" t="e">
        <v>#N/A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</row>
    <row r="174" spans="1:19" x14ac:dyDescent="0.25">
      <c r="A174" s="2">
        <v>22372</v>
      </c>
      <c r="B174">
        <v>65374</v>
      </c>
      <c r="C174" t="e">
        <v>#N/A</v>
      </c>
      <c r="D174" t="e">
        <v>#N/A</v>
      </c>
      <c r="E174" t="e">
        <v>#N/A</v>
      </c>
      <c r="F174" t="e">
        <v>#N/A</v>
      </c>
      <c r="G174">
        <v>4893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</row>
    <row r="175" spans="1:19" x14ac:dyDescent="0.25">
      <c r="A175" s="2">
        <v>22402</v>
      </c>
      <c r="B175">
        <v>65449</v>
      </c>
      <c r="C175" t="e">
        <v>#N/A</v>
      </c>
      <c r="D175" t="e">
        <v>#N/A</v>
      </c>
      <c r="E175" t="e">
        <v>#N/A</v>
      </c>
      <c r="F175" t="e">
        <v>#N/A</v>
      </c>
      <c r="G175">
        <v>5003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</row>
    <row r="176" spans="1:19" x14ac:dyDescent="0.25">
      <c r="A176" s="2">
        <v>22433</v>
      </c>
      <c r="B176">
        <v>65993</v>
      </c>
      <c r="C176" t="e">
        <v>#N/A</v>
      </c>
      <c r="D176" t="e">
        <v>#N/A</v>
      </c>
      <c r="E176" t="e">
        <v>#N/A</v>
      </c>
      <c r="F176" t="e">
        <v>#N/A</v>
      </c>
      <c r="G176">
        <v>4885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</row>
    <row r="177" spans="1:19" x14ac:dyDescent="0.25">
      <c r="A177" s="2">
        <v>22463</v>
      </c>
      <c r="B177">
        <v>65608</v>
      </c>
      <c r="C177" t="e">
        <v>#N/A</v>
      </c>
      <c r="D177" t="e">
        <v>#N/A</v>
      </c>
      <c r="E177" t="e">
        <v>#N/A</v>
      </c>
      <c r="F177" t="e">
        <v>#N/A</v>
      </c>
      <c r="G177">
        <v>4928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</row>
    <row r="178" spans="1:19" x14ac:dyDescent="0.25">
      <c r="A178" s="2">
        <v>22494</v>
      </c>
      <c r="B178">
        <v>65852</v>
      </c>
      <c r="C178" t="e">
        <v>#N/A</v>
      </c>
      <c r="D178" t="e">
        <v>#N/A</v>
      </c>
      <c r="E178" t="e">
        <v>#N/A</v>
      </c>
      <c r="F178" t="e">
        <v>#N/A</v>
      </c>
      <c r="G178">
        <v>4682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</row>
    <row r="179" spans="1:19" x14ac:dyDescent="0.25">
      <c r="A179" s="2">
        <v>22525</v>
      </c>
      <c r="B179">
        <v>65541</v>
      </c>
      <c r="C179" t="e">
        <v>#N/A</v>
      </c>
      <c r="D179" t="e">
        <v>#N/A</v>
      </c>
      <c r="E179" t="e">
        <v>#N/A</v>
      </c>
      <c r="F179" t="e">
        <v>#N/A</v>
      </c>
      <c r="G179">
        <v>4676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</row>
    <row r="180" spans="1:19" x14ac:dyDescent="0.25">
      <c r="A180" s="2">
        <v>22555</v>
      </c>
      <c r="B180">
        <v>65919</v>
      </c>
      <c r="C180" t="e">
        <v>#N/A</v>
      </c>
      <c r="D180" t="e">
        <v>#N/A</v>
      </c>
      <c r="E180" t="e">
        <v>#N/A</v>
      </c>
      <c r="F180" t="e">
        <v>#N/A</v>
      </c>
      <c r="G180">
        <v>4573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</row>
    <row r="181" spans="1:19" x14ac:dyDescent="0.25">
      <c r="A181" s="2">
        <v>22586</v>
      </c>
      <c r="B181">
        <v>66081</v>
      </c>
      <c r="C181" t="e">
        <v>#N/A</v>
      </c>
      <c r="D181" t="e">
        <v>#N/A</v>
      </c>
      <c r="E181" t="e">
        <v>#N/A</v>
      </c>
      <c r="F181" t="e">
        <v>#N/A</v>
      </c>
      <c r="G181">
        <v>4295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</row>
    <row r="182" spans="1:19" x14ac:dyDescent="0.25">
      <c r="A182" s="2">
        <v>22616</v>
      </c>
      <c r="B182">
        <v>65900</v>
      </c>
      <c r="C182" t="e">
        <v>#N/A</v>
      </c>
      <c r="D182" t="e">
        <v>#N/A</v>
      </c>
      <c r="E182" t="e">
        <v>#N/A</v>
      </c>
      <c r="F182" t="e">
        <v>#N/A</v>
      </c>
      <c r="G182">
        <v>4177</v>
      </c>
      <c r="H182" t="e">
        <v>#N/A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</row>
    <row r="183" spans="1:19" x14ac:dyDescent="0.25">
      <c r="A183" s="2" t="s">
        <v>24</v>
      </c>
      <c r="B183" t="e">
        <v>#N/A</v>
      </c>
      <c r="C183" t="e">
        <v>#N/A</v>
      </c>
      <c r="D183" t="e">
        <v>#N/A</v>
      </c>
      <c r="E183" t="e">
        <v>#N/A</v>
      </c>
      <c r="F183" t="e">
        <v>#N/A</v>
      </c>
      <c r="G183" t="e">
        <v>#N/A</v>
      </c>
      <c r="H183" t="e">
        <v>#N/A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</row>
    <row r="184" spans="1:19" x14ac:dyDescent="0.25">
      <c r="A184" s="2">
        <v>22647</v>
      </c>
      <c r="B184">
        <v>66108</v>
      </c>
      <c r="C184" t="e">
        <v>#N/A</v>
      </c>
      <c r="D184" t="e">
        <v>#N/A</v>
      </c>
      <c r="E184" t="e">
        <v>#N/A</v>
      </c>
      <c r="F184" t="e">
        <v>#N/A</v>
      </c>
      <c r="G184">
        <v>4081</v>
      </c>
      <c r="H184" t="e">
        <v>#N/A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</row>
    <row r="185" spans="1:19" x14ac:dyDescent="0.25">
      <c r="A185" s="2">
        <v>22678</v>
      </c>
      <c r="B185">
        <v>66538</v>
      </c>
      <c r="C185" t="e">
        <v>#N/A</v>
      </c>
      <c r="D185" t="e">
        <v>#N/A</v>
      </c>
      <c r="E185" t="e">
        <v>#N/A</v>
      </c>
      <c r="F185" t="e">
        <v>#N/A</v>
      </c>
      <c r="G185">
        <v>3871</v>
      </c>
      <c r="H185" t="e">
        <v>#N/A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</row>
    <row r="186" spans="1:19" x14ac:dyDescent="0.25">
      <c r="A186" s="2">
        <v>22706</v>
      </c>
      <c r="B186">
        <v>66493</v>
      </c>
      <c r="C186" t="e">
        <v>#N/A</v>
      </c>
      <c r="D186" t="e">
        <v>#N/A</v>
      </c>
      <c r="E186" t="e">
        <v>#N/A</v>
      </c>
      <c r="F186" t="e">
        <v>#N/A</v>
      </c>
      <c r="G186">
        <v>3921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</row>
    <row r="187" spans="1:19" x14ac:dyDescent="0.25">
      <c r="A187" s="2">
        <v>22737</v>
      </c>
      <c r="B187">
        <v>66372</v>
      </c>
      <c r="C187" t="e">
        <v>#N/A</v>
      </c>
      <c r="D187" t="e">
        <v>#N/A</v>
      </c>
      <c r="E187" t="e">
        <v>#N/A</v>
      </c>
      <c r="F187" t="e">
        <v>#N/A</v>
      </c>
      <c r="G187">
        <v>3906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</row>
    <row r="188" spans="1:19" x14ac:dyDescent="0.25">
      <c r="A188" s="2">
        <v>22767</v>
      </c>
      <c r="B188">
        <v>66688</v>
      </c>
      <c r="C188" t="e">
        <v>#N/A</v>
      </c>
      <c r="D188" t="e">
        <v>#N/A</v>
      </c>
      <c r="E188" t="e">
        <v>#N/A</v>
      </c>
      <c r="F188" t="e">
        <v>#N/A</v>
      </c>
      <c r="G188">
        <v>3863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</row>
    <row r="189" spans="1:19" x14ac:dyDescent="0.25">
      <c r="A189" s="2">
        <v>22798</v>
      </c>
      <c r="B189">
        <v>66670</v>
      </c>
      <c r="C189" t="e">
        <v>#N/A</v>
      </c>
      <c r="D189" t="e">
        <v>#N/A</v>
      </c>
      <c r="E189" t="e">
        <v>#N/A</v>
      </c>
      <c r="F189" t="e">
        <v>#N/A</v>
      </c>
      <c r="G189">
        <v>3844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</row>
    <row r="190" spans="1:19" x14ac:dyDescent="0.25">
      <c r="A190" s="2">
        <v>22828</v>
      </c>
      <c r="B190">
        <v>66483</v>
      </c>
      <c r="C190" t="e">
        <v>#N/A</v>
      </c>
      <c r="D190" t="e">
        <v>#N/A</v>
      </c>
      <c r="E190" t="e">
        <v>#N/A</v>
      </c>
      <c r="F190" t="e">
        <v>#N/A</v>
      </c>
      <c r="G190">
        <v>3819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</row>
    <row r="191" spans="1:19" x14ac:dyDescent="0.25">
      <c r="A191" s="2">
        <v>22859</v>
      </c>
      <c r="B191">
        <v>66968</v>
      </c>
      <c r="C191" t="e">
        <v>#N/A</v>
      </c>
      <c r="D191" t="e">
        <v>#N/A</v>
      </c>
      <c r="E191" t="e">
        <v>#N/A</v>
      </c>
      <c r="F191" t="e">
        <v>#N/A</v>
      </c>
      <c r="G191">
        <v>4013</v>
      </c>
      <c r="H191" t="e">
        <v>#N/A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</row>
    <row r="192" spans="1:19" x14ac:dyDescent="0.25">
      <c r="A192" s="2">
        <v>22890</v>
      </c>
      <c r="B192">
        <v>67192</v>
      </c>
      <c r="C192" t="e">
        <v>#N/A</v>
      </c>
      <c r="D192" t="e">
        <v>#N/A</v>
      </c>
      <c r="E192" t="e">
        <v>#N/A</v>
      </c>
      <c r="F192" t="e">
        <v>#N/A</v>
      </c>
      <c r="G192">
        <v>3961</v>
      </c>
      <c r="H192" t="e">
        <v>#N/A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</row>
    <row r="193" spans="1:19" x14ac:dyDescent="0.25">
      <c r="A193" s="2">
        <v>22920</v>
      </c>
      <c r="B193">
        <v>67114</v>
      </c>
      <c r="C193" t="e">
        <v>#N/A</v>
      </c>
      <c r="D193" t="e">
        <v>#N/A</v>
      </c>
      <c r="E193" t="e">
        <v>#N/A</v>
      </c>
      <c r="F193" t="e">
        <v>#N/A</v>
      </c>
      <c r="G193">
        <v>3803</v>
      </c>
      <c r="H193" t="e">
        <v>#N/A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</row>
    <row r="194" spans="1:19" x14ac:dyDescent="0.25">
      <c r="A194" s="2">
        <v>22951</v>
      </c>
      <c r="B194">
        <v>66847</v>
      </c>
      <c r="C194" t="e">
        <v>#N/A</v>
      </c>
      <c r="D194" t="e">
        <v>#N/A</v>
      </c>
      <c r="E194" t="e">
        <v>#N/A</v>
      </c>
      <c r="F194" t="e">
        <v>#N/A</v>
      </c>
      <c r="G194">
        <v>4024</v>
      </c>
      <c r="H194" t="e">
        <v>#N/A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</row>
    <row r="195" spans="1:19" x14ac:dyDescent="0.25">
      <c r="A195" s="2">
        <v>22981</v>
      </c>
      <c r="B195">
        <v>66947</v>
      </c>
      <c r="C195" t="e">
        <v>#N/A</v>
      </c>
      <c r="D195" t="e">
        <v>#N/A</v>
      </c>
      <c r="E195" t="e">
        <v>#N/A</v>
      </c>
      <c r="F195" t="e">
        <v>#N/A</v>
      </c>
      <c r="G195">
        <v>3907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</row>
    <row r="196" spans="1:19" x14ac:dyDescent="0.25">
      <c r="A196" s="2" t="s">
        <v>25</v>
      </c>
      <c r="B196" t="e">
        <v>#N/A</v>
      </c>
      <c r="C196" t="e">
        <v>#N/A</v>
      </c>
      <c r="D196" t="e">
        <v>#N/A</v>
      </c>
      <c r="E196" t="e">
        <v>#N/A</v>
      </c>
      <c r="F196" t="e">
        <v>#N/A</v>
      </c>
      <c r="G196" t="e">
        <v>#N/A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</row>
    <row r="197" spans="1:19" x14ac:dyDescent="0.25">
      <c r="A197" s="2">
        <v>23012</v>
      </c>
      <c r="B197">
        <v>67072</v>
      </c>
      <c r="C197" t="e">
        <v>#N/A</v>
      </c>
      <c r="D197" t="e">
        <v>#N/A</v>
      </c>
      <c r="E197" t="e">
        <v>#N/A</v>
      </c>
      <c r="F197" t="e">
        <v>#N/A</v>
      </c>
      <c r="G197">
        <v>4074</v>
      </c>
      <c r="H197" t="e">
        <v>#N/A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</row>
    <row r="198" spans="1:19" x14ac:dyDescent="0.25">
      <c r="A198" s="2">
        <v>23043</v>
      </c>
      <c r="B198">
        <v>67024</v>
      </c>
      <c r="C198" t="e">
        <v>#N/A</v>
      </c>
      <c r="D198" t="e">
        <v>#N/A</v>
      </c>
      <c r="E198" t="e">
        <v>#N/A</v>
      </c>
      <c r="F198" t="e">
        <v>#N/A</v>
      </c>
      <c r="G198">
        <v>4238</v>
      </c>
      <c r="H198" t="e">
        <v>#N/A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</row>
    <row r="199" spans="1:19" x14ac:dyDescent="0.25">
      <c r="A199" s="2">
        <v>23071</v>
      </c>
      <c r="B199">
        <v>67351</v>
      </c>
      <c r="C199" t="e">
        <v>#N/A</v>
      </c>
      <c r="D199" t="e">
        <v>#N/A</v>
      </c>
      <c r="E199" t="e">
        <v>#N/A</v>
      </c>
      <c r="F199" t="e">
        <v>#N/A</v>
      </c>
      <c r="G199">
        <v>4072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</row>
    <row r="200" spans="1:19" x14ac:dyDescent="0.25">
      <c r="A200" s="2">
        <v>23102</v>
      </c>
      <c r="B200">
        <v>67642</v>
      </c>
      <c r="C200" t="e">
        <v>#N/A</v>
      </c>
      <c r="D200" t="e">
        <v>#N/A</v>
      </c>
      <c r="E200" t="e">
        <v>#N/A</v>
      </c>
      <c r="F200" t="e">
        <v>#N/A</v>
      </c>
      <c r="G200">
        <v>4055</v>
      </c>
      <c r="H200" t="e">
        <v>#N/A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</row>
    <row r="201" spans="1:19" x14ac:dyDescent="0.25">
      <c r="A201" s="2">
        <v>23132</v>
      </c>
      <c r="B201">
        <v>67615</v>
      </c>
      <c r="C201" t="e">
        <v>#N/A</v>
      </c>
      <c r="D201" t="e">
        <v>#N/A</v>
      </c>
      <c r="E201" t="e">
        <v>#N/A</v>
      </c>
      <c r="F201" t="e">
        <v>#N/A</v>
      </c>
      <c r="G201">
        <v>4217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</row>
    <row r="202" spans="1:19" x14ac:dyDescent="0.25">
      <c r="A202" s="2">
        <v>23163</v>
      </c>
      <c r="B202">
        <v>67649</v>
      </c>
      <c r="C202" t="e">
        <v>#N/A</v>
      </c>
      <c r="D202" t="e">
        <v>#N/A</v>
      </c>
      <c r="E202" t="e">
        <v>#N/A</v>
      </c>
      <c r="F202" t="e">
        <v>#N/A</v>
      </c>
      <c r="G202">
        <v>3977</v>
      </c>
      <c r="H202" t="e">
        <v>#N/A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</row>
    <row r="203" spans="1:19" x14ac:dyDescent="0.25">
      <c r="A203" s="2">
        <v>23193</v>
      </c>
      <c r="B203">
        <v>67905</v>
      </c>
      <c r="C203" t="e">
        <v>#N/A</v>
      </c>
      <c r="D203" t="e">
        <v>#N/A</v>
      </c>
      <c r="E203" t="e">
        <v>#N/A</v>
      </c>
      <c r="F203" t="e">
        <v>#N/A</v>
      </c>
      <c r="G203">
        <v>4051</v>
      </c>
      <c r="H203" t="e">
        <v>#N/A</v>
      </c>
      <c r="I203" t="e">
        <v>#N/A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</row>
    <row r="204" spans="1:19" x14ac:dyDescent="0.25">
      <c r="A204" s="2">
        <v>23224</v>
      </c>
      <c r="B204">
        <v>67908</v>
      </c>
      <c r="C204" t="e">
        <v>#N/A</v>
      </c>
      <c r="D204" t="e">
        <v>#N/A</v>
      </c>
      <c r="E204" t="e">
        <v>#N/A</v>
      </c>
      <c r="F204" t="e">
        <v>#N/A</v>
      </c>
      <c r="G204">
        <v>3878</v>
      </c>
      <c r="H204" t="e">
        <v>#N/A</v>
      </c>
      <c r="I204" t="e">
        <v>#N/A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</row>
    <row r="205" spans="1:19" x14ac:dyDescent="0.25">
      <c r="A205" s="2">
        <v>23255</v>
      </c>
      <c r="B205">
        <v>68174</v>
      </c>
      <c r="C205" t="e">
        <v>#N/A</v>
      </c>
      <c r="D205" t="e">
        <v>#N/A</v>
      </c>
      <c r="E205" t="e">
        <v>#N/A</v>
      </c>
      <c r="F205" t="e">
        <v>#N/A</v>
      </c>
      <c r="G205">
        <v>3957</v>
      </c>
      <c r="H205" t="e">
        <v>#N/A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</row>
    <row r="206" spans="1:19" x14ac:dyDescent="0.25">
      <c r="A206" s="2">
        <v>23285</v>
      </c>
      <c r="B206">
        <v>68294</v>
      </c>
      <c r="C206" t="e">
        <v>#N/A</v>
      </c>
      <c r="D206" t="e">
        <v>#N/A</v>
      </c>
      <c r="E206" t="e">
        <v>#N/A</v>
      </c>
      <c r="F206" t="e">
        <v>#N/A</v>
      </c>
      <c r="G206">
        <v>3987</v>
      </c>
      <c r="H206" t="e">
        <v>#N/A</v>
      </c>
      <c r="I206" t="e">
        <v>#N/A</v>
      </c>
      <c r="J206" t="e">
        <v>#N/A</v>
      </c>
      <c r="K206" t="e">
        <v>#N/A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</row>
    <row r="207" spans="1:19" x14ac:dyDescent="0.25">
      <c r="A207" s="2">
        <v>23316</v>
      </c>
      <c r="B207">
        <v>68267</v>
      </c>
      <c r="C207" t="e">
        <v>#N/A</v>
      </c>
      <c r="D207" t="e">
        <v>#N/A</v>
      </c>
      <c r="E207" t="e">
        <v>#N/A</v>
      </c>
      <c r="F207" t="e">
        <v>#N/A</v>
      </c>
      <c r="G207">
        <v>4151</v>
      </c>
      <c r="H207" t="e">
        <v>#N/A</v>
      </c>
      <c r="I207" t="e">
        <v>#N/A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</row>
    <row r="208" spans="1:19" x14ac:dyDescent="0.25">
      <c r="A208" s="2">
        <v>23346</v>
      </c>
      <c r="B208">
        <v>68213</v>
      </c>
      <c r="C208" t="e">
        <v>#N/A</v>
      </c>
      <c r="D208" t="e">
        <v>#N/A</v>
      </c>
      <c r="E208" t="e">
        <v>#N/A</v>
      </c>
      <c r="F208" t="e">
        <v>#N/A</v>
      </c>
      <c r="G208">
        <v>3975</v>
      </c>
      <c r="H208" t="e">
        <v>#N/A</v>
      </c>
      <c r="I208" t="e">
        <v>#N/A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</row>
    <row r="209" spans="1:19" x14ac:dyDescent="0.25">
      <c r="A209" s="2" t="s">
        <v>26</v>
      </c>
      <c r="B209" t="e">
        <v>#N/A</v>
      </c>
      <c r="C209" t="e">
        <v>#N/A</v>
      </c>
      <c r="D209" t="e">
        <v>#N/A</v>
      </c>
      <c r="E209" t="e">
        <v>#N/A</v>
      </c>
      <c r="F209" t="e">
        <v>#N/A</v>
      </c>
      <c r="G209" t="e">
        <v>#N/A</v>
      </c>
      <c r="H209" t="e">
        <v>#N/A</v>
      </c>
      <c r="I209" t="e">
        <v>#N/A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</row>
    <row r="210" spans="1:19" x14ac:dyDescent="0.25">
      <c r="A210" s="2">
        <v>23377</v>
      </c>
      <c r="B210">
        <v>68327</v>
      </c>
      <c r="C210" t="e">
        <v>#N/A</v>
      </c>
      <c r="D210" t="e">
        <v>#N/A</v>
      </c>
      <c r="E210" t="e">
        <v>#N/A</v>
      </c>
      <c r="F210" t="e">
        <v>#N/A</v>
      </c>
      <c r="G210">
        <v>4029</v>
      </c>
      <c r="H210" t="e">
        <v>#N/A</v>
      </c>
      <c r="I210" t="e">
        <v>#N/A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</row>
    <row r="211" spans="1:19" x14ac:dyDescent="0.25">
      <c r="A211" s="2">
        <v>23408</v>
      </c>
      <c r="B211">
        <v>68751</v>
      </c>
      <c r="C211" t="e">
        <v>#N/A</v>
      </c>
      <c r="D211" t="e">
        <v>#N/A</v>
      </c>
      <c r="E211" t="e">
        <v>#N/A</v>
      </c>
      <c r="F211" t="e">
        <v>#N/A</v>
      </c>
      <c r="G211">
        <v>3932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</row>
    <row r="212" spans="1:19" x14ac:dyDescent="0.25">
      <c r="A212" s="2">
        <v>23437</v>
      </c>
      <c r="B212">
        <v>68763</v>
      </c>
      <c r="C212" t="e">
        <v>#N/A</v>
      </c>
      <c r="D212" t="e">
        <v>#N/A</v>
      </c>
      <c r="E212" t="e">
        <v>#N/A</v>
      </c>
      <c r="F212" t="e">
        <v>#N/A</v>
      </c>
      <c r="G212">
        <v>3950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</row>
    <row r="213" spans="1:19" x14ac:dyDescent="0.25">
      <c r="A213" s="2">
        <v>23468</v>
      </c>
      <c r="B213">
        <v>69356</v>
      </c>
      <c r="C213" t="e">
        <v>#N/A</v>
      </c>
      <c r="D213" t="e">
        <v>#N/A</v>
      </c>
      <c r="E213" t="e">
        <v>#N/A</v>
      </c>
      <c r="F213" t="e">
        <v>#N/A</v>
      </c>
      <c r="G213">
        <v>3918</v>
      </c>
      <c r="H213" t="e">
        <v>#N/A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</row>
    <row r="214" spans="1:19" x14ac:dyDescent="0.25">
      <c r="A214" s="2">
        <v>23498</v>
      </c>
      <c r="B214">
        <v>69631</v>
      </c>
      <c r="C214" t="e">
        <v>#N/A</v>
      </c>
      <c r="D214" t="e">
        <v>#N/A</v>
      </c>
      <c r="E214" t="e">
        <v>#N/A</v>
      </c>
      <c r="F214" t="e">
        <v>#N/A</v>
      </c>
      <c r="G214">
        <v>3764</v>
      </c>
      <c r="H214" t="e">
        <v>#N/A</v>
      </c>
      <c r="I214" t="e">
        <v>#N/A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</row>
    <row r="215" spans="1:19" x14ac:dyDescent="0.25">
      <c r="A215" s="2">
        <v>23529</v>
      </c>
      <c r="B215">
        <v>69218</v>
      </c>
      <c r="C215" t="e">
        <v>#N/A</v>
      </c>
      <c r="D215" t="e">
        <v>#N/A</v>
      </c>
      <c r="E215" t="e">
        <v>#N/A</v>
      </c>
      <c r="F215" t="e">
        <v>#N/A</v>
      </c>
      <c r="G215">
        <v>3814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</row>
    <row r="216" spans="1:19" x14ac:dyDescent="0.25">
      <c r="A216" s="2">
        <v>23559</v>
      </c>
      <c r="B216">
        <v>69399</v>
      </c>
      <c r="C216" t="e">
        <v>#N/A</v>
      </c>
      <c r="D216" t="e">
        <v>#N/A</v>
      </c>
      <c r="E216" t="e">
        <v>#N/A</v>
      </c>
      <c r="F216" t="e">
        <v>#N/A</v>
      </c>
      <c r="G216">
        <v>3608</v>
      </c>
      <c r="H216" t="e">
        <v>#N/A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</row>
    <row r="217" spans="1:19" x14ac:dyDescent="0.25">
      <c r="A217" s="2">
        <v>23590</v>
      </c>
      <c r="B217">
        <v>69463</v>
      </c>
      <c r="C217" t="e">
        <v>#N/A</v>
      </c>
      <c r="D217" t="e">
        <v>#N/A</v>
      </c>
      <c r="E217" t="e">
        <v>#N/A</v>
      </c>
      <c r="F217" t="e">
        <v>#N/A</v>
      </c>
      <c r="G217">
        <v>3655</v>
      </c>
      <c r="H217" t="e">
        <v>#N/A</v>
      </c>
      <c r="I217" t="e">
        <v>#N/A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</row>
    <row r="218" spans="1:19" x14ac:dyDescent="0.25">
      <c r="A218" s="2">
        <v>23621</v>
      </c>
      <c r="B218">
        <v>69578</v>
      </c>
      <c r="C218" t="e">
        <v>#N/A</v>
      </c>
      <c r="D218" t="e">
        <v>#N/A</v>
      </c>
      <c r="E218" t="e">
        <v>#N/A</v>
      </c>
      <c r="F218" t="e">
        <v>#N/A</v>
      </c>
      <c r="G218">
        <v>3712</v>
      </c>
      <c r="H218" t="e">
        <v>#N/A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</row>
    <row r="219" spans="1:19" x14ac:dyDescent="0.25">
      <c r="A219" s="2">
        <v>23651</v>
      </c>
      <c r="B219">
        <v>69582</v>
      </c>
      <c r="C219" t="e">
        <v>#N/A</v>
      </c>
      <c r="D219" t="e">
        <v>#N/A</v>
      </c>
      <c r="E219" t="e">
        <v>#N/A</v>
      </c>
      <c r="F219" t="e">
        <v>#N/A</v>
      </c>
      <c r="G219">
        <v>3726</v>
      </c>
      <c r="H219" t="e">
        <v>#N/A</v>
      </c>
      <c r="I219" t="e">
        <v>#N/A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</row>
    <row r="220" spans="1:19" x14ac:dyDescent="0.25">
      <c r="A220" s="2">
        <v>23682</v>
      </c>
      <c r="B220">
        <v>69735</v>
      </c>
      <c r="C220" t="e">
        <v>#N/A</v>
      </c>
      <c r="D220" t="e">
        <v>#N/A</v>
      </c>
      <c r="E220" t="e">
        <v>#N/A</v>
      </c>
      <c r="F220" t="e">
        <v>#N/A</v>
      </c>
      <c r="G220">
        <v>3551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</row>
    <row r="221" spans="1:19" x14ac:dyDescent="0.25">
      <c r="A221" s="2">
        <v>23712</v>
      </c>
      <c r="B221">
        <v>69814</v>
      </c>
      <c r="C221" t="e">
        <v>#N/A</v>
      </c>
      <c r="D221" t="e">
        <v>#N/A</v>
      </c>
      <c r="E221" t="e">
        <v>#N/A</v>
      </c>
      <c r="F221" t="e">
        <v>#N/A</v>
      </c>
      <c r="G221">
        <v>3651</v>
      </c>
      <c r="H221" t="e">
        <v>#N/A</v>
      </c>
      <c r="I221" t="e">
        <v>#N/A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</row>
    <row r="222" spans="1:19" x14ac:dyDescent="0.25">
      <c r="A222" s="2" t="s">
        <v>27</v>
      </c>
      <c r="B222" t="e">
        <v>#N/A</v>
      </c>
      <c r="C222" t="e">
        <v>#N/A</v>
      </c>
      <c r="D222" t="e">
        <v>#N/A</v>
      </c>
      <c r="E222" t="e">
        <v>#N/A</v>
      </c>
      <c r="F222" t="e">
        <v>#N/A</v>
      </c>
      <c r="G222" t="e">
        <v>#N/A</v>
      </c>
      <c r="H222" t="e">
        <v>#N/A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</row>
    <row r="223" spans="1:19" x14ac:dyDescent="0.25">
      <c r="A223" s="2">
        <v>23743</v>
      </c>
      <c r="B223">
        <v>69997</v>
      </c>
      <c r="C223" t="e">
        <v>#N/A</v>
      </c>
      <c r="D223" t="e">
        <v>#N/A</v>
      </c>
      <c r="E223" t="e">
        <v>#N/A</v>
      </c>
      <c r="F223" t="e">
        <v>#N/A</v>
      </c>
      <c r="G223">
        <v>3572</v>
      </c>
      <c r="H223" t="e">
        <v>#N/A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</row>
    <row r="224" spans="1:19" x14ac:dyDescent="0.25">
      <c r="A224" s="2">
        <v>23774</v>
      </c>
      <c r="B224">
        <v>70127</v>
      </c>
      <c r="C224" t="e">
        <v>#N/A</v>
      </c>
      <c r="D224" t="e">
        <v>#N/A</v>
      </c>
      <c r="E224" t="e">
        <v>#N/A</v>
      </c>
      <c r="F224" t="e">
        <v>#N/A</v>
      </c>
      <c r="G224">
        <v>3730</v>
      </c>
      <c r="H224" t="e">
        <v>#N/A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</row>
    <row r="225" spans="1:19" x14ac:dyDescent="0.25">
      <c r="A225" s="2">
        <v>23802</v>
      </c>
      <c r="B225">
        <v>70439</v>
      </c>
      <c r="C225" t="e">
        <v>#N/A</v>
      </c>
      <c r="D225" t="e">
        <v>#N/A</v>
      </c>
      <c r="E225" t="e">
        <v>#N/A</v>
      </c>
      <c r="F225" t="e">
        <v>#N/A</v>
      </c>
      <c r="G225">
        <v>3510</v>
      </c>
      <c r="H225" t="e">
        <v>#N/A</v>
      </c>
      <c r="I225" t="e">
        <v>#N/A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</row>
    <row r="226" spans="1:19" x14ac:dyDescent="0.25">
      <c r="A226" s="2">
        <v>23833</v>
      </c>
      <c r="B226">
        <v>70633</v>
      </c>
      <c r="C226" t="e">
        <v>#N/A</v>
      </c>
      <c r="D226" t="e">
        <v>#N/A</v>
      </c>
      <c r="E226" t="e">
        <v>#N/A</v>
      </c>
      <c r="F226" t="e">
        <v>#N/A</v>
      </c>
      <c r="G226">
        <v>3595</v>
      </c>
      <c r="H226" t="e">
        <v>#N/A</v>
      </c>
      <c r="I226" t="e">
        <v>#N/A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</row>
    <row r="227" spans="1:19" x14ac:dyDescent="0.25">
      <c r="A227" s="2">
        <v>23863</v>
      </c>
      <c r="B227">
        <v>71034</v>
      </c>
      <c r="C227" t="e">
        <v>#N/A</v>
      </c>
      <c r="D227" t="e">
        <v>#N/A</v>
      </c>
      <c r="E227" t="e">
        <v>#N/A</v>
      </c>
      <c r="F227" t="e">
        <v>#N/A</v>
      </c>
      <c r="G227">
        <v>3432</v>
      </c>
      <c r="H227" t="e">
        <v>#N/A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</row>
    <row r="228" spans="1:19" x14ac:dyDescent="0.25">
      <c r="A228" s="2">
        <v>23894</v>
      </c>
      <c r="B228">
        <v>71025</v>
      </c>
      <c r="C228" t="e">
        <v>#N/A</v>
      </c>
      <c r="D228" t="e">
        <v>#N/A</v>
      </c>
      <c r="E228" t="e">
        <v>#N/A</v>
      </c>
      <c r="F228" t="e">
        <v>#N/A</v>
      </c>
      <c r="G228">
        <v>3387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</row>
    <row r="229" spans="1:19" x14ac:dyDescent="0.25">
      <c r="A229" s="2">
        <v>23924</v>
      </c>
      <c r="B229">
        <v>71460</v>
      </c>
      <c r="C229" t="e">
        <v>#N/A</v>
      </c>
      <c r="D229" t="e">
        <v>#N/A</v>
      </c>
      <c r="E229" t="e">
        <v>#N/A</v>
      </c>
      <c r="F229" t="e">
        <v>#N/A</v>
      </c>
      <c r="G229">
        <v>3301</v>
      </c>
      <c r="H229" t="e">
        <v>#N/A</v>
      </c>
      <c r="I229" t="e">
        <v>#N/A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</row>
    <row r="230" spans="1:19" x14ac:dyDescent="0.25">
      <c r="A230" s="2">
        <v>23955</v>
      </c>
      <c r="B230">
        <v>71362</v>
      </c>
      <c r="C230" t="e">
        <v>#N/A</v>
      </c>
      <c r="D230" t="e">
        <v>#N/A</v>
      </c>
      <c r="E230" t="e">
        <v>#N/A</v>
      </c>
      <c r="F230" t="e">
        <v>#N/A</v>
      </c>
      <c r="G230">
        <v>3254</v>
      </c>
      <c r="H230" t="e">
        <v>#N/A</v>
      </c>
      <c r="I230" t="e">
        <v>#N/A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</row>
    <row r="231" spans="1:19" x14ac:dyDescent="0.25">
      <c r="A231" s="2">
        <v>23986</v>
      </c>
      <c r="B231">
        <v>71286</v>
      </c>
      <c r="C231" t="e">
        <v>#N/A</v>
      </c>
      <c r="D231" t="e">
        <v>#N/A</v>
      </c>
      <c r="E231" t="e">
        <v>#N/A</v>
      </c>
      <c r="F231" t="e">
        <v>#N/A</v>
      </c>
      <c r="G231">
        <v>3216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</row>
    <row r="232" spans="1:19" x14ac:dyDescent="0.25">
      <c r="A232" s="2">
        <v>24016</v>
      </c>
      <c r="B232">
        <v>71695</v>
      </c>
      <c r="C232" t="e">
        <v>#N/A</v>
      </c>
      <c r="D232" t="e">
        <v>#N/A</v>
      </c>
      <c r="E232" t="e">
        <v>#N/A</v>
      </c>
      <c r="F232" t="e">
        <v>#N/A</v>
      </c>
      <c r="G232">
        <v>3143</v>
      </c>
      <c r="H232" t="e">
        <v>#N/A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</row>
    <row r="233" spans="1:19" x14ac:dyDescent="0.25">
      <c r="A233" s="2">
        <v>24047</v>
      </c>
      <c r="B233">
        <v>71724</v>
      </c>
      <c r="C233" t="e">
        <v>#N/A</v>
      </c>
      <c r="D233" t="e">
        <v>#N/A</v>
      </c>
      <c r="E233" t="e">
        <v>#N/A</v>
      </c>
      <c r="F233" t="e">
        <v>#N/A</v>
      </c>
      <c r="G233">
        <v>3073</v>
      </c>
      <c r="H233" t="e">
        <v>#N/A</v>
      </c>
      <c r="I233" t="e">
        <v>#N/A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</row>
    <row r="234" spans="1:19" x14ac:dyDescent="0.25">
      <c r="A234" s="2">
        <v>24077</v>
      </c>
      <c r="B234">
        <v>72062</v>
      </c>
      <c r="C234" t="e">
        <v>#N/A</v>
      </c>
      <c r="D234" t="e">
        <v>#N/A</v>
      </c>
      <c r="E234" t="e">
        <v>#N/A</v>
      </c>
      <c r="F234" t="e">
        <v>#N/A</v>
      </c>
      <c r="G234">
        <v>3031</v>
      </c>
      <c r="H234" t="e">
        <v>#N/A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</row>
    <row r="235" spans="1:19" x14ac:dyDescent="0.25">
      <c r="A235" s="2" t="s">
        <v>28</v>
      </c>
      <c r="B235" t="e">
        <v>#N/A</v>
      </c>
      <c r="C235" t="e">
        <v>#N/A</v>
      </c>
      <c r="D235" t="e">
        <v>#N/A</v>
      </c>
      <c r="E235" t="e">
        <v>#N/A</v>
      </c>
      <c r="F235" t="e">
        <v>#N/A</v>
      </c>
      <c r="G235" t="e">
        <v>#N/A</v>
      </c>
      <c r="H235" t="e">
        <v>#N/A</v>
      </c>
      <c r="I235" t="e">
        <v>#N/A</v>
      </c>
      <c r="J235" t="e">
        <v>#N/A</v>
      </c>
      <c r="K235" t="e">
        <v>#N/A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</row>
    <row r="236" spans="1:19" x14ac:dyDescent="0.25">
      <c r="A236" s="2">
        <v>24108</v>
      </c>
      <c r="B236">
        <v>72198</v>
      </c>
      <c r="C236" t="e">
        <v>#N/A</v>
      </c>
      <c r="D236" t="e">
        <v>#N/A</v>
      </c>
      <c r="E236" t="e">
        <v>#N/A</v>
      </c>
      <c r="F236" t="e">
        <v>#N/A</v>
      </c>
      <c r="G236">
        <v>2988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</row>
    <row r="237" spans="1:19" x14ac:dyDescent="0.25">
      <c r="A237" s="2">
        <v>24139</v>
      </c>
      <c r="B237">
        <v>72134</v>
      </c>
      <c r="C237" t="e">
        <v>#N/A</v>
      </c>
      <c r="D237" t="e">
        <v>#N/A</v>
      </c>
      <c r="E237" t="e">
        <v>#N/A</v>
      </c>
      <c r="F237" t="e">
        <v>#N/A</v>
      </c>
      <c r="G237">
        <v>2820</v>
      </c>
      <c r="H237" t="e">
        <v>#N/A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</row>
    <row r="238" spans="1:19" x14ac:dyDescent="0.25">
      <c r="A238" s="2">
        <v>24167</v>
      </c>
      <c r="B238">
        <v>72188</v>
      </c>
      <c r="C238" t="e">
        <v>#N/A</v>
      </c>
      <c r="D238" t="e">
        <v>#N/A</v>
      </c>
      <c r="E238" t="e">
        <v>#N/A</v>
      </c>
      <c r="F238" t="e">
        <v>#N/A</v>
      </c>
      <c r="G238">
        <v>2887</v>
      </c>
      <c r="H238" t="e">
        <v>#N/A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</row>
    <row r="239" spans="1:19" x14ac:dyDescent="0.25">
      <c r="A239" s="2">
        <v>24198</v>
      </c>
      <c r="B239">
        <v>72510</v>
      </c>
      <c r="C239" t="e">
        <v>#N/A</v>
      </c>
      <c r="D239" t="e">
        <v>#N/A</v>
      </c>
      <c r="E239" t="e">
        <v>#N/A</v>
      </c>
      <c r="F239" t="e">
        <v>#N/A</v>
      </c>
      <c r="G239">
        <v>2828</v>
      </c>
      <c r="H239" t="e">
        <v>#N/A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</row>
    <row r="240" spans="1:19" x14ac:dyDescent="0.25">
      <c r="A240" s="2">
        <v>24228</v>
      </c>
      <c r="B240">
        <v>72497</v>
      </c>
      <c r="C240" t="e">
        <v>#N/A</v>
      </c>
      <c r="D240" t="e">
        <v>#N/A</v>
      </c>
      <c r="E240" t="e">
        <v>#N/A</v>
      </c>
      <c r="F240" t="e">
        <v>#N/A</v>
      </c>
      <c r="G240">
        <v>2950</v>
      </c>
      <c r="H240" t="e">
        <v>#N/A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</row>
    <row r="241" spans="1:19" x14ac:dyDescent="0.25">
      <c r="A241" s="2">
        <v>24259</v>
      </c>
      <c r="B241">
        <v>72775</v>
      </c>
      <c r="C241" t="e">
        <v>#N/A</v>
      </c>
      <c r="D241" t="e">
        <v>#N/A</v>
      </c>
      <c r="E241" t="e">
        <v>#N/A</v>
      </c>
      <c r="F241" t="e">
        <v>#N/A</v>
      </c>
      <c r="G241">
        <v>2872</v>
      </c>
      <c r="H241" t="e">
        <v>#N/A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</row>
    <row r="242" spans="1:19" x14ac:dyDescent="0.25">
      <c r="A242" s="2">
        <v>24289</v>
      </c>
      <c r="B242">
        <v>72860</v>
      </c>
      <c r="C242" t="e">
        <v>#N/A</v>
      </c>
      <c r="D242" t="e">
        <v>#N/A</v>
      </c>
      <c r="E242" t="e">
        <v>#N/A</v>
      </c>
      <c r="F242" t="e">
        <v>#N/A</v>
      </c>
      <c r="G242">
        <v>2876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</row>
    <row r="243" spans="1:19" x14ac:dyDescent="0.25">
      <c r="A243" s="2">
        <v>24320</v>
      </c>
      <c r="B243">
        <v>73146</v>
      </c>
      <c r="C243" t="e">
        <v>#N/A</v>
      </c>
      <c r="D243" t="e">
        <v>#N/A</v>
      </c>
      <c r="E243" t="e">
        <v>#N/A</v>
      </c>
      <c r="F243" t="e">
        <v>#N/A</v>
      </c>
      <c r="G243">
        <v>2900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</row>
    <row r="244" spans="1:19" x14ac:dyDescent="0.25">
      <c r="A244" s="2">
        <v>24351</v>
      </c>
      <c r="B244">
        <v>73258</v>
      </c>
      <c r="C244" t="e">
        <v>#N/A</v>
      </c>
      <c r="D244" t="e">
        <v>#N/A</v>
      </c>
      <c r="E244" t="e">
        <v>#N/A</v>
      </c>
      <c r="F244" t="e">
        <v>#N/A</v>
      </c>
      <c r="G244">
        <v>2798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</row>
    <row r="245" spans="1:19" x14ac:dyDescent="0.25">
      <c r="A245" s="2">
        <v>24381</v>
      </c>
      <c r="B245">
        <v>73401</v>
      </c>
      <c r="C245" t="e">
        <v>#N/A</v>
      </c>
      <c r="D245" t="e">
        <v>#N/A</v>
      </c>
      <c r="E245" t="e">
        <v>#N/A</v>
      </c>
      <c r="F245" t="e">
        <v>#N/A</v>
      </c>
      <c r="G245">
        <v>2798</v>
      </c>
      <c r="H245" t="e">
        <v>#N/A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</row>
    <row r="246" spans="1:19" x14ac:dyDescent="0.25">
      <c r="A246" s="2">
        <v>24412</v>
      </c>
      <c r="B246">
        <v>73840</v>
      </c>
      <c r="C246" t="e">
        <v>#N/A</v>
      </c>
      <c r="D246" t="e">
        <v>#N/A</v>
      </c>
      <c r="E246" t="e">
        <v>#N/A</v>
      </c>
      <c r="F246" t="e">
        <v>#N/A</v>
      </c>
      <c r="G246">
        <v>2770</v>
      </c>
      <c r="H246" t="e">
        <v>#N/A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</row>
    <row r="247" spans="1:19" x14ac:dyDescent="0.25">
      <c r="A247" s="2">
        <v>24442</v>
      </c>
      <c r="B247">
        <v>73729</v>
      </c>
      <c r="C247" t="e">
        <v>#N/A</v>
      </c>
      <c r="D247" t="e">
        <v>#N/A</v>
      </c>
      <c r="E247" t="e">
        <v>#N/A</v>
      </c>
      <c r="F247" t="e">
        <v>#N/A</v>
      </c>
      <c r="G247">
        <v>2912</v>
      </c>
      <c r="H247" t="e">
        <v>#N/A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</row>
    <row r="248" spans="1:19" x14ac:dyDescent="0.25">
      <c r="A248" s="2" t="s">
        <v>29</v>
      </c>
      <c r="B248" t="e">
        <v>#N/A</v>
      </c>
      <c r="C248" t="e">
        <v>#N/A</v>
      </c>
      <c r="D248" t="e">
        <v>#N/A</v>
      </c>
      <c r="E248" t="e">
        <v>#N/A</v>
      </c>
      <c r="F248" t="e">
        <v>#N/A</v>
      </c>
      <c r="G248" t="e">
        <v>#N/A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</row>
    <row r="249" spans="1:19" x14ac:dyDescent="0.25">
      <c r="A249" s="2">
        <v>24473</v>
      </c>
      <c r="B249">
        <v>73671</v>
      </c>
      <c r="C249" t="e">
        <v>#N/A</v>
      </c>
      <c r="D249" t="e">
        <v>#N/A</v>
      </c>
      <c r="E249" t="e">
        <v>#N/A</v>
      </c>
      <c r="F249" t="e">
        <v>#N/A</v>
      </c>
      <c r="G249">
        <v>2968</v>
      </c>
      <c r="H249" t="e">
        <v>#N/A</v>
      </c>
      <c r="I249" t="e">
        <v>#N/A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</row>
    <row r="250" spans="1:19" x14ac:dyDescent="0.25">
      <c r="A250" s="2">
        <v>24504</v>
      </c>
      <c r="B250">
        <v>73606</v>
      </c>
      <c r="C250" t="e">
        <v>#N/A</v>
      </c>
      <c r="D250" t="e">
        <v>#N/A</v>
      </c>
      <c r="E250" t="e">
        <v>#N/A</v>
      </c>
      <c r="F250" t="e">
        <v>#N/A</v>
      </c>
      <c r="G250">
        <v>2915</v>
      </c>
      <c r="H250" t="e">
        <v>#N/A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</row>
    <row r="251" spans="1:19" x14ac:dyDescent="0.25">
      <c r="A251" s="2">
        <v>24532</v>
      </c>
      <c r="B251">
        <v>73439</v>
      </c>
      <c r="C251" t="e">
        <v>#N/A</v>
      </c>
      <c r="D251" t="e">
        <v>#N/A</v>
      </c>
      <c r="E251" t="e">
        <v>#N/A</v>
      </c>
      <c r="F251" t="e">
        <v>#N/A</v>
      </c>
      <c r="G251">
        <v>2889</v>
      </c>
      <c r="H251" t="e">
        <v>#N/A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</row>
    <row r="252" spans="1:19" x14ac:dyDescent="0.25">
      <c r="A252" s="2">
        <v>24563</v>
      </c>
      <c r="B252">
        <v>73882</v>
      </c>
      <c r="C252" t="e">
        <v>#N/A</v>
      </c>
      <c r="D252" t="e">
        <v>#N/A</v>
      </c>
      <c r="E252" t="e">
        <v>#N/A</v>
      </c>
      <c r="F252" t="e">
        <v>#N/A</v>
      </c>
      <c r="G252">
        <v>2895</v>
      </c>
      <c r="H252" t="e">
        <v>#N/A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</row>
    <row r="253" spans="1:19" x14ac:dyDescent="0.25">
      <c r="A253" s="2">
        <v>24593</v>
      </c>
      <c r="B253">
        <v>73844</v>
      </c>
      <c r="C253" t="e">
        <v>#N/A</v>
      </c>
      <c r="D253" t="e">
        <v>#N/A</v>
      </c>
      <c r="E253" t="e">
        <v>#N/A</v>
      </c>
      <c r="F253" t="e">
        <v>#N/A</v>
      </c>
      <c r="G253">
        <v>2929</v>
      </c>
      <c r="H253" t="e">
        <v>#N/A</v>
      </c>
      <c r="I253" t="e">
        <v>#N/A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</row>
    <row r="254" spans="1:19" x14ac:dyDescent="0.25">
      <c r="A254" s="2">
        <v>24624</v>
      </c>
      <c r="B254">
        <v>74278</v>
      </c>
      <c r="C254" t="e">
        <v>#N/A</v>
      </c>
      <c r="D254" t="e">
        <v>#N/A</v>
      </c>
      <c r="E254" t="e">
        <v>#N/A</v>
      </c>
      <c r="F254" t="e">
        <v>#N/A</v>
      </c>
      <c r="G254">
        <v>2992</v>
      </c>
      <c r="H254" t="e">
        <v>#N/A</v>
      </c>
      <c r="I254" t="e">
        <v>#N/A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</row>
    <row r="255" spans="1:19" x14ac:dyDescent="0.25">
      <c r="A255" s="2">
        <v>24654</v>
      </c>
      <c r="B255">
        <v>74520</v>
      </c>
      <c r="C255" t="e">
        <v>#N/A</v>
      </c>
      <c r="D255" t="e">
        <v>#N/A</v>
      </c>
      <c r="E255" t="e">
        <v>#N/A</v>
      </c>
      <c r="F255" t="e">
        <v>#N/A</v>
      </c>
      <c r="G255">
        <v>2944</v>
      </c>
      <c r="H255" t="e">
        <v>#N/A</v>
      </c>
      <c r="I255" t="e">
        <v>#N/A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</row>
    <row r="256" spans="1:19" x14ac:dyDescent="0.25">
      <c r="A256" s="2">
        <v>24685</v>
      </c>
      <c r="B256">
        <v>74767</v>
      </c>
      <c r="C256" t="e">
        <v>#N/A</v>
      </c>
      <c r="D256" t="e">
        <v>#N/A</v>
      </c>
      <c r="E256" t="e">
        <v>#N/A</v>
      </c>
      <c r="F256" t="e">
        <v>#N/A</v>
      </c>
      <c r="G256">
        <v>2945</v>
      </c>
      <c r="H256" t="e">
        <v>#N/A</v>
      </c>
      <c r="I256" t="e">
        <v>#N/A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</row>
    <row r="257" spans="1:19" x14ac:dyDescent="0.25">
      <c r="A257" s="2">
        <v>24716</v>
      </c>
      <c r="B257">
        <v>74854</v>
      </c>
      <c r="C257" t="e">
        <v>#N/A</v>
      </c>
      <c r="D257" t="e">
        <v>#N/A</v>
      </c>
      <c r="E257" t="e">
        <v>#N/A</v>
      </c>
      <c r="F257" t="e">
        <v>#N/A</v>
      </c>
      <c r="G257">
        <v>2958</v>
      </c>
      <c r="H257" t="e">
        <v>#N/A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</row>
    <row r="258" spans="1:19" x14ac:dyDescent="0.25">
      <c r="A258" s="2">
        <v>24746</v>
      </c>
      <c r="B258">
        <v>75051</v>
      </c>
      <c r="C258" t="e">
        <v>#N/A</v>
      </c>
      <c r="D258" t="e">
        <v>#N/A</v>
      </c>
      <c r="E258" t="e">
        <v>#N/A</v>
      </c>
      <c r="F258" t="e">
        <v>#N/A</v>
      </c>
      <c r="G258">
        <v>3143</v>
      </c>
      <c r="H258" t="e">
        <v>#N/A</v>
      </c>
      <c r="I258" t="e">
        <v>#N/A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</row>
    <row r="259" spans="1:19" x14ac:dyDescent="0.25">
      <c r="A259" s="2">
        <v>24777</v>
      </c>
      <c r="B259">
        <v>75125</v>
      </c>
      <c r="C259" t="e">
        <v>#N/A</v>
      </c>
      <c r="D259" t="e">
        <v>#N/A</v>
      </c>
      <c r="E259" t="e">
        <v>#N/A</v>
      </c>
      <c r="F259" t="e">
        <v>#N/A</v>
      </c>
      <c r="G259">
        <v>3066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</row>
    <row r="260" spans="1:19" x14ac:dyDescent="0.25">
      <c r="A260" s="2">
        <v>24807</v>
      </c>
      <c r="B260">
        <v>75473</v>
      </c>
      <c r="C260" t="e">
        <v>#N/A</v>
      </c>
      <c r="D260" t="e">
        <v>#N/A</v>
      </c>
      <c r="E260" t="e">
        <v>#N/A</v>
      </c>
      <c r="F260" t="e">
        <v>#N/A</v>
      </c>
      <c r="G260">
        <v>3018</v>
      </c>
      <c r="H260" t="e">
        <v>#N/A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</row>
    <row r="261" spans="1:19" x14ac:dyDescent="0.25">
      <c r="A261" s="2" t="s">
        <v>30</v>
      </c>
      <c r="B261" t="e">
        <v>#N/A</v>
      </c>
      <c r="C261" t="e">
        <v>#N/A</v>
      </c>
      <c r="D261" t="e">
        <v>#N/A</v>
      </c>
      <c r="E261" t="e">
        <v>#N/A</v>
      </c>
      <c r="F261" t="e">
        <v>#N/A</v>
      </c>
      <c r="G261" t="e">
        <v>#N/A</v>
      </c>
      <c r="H261" t="e">
        <v>#N/A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</row>
    <row r="262" spans="1:19" x14ac:dyDescent="0.25">
      <c r="A262" s="2">
        <v>24838</v>
      </c>
      <c r="B262">
        <v>74700</v>
      </c>
      <c r="C262" t="e">
        <v>#N/A</v>
      </c>
      <c r="D262" t="e">
        <v>#N/A</v>
      </c>
      <c r="E262" t="e">
        <v>#N/A</v>
      </c>
      <c r="F262" t="e">
        <v>#N/A</v>
      </c>
      <c r="G262">
        <v>2878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</row>
    <row r="263" spans="1:19" x14ac:dyDescent="0.25">
      <c r="A263" s="2">
        <v>24869</v>
      </c>
      <c r="B263">
        <v>75229</v>
      </c>
      <c r="C263" t="e">
        <v>#N/A</v>
      </c>
      <c r="D263" t="e">
        <v>#N/A</v>
      </c>
      <c r="E263" t="e">
        <v>#N/A</v>
      </c>
      <c r="F263" t="e">
        <v>#N/A</v>
      </c>
      <c r="G263">
        <v>3001</v>
      </c>
      <c r="H263" t="e">
        <v>#N/A</v>
      </c>
      <c r="I263" t="e">
        <v>#N/A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</row>
    <row r="264" spans="1:19" x14ac:dyDescent="0.25">
      <c r="A264" s="2">
        <v>24898</v>
      </c>
      <c r="B264">
        <v>75379</v>
      </c>
      <c r="C264" t="e">
        <v>#N/A</v>
      </c>
      <c r="D264" t="e">
        <v>#N/A</v>
      </c>
      <c r="E264" t="e">
        <v>#N/A</v>
      </c>
      <c r="F264" t="e">
        <v>#N/A</v>
      </c>
      <c r="G264">
        <v>2877</v>
      </c>
      <c r="H264" t="e">
        <v>#N/A</v>
      </c>
      <c r="I264" t="e">
        <v>#N/A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</row>
    <row r="265" spans="1:19" x14ac:dyDescent="0.25">
      <c r="A265" s="2">
        <v>24929</v>
      </c>
      <c r="B265">
        <v>75561</v>
      </c>
      <c r="C265" t="e">
        <v>#N/A</v>
      </c>
      <c r="D265" t="e">
        <v>#N/A</v>
      </c>
      <c r="E265" t="e">
        <v>#N/A</v>
      </c>
      <c r="F265" t="e">
        <v>#N/A</v>
      </c>
      <c r="G265">
        <v>2709</v>
      </c>
      <c r="H265" t="e">
        <v>#N/A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</row>
    <row r="266" spans="1:19" x14ac:dyDescent="0.25">
      <c r="A266" s="2">
        <v>24959</v>
      </c>
      <c r="B266">
        <v>76107</v>
      </c>
      <c r="C266" t="e">
        <v>#N/A</v>
      </c>
      <c r="D266" t="e">
        <v>#N/A</v>
      </c>
      <c r="E266" t="e">
        <v>#N/A</v>
      </c>
      <c r="F266" t="e">
        <v>#N/A</v>
      </c>
      <c r="G266">
        <v>2740</v>
      </c>
      <c r="H266" t="e">
        <v>#N/A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</row>
    <row r="267" spans="1:19" x14ac:dyDescent="0.25">
      <c r="A267" s="2">
        <v>24990</v>
      </c>
      <c r="B267">
        <v>76182</v>
      </c>
      <c r="C267" t="e">
        <v>#N/A</v>
      </c>
      <c r="D267" t="e">
        <v>#N/A</v>
      </c>
      <c r="E267" t="e">
        <v>#N/A</v>
      </c>
      <c r="F267" t="e">
        <v>#N/A</v>
      </c>
      <c r="G267">
        <v>2938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</row>
    <row r="268" spans="1:19" x14ac:dyDescent="0.25">
      <c r="A268" s="2">
        <v>25020</v>
      </c>
      <c r="B268">
        <v>76087</v>
      </c>
      <c r="C268" t="e">
        <v>#N/A</v>
      </c>
      <c r="D268" t="e">
        <v>#N/A</v>
      </c>
      <c r="E268" t="e">
        <v>#N/A</v>
      </c>
      <c r="F268" t="e">
        <v>#N/A</v>
      </c>
      <c r="G268">
        <v>2883</v>
      </c>
      <c r="H268" t="e">
        <v>#N/A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</row>
    <row r="269" spans="1:19" x14ac:dyDescent="0.25">
      <c r="A269" s="2">
        <v>25051</v>
      </c>
      <c r="B269">
        <v>76043</v>
      </c>
      <c r="C269" t="e">
        <v>#N/A</v>
      </c>
      <c r="D269" t="e">
        <v>#N/A</v>
      </c>
      <c r="E269" t="e">
        <v>#N/A</v>
      </c>
      <c r="F269" t="e">
        <v>#N/A</v>
      </c>
      <c r="G269">
        <v>2768</v>
      </c>
      <c r="H269" t="e">
        <v>#N/A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</row>
    <row r="270" spans="1:19" x14ac:dyDescent="0.25">
      <c r="A270" s="2">
        <v>25082</v>
      </c>
      <c r="B270">
        <v>76172</v>
      </c>
      <c r="C270" t="e">
        <v>#N/A</v>
      </c>
      <c r="D270" t="e">
        <v>#N/A</v>
      </c>
      <c r="E270" t="e">
        <v>#N/A</v>
      </c>
      <c r="F270" t="e">
        <v>#N/A</v>
      </c>
      <c r="G270">
        <v>2686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</row>
    <row r="271" spans="1:19" x14ac:dyDescent="0.25">
      <c r="A271" s="2">
        <v>25112</v>
      </c>
      <c r="B271">
        <v>76224</v>
      </c>
      <c r="C271" t="e">
        <v>#N/A</v>
      </c>
      <c r="D271" t="e">
        <v>#N/A</v>
      </c>
      <c r="E271" t="e">
        <v>#N/A</v>
      </c>
      <c r="F271" t="e">
        <v>#N/A</v>
      </c>
      <c r="G271">
        <v>2689</v>
      </c>
      <c r="H271" t="e">
        <v>#N/A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</row>
    <row r="272" spans="1:19" x14ac:dyDescent="0.25">
      <c r="A272" s="2">
        <v>25143</v>
      </c>
      <c r="B272">
        <v>76494</v>
      </c>
      <c r="C272" t="e">
        <v>#N/A</v>
      </c>
      <c r="D272" t="e">
        <v>#N/A</v>
      </c>
      <c r="E272" t="e">
        <v>#N/A</v>
      </c>
      <c r="F272" t="e">
        <v>#N/A</v>
      </c>
      <c r="G272">
        <v>2715</v>
      </c>
      <c r="H272" t="e">
        <v>#N/A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</row>
    <row r="273" spans="1:19" x14ac:dyDescent="0.25">
      <c r="A273" s="2">
        <v>25173</v>
      </c>
      <c r="B273">
        <v>76778</v>
      </c>
      <c r="C273" t="e">
        <v>#N/A</v>
      </c>
      <c r="D273" t="e">
        <v>#N/A</v>
      </c>
      <c r="E273" t="e">
        <v>#N/A</v>
      </c>
      <c r="F273" t="e">
        <v>#N/A</v>
      </c>
      <c r="G273">
        <v>2685</v>
      </c>
      <c r="H273" t="e">
        <v>#N/A</v>
      </c>
      <c r="I273" t="e">
        <v>#N/A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</row>
    <row r="274" spans="1:19" x14ac:dyDescent="0.25">
      <c r="A274" s="2" t="s">
        <v>31</v>
      </c>
      <c r="B274" t="e">
        <v>#N/A</v>
      </c>
      <c r="C274" t="e">
        <v>#N/A</v>
      </c>
      <c r="D274" t="e">
        <v>#N/A</v>
      </c>
      <c r="E274" t="e">
        <v>#N/A</v>
      </c>
      <c r="F274" t="e">
        <v>#N/A</v>
      </c>
      <c r="G274" t="e">
        <v>#N/A</v>
      </c>
      <c r="H274" t="e">
        <v>#N/A</v>
      </c>
      <c r="I274" t="e">
        <v>#N/A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</row>
    <row r="275" spans="1:19" x14ac:dyDescent="0.25">
      <c r="A275" s="2">
        <v>25204</v>
      </c>
      <c r="B275">
        <v>76805</v>
      </c>
      <c r="C275" t="e">
        <v>#N/A</v>
      </c>
      <c r="D275" t="e">
        <v>#N/A</v>
      </c>
      <c r="E275" t="e">
        <v>#N/A</v>
      </c>
      <c r="F275" t="e">
        <v>#N/A</v>
      </c>
      <c r="G275">
        <v>2718</v>
      </c>
      <c r="H275" t="e">
        <v>#N/A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</row>
    <row r="276" spans="1:19" x14ac:dyDescent="0.25">
      <c r="A276" s="2">
        <v>25235</v>
      </c>
      <c r="B276">
        <v>77327</v>
      </c>
      <c r="C276" t="e">
        <v>#N/A</v>
      </c>
      <c r="D276" t="e">
        <v>#N/A</v>
      </c>
      <c r="E276" t="e">
        <v>#N/A</v>
      </c>
      <c r="F276" t="e">
        <v>#N/A</v>
      </c>
      <c r="G276">
        <v>2692</v>
      </c>
      <c r="H276" t="e">
        <v>#N/A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</row>
    <row r="277" spans="1:19" x14ac:dyDescent="0.25">
      <c r="A277" s="2">
        <v>25263</v>
      </c>
      <c r="B277">
        <v>77367</v>
      </c>
      <c r="C277" t="e">
        <v>#N/A</v>
      </c>
      <c r="D277" t="e">
        <v>#N/A</v>
      </c>
      <c r="E277" t="e">
        <v>#N/A</v>
      </c>
      <c r="F277" t="e">
        <v>#N/A</v>
      </c>
      <c r="G277">
        <v>2712</v>
      </c>
      <c r="H277" t="e">
        <v>#N/A</v>
      </c>
      <c r="I277" t="e">
        <v>#N/A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</row>
    <row r="278" spans="1:19" x14ac:dyDescent="0.25">
      <c r="A278" s="2">
        <v>25294</v>
      </c>
      <c r="B278">
        <v>77523</v>
      </c>
      <c r="C278" t="e">
        <v>#N/A</v>
      </c>
      <c r="D278" t="e">
        <v>#N/A</v>
      </c>
      <c r="E278" t="e">
        <v>#N/A</v>
      </c>
      <c r="F278" t="e">
        <v>#N/A</v>
      </c>
      <c r="G278">
        <v>2758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</row>
    <row r="279" spans="1:19" x14ac:dyDescent="0.25">
      <c r="A279" s="2">
        <v>25324</v>
      </c>
      <c r="B279">
        <v>77412</v>
      </c>
      <c r="C279" t="e">
        <v>#N/A</v>
      </c>
      <c r="D279" t="e">
        <v>#N/A</v>
      </c>
      <c r="E279" t="e">
        <v>#N/A</v>
      </c>
      <c r="F279" t="e">
        <v>#N/A</v>
      </c>
      <c r="G279">
        <v>2713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</row>
    <row r="280" spans="1:19" x14ac:dyDescent="0.25">
      <c r="A280" s="2">
        <v>25355</v>
      </c>
      <c r="B280">
        <v>77880</v>
      </c>
      <c r="C280" t="e">
        <v>#N/A</v>
      </c>
      <c r="D280" t="e">
        <v>#N/A</v>
      </c>
      <c r="E280" t="e">
        <v>#N/A</v>
      </c>
      <c r="F280" t="e">
        <v>#N/A</v>
      </c>
      <c r="G280">
        <v>2816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</row>
    <row r="281" spans="1:19" x14ac:dyDescent="0.25">
      <c r="A281" s="2">
        <v>25385</v>
      </c>
      <c r="B281">
        <v>77959</v>
      </c>
      <c r="C281" t="e">
        <v>#N/A</v>
      </c>
      <c r="D281" t="e">
        <v>#N/A</v>
      </c>
      <c r="E281" t="e">
        <v>#N/A</v>
      </c>
      <c r="F281" t="e">
        <v>#N/A</v>
      </c>
      <c r="G281">
        <v>2868</v>
      </c>
      <c r="H281" t="e">
        <v>#N/A</v>
      </c>
      <c r="I281" t="e">
        <v>#N/A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</row>
    <row r="282" spans="1:19" x14ac:dyDescent="0.25">
      <c r="A282" s="2">
        <v>25416</v>
      </c>
      <c r="B282">
        <v>78250</v>
      </c>
      <c r="C282" t="e">
        <v>#N/A</v>
      </c>
      <c r="D282" t="e">
        <v>#N/A</v>
      </c>
      <c r="E282" t="e">
        <v>#N/A</v>
      </c>
      <c r="F282" t="e">
        <v>#N/A</v>
      </c>
      <c r="G282">
        <v>2856</v>
      </c>
      <c r="H282" t="e">
        <v>#N/A</v>
      </c>
      <c r="I282" t="e">
        <v>#N/A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</row>
    <row r="283" spans="1:19" x14ac:dyDescent="0.25">
      <c r="A283" s="2">
        <v>25447</v>
      </c>
      <c r="B283">
        <v>78250</v>
      </c>
      <c r="C283" t="e">
        <v>#N/A</v>
      </c>
      <c r="D283" t="e">
        <v>#N/A</v>
      </c>
      <c r="E283" t="e">
        <v>#N/A</v>
      </c>
      <c r="F283" t="e">
        <v>#N/A</v>
      </c>
      <c r="G283">
        <v>3040</v>
      </c>
      <c r="H283" t="e">
        <v>#N/A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</row>
    <row r="284" spans="1:19" x14ac:dyDescent="0.25">
      <c r="A284" s="2">
        <v>25477</v>
      </c>
      <c r="B284">
        <v>78445</v>
      </c>
      <c r="C284" t="e">
        <v>#N/A</v>
      </c>
      <c r="D284" t="e">
        <v>#N/A</v>
      </c>
      <c r="E284" t="e">
        <v>#N/A</v>
      </c>
      <c r="F284" t="e">
        <v>#N/A</v>
      </c>
      <c r="G284">
        <v>3049</v>
      </c>
      <c r="H284" t="e">
        <v>#N/A</v>
      </c>
      <c r="I284" t="e">
        <v>#N/A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</row>
    <row r="285" spans="1:19" x14ac:dyDescent="0.25">
      <c r="A285" s="2">
        <v>25508</v>
      </c>
      <c r="B285">
        <v>78541</v>
      </c>
      <c r="C285" t="e">
        <v>#N/A</v>
      </c>
      <c r="D285" t="e">
        <v>#N/A</v>
      </c>
      <c r="E285" t="e">
        <v>#N/A</v>
      </c>
      <c r="F285" t="e">
        <v>#N/A</v>
      </c>
      <c r="G285">
        <v>2856</v>
      </c>
      <c r="H285" t="e">
        <v>#N/A</v>
      </c>
      <c r="I285" t="e">
        <v>#N/A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</row>
    <row r="286" spans="1:19" x14ac:dyDescent="0.25">
      <c r="A286" s="2">
        <v>25538</v>
      </c>
      <c r="B286">
        <v>78740</v>
      </c>
      <c r="C286" t="e">
        <v>#N/A</v>
      </c>
      <c r="D286" t="e">
        <v>#N/A</v>
      </c>
      <c r="E286" t="e">
        <v>#N/A</v>
      </c>
      <c r="F286" t="e">
        <v>#N/A</v>
      </c>
      <c r="G286">
        <v>2884</v>
      </c>
      <c r="H286" t="e">
        <v>#N/A</v>
      </c>
      <c r="I286" t="e">
        <v>#N/A</v>
      </c>
      <c r="J286" t="e">
        <v>#N/A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</row>
    <row r="287" spans="1:19" x14ac:dyDescent="0.25">
      <c r="A287" s="2" t="s">
        <v>32</v>
      </c>
      <c r="B287" t="e">
        <v>#N/A</v>
      </c>
      <c r="C287" t="e">
        <v>#N/A</v>
      </c>
      <c r="D287" t="e">
        <v>#N/A</v>
      </c>
      <c r="E287" t="e">
        <v>#N/A</v>
      </c>
      <c r="F287" t="e">
        <v>#N/A</v>
      </c>
      <c r="G287" t="e">
        <v>#N/A</v>
      </c>
      <c r="H287" t="e">
        <v>#N/A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</row>
    <row r="288" spans="1:19" x14ac:dyDescent="0.25">
      <c r="A288" s="2">
        <v>25569</v>
      </c>
      <c r="B288">
        <v>78780</v>
      </c>
      <c r="C288" t="e">
        <v>#N/A</v>
      </c>
      <c r="D288" t="e">
        <v>#N/A</v>
      </c>
      <c r="E288" t="e">
        <v>#N/A</v>
      </c>
      <c r="F288" t="e">
        <v>#N/A</v>
      </c>
      <c r="G288">
        <v>3201</v>
      </c>
      <c r="H288" t="e">
        <v>#N/A</v>
      </c>
      <c r="I288" t="e">
        <v>#N/A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</row>
    <row r="289" spans="1:19" x14ac:dyDescent="0.25">
      <c r="A289" s="2">
        <v>25600</v>
      </c>
      <c r="B289">
        <v>78698</v>
      </c>
      <c r="C289" t="e">
        <v>#N/A</v>
      </c>
      <c r="D289" t="e">
        <v>#N/A</v>
      </c>
      <c r="E289" t="e">
        <v>#N/A</v>
      </c>
      <c r="F289" t="e">
        <v>#N/A</v>
      </c>
      <c r="G289">
        <v>3453</v>
      </c>
      <c r="H289" t="e">
        <v>#N/A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</row>
    <row r="290" spans="1:19" x14ac:dyDescent="0.25">
      <c r="A290" s="2">
        <v>25628</v>
      </c>
      <c r="B290">
        <v>78863</v>
      </c>
      <c r="C290" t="e">
        <v>#N/A</v>
      </c>
      <c r="D290" t="e">
        <v>#N/A</v>
      </c>
      <c r="E290" t="e">
        <v>#N/A</v>
      </c>
      <c r="F290" t="e">
        <v>#N/A</v>
      </c>
      <c r="G290">
        <v>3635</v>
      </c>
      <c r="H290" t="e">
        <v>#N/A</v>
      </c>
      <c r="I290" t="e">
        <v>#N/A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</row>
    <row r="291" spans="1:19" x14ac:dyDescent="0.25">
      <c r="A291" s="2">
        <v>25659</v>
      </c>
      <c r="B291">
        <v>78930</v>
      </c>
      <c r="C291" t="e">
        <v>#N/A</v>
      </c>
      <c r="D291" t="e">
        <v>#N/A</v>
      </c>
      <c r="E291" t="e">
        <v>#N/A</v>
      </c>
      <c r="F291" t="e">
        <v>#N/A</v>
      </c>
      <c r="G291">
        <v>3797</v>
      </c>
      <c r="H291" t="e">
        <v>#N/A</v>
      </c>
      <c r="I291" t="e">
        <v>#N/A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</row>
    <row r="292" spans="1:19" x14ac:dyDescent="0.25">
      <c r="A292" s="2">
        <v>25689</v>
      </c>
      <c r="B292">
        <v>78564</v>
      </c>
      <c r="C292" t="e">
        <v>#N/A</v>
      </c>
      <c r="D292" t="e">
        <v>#N/A</v>
      </c>
      <c r="E292" t="e">
        <v>#N/A</v>
      </c>
      <c r="F292" t="e">
        <v>#N/A</v>
      </c>
      <c r="G292">
        <v>3919</v>
      </c>
      <c r="H292" t="e">
        <v>#N/A</v>
      </c>
      <c r="I292" t="e">
        <v>#N/A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</row>
    <row r="293" spans="1:19" x14ac:dyDescent="0.25">
      <c r="A293" s="2">
        <v>25720</v>
      </c>
      <c r="B293">
        <v>78413</v>
      </c>
      <c r="C293" t="e">
        <v>#N/A</v>
      </c>
      <c r="D293" t="e">
        <v>#N/A</v>
      </c>
      <c r="E293" t="e">
        <v>#N/A</v>
      </c>
      <c r="F293" t="e">
        <v>#N/A</v>
      </c>
      <c r="G293">
        <v>4071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</row>
    <row r="294" spans="1:19" x14ac:dyDescent="0.25">
      <c r="A294" s="2">
        <v>25750</v>
      </c>
      <c r="B294">
        <v>78726</v>
      </c>
      <c r="C294" t="e">
        <v>#N/A</v>
      </c>
      <c r="D294" t="e">
        <v>#N/A</v>
      </c>
      <c r="E294" t="e">
        <v>#N/A</v>
      </c>
      <c r="F294" t="e">
        <v>#N/A</v>
      </c>
      <c r="G294">
        <v>4175</v>
      </c>
      <c r="H294" t="e">
        <v>#N/A</v>
      </c>
      <c r="I294" t="e">
        <v>#N/A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</row>
    <row r="295" spans="1:19" x14ac:dyDescent="0.25">
      <c r="A295" s="2">
        <v>25781</v>
      </c>
      <c r="B295">
        <v>78624</v>
      </c>
      <c r="C295" t="e">
        <v>#N/A</v>
      </c>
      <c r="D295" t="e">
        <v>#N/A</v>
      </c>
      <c r="E295" t="e">
        <v>#N/A</v>
      </c>
      <c r="F295" t="e">
        <v>#N/A</v>
      </c>
      <c r="G295">
        <v>4256</v>
      </c>
      <c r="H295" t="e">
        <v>#N/A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</row>
    <row r="296" spans="1:19" x14ac:dyDescent="0.25">
      <c r="A296" s="2">
        <v>25812</v>
      </c>
      <c r="B296">
        <v>78498</v>
      </c>
      <c r="C296" t="e">
        <v>#N/A</v>
      </c>
      <c r="D296" t="e">
        <v>#N/A</v>
      </c>
      <c r="E296" t="e">
        <v>#N/A</v>
      </c>
      <c r="F296" t="e">
        <v>#N/A</v>
      </c>
      <c r="G296">
        <v>4456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</row>
    <row r="297" spans="1:19" x14ac:dyDescent="0.25">
      <c r="A297" s="2">
        <v>25842</v>
      </c>
      <c r="B297">
        <v>78685</v>
      </c>
      <c r="C297" t="e">
        <v>#N/A</v>
      </c>
      <c r="D297" t="e">
        <v>#N/A</v>
      </c>
      <c r="E297" t="e">
        <v>#N/A</v>
      </c>
      <c r="F297" t="e">
        <v>#N/A</v>
      </c>
      <c r="G297">
        <v>4591</v>
      </c>
      <c r="H297" t="e">
        <v>#N/A</v>
      </c>
      <c r="I297" t="e">
        <v>#N/A</v>
      </c>
      <c r="J297" t="e">
        <v>#N/A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</row>
    <row r="298" spans="1:19" x14ac:dyDescent="0.25">
      <c r="A298" s="2">
        <v>25873</v>
      </c>
      <c r="B298">
        <v>78650</v>
      </c>
      <c r="C298" t="e">
        <v>#N/A</v>
      </c>
      <c r="D298" t="e">
        <v>#N/A</v>
      </c>
      <c r="E298" t="e">
        <v>#N/A</v>
      </c>
      <c r="F298" t="e">
        <v>#N/A</v>
      </c>
      <c r="G298">
        <v>4898</v>
      </c>
      <c r="H298" t="e">
        <v>#N/A</v>
      </c>
      <c r="I298" t="e">
        <v>#N/A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</row>
    <row r="299" spans="1:19" x14ac:dyDescent="0.25">
      <c r="A299" s="2">
        <v>25903</v>
      </c>
      <c r="B299">
        <v>78594</v>
      </c>
      <c r="C299" t="e">
        <v>#N/A</v>
      </c>
      <c r="D299" t="e">
        <v>#N/A</v>
      </c>
      <c r="E299" t="e">
        <v>#N/A</v>
      </c>
      <c r="F299" t="e">
        <v>#N/A</v>
      </c>
      <c r="G299">
        <v>5076</v>
      </c>
      <c r="H299" t="e">
        <v>#N/A</v>
      </c>
      <c r="I299" t="e">
        <v>#N/A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</row>
    <row r="300" spans="1:19" x14ac:dyDescent="0.25">
      <c r="A300" s="2" t="s">
        <v>33</v>
      </c>
      <c r="B300" t="e">
        <v>#N/A</v>
      </c>
      <c r="C300" t="e">
        <v>#N/A</v>
      </c>
      <c r="D300" t="e">
        <v>#N/A</v>
      </c>
      <c r="E300" t="e">
        <v>#N/A</v>
      </c>
      <c r="F300" t="e">
        <v>#N/A</v>
      </c>
      <c r="G300" t="e">
        <v>#N/A</v>
      </c>
      <c r="H300" t="e">
        <v>#N/A</v>
      </c>
      <c r="I300" t="e">
        <v>#N/A</v>
      </c>
      <c r="J300" t="e">
        <v>#N/A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</row>
    <row r="301" spans="1:19" x14ac:dyDescent="0.25">
      <c r="A301" s="2">
        <v>25934</v>
      </c>
      <c r="B301">
        <v>78864</v>
      </c>
      <c r="C301" t="e">
        <v>#N/A</v>
      </c>
      <c r="D301" t="e">
        <v>#N/A</v>
      </c>
      <c r="E301" t="e">
        <v>#N/A</v>
      </c>
      <c r="F301" t="e">
        <v>#N/A</v>
      </c>
      <c r="G301">
        <v>4986</v>
      </c>
      <c r="H301" t="e">
        <v>#N/A</v>
      </c>
      <c r="I301" t="e">
        <v>#N/A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</row>
    <row r="302" spans="1:19" x14ac:dyDescent="0.25">
      <c r="A302" s="2">
        <v>25965</v>
      </c>
      <c r="B302">
        <v>78700</v>
      </c>
      <c r="C302" t="e">
        <v>#N/A</v>
      </c>
      <c r="D302" t="e">
        <v>#N/A</v>
      </c>
      <c r="E302" t="e">
        <v>#N/A</v>
      </c>
      <c r="F302" t="e">
        <v>#N/A</v>
      </c>
      <c r="G302">
        <v>4903</v>
      </c>
      <c r="H302" t="e">
        <v>#N/A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</row>
    <row r="303" spans="1:19" x14ac:dyDescent="0.25">
      <c r="A303" s="2">
        <v>25993</v>
      </c>
      <c r="B303">
        <v>78588</v>
      </c>
      <c r="C303" t="e">
        <v>#N/A</v>
      </c>
      <c r="D303" t="e">
        <v>#N/A</v>
      </c>
      <c r="E303" t="e">
        <v>#N/A</v>
      </c>
      <c r="F303" t="e">
        <v>#N/A</v>
      </c>
      <c r="G303">
        <v>4987</v>
      </c>
      <c r="H303" t="e">
        <v>#N/A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</row>
    <row r="304" spans="1:19" x14ac:dyDescent="0.25">
      <c r="A304" s="2">
        <v>26024</v>
      </c>
      <c r="B304">
        <v>78987</v>
      </c>
      <c r="C304" t="e">
        <v>#N/A</v>
      </c>
      <c r="D304" t="e">
        <v>#N/A</v>
      </c>
      <c r="E304" t="e">
        <v>#N/A</v>
      </c>
      <c r="F304" t="e">
        <v>#N/A</v>
      </c>
      <c r="G304">
        <v>4959</v>
      </c>
      <c r="H304" t="e">
        <v>#N/A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</row>
    <row r="305" spans="1:19" x14ac:dyDescent="0.25">
      <c r="A305" s="2">
        <v>26054</v>
      </c>
      <c r="B305">
        <v>79139</v>
      </c>
      <c r="C305" t="e">
        <v>#N/A</v>
      </c>
      <c r="D305" t="e">
        <v>#N/A</v>
      </c>
      <c r="E305" t="e">
        <v>#N/A</v>
      </c>
      <c r="F305" t="e">
        <v>#N/A</v>
      </c>
      <c r="G305">
        <v>4996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</row>
    <row r="306" spans="1:19" x14ac:dyDescent="0.25">
      <c r="A306" s="2">
        <v>26085</v>
      </c>
      <c r="B306">
        <v>78757</v>
      </c>
      <c r="C306" t="e">
        <v>#N/A</v>
      </c>
      <c r="D306" t="e">
        <v>#N/A</v>
      </c>
      <c r="E306" t="e">
        <v>#N/A</v>
      </c>
      <c r="F306" t="e">
        <v>#N/A</v>
      </c>
      <c r="G306">
        <v>4949</v>
      </c>
      <c r="H306" t="e">
        <v>#N/A</v>
      </c>
      <c r="I306" t="e">
        <v>#N/A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</row>
    <row r="307" spans="1:19" x14ac:dyDescent="0.25">
      <c r="A307" s="2">
        <v>26115</v>
      </c>
      <c r="B307">
        <v>79305</v>
      </c>
      <c r="C307" t="e">
        <v>#N/A</v>
      </c>
      <c r="D307" t="e">
        <v>#N/A</v>
      </c>
      <c r="E307" t="e">
        <v>#N/A</v>
      </c>
      <c r="F307" t="e">
        <v>#N/A</v>
      </c>
      <c r="G307">
        <v>5035</v>
      </c>
      <c r="H307" t="e">
        <v>#N/A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</row>
    <row r="308" spans="1:19" x14ac:dyDescent="0.25">
      <c r="A308" s="2">
        <v>26146</v>
      </c>
      <c r="B308">
        <v>79539</v>
      </c>
      <c r="C308" t="e">
        <v>#N/A</v>
      </c>
      <c r="D308" t="e">
        <v>#N/A</v>
      </c>
      <c r="E308" t="e">
        <v>#N/A</v>
      </c>
      <c r="F308" t="e">
        <v>#N/A</v>
      </c>
      <c r="G308">
        <v>5134</v>
      </c>
      <c r="H308" t="e">
        <v>#N/A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</row>
    <row r="309" spans="1:19" x14ac:dyDescent="0.25">
      <c r="A309" s="2">
        <v>26177</v>
      </c>
      <c r="B309">
        <v>79689</v>
      </c>
      <c r="C309" t="e">
        <v>#N/A</v>
      </c>
      <c r="D309" t="e">
        <v>#N/A</v>
      </c>
      <c r="E309" t="e">
        <v>#N/A</v>
      </c>
      <c r="F309" t="e">
        <v>#N/A</v>
      </c>
      <c r="G309">
        <v>5042</v>
      </c>
      <c r="H309" t="e">
        <v>#N/A</v>
      </c>
      <c r="I309" t="e">
        <v>#N/A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</row>
    <row r="310" spans="1:19" x14ac:dyDescent="0.25">
      <c r="A310" s="2">
        <v>26207</v>
      </c>
      <c r="B310">
        <v>79918</v>
      </c>
      <c r="C310" t="e">
        <v>#N/A</v>
      </c>
      <c r="D310" t="e">
        <v>#N/A</v>
      </c>
      <c r="E310" t="e">
        <v>#N/A</v>
      </c>
      <c r="F310" t="e">
        <v>#N/A</v>
      </c>
      <c r="G310">
        <v>4954</v>
      </c>
      <c r="H310" t="e">
        <v>#N/A</v>
      </c>
      <c r="I310" t="e">
        <v>#N/A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</row>
    <row r="311" spans="1:19" x14ac:dyDescent="0.25">
      <c r="A311" s="2">
        <v>26238</v>
      </c>
      <c r="B311">
        <v>80297</v>
      </c>
      <c r="C311" t="e">
        <v>#N/A</v>
      </c>
      <c r="D311" t="e">
        <v>#N/A</v>
      </c>
      <c r="E311" t="e">
        <v>#N/A</v>
      </c>
      <c r="F311" t="e">
        <v>#N/A</v>
      </c>
      <c r="G311">
        <v>5161</v>
      </c>
      <c r="H311" t="e">
        <v>#N/A</v>
      </c>
      <c r="I311" t="e">
        <v>#N/A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</row>
    <row r="312" spans="1:19" x14ac:dyDescent="0.25">
      <c r="A312" s="2">
        <v>26268</v>
      </c>
      <c r="B312">
        <v>80471</v>
      </c>
      <c r="C312" t="e">
        <v>#N/A</v>
      </c>
      <c r="D312" t="e">
        <v>#N/A</v>
      </c>
      <c r="E312" t="e">
        <v>#N/A</v>
      </c>
      <c r="F312" t="e">
        <v>#N/A</v>
      </c>
      <c r="G312">
        <v>5154</v>
      </c>
      <c r="H312" t="e">
        <v>#N/A</v>
      </c>
      <c r="I312" t="e">
        <v>#N/A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</row>
    <row r="313" spans="1:19" x14ac:dyDescent="0.25">
      <c r="A313" s="2" t="s">
        <v>34</v>
      </c>
      <c r="B313" t="e">
        <v>#N/A</v>
      </c>
      <c r="C313" t="e">
        <v>#N/A</v>
      </c>
      <c r="D313" t="e">
        <v>#N/A</v>
      </c>
      <c r="E313" t="e">
        <v>#N/A</v>
      </c>
      <c r="F313" t="e">
        <v>#N/A</v>
      </c>
      <c r="G313" t="e">
        <v>#N/A</v>
      </c>
      <c r="H313" t="e">
        <v>#N/A</v>
      </c>
      <c r="I313" t="e">
        <v>#N/A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</row>
    <row r="314" spans="1:19" x14ac:dyDescent="0.25">
      <c r="A314" s="2">
        <v>26299</v>
      </c>
      <c r="B314">
        <v>80959</v>
      </c>
      <c r="C314" t="e">
        <v>#N/A</v>
      </c>
      <c r="D314" t="e">
        <v>#N/A</v>
      </c>
      <c r="E314" t="e">
        <v>#N/A</v>
      </c>
      <c r="F314" t="e">
        <v>#N/A</v>
      </c>
      <c r="G314">
        <v>5019</v>
      </c>
      <c r="H314" t="e">
        <v>#N/A</v>
      </c>
      <c r="I314" t="e">
        <v>#N/A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</row>
    <row r="315" spans="1:19" x14ac:dyDescent="0.25">
      <c r="A315" s="2">
        <v>26330</v>
      </c>
      <c r="B315">
        <v>81108</v>
      </c>
      <c r="C315" t="e">
        <v>#N/A</v>
      </c>
      <c r="D315" t="e">
        <v>#N/A</v>
      </c>
      <c r="E315" t="e">
        <v>#N/A</v>
      </c>
      <c r="F315" t="e">
        <v>#N/A</v>
      </c>
      <c r="G315">
        <v>4928</v>
      </c>
      <c r="H315" t="e">
        <v>#N/A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</row>
    <row r="316" spans="1:19" x14ac:dyDescent="0.25">
      <c r="A316" s="2">
        <v>26359</v>
      </c>
      <c r="B316">
        <v>81573</v>
      </c>
      <c r="C316" t="e">
        <v>#N/A</v>
      </c>
      <c r="D316" t="e">
        <v>#N/A</v>
      </c>
      <c r="E316" t="e">
        <v>#N/A</v>
      </c>
      <c r="F316" t="e">
        <v>#N/A</v>
      </c>
      <c r="G316">
        <v>5038</v>
      </c>
      <c r="H316" t="e">
        <v>#N/A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</row>
    <row r="317" spans="1:19" x14ac:dyDescent="0.25">
      <c r="A317" s="2">
        <v>26390</v>
      </c>
      <c r="B317">
        <v>81655</v>
      </c>
      <c r="C317" t="e">
        <v>#N/A</v>
      </c>
      <c r="D317" t="e">
        <v>#N/A</v>
      </c>
      <c r="E317" t="e">
        <v>#N/A</v>
      </c>
      <c r="F317" t="e">
        <v>#N/A</v>
      </c>
      <c r="G317">
        <v>4959</v>
      </c>
      <c r="H317" t="e">
        <v>#N/A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</row>
    <row r="318" spans="1:19" x14ac:dyDescent="0.25">
      <c r="A318" s="2">
        <v>26420</v>
      </c>
      <c r="B318">
        <v>81887</v>
      </c>
      <c r="C318" t="e">
        <v>#N/A</v>
      </c>
      <c r="D318" t="e">
        <v>#N/A</v>
      </c>
      <c r="E318" t="e">
        <v>#N/A</v>
      </c>
      <c r="F318" t="e">
        <v>#N/A</v>
      </c>
      <c r="G318">
        <v>4922</v>
      </c>
      <c r="H318" t="e">
        <v>#N/A</v>
      </c>
      <c r="I318" t="e">
        <v>#N/A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</row>
    <row r="319" spans="1:19" x14ac:dyDescent="0.25">
      <c r="A319" s="2">
        <v>26451</v>
      </c>
      <c r="B319">
        <v>82083</v>
      </c>
      <c r="C319" t="e">
        <v>#N/A</v>
      </c>
      <c r="D319" t="e">
        <v>#N/A</v>
      </c>
      <c r="E319" t="e">
        <v>#N/A</v>
      </c>
      <c r="F319" t="e">
        <v>#N/A</v>
      </c>
      <c r="G319">
        <v>4923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</row>
    <row r="320" spans="1:19" x14ac:dyDescent="0.25">
      <c r="A320" s="2">
        <v>26481</v>
      </c>
      <c r="B320">
        <v>82230</v>
      </c>
      <c r="C320" t="e">
        <v>#N/A</v>
      </c>
      <c r="D320" t="e">
        <v>#N/A</v>
      </c>
      <c r="E320" t="e">
        <v>#N/A</v>
      </c>
      <c r="F320" t="e">
        <v>#N/A</v>
      </c>
      <c r="G320">
        <v>4913</v>
      </c>
      <c r="H320" t="e">
        <v>#N/A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</row>
    <row r="321" spans="1:19" x14ac:dyDescent="0.25">
      <c r="A321" s="2">
        <v>26512</v>
      </c>
      <c r="B321">
        <v>82578</v>
      </c>
      <c r="C321" t="e">
        <v>#N/A</v>
      </c>
      <c r="D321" t="e">
        <v>#N/A</v>
      </c>
      <c r="E321" t="e">
        <v>#N/A</v>
      </c>
      <c r="F321" t="e">
        <v>#N/A</v>
      </c>
      <c r="G321">
        <v>4939</v>
      </c>
      <c r="H321" t="e">
        <v>#N/A</v>
      </c>
      <c r="I321" t="e">
        <v>#N/A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</row>
    <row r="322" spans="1:19" x14ac:dyDescent="0.25">
      <c r="A322" s="2">
        <v>26543</v>
      </c>
      <c r="B322">
        <v>82543</v>
      </c>
      <c r="C322" t="e">
        <v>#N/A</v>
      </c>
      <c r="D322" t="e">
        <v>#N/A</v>
      </c>
      <c r="E322" t="e">
        <v>#N/A</v>
      </c>
      <c r="F322" t="e">
        <v>#N/A</v>
      </c>
      <c r="G322">
        <v>4849</v>
      </c>
      <c r="H322" t="e">
        <v>#N/A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</row>
    <row r="323" spans="1:19" x14ac:dyDescent="0.25">
      <c r="A323" s="2">
        <v>26573</v>
      </c>
      <c r="B323">
        <v>82616</v>
      </c>
      <c r="C323" t="e">
        <v>#N/A</v>
      </c>
      <c r="D323" t="e">
        <v>#N/A</v>
      </c>
      <c r="E323" t="e">
        <v>#N/A</v>
      </c>
      <c r="F323" t="e">
        <v>#N/A</v>
      </c>
      <c r="G323">
        <v>4875</v>
      </c>
      <c r="H323" t="e">
        <v>#N/A</v>
      </c>
      <c r="I323" t="e">
        <v>#N/A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</row>
    <row r="324" spans="1:19" x14ac:dyDescent="0.25">
      <c r="A324" s="2">
        <v>26604</v>
      </c>
      <c r="B324">
        <v>82990</v>
      </c>
      <c r="C324" t="e">
        <v>#N/A</v>
      </c>
      <c r="D324" t="e">
        <v>#N/A</v>
      </c>
      <c r="E324" t="e">
        <v>#N/A</v>
      </c>
      <c r="F324" t="e">
        <v>#N/A</v>
      </c>
      <c r="G324">
        <v>4602</v>
      </c>
      <c r="H324" t="e">
        <v>#N/A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</row>
    <row r="325" spans="1:19" x14ac:dyDescent="0.25">
      <c r="A325" s="2">
        <v>26634</v>
      </c>
      <c r="B325">
        <v>83400</v>
      </c>
      <c r="C325" t="e">
        <v>#N/A</v>
      </c>
      <c r="D325" t="e">
        <v>#N/A</v>
      </c>
      <c r="E325" t="e">
        <v>#N/A</v>
      </c>
      <c r="F325" t="e">
        <v>#N/A</v>
      </c>
      <c r="G325">
        <v>4543</v>
      </c>
      <c r="H325" t="e">
        <v>#N/A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</row>
    <row r="326" spans="1:19" x14ac:dyDescent="0.25">
      <c r="A326" s="2" t="s">
        <v>35</v>
      </c>
      <c r="B326" t="e">
        <v>#N/A</v>
      </c>
      <c r="C326" t="e">
        <v>#N/A</v>
      </c>
      <c r="D326" t="e">
        <v>#N/A</v>
      </c>
      <c r="E326" t="e">
        <v>#N/A</v>
      </c>
      <c r="F326" t="e">
        <v>#N/A</v>
      </c>
      <c r="G326" t="e">
        <v>#N/A</v>
      </c>
      <c r="H326" t="e">
        <v>#N/A</v>
      </c>
      <c r="I326" t="e">
        <v>#N/A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</row>
    <row r="327" spans="1:19" x14ac:dyDescent="0.25">
      <c r="A327" s="2">
        <v>26665</v>
      </c>
      <c r="B327">
        <v>83161</v>
      </c>
      <c r="C327" t="e">
        <v>#N/A</v>
      </c>
      <c r="D327" t="e">
        <v>#N/A</v>
      </c>
      <c r="E327" t="e">
        <v>#N/A</v>
      </c>
      <c r="F327" t="e">
        <v>#N/A</v>
      </c>
      <c r="G327">
        <v>4326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</row>
    <row r="328" spans="1:19" x14ac:dyDescent="0.25">
      <c r="A328" s="2">
        <v>26696</v>
      </c>
      <c r="B328">
        <v>83912</v>
      </c>
      <c r="C328" t="e">
        <v>#N/A</v>
      </c>
      <c r="D328" t="e">
        <v>#N/A</v>
      </c>
      <c r="E328" t="e">
        <v>#N/A</v>
      </c>
      <c r="F328" t="e">
        <v>#N/A</v>
      </c>
      <c r="G328">
        <v>4452</v>
      </c>
      <c r="H328" t="e">
        <v>#N/A</v>
      </c>
      <c r="I328" t="e">
        <v>#N/A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</row>
    <row r="329" spans="1:19" x14ac:dyDescent="0.25">
      <c r="A329" s="2">
        <v>26724</v>
      </c>
      <c r="B329">
        <v>84452</v>
      </c>
      <c r="C329" t="e">
        <v>#N/A</v>
      </c>
      <c r="D329" t="e">
        <v>#N/A</v>
      </c>
      <c r="E329" t="e">
        <v>#N/A</v>
      </c>
      <c r="F329" t="e">
        <v>#N/A</v>
      </c>
      <c r="G329">
        <v>4394</v>
      </c>
      <c r="H329" t="e">
        <v>#N/A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</row>
    <row r="330" spans="1:19" x14ac:dyDescent="0.25">
      <c r="A330" s="2">
        <v>26755</v>
      </c>
      <c r="B330">
        <v>84559</v>
      </c>
      <c r="C330" t="e">
        <v>#N/A</v>
      </c>
      <c r="D330" t="e">
        <v>#N/A</v>
      </c>
      <c r="E330" t="e">
        <v>#N/A</v>
      </c>
      <c r="F330" t="e">
        <v>#N/A</v>
      </c>
      <c r="G330">
        <v>4459</v>
      </c>
      <c r="H330" t="e">
        <v>#N/A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</row>
    <row r="331" spans="1:19" x14ac:dyDescent="0.25">
      <c r="A331" s="2">
        <v>26785</v>
      </c>
      <c r="B331">
        <v>84648</v>
      </c>
      <c r="C331" t="e">
        <v>#N/A</v>
      </c>
      <c r="D331" t="e">
        <v>#N/A</v>
      </c>
      <c r="E331" t="e">
        <v>#N/A</v>
      </c>
      <c r="F331" t="e">
        <v>#N/A</v>
      </c>
      <c r="G331">
        <v>4329</v>
      </c>
      <c r="H331" t="e">
        <v>#N/A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</row>
    <row r="332" spans="1:19" x14ac:dyDescent="0.25">
      <c r="A332" s="2">
        <v>26816</v>
      </c>
      <c r="B332">
        <v>85185</v>
      </c>
      <c r="C332" t="e">
        <v>#N/A</v>
      </c>
      <c r="D332" t="e">
        <v>#N/A</v>
      </c>
      <c r="E332" t="e">
        <v>#N/A</v>
      </c>
      <c r="F332" t="e">
        <v>#N/A</v>
      </c>
      <c r="G332">
        <v>4363</v>
      </c>
      <c r="H332" t="e">
        <v>#N/A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</row>
    <row r="333" spans="1:19" x14ac:dyDescent="0.25">
      <c r="A333" s="2">
        <v>26846</v>
      </c>
      <c r="B333">
        <v>85299</v>
      </c>
      <c r="C333" t="e">
        <v>#N/A</v>
      </c>
      <c r="D333" t="e">
        <v>#N/A</v>
      </c>
      <c r="E333" t="e">
        <v>#N/A</v>
      </c>
      <c r="F333" t="e">
        <v>#N/A</v>
      </c>
      <c r="G333">
        <v>4305</v>
      </c>
      <c r="H333" t="e">
        <v>#N/A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</row>
    <row r="334" spans="1:19" x14ac:dyDescent="0.25">
      <c r="A334" s="2">
        <v>26877</v>
      </c>
      <c r="B334">
        <v>85204</v>
      </c>
      <c r="C334" t="e">
        <v>#N/A</v>
      </c>
      <c r="D334" t="e">
        <v>#N/A</v>
      </c>
      <c r="E334" t="e">
        <v>#N/A</v>
      </c>
      <c r="F334" t="e">
        <v>#N/A</v>
      </c>
      <c r="G334">
        <v>4305</v>
      </c>
      <c r="H334" t="e">
        <v>#N/A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</row>
    <row r="335" spans="1:19" x14ac:dyDescent="0.25">
      <c r="A335" s="2">
        <v>26908</v>
      </c>
      <c r="B335">
        <v>85488</v>
      </c>
      <c r="C335" t="e">
        <v>#N/A</v>
      </c>
      <c r="D335" t="e">
        <v>#N/A</v>
      </c>
      <c r="E335" t="e">
        <v>#N/A</v>
      </c>
      <c r="F335" t="e">
        <v>#N/A</v>
      </c>
      <c r="G335">
        <v>4350</v>
      </c>
      <c r="H335" t="e">
        <v>#N/A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</row>
    <row r="336" spans="1:19" x14ac:dyDescent="0.25">
      <c r="A336" s="2">
        <v>26938</v>
      </c>
      <c r="B336">
        <v>85987</v>
      </c>
      <c r="C336" t="e">
        <v>#N/A</v>
      </c>
      <c r="D336" t="e">
        <v>#N/A</v>
      </c>
      <c r="E336" t="e">
        <v>#N/A</v>
      </c>
      <c r="F336" t="e">
        <v>#N/A</v>
      </c>
      <c r="G336">
        <v>4144</v>
      </c>
      <c r="H336" t="e">
        <v>#N/A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</row>
    <row r="337" spans="1:19" x14ac:dyDescent="0.25">
      <c r="A337" s="2">
        <v>26969</v>
      </c>
      <c r="B337">
        <v>86320</v>
      </c>
      <c r="C337" t="e">
        <v>#N/A</v>
      </c>
      <c r="D337" t="e">
        <v>#N/A</v>
      </c>
      <c r="E337" t="e">
        <v>#N/A</v>
      </c>
      <c r="F337" t="e">
        <v>#N/A</v>
      </c>
      <c r="G337">
        <v>4396</v>
      </c>
      <c r="H337" t="e">
        <v>#N/A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</row>
    <row r="338" spans="1:19" x14ac:dyDescent="0.25">
      <c r="A338" s="2">
        <v>26999</v>
      </c>
      <c r="B338">
        <v>86401</v>
      </c>
      <c r="C338" t="e">
        <v>#N/A</v>
      </c>
      <c r="D338" t="e">
        <v>#N/A</v>
      </c>
      <c r="E338" t="e">
        <v>#N/A</v>
      </c>
      <c r="F338" t="e">
        <v>#N/A</v>
      </c>
      <c r="G338">
        <v>4489</v>
      </c>
      <c r="H338" t="e">
        <v>#N/A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</row>
    <row r="339" spans="1:19" x14ac:dyDescent="0.25">
      <c r="A339" s="2" t="s">
        <v>36</v>
      </c>
      <c r="B339" t="e">
        <v>#N/A</v>
      </c>
      <c r="C339" t="e">
        <v>#N/A</v>
      </c>
      <c r="D339" t="e">
        <v>#N/A</v>
      </c>
      <c r="E339" t="e">
        <v>#N/A</v>
      </c>
      <c r="F339" t="e">
        <v>#N/A</v>
      </c>
      <c r="G339" t="e">
        <v>#N/A</v>
      </c>
      <c r="H339" t="e">
        <v>#N/A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</row>
    <row r="340" spans="1:19" x14ac:dyDescent="0.25">
      <c r="A340" s="2">
        <v>27030</v>
      </c>
      <c r="B340">
        <v>86555</v>
      </c>
      <c r="C340" t="e">
        <v>#N/A</v>
      </c>
      <c r="D340" t="e">
        <v>#N/A</v>
      </c>
      <c r="E340" t="e">
        <v>#N/A</v>
      </c>
      <c r="F340" t="e">
        <v>#N/A</v>
      </c>
      <c r="G340">
        <v>4644</v>
      </c>
      <c r="H340" t="e">
        <v>#N/A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</row>
    <row r="341" spans="1:19" x14ac:dyDescent="0.25">
      <c r="A341" s="2">
        <v>27061</v>
      </c>
      <c r="B341">
        <v>86754</v>
      </c>
      <c r="C341" t="e">
        <v>#N/A</v>
      </c>
      <c r="D341" t="e">
        <v>#N/A</v>
      </c>
      <c r="E341" t="e">
        <v>#N/A</v>
      </c>
      <c r="F341" t="e">
        <v>#N/A</v>
      </c>
      <c r="G341">
        <v>4731</v>
      </c>
      <c r="H341" t="e">
        <v>#N/A</v>
      </c>
      <c r="I341" t="e">
        <v>#N/A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</row>
    <row r="342" spans="1:19" x14ac:dyDescent="0.25">
      <c r="A342" s="2">
        <v>27089</v>
      </c>
      <c r="B342">
        <v>86819</v>
      </c>
      <c r="C342" t="e">
        <v>#N/A</v>
      </c>
      <c r="D342" t="e">
        <v>#N/A</v>
      </c>
      <c r="E342" t="e">
        <v>#N/A</v>
      </c>
      <c r="F342" t="e">
        <v>#N/A</v>
      </c>
      <c r="G342">
        <v>4634</v>
      </c>
      <c r="H342" t="e">
        <v>#N/A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</row>
    <row r="343" spans="1:19" x14ac:dyDescent="0.25">
      <c r="A343" s="2">
        <v>27120</v>
      </c>
      <c r="B343">
        <v>86669</v>
      </c>
      <c r="C343" t="e">
        <v>#N/A</v>
      </c>
      <c r="D343" t="e">
        <v>#N/A</v>
      </c>
      <c r="E343" t="e">
        <v>#N/A</v>
      </c>
      <c r="F343" t="e">
        <v>#N/A</v>
      </c>
      <c r="G343">
        <v>4618</v>
      </c>
      <c r="H343" t="e">
        <v>#N/A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</row>
    <row r="344" spans="1:19" x14ac:dyDescent="0.25">
      <c r="A344" s="2">
        <v>27150</v>
      </c>
      <c r="B344">
        <v>86891</v>
      </c>
      <c r="C344" t="e">
        <v>#N/A</v>
      </c>
      <c r="D344" t="e">
        <v>#N/A</v>
      </c>
      <c r="E344" t="e">
        <v>#N/A</v>
      </c>
      <c r="F344" t="e">
        <v>#N/A</v>
      </c>
      <c r="G344">
        <v>4705</v>
      </c>
      <c r="H344" t="e">
        <v>#N/A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</row>
    <row r="345" spans="1:19" x14ac:dyDescent="0.25">
      <c r="A345" s="2">
        <v>27181</v>
      </c>
      <c r="B345">
        <v>86941</v>
      </c>
      <c r="C345" t="e">
        <v>#N/A</v>
      </c>
      <c r="D345" t="e">
        <v>#N/A</v>
      </c>
      <c r="E345" t="e">
        <v>#N/A</v>
      </c>
      <c r="F345" t="e">
        <v>#N/A</v>
      </c>
      <c r="G345">
        <v>4927</v>
      </c>
      <c r="H345" t="e">
        <v>#N/A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</row>
    <row r="346" spans="1:19" x14ac:dyDescent="0.25">
      <c r="A346" s="2">
        <v>27211</v>
      </c>
      <c r="B346">
        <v>87149</v>
      </c>
      <c r="C346" t="e">
        <v>#N/A</v>
      </c>
      <c r="D346" t="e">
        <v>#N/A</v>
      </c>
      <c r="E346" t="e">
        <v>#N/A</v>
      </c>
      <c r="F346" t="e">
        <v>#N/A</v>
      </c>
      <c r="G346">
        <v>5063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</row>
    <row r="347" spans="1:19" x14ac:dyDescent="0.25">
      <c r="A347" s="2">
        <v>27242</v>
      </c>
      <c r="B347">
        <v>87037</v>
      </c>
      <c r="C347" t="e">
        <v>#N/A</v>
      </c>
      <c r="D347" t="e">
        <v>#N/A</v>
      </c>
      <c r="E347" t="e">
        <v>#N/A</v>
      </c>
      <c r="F347" t="e">
        <v>#N/A</v>
      </c>
      <c r="G347">
        <v>5022</v>
      </c>
      <c r="H347" t="e">
        <v>#N/A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</row>
    <row r="348" spans="1:19" x14ac:dyDescent="0.25">
      <c r="A348" s="2">
        <v>27273</v>
      </c>
      <c r="B348">
        <v>87051</v>
      </c>
      <c r="C348" t="e">
        <v>#N/A</v>
      </c>
      <c r="D348" t="e">
        <v>#N/A</v>
      </c>
      <c r="E348" t="e">
        <v>#N/A</v>
      </c>
      <c r="F348" t="e">
        <v>#N/A</v>
      </c>
      <c r="G348">
        <v>5437</v>
      </c>
      <c r="H348" t="e">
        <v>#N/A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</row>
    <row r="349" spans="1:19" x14ac:dyDescent="0.25">
      <c r="A349" s="2">
        <v>27303</v>
      </c>
      <c r="B349">
        <v>86995</v>
      </c>
      <c r="C349" t="e">
        <v>#N/A</v>
      </c>
      <c r="D349" t="e">
        <v>#N/A</v>
      </c>
      <c r="E349" t="e">
        <v>#N/A</v>
      </c>
      <c r="F349" t="e">
        <v>#N/A</v>
      </c>
      <c r="G349">
        <v>5523</v>
      </c>
      <c r="H349" t="e">
        <v>#N/A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</row>
    <row r="350" spans="1:19" x14ac:dyDescent="0.25">
      <c r="A350" s="2">
        <v>27334</v>
      </c>
      <c r="B350">
        <v>86626</v>
      </c>
      <c r="C350" t="e">
        <v>#N/A</v>
      </c>
      <c r="D350" t="e">
        <v>#N/A</v>
      </c>
      <c r="E350" t="e">
        <v>#N/A</v>
      </c>
      <c r="F350" t="e">
        <v>#N/A</v>
      </c>
      <c r="G350">
        <v>6140</v>
      </c>
      <c r="H350" t="e">
        <v>#N/A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</row>
    <row r="351" spans="1:19" x14ac:dyDescent="0.25">
      <c r="A351" s="2">
        <v>27364</v>
      </c>
      <c r="B351">
        <v>86144</v>
      </c>
      <c r="C351" t="e">
        <v>#N/A</v>
      </c>
      <c r="D351" t="e">
        <v>#N/A</v>
      </c>
      <c r="E351" t="e">
        <v>#N/A</v>
      </c>
      <c r="F351" t="e">
        <v>#N/A</v>
      </c>
      <c r="G351">
        <v>6636</v>
      </c>
      <c r="H351" t="e">
        <v>#N/A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</row>
    <row r="352" spans="1:19" x14ac:dyDescent="0.25">
      <c r="A352" s="2" t="s">
        <v>37</v>
      </c>
      <c r="B352" t="e">
        <v>#N/A</v>
      </c>
      <c r="C352" t="e">
        <v>#N/A</v>
      </c>
      <c r="D352" t="e">
        <v>#N/A</v>
      </c>
      <c r="E352" t="e">
        <v>#N/A</v>
      </c>
      <c r="F352" t="e">
        <v>#N/A</v>
      </c>
      <c r="G352" t="e">
        <v>#N/A</v>
      </c>
      <c r="H352" t="e">
        <v>#N/A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</row>
    <row r="353" spans="1:19" x14ac:dyDescent="0.25">
      <c r="A353" s="2">
        <v>27395</v>
      </c>
      <c r="B353">
        <v>85627</v>
      </c>
      <c r="C353" t="e">
        <v>#N/A</v>
      </c>
      <c r="D353" t="e">
        <v>#N/A</v>
      </c>
      <c r="E353" t="e">
        <v>#N/A</v>
      </c>
      <c r="F353" t="e">
        <v>#N/A</v>
      </c>
      <c r="G353">
        <v>7501</v>
      </c>
      <c r="H353" t="e">
        <v>#N/A</v>
      </c>
      <c r="I353" t="e">
        <v>#N/A</v>
      </c>
      <c r="J353" t="e">
        <v>#N/A</v>
      </c>
      <c r="K353" t="e">
        <v>#N/A</v>
      </c>
      <c r="L353">
        <v>58627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</row>
    <row r="354" spans="1:19" x14ac:dyDescent="0.25">
      <c r="A354" s="2">
        <v>27426</v>
      </c>
      <c r="B354">
        <v>85256</v>
      </c>
      <c r="C354" t="e">
        <v>#N/A</v>
      </c>
      <c r="D354" t="e">
        <v>#N/A</v>
      </c>
      <c r="E354" t="e">
        <v>#N/A</v>
      </c>
      <c r="F354" t="e">
        <v>#N/A</v>
      </c>
      <c r="G354">
        <v>7520</v>
      </c>
      <c r="H354" t="e">
        <v>#N/A</v>
      </c>
      <c r="I354" t="e">
        <v>#N/A</v>
      </c>
      <c r="J354" t="e">
        <v>#N/A</v>
      </c>
      <c r="K354" t="e">
        <v>#N/A</v>
      </c>
      <c r="L354">
        <v>59214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</row>
    <row r="355" spans="1:19" x14ac:dyDescent="0.25">
      <c r="A355" s="2">
        <v>27454</v>
      </c>
      <c r="B355">
        <v>85187</v>
      </c>
      <c r="C355" t="e">
        <v>#N/A</v>
      </c>
      <c r="D355" t="e">
        <v>#N/A</v>
      </c>
      <c r="E355" t="e">
        <v>#N/A</v>
      </c>
      <c r="F355" t="e">
        <v>#N/A</v>
      </c>
      <c r="G355">
        <v>7978</v>
      </c>
      <c r="H355" t="e">
        <v>#N/A</v>
      </c>
      <c r="I355" t="e">
        <v>#N/A</v>
      </c>
      <c r="J355" t="e">
        <v>#N/A</v>
      </c>
      <c r="K355" t="e">
        <v>#N/A</v>
      </c>
      <c r="L355">
        <v>59052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</row>
    <row r="356" spans="1:19" x14ac:dyDescent="0.25">
      <c r="A356" s="2">
        <v>27485</v>
      </c>
      <c r="B356">
        <v>85189</v>
      </c>
      <c r="C356" t="e">
        <v>#N/A</v>
      </c>
      <c r="D356" t="e">
        <v>#N/A</v>
      </c>
      <c r="E356" t="e">
        <v>#N/A</v>
      </c>
      <c r="F356" t="e">
        <v>#N/A</v>
      </c>
      <c r="G356">
        <v>8210</v>
      </c>
      <c r="H356" t="e">
        <v>#N/A</v>
      </c>
      <c r="I356" t="e">
        <v>#N/A</v>
      </c>
      <c r="J356" t="e">
        <v>#N/A</v>
      </c>
      <c r="K356" t="e">
        <v>#N/A</v>
      </c>
      <c r="L356">
        <v>59044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</row>
    <row r="357" spans="1:19" x14ac:dyDescent="0.25">
      <c r="A357" s="2">
        <v>27515</v>
      </c>
      <c r="B357">
        <v>85451</v>
      </c>
      <c r="C357" t="e">
        <v>#N/A</v>
      </c>
      <c r="D357" t="e">
        <v>#N/A</v>
      </c>
      <c r="E357" t="e">
        <v>#N/A</v>
      </c>
      <c r="F357" t="e">
        <v>#N/A</v>
      </c>
      <c r="G357">
        <v>8433</v>
      </c>
      <c r="H357" t="e">
        <v>#N/A</v>
      </c>
      <c r="I357" t="e">
        <v>#N/A</v>
      </c>
      <c r="J357" t="e">
        <v>#N/A</v>
      </c>
      <c r="K357" t="e">
        <v>#N/A</v>
      </c>
      <c r="L357">
        <v>58820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</row>
    <row r="358" spans="1:19" x14ac:dyDescent="0.25">
      <c r="A358" s="2">
        <v>27546</v>
      </c>
      <c r="B358">
        <v>85355</v>
      </c>
      <c r="C358" t="e">
        <v>#N/A</v>
      </c>
      <c r="D358" t="e">
        <v>#N/A</v>
      </c>
      <c r="E358" t="e">
        <v>#N/A</v>
      </c>
      <c r="F358" t="e">
        <v>#N/A</v>
      </c>
      <c r="G358">
        <v>8220</v>
      </c>
      <c r="H358" t="e">
        <v>#N/A</v>
      </c>
      <c r="I358" t="e">
        <v>#N/A</v>
      </c>
      <c r="J358" t="e">
        <v>#N/A</v>
      </c>
      <c r="K358" t="e">
        <v>#N/A</v>
      </c>
      <c r="L358">
        <v>59400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</row>
    <row r="359" spans="1:19" x14ac:dyDescent="0.25">
      <c r="A359" s="2">
        <v>27576</v>
      </c>
      <c r="B359">
        <v>85894</v>
      </c>
      <c r="C359" t="e">
        <v>#N/A</v>
      </c>
      <c r="D359" t="e">
        <v>#N/A</v>
      </c>
      <c r="E359" t="e">
        <v>#N/A</v>
      </c>
      <c r="F359" t="e">
        <v>#N/A</v>
      </c>
      <c r="G359">
        <v>8127</v>
      </c>
      <c r="H359" t="e">
        <v>#N/A</v>
      </c>
      <c r="I359" t="e">
        <v>#N/A</v>
      </c>
      <c r="J359" t="e">
        <v>#N/A</v>
      </c>
      <c r="K359" t="e">
        <v>#N/A</v>
      </c>
      <c r="L359">
        <v>59288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</row>
    <row r="360" spans="1:19" x14ac:dyDescent="0.25">
      <c r="A360" s="2">
        <v>27607</v>
      </c>
      <c r="B360">
        <v>86234</v>
      </c>
      <c r="C360" t="e">
        <v>#N/A</v>
      </c>
      <c r="D360" t="e">
        <v>#N/A</v>
      </c>
      <c r="E360" t="e">
        <v>#N/A</v>
      </c>
      <c r="F360" t="e">
        <v>#N/A</v>
      </c>
      <c r="G360">
        <v>7928</v>
      </c>
      <c r="H360" t="e">
        <v>#N/A</v>
      </c>
      <c r="I360" t="e">
        <v>#N/A</v>
      </c>
      <c r="J360" t="e">
        <v>#N/A</v>
      </c>
      <c r="K360" t="e">
        <v>#N/A</v>
      </c>
      <c r="L360">
        <v>59418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</row>
    <row r="361" spans="1:19" x14ac:dyDescent="0.25">
      <c r="A361" s="2">
        <v>27638</v>
      </c>
      <c r="B361">
        <v>86279</v>
      </c>
      <c r="C361" t="e">
        <v>#N/A</v>
      </c>
      <c r="D361" t="e">
        <v>#N/A</v>
      </c>
      <c r="E361" t="e">
        <v>#N/A</v>
      </c>
      <c r="F361" t="e">
        <v>#N/A</v>
      </c>
      <c r="G361">
        <v>7923</v>
      </c>
      <c r="H361" t="e">
        <v>#N/A</v>
      </c>
      <c r="I361" t="e">
        <v>#N/A</v>
      </c>
      <c r="J361" t="e">
        <v>#N/A</v>
      </c>
      <c r="K361" t="e">
        <v>#N/A</v>
      </c>
      <c r="L361">
        <v>59646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</row>
    <row r="362" spans="1:19" x14ac:dyDescent="0.25">
      <c r="A362" s="2">
        <v>27668</v>
      </c>
      <c r="B362">
        <v>86370</v>
      </c>
      <c r="C362" t="e">
        <v>#N/A</v>
      </c>
      <c r="D362" t="e">
        <v>#N/A</v>
      </c>
      <c r="E362" t="e">
        <v>#N/A</v>
      </c>
      <c r="F362" t="e">
        <v>#N/A</v>
      </c>
      <c r="G362">
        <v>7897</v>
      </c>
      <c r="H362" t="e">
        <v>#N/A</v>
      </c>
      <c r="I362" t="e">
        <v>#N/A</v>
      </c>
      <c r="J362" t="e">
        <v>#N/A</v>
      </c>
      <c r="K362" t="e">
        <v>#N/A</v>
      </c>
      <c r="L362">
        <v>59815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</row>
    <row r="363" spans="1:19" x14ac:dyDescent="0.25">
      <c r="A363" s="2">
        <v>27699</v>
      </c>
      <c r="B363">
        <v>86456</v>
      </c>
      <c r="C363" t="e">
        <v>#N/A</v>
      </c>
      <c r="D363" t="e">
        <v>#N/A</v>
      </c>
      <c r="E363" t="e">
        <v>#N/A</v>
      </c>
      <c r="F363" t="e">
        <v>#N/A</v>
      </c>
      <c r="G363">
        <v>7794</v>
      </c>
      <c r="H363" t="e">
        <v>#N/A</v>
      </c>
      <c r="I363" t="e">
        <v>#N/A</v>
      </c>
      <c r="J363" t="e">
        <v>#N/A</v>
      </c>
      <c r="K363" t="e">
        <v>#N/A</v>
      </c>
      <c r="L363">
        <v>60088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</row>
    <row r="364" spans="1:19" x14ac:dyDescent="0.25">
      <c r="A364" s="2">
        <v>27729</v>
      </c>
      <c r="B364">
        <v>86665</v>
      </c>
      <c r="C364" t="e">
        <v>#N/A</v>
      </c>
      <c r="D364" t="e">
        <v>#N/A</v>
      </c>
      <c r="E364" t="e">
        <v>#N/A</v>
      </c>
      <c r="F364" t="e">
        <v>#N/A</v>
      </c>
      <c r="G364">
        <v>7744</v>
      </c>
      <c r="H364" t="e">
        <v>#N/A</v>
      </c>
      <c r="I364" t="e">
        <v>#N/A</v>
      </c>
      <c r="J364" t="e">
        <v>#N/A</v>
      </c>
      <c r="K364" t="e">
        <v>#N/A</v>
      </c>
      <c r="L364">
        <v>60180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</row>
    <row r="365" spans="1:19" x14ac:dyDescent="0.25">
      <c r="A365" s="2" t="s">
        <v>38</v>
      </c>
      <c r="B365" t="e">
        <v>#N/A</v>
      </c>
      <c r="C365" t="e">
        <v>#N/A</v>
      </c>
      <c r="D365" t="e">
        <v>#N/A</v>
      </c>
      <c r="E365" t="e">
        <v>#N/A</v>
      </c>
      <c r="F365" t="e">
        <v>#N/A</v>
      </c>
      <c r="G365" t="e">
        <v>#N/A</v>
      </c>
      <c r="H365" t="e">
        <v>#N/A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</row>
    <row r="366" spans="1:19" x14ac:dyDescent="0.25">
      <c r="A366" s="2">
        <v>27760</v>
      </c>
      <c r="B366">
        <v>87400</v>
      </c>
      <c r="C366" t="e">
        <v>#N/A</v>
      </c>
      <c r="D366" t="e">
        <v>#N/A</v>
      </c>
      <c r="E366" t="e">
        <v>#N/A</v>
      </c>
      <c r="F366" t="e">
        <v>#N/A</v>
      </c>
      <c r="G366">
        <v>7534</v>
      </c>
      <c r="H366" t="e">
        <v>#N/A</v>
      </c>
      <c r="I366" t="e">
        <v>#N/A</v>
      </c>
      <c r="J366" t="e">
        <v>#N/A</v>
      </c>
      <c r="K366" t="e">
        <v>#N/A</v>
      </c>
      <c r="L366">
        <v>59919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</row>
    <row r="367" spans="1:19" x14ac:dyDescent="0.25">
      <c r="A367" s="2">
        <v>27791</v>
      </c>
      <c r="B367">
        <v>87672</v>
      </c>
      <c r="C367" t="e">
        <v>#N/A</v>
      </c>
      <c r="D367" t="e">
        <v>#N/A</v>
      </c>
      <c r="E367" t="e">
        <v>#N/A</v>
      </c>
      <c r="F367" t="e">
        <v>#N/A</v>
      </c>
      <c r="G367">
        <v>7326</v>
      </c>
      <c r="H367" t="e">
        <v>#N/A</v>
      </c>
      <c r="I367" t="e">
        <v>#N/A</v>
      </c>
      <c r="J367" t="e">
        <v>#N/A</v>
      </c>
      <c r="K367" t="e">
        <v>#N/A</v>
      </c>
      <c r="L367">
        <v>60068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</row>
    <row r="368" spans="1:19" x14ac:dyDescent="0.25">
      <c r="A368" s="2">
        <v>27820</v>
      </c>
      <c r="B368">
        <v>87985</v>
      </c>
      <c r="C368" t="e">
        <v>#N/A</v>
      </c>
      <c r="D368" t="e">
        <v>#N/A</v>
      </c>
      <c r="E368" t="e">
        <v>#N/A</v>
      </c>
      <c r="F368" t="e">
        <v>#N/A</v>
      </c>
      <c r="G368">
        <v>7230</v>
      </c>
      <c r="H368" t="e">
        <v>#N/A</v>
      </c>
      <c r="I368" t="e">
        <v>#N/A</v>
      </c>
      <c r="J368" t="e">
        <v>#N/A</v>
      </c>
      <c r="K368" t="e">
        <v>#N/A</v>
      </c>
      <c r="L368">
        <v>60091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</row>
    <row r="369" spans="1:19" x14ac:dyDescent="0.25">
      <c r="A369" s="2">
        <v>27851</v>
      </c>
      <c r="B369">
        <v>88416</v>
      </c>
      <c r="C369" t="e">
        <v>#N/A</v>
      </c>
      <c r="D369" t="e">
        <v>#N/A</v>
      </c>
      <c r="E369" t="e">
        <v>#N/A</v>
      </c>
      <c r="F369" t="e">
        <v>#N/A</v>
      </c>
      <c r="G369">
        <v>7330</v>
      </c>
      <c r="H369" t="e">
        <v>#N/A</v>
      </c>
      <c r="I369" t="e">
        <v>#N/A</v>
      </c>
      <c r="J369" t="e">
        <v>#N/A</v>
      </c>
      <c r="K369" t="e">
        <v>#N/A</v>
      </c>
      <c r="L369">
        <v>59783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</row>
    <row r="370" spans="1:19" x14ac:dyDescent="0.25">
      <c r="A370" s="2">
        <v>27881</v>
      </c>
      <c r="B370">
        <v>88794</v>
      </c>
      <c r="C370" t="e">
        <v>#N/A</v>
      </c>
      <c r="D370" t="e">
        <v>#N/A</v>
      </c>
      <c r="E370" t="e">
        <v>#N/A</v>
      </c>
      <c r="F370" t="e">
        <v>#N/A</v>
      </c>
      <c r="G370">
        <v>7053</v>
      </c>
      <c r="H370" t="e">
        <v>#N/A</v>
      </c>
      <c r="I370" t="e">
        <v>#N/A</v>
      </c>
      <c r="J370" t="e">
        <v>#N/A</v>
      </c>
      <c r="K370" t="e">
        <v>#N/A</v>
      </c>
      <c r="L370">
        <v>59918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</row>
    <row r="371" spans="1:19" x14ac:dyDescent="0.25">
      <c r="A371" s="2">
        <v>27912</v>
      </c>
      <c r="B371">
        <v>88563</v>
      </c>
      <c r="C371" t="e">
        <v>#N/A</v>
      </c>
      <c r="D371" t="e">
        <v>#N/A</v>
      </c>
      <c r="E371" t="e">
        <v>#N/A</v>
      </c>
      <c r="F371" t="e">
        <v>#N/A</v>
      </c>
      <c r="G371">
        <v>7322</v>
      </c>
      <c r="H371" t="e">
        <v>#N/A</v>
      </c>
      <c r="I371" t="e">
        <v>#N/A</v>
      </c>
      <c r="J371" t="e">
        <v>#N/A</v>
      </c>
      <c r="K371" t="e">
        <v>#N/A</v>
      </c>
      <c r="L371">
        <v>60142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</row>
    <row r="372" spans="1:19" x14ac:dyDescent="0.25">
      <c r="A372" s="2">
        <v>27942</v>
      </c>
      <c r="B372">
        <v>89093</v>
      </c>
      <c r="C372" t="e">
        <v>#N/A</v>
      </c>
      <c r="D372" t="e">
        <v>#N/A</v>
      </c>
      <c r="E372" t="e">
        <v>#N/A</v>
      </c>
      <c r="F372" t="e">
        <v>#N/A</v>
      </c>
      <c r="G372">
        <v>7490</v>
      </c>
      <c r="H372" t="e">
        <v>#N/A</v>
      </c>
      <c r="I372" t="e">
        <v>#N/A</v>
      </c>
      <c r="J372" t="e">
        <v>#N/A</v>
      </c>
      <c r="K372" t="e">
        <v>#N/A</v>
      </c>
      <c r="L372">
        <v>59693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</row>
    <row r="373" spans="1:19" x14ac:dyDescent="0.25">
      <c r="A373" s="2">
        <v>27973</v>
      </c>
      <c r="B373">
        <v>89223</v>
      </c>
      <c r="C373" t="e">
        <v>#N/A</v>
      </c>
      <c r="D373" t="e">
        <v>#N/A</v>
      </c>
      <c r="E373" t="e">
        <v>#N/A</v>
      </c>
      <c r="F373" t="e">
        <v>#N/A</v>
      </c>
      <c r="G373">
        <v>7518</v>
      </c>
      <c r="H373" t="e">
        <v>#N/A</v>
      </c>
      <c r="I373" t="e">
        <v>#N/A</v>
      </c>
      <c r="J373" t="e">
        <v>#N/A</v>
      </c>
      <c r="K373" t="e">
        <v>#N/A</v>
      </c>
      <c r="L373">
        <v>59784</v>
      </c>
      <c r="M373" t="e">
        <v>#N/A</v>
      </c>
      <c r="N373" t="e">
        <v>#N/A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</row>
    <row r="374" spans="1:19" x14ac:dyDescent="0.25">
      <c r="A374" s="2">
        <v>28004</v>
      </c>
      <c r="B374">
        <v>89173</v>
      </c>
      <c r="C374" t="e">
        <v>#N/A</v>
      </c>
      <c r="D374" t="e">
        <v>#N/A</v>
      </c>
      <c r="E374" t="e">
        <v>#N/A</v>
      </c>
      <c r="F374" t="e">
        <v>#N/A</v>
      </c>
      <c r="G374">
        <v>7380</v>
      </c>
      <c r="H374" t="e">
        <v>#N/A</v>
      </c>
      <c r="I374" t="e">
        <v>#N/A</v>
      </c>
      <c r="J374" t="e">
        <v>#N/A</v>
      </c>
      <c r="K374" t="e">
        <v>#N/A</v>
      </c>
      <c r="L374">
        <v>60226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</row>
    <row r="375" spans="1:19" x14ac:dyDescent="0.25">
      <c r="A375" s="2">
        <v>28034</v>
      </c>
      <c r="B375">
        <v>89274</v>
      </c>
      <c r="C375" t="e">
        <v>#N/A</v>
      </c>
      <c r="D375" t="e">
        <v>#N/A</v>
      </c>
      <c r="E375" t="e">
        <v>#N/A</v>
      </c>
      <c r="F375" t="e">
        <v>#N/A</v>
      </c>
      <c r="G375">
        <v>7430</v>
      </c>
      <c r="H375" t="e">
        <v>#N/A</v>
      </c>
      <c r="I375" t="e">
        <v>#N/A</v>
      </c>
      <c r="J375" t="e">
        <v>#N/A</v>
      </c>
      <c r="K375" t="e">
        <v>#N/A</v>
      </c>
      <c r="L375">
        <v>60289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</row>
    <row r="376" spans="1:19" x14ac:dyDescent="0.25">
      <c r="A376" s="2">
        <v>28065</v>
      </c>
      <c r="B376">
        <v>89634</v>
      </c>
      <c r="C376" t="e">
        <v>#N/A</v>
      </c>
      <c r="D376" t="e">
        <v>#N/A</v>
      </c>
      <c r="E376" t="e">
        <v>#N/A</v>
      </c>
      <c r="F376" t="e">
        <v>#N/A</v>
      </c>
      <c r="G376">
        <v>7620</v>
      </c>
      <c r="H376" t="e">
        <v>#N/A</v>
      </c>
      <c r="I376" t="e">
        <v>#N/A</v>
      </c>
      <c r="J376" t="e">
        <v>#N/A</v>
      </c>
      <c r="K376" t="e">
        <v>#N/A</v>
      </c>
      <c r="L376">
        <v>59981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</row>
    <row r="377" spans="1:19" x14ac:dyDescent="0.25">
      <c r="A377" s="2">
        <v>28095</v>
      </c>
      <c r="B377">
        <v>89803</v>
      </c>
      <c r="C377" t="e">
        <v>#N/A</v>
      </c>
      <c r="D377" t="e">
        <v>#N/A</v>
      </c>
      <c r="E377" t="e">
        <v>#N/A</v>
      </c>
      <c r="F377" t="e">
        <v>#N/A</v>
      </c>
      <c r="G377">
        <v>7545</v>
      </c>
      <c r="H377" t="e">
        <v>#N/A</v>
      </c>
      <c r="I377" t="e">
        <v>#N/A</v>
      </c>
      <c r="J377" t="e">
        <v>#N/A</v>
      </c>
      <c r="K377" t="e">
        <v>#N/A</v>
      </c>
      <c r="L377">
        <v>60090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</row>
    <row r="378" spans="1:19" x14ac:dyDescent="0.25">
      <c r="A378" s="2" t="s">
        <v>39</v>
      </c>
      <c r="B378" t="e">
        <v>#N/A</v>
      </c>
      <c r="C378" t="e">
        <v>#N/A</v>
      </c>
      <c r="D378" t="e">
        <v>#N/A</v>
      </c>
      <c r="E378" t="e">
        <v>#N/A</v>
      </c>
      <c r="F378" t="e">
        <v>#N/A</v>
      </c>
      <c r="G378" t="e">
        <v>#N/A</v>
      </c>
      <c r="H378" t="e">
        <v>#N/A</v>
      </c>
      <c r="I378" t="e">
        <v>#N/A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</row>
    <row r="379" spans="1:19" x14ac:dyDescent="0.25">
      <c r="A379" s="2">
        <v>28126</v>
      </c>
      <c r="B379">
        <v>89928</v>
      </c>
      <c r="C379" t="e">
        <v>#N/A</v>
      </c>
      <c r="D379" t="e">
        <v>#N/A</v>
      </c>
      <c r="E379" t="e">
        <v>#N/A</v>
      </c>
      <c r="F379" t="e">
        <v>#N/A</v>
      </c>
      <c r="G379">
        <v>7280</v>
      </c>
      <c r="H379" t="e">
        <v>#N/A</v>
      </c>
      <c r="I379" t="e">
        <v>#N/A</v>
      </c>
      <c r="J379" t="e">
        <v>#N/A</v>
      </c>
      <c r="K379" t="e">
        <v>#N/A</v>
      </c>
      <c r="L379">
        <v>60480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</row>
    <row r="380" spans="1:19" x14ac:dyDescent="0.25">
      <c r="A380" s="2">
        <v>28157</v>
      </c>
      <c r="B380">
        <v>90342</v>
      </c>
      <c r="C380" t="e">
        <v>#N/A</v>
      </c>
      <c r="D380" t="e">
        <v>#N/A</v>
      </c>
      <c r="E380" t="e">
        <v>#N/A</v>
      </c>
      <c r="F380" t="e">
        <v>#N/A</v>
      </c>
      <c r="G380">
        <v>7443</v>
      </c>
      <c r="H380" t="e">
        <v>#N/A</v>
      </c>
      <c r="I380" t="e">
        <v>#N/A</v>
      </c>
      <c r="J380" t="e">
        <v>#N/A</v>
      </c>
      <c r="K380" t="e">
        <v>#N/A</v>
      </c>
      <c r="L380">
        <v>60128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</row>
    <row r="381" spans="1:19" x14ac:dyDescent="0.25">
      <c r="A381" s="2">
        <v>28185</v>
      </c>
      <c r="B381">
        <v>90808</v>
      </c>
      <c r="C381" t="e">
        <v>#N/A</v>
      </c>
      <c r="D381" t="e">
        <v>#N/A</v>
      </c>
      <c r="E381" t="e">
        <v>#N/A</v>
      </c>
      <c r="F381" t="e">
        <v>#N/A</v>
      </c>
      <c r="G381">
        <v>7307</v>
      </c>
      <c r="H381" t="e">
        <v>#N/A</v>
      </c>
      <c r="I381" t="e">
        <v>#N/A</v>
      </c>
      <c r="J381" t="e">
        <v>#N/A</v>
      </c>
      <c r="K381" t="e">
        <v>#N/A</v>
      </c>
      <c r="L381">
        <v>60016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</row>
    <row r="382" spans="1:19" x14ac:dyDescent="0.25">
      <c r="A382" s="2">
        <v>28216</v>
      </c>
      <c r="B382">
        <v>91271</v>
      </c>
      <c r="C382" t="e">
        <v>#N/A</v>
      </c>
      <c r="D382" t="e">
        <v>#N/A</v>
      </c>
      <c r="E382" t="e">
        <v>#N/A</v>
      </c>
      <c r="F382" t="e">
        <v>#N/A</v>
      </c>
      <c r="G382">
        <v>7059</v>
      </c>
      <c r="H382" t="e">
        <v>#N/A</v>
      </c>
      <c r="I382" t="e">
        <v>#N/A</v>
      </c>
      <c r="J382" t="e">
        <v>#N/A</v>
      </c>
      <c r="K382" t="e">
        <v>#N/A</v>
      </c>
      <c r="L382">
        <v>60041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</row>
    <row r="383" spans="1:19" x14ac:dyDescent="0.25">
      <c r="A383" s="2">
        <v>28246</v>
      </c>
      <c r="B383">
        <v>91754</v>
      </c>
      <c r="C383" t="e">
        <v>#N/A</v>
      </c>
      <c r="D383" t="e">
        <v>#N/A</v>
      </c>
      <c r="E383" t="e">
        <v>#N/A</v>
      </c>
      <c r="F383" t="e">
        <v>#N/A</v>
      </c>
      <c r="G383">
        <v>6911</v>
      </c>
      <c r="H383" t="e">
        <v>#N/A</v>
      </c>
      <c r="I383" t="e">
        <v>#N/A</v>
      </c>
      <c r="J383" t="e">
        <v>#N/A</v>
      </c>
      <c r="K383" t="e">
        <v>#N/A</v>
      </c>
      <c r="L383">
        <v>59992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</row>
    <row r="384" spans="1:19" x14ac:dyDescent="0.25">
      <c r="A384" s="2">
        <v>28277</v>
      </c>
      <c r="B384">
        <v>91959</v>
      </c>
      <c r="C384" t="e">
        <v>#N/A</v>
      </c>
      <c r="D384" t="e">
        <v>#N/A</v>
      </c>
      <c r="E384" t="e">
        <v>#N/A</v>
      </c>
      <c r="F384" t="e">
        <v>#N/A</v>
      </c>
      <c r="G384">
        <v>7134</v>
      </c>
      <c r="H384" t="e">
        <v>#N/A</v>
      </c>
      <c r="I384" t="e">
        <v>#N/A</v>
      </c>
      <c r="J384" t="e">
        <v>#N/A</v>
      </c>
      <c r="K384" t="e">
        <v>#N/A</v>
      </c>
      <c r="L384">
        <v>59836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</row>
    <row r="385" spans="1:19" x14ac:dyDescent="0.25">
      <c r="A385" s="2">
        <v>28307</v>
      </c>
      <c r="B385">
        <v>92084</v>
      </c>
      <c r="C385" t="e">
        <v>#N/A</v>
      </c>
      <c r="D385" t="e">
        <v>#N/A</v>
      </c>
      <c r="E385" t="e">
        <v>#N/A</v>
      </c>
      <c r="F385" t="e">
        <v>#N/A</v>
      </c>
      <c r="G385">
        <v>6829</v>
      </c>
      <c r="H385" t="e">
        <v>#N/A</v>
      </c>
      <c r="I385" t="e">
        <v>#N/A</v>
      </c>
      <c r="J385" t="e">
        <v>#N/A</v>
      </c>
      <c r="K385" t="e">
        <v>#N/A</v>
      </c>
      <c r="L385">
        <v>60272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</row>
    <row r="386" spans="1:19" x14ac:dyDescent="0.25">
      <c r="A386" s="2">
        <v>28338</v>
      </c>
      <c r="B386">
        <v>92441</v>
      </c>
      <c r="C386" t="e">
        <v>#N/A</v>
      </c>
      <c r="D386" t="e">
        <v>#N/A</v>
      </c>
      <c r="E386" t="e">
        <v>#N/A</v>
      </c>
      <c r="F386" t="e">
        <v>#N/A</v>
      </c>
      <c r="G386">
        <v>6925</v>
      </c>
      <c r="H386" t="e">
        <v>#N/A</v>
      </c>
      <c r="I386" t="e">
        <v>#N/A</v>
      </c>
      <c r="J386" t="e">
        <v>#N/A</v>
      </c>
      <c r="K386" t="e">
        <v>#N/A</v>
      </c>
      <c r="L386">
        <v>60064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</row>
    <row r="387" spans="1:19" x14ac:dyDescent="0.25">
      <c r="A387" s="2">
        <v>28369</v>
      </c>
      <c r="B387">
        <v>92702</v>
      </c>
      <c r="C387" t="e">
        <v>#N/A</v>
      </c>
      <c r="D387" t="e">
        <v>#N/A</v>
      </c>
      <c r="E387" t="e">
        <v>#N/A</v>
      </c>
      <c r="F387" t="e">
        <v>#N/A</v>
      </c>
      <c r="G387">
        <v>6751</v>
      </c>
      <c r="H387" t="e">
        <v>#N/A</v>
      </c>
      <c r="I387" t="e">
        <v>#N/A</v>
      </c>
      <c r="J387" t="e">
        <v>#N/A</v>
      </c>
      <c r="K387" t="e">
        <v>#N/A</v>
      </c>
      <c r="L387">
        <v>60221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</row>
    <row r="388" spans="1:19" x14ac:dyDescent="0.25">
      <c r="A388" s="2">
        <v>28399</v>
      </c>
      <c r="B388">
        <v>93052</v>
      </c>
      <c r="C388" t="e">
        <v>#N/A</v>
      </c>
      <c r="D388" t="e">
        <v>#N/A</v>
      </c>
      <c r="E388" t="e">
        <v>#N/A</v>
      </c>
      <c r="F388" t="e">
        <v>#N/A</v>
      </c>
      <c r="G388">
        <v>6763</v>
      </c>
      <c r="H388" t="e">
        <v>#N/A</v>
      </c>
      <c r="I388" t="e">
        <v>#N/A</v>
      </c>
      <c r="J388" t="e">
        <v>#N/A</v>
      </c>
      <c r="K388" t="e">
        <v>#N/A</v>
      </c>
      <c r="L388">
        <v>60100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</row>
    <row r="389" spans="1:19" x14ac:dyDescent="0.25">
      <c r="A389" s="2">
        <v>28430</v>
      </c>
      <c r="B389">
        <v>93761</v>
      </c>
      <c r="C389" t="e">
        <v>#N/A</v>
      </c>
      <c r="D389" t="e">
        <v>#N/A</v>
      </c>
      <c r="E389" t="e">
        <v>#N/A</v>
      </c>
      <c r="F389" t="e">
        <v>#N/A</v>
      </c>
      <c r="G389">
        <v>6815</v>
      </c>
      <c r="H389" t="e">
        <v>#N/A</v>
      </c>
      <c r="I389" t="e">
        <v>#N/A</v>
      </c>
      <c r="J389" t="e">
        <v>#N/A</v>
      </c>
      <c r="K389" t="e">
        <v>#N/A</v>
      </c>
      <c r="L389">
        <v>59553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</row>
    <row r="390" spans="1:19" x14ac:dyDescent="0.25">
      <c r="A390" s="2">
        <v>28460</v>
      </c>
      <c r="B390">
        <v>94105</v>
      </c>
      <c r="C390" t="e">
        <v>#N/A</v>
      </c>
      <c r="D390" t="e">
        <v>#N/A</v>
      </c>
      <c r="E390" t="e">
        <v>#N/A</v>
      </c>
      <c r="F390" t="e">
        <v>#N/A</v>
      </c>
      <c r="G390">
        <v>6386</v>
      </c>
      <c r="H390" t="e">
        <v>#N/A</v>
      </c>
      <c r="I390" t="e">
        <v>#N/A</v>
      </c>
      <c r="J390" t="e">
        <v>#N/A</v>
      </c>
      <c r="K390" t="e">
        <v>#N/A</v>
      </c>
      <c r="L390">
        <v>59886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</row>
    <row r="391" spans="1:19" x14ac:dyDescent="0.25">
      <c r="A391" s="2" t="s">
        <v>40</v>
      </c>
      <c r="B391" t="e">
        <v>#N/A</v>
      </c>
      <c r="C391" t="e">
        <v>#N/A</v>
      </c>
      <c r="D391" t="e">
        <v>#N/A</v>
      </c>
      <c r="E391" t="e">
        <v>#N/A</v>
      </c>
      <c r="F391" t="e">
        <v>#N/A</v>
      </c>
      <c r="G391" t="e">
        <v>#N/A</v>
      </c>
      <c r="H391" t="e">
        <v>#N/A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</row>
    <row r="392" spans="1:19" x14ac:dyDescent="0.25">
      <c r="A392" s="2">
        <v>28491</v>
      </c>
      <c r="B392">
        <v>94384</v>
      </c>
      <c r="C392" t="e">
        <v>#N/A</v>
      </c>
      <c r="D392" t="e">
        <v>#N/A</v>
      </c>
      <c r="E392" t="e">
        <v>#N/A</v>
      </c>
      <c r="F392" t="e">
        <v>#N/A</v>
      </c>
      <c r="G392">
        <v>6489</v>
      </c>
      <c r="H392" t="e">
        <v>#N/A</v>
      </c>
      <c r="I392" t="e">
        <v>#N/A</v>
      </c>
      <c r="J392" t="e">
        <v>#N/A</v>
      </c>
      <c r="K392" t="e">
        <v>#N/A</v>
      </c>
      <c r="L392">
        <v>59744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</row>
    <row r="393" spans="1:19" x14ac:dyDescent="0.25">
      <c r="A393" s="2">
        <v>28522</v>
      </c>
      <c r="B393">
        <v>94519</v>
      </c>
      <c r="C393" t="e">
        <v>#N/A</v>
      </c>
      <c r="D393" t="e">
        <v>#N/A</v>
      </c>
      <c r="E393" t="e">
        <v>#N/A</v>
      </c>
      <c r="F393" t="e">
        <v>#N/A</v>
      </c>
      <c r="G393">
        <v>6318</v>
      </c>
      <c r="H393" t="e">
        <v>#N/A</v>
      </c>
      <c r="I393" t="e">
        <v>#N/A</v>
      </c>
      <c r="J393" t="e">
        <v>#N/A</v>
      </c>
      <c r="K393" t="e">
        <v>#N/A</v>
      </c>
      <c r="L393">
        <v>59994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</row>
    <row r="394" spans="1:19" x14ac:dyDescent="0.25">
      <c r="A394" s="2">
        <v>28550</v>
      </c>
      <c r="B394">
        <v>94755</v>
      </c>
      <c r="C394" t="e">
        <v>#N/A</v>
      </c>
      <c r="D394" t="e">
        <v>#N/A</v>
      </c>
      <c r="E394" t="e">
        <v>#N/A</v>
      </c>
      <c r="F394" t="e">
        <v>#N/A</v>
      </c>
      <c r="G394">
        <v>6337</v>
      </c>
      <c r="H394" t="e">
        <v>#N/A</v>
      </c>
      <c r="I394" t="e">
        <v>#N/A</v>
      </c>
      <c r="J394" t="e">
        <v>#N/A</v>
      </c>
      <c r="K394" t="e">
        <v>#N/A</v>
      </c>
      <c r="L394">
        <v>59946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</row>
    <row r="395" spans="1:19" x14ac:dyDescent="0.25">
      <c r="A395" s="2">
        <v>28581</v>
      </c>
      <c r="B395">
        <v>95394</v>
      </c>
      <c r="C395" t="e">
        <v>#N/A</v>
      </c>
      <c r="D395" t="e">
        <v>#N/A</v>
      </c>
      <c r="E395" t="e">
        <v>#N/A</v>
      </c>
      <c r="F395" t="e">
        <v>#N/A</v>
      </c>
      <c r="G395">
        <v>6180</v>
      </c>
      <c r="H395" t="e">
        <v>#N/A</v>
      </c>
      <c r="I395" t="e">
        <v>#N/A</v>
      </c>
      <c r="J395" t="e">
        <v>#N/A</v>
      </c>
      <c r="K395" t="e">
        <v>#N/A</v>
      </c>
      <c r="L395">
        <v>59689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</row>
    <row r="396" spans="1:19" x14ac:dyDescent="0.25">
      <c r="A396" s="2">
        <v>28611</v>
      </c>
      <c r="B396">
        <v>95769</v>
      </c>
      <c r="C396" t="e">
        <v>#N/A</v>
      </c>
      <c r="D396" t="e">
        <v>#N/A</v>
      </c>
      <c r="E396" t="e">
        <v>#N/A</v>
      </c>
      <c r="F396" t="e">
        <v>#N/A</v>
      </c>
      <c r="G396">
        <v>6127</v>
      </c>
      <c r="H396" t="e">
        <v>#N/A</v>
      </c>
      <c r="I396" t="e">
        <v>#N/A</v>
      </c>
      <c r="J396" t="e">
        <v>#N/A</v>
      </c>
      <c r="K396" t="e">
        <v>#N/A</v>
      </c>
      <c r="L396">
        <v>59622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</row>
    <row r="397" spans="1:19" x14ac:dyDescent="0.25">
      <c r="A397" s="2">
        <v>28642</v>
      </c>
      <c r="B397">
        <v>96343</v>
      </c>
      <c r="C397" t="e">
        <v>#N/A</v>
      </c>
      <c r="D397" t="e">
        <v>#N/A</v>
      </c>
      <c r="E397" t="e">
        <v>#N/A</v>
      </c>
      <c r="F397" t="e">
        <v>#N/A</v>
      </c>
      <c r="G397">
        <v>6028</v>
      </c>
      <c r="H397" t="e">
        <v>#N/A</v>
      </c>
      <c r="I397" t="e">
        <v>#N/A</v>
      </c>
      <c r="J397" t="e">
        <v>#N/A</v>
      </c>
      <c r="K397" t="e">
        <v>#N/A</v>
      </c>
      <c r="L397">
        <v>59424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</row>
    <row r="398" spans="1:19" x14ac:dyDescent="0.25">
      <c r="A398" s="2">
        <v>28672</v>
      </c>
      <c r="B398">
        <v>96090</v>
      </c>
      <c r="C398" t="e">
        <v>#N/A</v>
      </c>
      <c r="D398" t="e">
        <v>#N/A</v>
      </c>
      <c r="E398" t="e">
        <v>#N/A</v>
      </c>
      <c r="F398" t="e">
        <v>#N/A</v>
      </c>
      <c r="G398">
        <v>6309</v>
      </c>
      <c r="H398" t="e">
        <v>#N/A</v>
      </c>
      <c r="I398" t="e">
        <v>#N/A</v>
      </c>
      <c r="J398" t="e">
        <v>#N/A</v>
      </c>
      <c r="K398" t="e">
        <v>#N/A</v>
      </c>
      <c r="L398">
        <v>59635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</row>
    <row r="399" spans="1:19" x14ac:dyDescent="0.25">
      <c r="A399" s="2">
        <v>28703</v>
      </c>
      <c r="B399">
        <v>96431</v>
      </c>
      <c r="C399" t="e">
        <v>#N/A</v>
      </c>
      <c r="D399" t="e">
        <v>#N/A</v>
      </c>
      <c r="E399" t="e">
        <v>#N/A</v>
      </c>
      <c r="F399" t="e">
        <v>#N/A</v>
      </c>
      <c r="G399">
        <v>6080</v>
      </c>
      <c r="H399" t="e">
        <v>#N/A</v>
      </c>
      <c r="I399" t="e">
        <v>#N/A</v>
      </c>
      <c r="J399" t="e">
        <v>#N/A</v>
      </c>
      <c r="K399" t="e">
        <v>#N/A</v>
      </c>
      <c r="L399">
        <v>59748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</row>
    <row r="400" spans="1:19" x14ac:dyDescent="0.25">
      <c r="A400" s="2">
        <v>28734</v>
      </c>
      <c r="B400">
        <v>96670</v>
      </c>
      <c r="C400" t="e">
        <v>#N/A</v>
      </c>
      <c r="D400" t="e">
        <v>#N/A</v>
      </c>
      <c r="E400" t="e">
        <v>#N/A</v>
      </c>
      <c r="F400" t="e">
        <v>#N/A</v>
      </c>
      <c r="G400">
        <v>6125</v>
      </c>
      <c r="H400" t="e">
        <v>#N/A</v>
      </c>
      <c r="I400" t="e">
        <v>#N/A</v>
      </c>
      <c r="J400" t="e">
        <v>#N/A</v>
      </c>
      <c r="K400" t="e">
        <v>#N/A</v>
      </c>
      <c r="L400">
        <v>59707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</row>
    <row r="401" spans="1:19" x14ac:dyDescent="0.25">
      <c r="A401" s="2">
        <v>28764</v>
      </c>
      <c r="B401">
        <v>97133</v>
      </c>
      <c r="C401" t="e">
        <v>#N/A</v>
      </c>
      <c r="D401" t="e">
        <v>#N/A</v>
      </c>
      <c r="E401" t="e">
        <v>#N/A</v>
      </c>
      <c r="F401" t="e">
        <v>#N/A</v>
      </c>
      <c r="G401">
        <v>5947</v>
      </c>
      <c r="H401" t="e">
        <v>#N/A</v>
      </c>
      <c r="I401" t="e">
        <v>#N/A</v>
      </c>
      <c r="J401" t="e">
        <v>#N/A</v>
      </c>
      <c r="K401" t="e">
        <v>#N/A</v>
      </c>
      <c r="L401">
        <v>59703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</row>
    <row r="402" spans="1:19" x14ac:dyDescent="0.25">
      <c r="A402" s="2">
        <v>28795</v>
      </c>
      <c r="B402">
        <v>97485</v>
      </c>
      <c r="C402" t="e">
        <v>#N/A</v>
      </c>
      <c r="D402" t="e">
        <v>#N/A</v>
      </c>
      <c r="E402" t="e">
        <v>#N/A</v>
      </c>
      <c r="F402" t="e">
        <v>#N/A</v>
      </c>
      <c r="G402">
        <v>6077</v>
      </c>
      <c r="H402" t="e">
        <v>#N/A</v>
      </c>
      <c r="I402" t="e">
        <v>#N/A</v>
      </c>
      <c r="J402" t="e">
        <v>#N/A</v>
      </c>
      <c r="K402" t="e">
        <v>#N/A</v>
      </c>
      <c r="L402">
        <v>59455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</row>
    <row r="403" spans="1:19" x14ac:dyDescent="0.25">
      <c r="A403" s="2">
        <v>28825</v>
      </c>
      <c r="B403">
        <v>97581</v>
      </c>
      <c r="C403" t="e">
        <v>#N/A</v>
      </c>
      <c r="D403" t="e">
        <v>#N/A</v>
      </c>
      <c r="E403" t="e">
        <v>#N/A</v>
      </c>
      <c r="F403" t="e">
        <v>#N/A</v>
      </c>
      <c r="G403">
        <v>6228</v>
      </c>
      <c r="H403" t="e">
        <v>#N/A</v>
      </c>
      <c r="I403" t="e">
        <v>#N/A</v>
      </c>
      <c r="J403" t="e">
        <v>#N/A</v>
      </c>
      <c r="K403" t="e">
        <v>#N/A</v>
      </c>
      <c r="L403">
        <v>59463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</row>
    <row r="404" spans="1:19" x14ac:dyDescent="0.25">
      <c r="A404" s="2" t="s">
        <v>41</v>
      </c>
      <c r="B404" t="e">
        <v>#N/A</v>
      </c>
      <c r="C404" t="e">
        <v>#N/A</v>
      </c>
      <c r="D404" t="e">
        <v>#N/A</v>
      </c>
      <c r="E404" t="e">
        <v>#N/A</v>
      </c>
      <c r="F404" t="e">
        <v>#N/A</v>
      </c>
      <c r="G404" t="e">
        <v>#N/A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</row>
    <row r="405" spans="1:19" x14ac:dyDescent="0.25">
      <c r="A405" s="2">
        <v>28856</v>
      </c>
      <c r="B405">
        <v>97948</v>
      </c>
      <c r="C405" t="e">
        <v>#N/A</v>
      </c>
      <c r="D405" t="e">
        <v>#N/A</v>
      </c>
      <c r="E405" t="e">
        <v>#N/A</v>
      </c>
      <c r="F405" t="e">
        <v>#N/A</v>
      </c>
      <c r="G405">
        <v>6109</v>
      </c>
      <c r="H405" t="e">
        <v>#N/A</v>
      </c>
      <c r="I405" t="e">
        <v>#N/A</v>
      </c>
      <c r="J405" t="e">
        <v>#N/A</v>
      </c>
      <c r="K405" t="e">
        <v>#N/A</v>
      </c>
      <c r="L405">
        <v>59459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</row>
    <row r="406" spans="1:19" x14ac:dyDescent="0.25">
      <c r="A406" s="2">
        <v>28887</v>
      </c>
      <c r="B406">
        <v>98329</v>
      </c>
      <c r="C406" t="e">
        <v>#N/A</v>
      </c>
      <c r="D406" t="e">
        <v>#N/A</v>
      </c>
      <c r="E406" t="e">
        <v>#N/A</v>
      </c>
      <c r="F406" t="e">
        <v>#N/A</v>
      </c>
      <c r="G406">
        <v>6173</v>
      </c>
      <c r="H406" t="e">
        <v>#N/A</v>
      </c>
      <c r="I406" t="e">
        <v>#N/A</v>
      </c>
      <c r="J406" t="e">
        <v>#N/A</v>
      </c>
      <c r="K406" t="e">
        <v>#N/A</v>
      </c>
      <c r="L406">
        <v>59224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</row>
    <row r="407" spans="1:19" x14ac:dyDescent="0.25">
      <c r="A407" s="2">
        <v>28915</v>
      </c>
      <c r="B407">
        <v>98480</v>
      </c>
      <c r="C407" t="e">
        <v>#N/A</v>
      </c>
      <c r="D407" t="e">
        <v>#N/A</v>
      </c>
      <c r="E407" t="e">
        <v>#N/A</v>
      </c>
      <c r="F407" t="e">
        <v>#N/A</v>
      </c>
      <c r="G407">
        <v>6109</v>
      </c>
      <c r="H407" t="e">
        <v>#N/A</v>
      </c>
      <c r="I407" t="e">
        <v>#N/A</v>
      </c>
      <c r="J407" t="e">
        <v>#N/A</v>
      </c>
      <c r="K407" t="e">
        <v>#N/A</v>
      </c>
      <c r="L407">
        <v>59438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</row>
    <row r="408" spans="1:19" x14ac:dyDescent="0.25">
      <c r="A408" s="2">
        <v>28946</v>
      </c>
      <c r="B408">
        <v>98103</v>
      </c>
      <c r="C408" t="e">
        <v>#N/A</v>
      </c>
      <c r="D408" t="e">
        <v>#N/A</v>
      </c>
      <c r="E408" t="e">
        <v>#N/A</v>
      </c>
      <c r="F408" t="e">
        <v>#N/A</v>
      </c>
      <c r="G408">
        <v>6069</v>
      </c>
      <c r="H408" t="e">
        <v>#N/A</v>
      </c>
      <c r="I408" t="e">
        <v>#N/A</v>
      </c>
      <c r="J408" t="e">
        <v>#N/A</v>
      </c>
      <c r="K408" t="e">
        <v>#N/A</v>
      </c>
      <c r="L408">
        <v>59990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</row>
    <row r="409" spans="1:19" x14ac:dyDescent="0.25">
      <c r="A409" s="2">
        <v>28976</v>
      </c>
      <c r="B409">
        <v>98331</v>
      </c>
      <c r="C409" t="e">
        <v>#N/A</v>
      </c>
      <c r="D409" t="e">
        <v>#N/A</v>
      </c>
      <c r="E409" t="e">
        <v>#N/A</v>
      </c>
      <c r="F409" t="e">
        <v>#N/A</v>
      </c>
      <c r="G409">
        <v>5840</v>
      </c>
      <c r="H409" t="e">
        <v>#N/A</v>
      </c>
      <c r="I409" t="e">
        <v>#N/A</v>
      </c>
      <c r="J409" t="e">
        <v>#N/A</v>
      </c>
      <c r="K409" t="e">
        <v>#N/A</v>
      </c>
      <c r="L409">
        <v>60288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</row>
    <row r="410" spans="1:19" x14ac:dyDescent="0.25">
      <c r="A410" s="2">
        <v>29007</v>
      </c>
      <c r="B410">
        <v>98679</v>
      </c>
      <c r="C410" t="e">
        <v>#N/A</v>
      </c>
      <c r="D410" t="e">
        <v>#N/A</v>
      </c>
      <c r="E410" t="e">
        <v>#N/A</v>
      </c>
      <c r="F410" t="e">
        <v>#N/A</v>
      </c>
      <c r="G410">
        <v>5959</v>
      </c>
      <c r="H410" t="e">
        <v>#N/A</v>
      </c>
      <c r="I410" t="e">
        <v>#N/A</v>
      </c>
      <c r="J410" t="e">
        <v>#N/A</v>
      </c>
      <c r="K410" t="e">
        <v>#N/A</v>
      </c>
      <c r="L410">
        <v>60082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</row>
    <row r="411" spans="1:19" x14ac:dyDescent="0.25">
      <c r="A411" s="2">
        <v>29037</v>
      </c>
      <c r="B411">
        <v>99006</v>
      </c>
      <c r="C411" t="e">
        <v>#N/A</v>
      </c>
      <c r="D411" t="e">
        <v>#N/A</v>
      </c>
      <c r="E411" t="e">
        <v>#N/A</v>
      </c>
      <c r="F411" t="e">
        <v>#N/A</v>
      </c>
      <c r="G411">
        <v>5996</v>
      </c>
      <c r="H411" t="e">
        <v>#N/A</v>
      </c>
      <c r="I411" t="e">
        <v>#N/A</v>
      </c>
      <c r="J411" t="e">
        <v>#N/A</v>
      </c>
      <c r="K411" t="e">
        <v>#N/A</v>
      </c>
      <c r="L411">
        <v>59968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</row>
    <row r="412" spans="1:19" x14ac:dyDescent="0.25">
      <c r="A412" s="2">
        <v>29068</v>
      </c>
      <c r="B412">
        <v>98776</v>
      </c>
      <c r="C412" t="e">
        <v>#N/A</v>
      </c>
      <c r="D412" t="e">
        <v>#N/A</v>
      </c>
      <c r="E412" t="e">
        <v>#N/A</v>
      </c>
      <c r="F412" t="e">
        <v>#N/A</v>
      </c>
      <c r="G412">
        <v>6320</v>
      </c>
      <c r="H412" t="e">
        <v>#N/A</v>
      </c>
      <c r="I412" t="e">
        <v>#N/A</v>
      </c>
      <c r="J412" t="e">
        <v>#N/A</v>
      </c>
      <c r="K412" t="e">
        <v>#N/A</v>
      </c>
      <c r="L412">
        <v>60102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</row>
    <row r="413" spans="1:19" x14ac:dyDescent="0.25">
      <c r="A413" s="2">
        <v>29099</v>
      </c>
      <c r="B413">
        <v>99340</v>
      </c>
      <c r="C413" t="e">
        <v>#N/A</v>
      </c>
      <c r="D413" t="e">
        <v>#N/A</v>
      </c>
      <c r="E413" t="e">
        <v>#N/A</v>
      </c>
      <c r="F413" t="e">
        <v>#N/A</v>
      </c>
      <c r="G413">
        <v>6190</v>
      </c>
      <c r="H413" t="e">
        <v>#N/A</v>
      </c>
      <c r="I413" t="e">
        <v>#N/A</v>
      </c>
      <c r="J413" t="e">
        <v>#N/A</v>
      </c>
      <c r="K413" t="e">
        <v>#N/A</v>
      </c>
      <c r="L413">
        <v>59901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</row>
    <row r="414" spans="1:19" x14ac:dyDescent="0.25">
      <c r="A414" s="2">
        <v>29129</v>
      </c>
      <c r="B414">
        <v>99404</v>
      </c>
      <c r="C414" t="e">
        <v>#N/A</v>
      </c>
      <c r="D414" t="e">
        <v>#N/A</v>
      </c>
      <c r="E414" t="e">
        <v>#N/A</v>
      </c>
      <c r="F414" t="e">
        <v>#N/A</v>
      </c>
      <c r="G414">
        <v>6296</v>
      </c>
      <c r="H414" t="e">
        <v>#N/A</v>
      </c>
      <c r="I414" t="e">
        <v>#N/A</v>
      </c>
      <c r="J414" t="e">
        <v>#N/A</v>
      </c>
      <c r="K414" t="e">
        <v>#N/A</v>
      </c>
      <c r="L414">
        <v>60113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</row>
    <row r="415" spans="1:19" x14ac:dyDescent="0.25">
      <c r="A415" s="2">
        <v>29160</v>
      </c>
      <c r="B415">
        <v>99574</v>
      </c>
      <c r="C415" t="e">
        <v>#N/A</v>
      </c>
      <c r="D415" t="e">
        <v>#N/A</v>
      </c>
      <c r="E415" t="e">
        <v>#N/A</v>
      </c>
      <c r="F415" t="e">
        <v>#N/A</v>
      </c>
      <c r="G415">
        <v>6238</v>
      </c>
      <c r="H415" t="e">
        <v>#N/A</v>
      </c>
      <c r="I415" t="e">
        <v>#N/A</v>
      </c>
      <c r="J415" t="e">
        <v>#N/A</v>
      </c>
      <c r="K415" t="e">
        <v>#N/A</v>
      </c>
      <c r="L415">
        <v>60239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</row>
    <row r="416" spans="1:19" x14ac:dyDescent="0.25">
      <c r="A416" s="2">
        <v>29190</v>
      </c>
      <c r="B416">
        <v>99933</v>
      </c>
      <c r="C416" t="e">
        <v>#N/A</v>
      </c>
      <c r="D416" t="e">
        <v>#N/A</v>
      </c>
      <c r="E416" t="e">
        <v>#N/A</v>
      </c>
      <c r="F416" t="e">
        <v>#N/A</v>
      </c>
      <c r="G416">
        <v>6325</v>
      </c>
      <c r="H416" t="e">
        <v>#N/A</v>
      </c>
      <c r="I416" t="e">
        <v>#N/A</v>
      </c>
      <c r="J416" t="e">
        <v>#N/A</v>
      </c>
      <c r="K416" t="e">
        <v>#N/A</v>
      </c>
      <c r="L416">
        <v>60042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</row>
    <row r="417" spans="1:19" x14ac:dyDescent="0.25">
      <c r="A417" s="2" t="s">
        <v>42</v>
      </c>
      <c r="B417" t="e">
        <v>#N/A</v>
      </c>
      <c r="C417" t="e">
        <v>#N/A</v>
      </c>
      <c r="D417" t="e">
        <v>#N/A</v>
      </c>
      <c r="E417" t="e">
        <v>#N/A</v>
      </c>
      <c r="F417" t="e">
        <v>#N/A</v>
      </c>
      <c r="G417" t="e">
        <v>#N/A</v>
      </c>
      <c r="H417" t="e">
        <v>#N/A</v>
      </c>
      <c r="I417" t="e">
        <v>#N/A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</row>
    <row r="418" spans="1:19" x14ac:dyDescent="0.25">
      <c r="A418" s="2">
        <v>29221</v>
      </c>
      <c r="B418">
        <v>99879</v>
      </c>
      <c r="C418" t="e">
        <v>#N/A</v>
      </c>
      <c r="D418" t="e">
        <v>#N/A</v>
      </c>
      <c r="E418" t="e">
        <v>#N/A</v>
      </c>
      <c r="F418" t="e">
        <v>#N/A</v>
      </c>
      <c r="G418">
        <v>6683</v>
      </c>
      <c r="H418" t="e">
        <v>#N/A</v>
      </c>
      <c r="I418" t="e">
        <v>#N/A</v>
      </c>
      <c r="J418" t="e">
        <v>#N/A</v>
      </c>
      <c r="K418" t="e">
        <v>#N/A</v>
      </c>
      <c r="L418">
        <v>59982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</row>
    <row r="419" spans="1:19" x14ac:dyDescent="0.25">
      <c r="A419" s="2">
        <v>29252</v>
      </c>
      <c r="B419">
        <v>99995</v>
      </c>
      <c r="C419" t="e">
        <v>#N/A</v>
      </c>
      <c r="D419" t="e">
        <v>#N/A</v>
      </c>
      <c r="E419" t="e">
        <v>#N/A</v>
      </c>
      <c r="F419" t="e">
        <v>#N/A</v>
      </c>
      <c r="G419">
        <v>6702</v>
      </c>
      <c r="H419" t="e">
        <v>#N/A</v>
      </c>
      <c r="I419" t="e">
        <v>#N/A</v>
      </c>
      <c r="J419" t="e">
        <v>#N/A</v>
      </c>
      <c r="K419" t="e">
        <v>#N/A</v>
      </c>
      <c r="L419">
        <v>60062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</row>
    <row r="420" spans="1:19" x14ac:dyDescent="0.25">
      <c r="A420" s="2">
        <v>29281</v>
      </c>
      <c r="B420">
        <v>99713</v>
      </c>
      <c r="C420" t="e">
        <v>#N/A</v>
      </c>
      <c r="D420" t="e">
        <v>#N/A</v>
      </c>
      <c r="E420" t="e">
        <v>#N/A</v>
      </c>
      <c r="F420" t="e">
        <v>#N/A</v>
      </c>
      <c r="G420">
        <v>6729</v>
      </c>
      <c r="H420" t="e">
        <v>#N/A</v>
      </c>
      <c r="I420" t="e">
        <v>#N/A</v>
      </c>
      <c r="J420" t="e">
        <v>#N/A</v>
      </c>
      <c r="K420" t="e">
        <v>#N/A</v>
      </c>
      <c r="L420">
        <v>60542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</row>
    <row r="421" spans="1:19" x14ac:dyDescent="0.25">
      <c r="A421" s="2">
        <v>29312</v>
      </c>
      <c r="B421">
        <v>99233</v>
      </c>
      <c r="C421" t="e">
        <v>#N/A</v>
      </c>
      <c r="D421" t="e">
        <v>#N/A</v>
      </c>
      <c r="E421" t="e">
        <v>#N/A</v>
      </c>
      <c r="F421" t="e">
        <v>#N/A</v>
      </c>
      <c r="G421">
        <v>7358</v>
      </c>
      <c r="H421" t="e">
        <v>#N/A</v>
      </c>
      <c r="I421" t="e">
        <v>#N/A</v>
      </c>
      <c r="J421" t="e">
        <v>#N/A</v>
      </c>
      <c r="K421" t="e">
        <v>#N/A</v>
      </c>
      <c r="L421">
        <v>60606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</row>
    <row r="422" spans="1:19" x14ac:dyDescent="0.25">
      <c r="A422" s="2">
        <v>29342</v>
      </c>
      <c r="B422">
        <v>98945</v>
      </c>
      <c r="C422" t="e">
        <v>#N/A</v>
      </c>
      <c r="D422" t="e">
        <v>#N/A</v>
      </c>
      <c r="E422" t="e">
        <v>#N/A</v>
      </c>
      <c r="F422" t="e">
        <v>#N/A</v>
      </c>
      <c r="G422">
        <v>7984</v>
      </c>
      <c r="H422" t="e">
        <v>#N/A</v>
      </c>
      <c r="I422" t="e">
        <v>#N/A</v>
      </c>
      <c r="J422" t="e">
        <v>#N/A</v>
      </c>
      <c r="K422" t="e">
        <v>#N/A</v>
      </c>
      <c r="L422">
        <v>60478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</row>
    <row r="423" spans="1:19" x14ac:dyDescent="0.25">
      <c r="A423" s="2">
        <v>29373</v>
      </c>
      <c r="B423">
        <v>98682</v>
      </c>
      <c r="C423" t="e">
        <v>#N/A</v>
      </c>
      <c r="D423" t="e">
        <v>#N/A</v>
      </c>
      <c r="E423" t="e">
        <v>#N/A</v>
      </c>
      <c r="F423" t="e">
        <v>#N/A</v>
      </c>
      <c r="G423">
        <v>8098</v>
      </c>
      <c r="H423" t="e">
        <v>#N/A</v>
      </c>
      <c r="I423" t="e">
        <v>#N/A</v>
      </c>
      <c r="J423" t="e">
        <v>#N/A</v>
      </c>
      <c r="K423" t="e">
        <v>#N/A</v>
      </c>
      <c r="L423">
        <v>60863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</row>
    <row r="424" spans="1:19" x14ac:dyDescent="0.25">
      <c r="A424" s="2">
        <v>29403</v>
      </c>
      <c r="B424">
        <v>98796</v>
      </c>
      <c r="C424" t="e">
        <v>#N/A</v>
      </c>
      <c r="D424" t="e">
        <v>#N/A</v>
      </c>
      <c r="E424" t="e">
        <v>#N/A</v>
      </c>
      <c r="F424" t="e">
        <v>#N/A</v>
      </c>
      <c r="G424">
        <v>8363</v>
      </c>
      <c r="H424" t="e">
        <v>#N/A</v>
      </c>
      <c r="I424" t="e">
        <v>#N/A</v>
      </c>
      <c r="J424" t="e">
        <v>#N/A</v>
      </c>
      <c r="K424" t="e">
        <v>#N/A</v>
      </c>
      <c r="L424">
        <v>60773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</row>
    <row r="425" spans="1:19" x14ac:dyDescent="0.25">
      <c r="A425" s="2">
        <v>29434</v>
      </c>
      <c r="B425">
        <v>98824</v>
      </c>
      <c r="C425" t="e">
        <v>#N/A</v>
      </c>
      <c r="D425" t="e">
        <v>#N/A</v>
      </c>
      <c r="E425" t="e">
        <v>#N/A</v>
      </c>
      <c r="F425" t="e">
        <v>#N/A</v>
      </c>
      <c r="G425">
        <v>8281</v>
      </c>
      <c r="H425" t="e">
        <v>#N/A</v>
      </c>
      <c r="I425" t="e">
        <v>#N/A</v>
      </c>
      <c r="J425" t="e">
        <v>#N/A</v>
      </c>
      <c r="K425" t="e">
        <v>#N/A</v>
      </c>
      <c r="L425">
        <v>60998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</row>
    <row r="426" spans="1:19" x14ac:dyDescent="0.25">
      <c r="A426" s="2">
        <v>29465</v>
      </c>
      <c r="B426">
        <v>99077</v>
      </c>
      <c r="C426" t="e">
        <v>#N/A</v>
      </c>
      <c r="D426" t="e">
        <v>#N/A</v>
      </c>
      <c r="E426" t="e">
        <v>#N/A</v>
      </c>
      <c r="F426" t="e">
        <v>#N/A</v>
      </c>
      <c r="G426">
        <v>8021</v>
      </c>
      <c r="H426" t="e">
        <v>#N/A</v>
      </c>
      <c r="I426" t="e">
        <v>#N/A</v>
      </c>
      <c r="J426" t="e">
        <v>#N/A</v>
      </c>
      <c r="K426" t="e">
        <v>#N/A</v>
      </c>
      <c r="L426">
        <v>61199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</row>
    <row r="427" spans="1:19" x14ac:dyDescent="0.25">
      <c r="A427" s="2">
        <v>29495</v>
      </c>
      <c r="B427">
        <v>99317</v>
      </c>
      <c r="C427" t="e">
        <v>#N/A</v>
      </c>
      <c r="D427" t="e">
        <v>#N/A</v>
      </c>
      <c r="E427" t="e">
        <v>#N/A</v>
      </c>
      <c r="F427" t="e">
        <v>#N/A</v>
      </c>
      <c r="G427">
        <v>8088</v>
      </c>
      <c r="H427" t="e">
        <v>#N/A</v>
      </c>
      <c r="I427" t="e">
        <v>#N/A</v>
      </c>
      <c r="J427" t="e">
        <v>#N/A</v>
      </c>
      <c r="K427" t="e">
        <v>#N/A</v>
      </c>
      <c r="L427">
        <v>61098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</row>
    <row r="428" spans="1:19" x14ac:dyDescent="0.25">
      <c r="A428" s="2">
        <v>29526</v>
      </c>
      <c r="B428">
        <v>99545</v>
      </c>
      <c r="C428" t="e">
        <v>#N/A</v>
      </c>
      <c r="D428" t="e">
        <v>#N/A</v>
      </c>
      <c r="E428" t="e">
        <v>#N/A</v>
      </c>
      <c r="F428" t="e">
        <v>#N/A</v>
      </c>
      <c r="G428">
        <v>8023</v>
      </c>
      <c r="H428" t="e">
        <v>#N/A</v>
      </c>
      <c r="I428" t="e">
        <v>#N/A</v>
      </c>
      <c r="J428" t="e">
        <v>#N/A</v>
      </c>
      <c r="K428" t="e">
        <v>#N/A</v>
      </c>
      <c r="L428">
        <v>61127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</row>
    <row r="429" spans="1:19" x14ac:dyDescent="0.25">
      <c r="A429" s="2">
        <v>29556</v>
      </c>
      <c r="B429">
        <v>99634</v>
      </c>
      <c r="C429" t="e">
        <v>#N/A</v>
      </c>
      <c r="D429" t="e">
        <v>#N/A</v>
      </c>
      <c r="E429" t="e">
        <v>#N/A</v>
      </c>
      <c r="F429" t="e">
        <v>#N/A</v>
      </c>
      <c r="G429">
        <v>7718</v>
      </c>
      <c r="H429" t="e">
        <v>#N/A</v>
      </c>
      <c r="I429" t="e">
        <v>#N/A</v>
      </c>
      <c r="J429" t="e">
        <v>#N/A</v>
      </c>
      <c r="K429" t="e">
        <v>#N/A</v>
      </c>
      <c r="L429">
        <v>61531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</row>
    <row r="430" spans="1:19" x14ac:dyDescent="0.25">
      <c r="A430" s="2" t="s">
        <v>43</v>
      </c>
      <c r="B430" t="e">
        <v>#N/A</v>
      </c>
      <c r="C430" t="e">
        <v>#N/A</v>
      </c>
      <c r="D430" t="e">
        <v>#N/A</v>
      </c>
      <c r="E430" t="e">
        <v>#N/A</v>
      </c>
      <c r="F430" t="e">
        <v>#N/A</v>
      </c>
      <c r="G430" t="e">
        <v>#N/A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</row>
    <row r="431" spans="1:19" x14ac:dyDescent="0.25">
      <c r="A431" s="2">
        <v>29587</v>
      </c>
      <c r="B431">
        <v>99955</v>
      </c>
      <c r="C431" t="e">
        <v>#N/A</v>
      </c>
      <c r="D431" t="e">
        <v>#N/A</v>
      </c>
      <c r="E431" t="e">
        <v>#N/A</v>
      </c>
      <c r="F431" t="e">
        <v>#N/A</v>
      </c>
      <c r="G431">
        <v>8071</v>
      </c>
      <c r="H431" t="e">
        <v>#N/A</v>
      </c>
      <c r="I431" t="e">
        <v>#N/A</v>
      </c>
      <c r="J431" t="e">
        <v>#N/A</v>
      </c>
      <c r="K431" t="e">
        <v>#N/A</v>
      </c>
      <c r="L431">
        <v>61078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</row>
    <row r="432" spans="1:19" x14ac:dyDescent="0.25">
      <c r="A432" s="2">
        <v>29618</v>
      </c>
      <c r="B432">
        <v>100191</v>
      </c>
      <c r="C432" t="e">
        <v>#N/A</v>
      </c>
      <c r="D432" t="e">
        <v>#N/A</v>
      </c>
      <c r="E432" t="e">
        <v>#N/A</v>
      </c>
      <c r="F432" t="e">
        <v>#N/A</v>
      </c>
      <c r="G432">
        <v>8051</v>
      </c>
      <c r="H432" t="e">
        <v>#N/A</v>
      </c>
      <c r="I432" t="e">
        <v>#N/A</v>
      </c>
      <c r="J432" t="e">
        <v>#N/A</v>
      </c>
      <c r="K432" t="e">
        <v>#N/A</v>
      </c>
      <c r="L432">
        <v>61038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</row>
    <row r="433" spans="1:19" x14ac:dyDescent="0.25">
      <c r="A433" s="2">
        <v>29646</v>
      </c>
      <c r="B433">
        <v>100571</v>
      </c>
      <c r="C433" t="e">
        <v>#N/A</v>
      </c>
      <c r="D433" t="e">
        <v>#N/A</v>
      </c>
      <c r="E433" t="e">
        <v>#N/A</v>
      </c>
      <c r="F433" t="e">
        <v>#N/A</v>
      </c>
      <c r="G433">
        <v>7982</v>
      </c>
      <c r="H433" t="e">
        <v>#N/A</v>
      </c>
      <c r="I433" t="e">
        <v>#N/A</v>
      </c>
      <c r="J433" t="e">
        <v>#N/A</v>
      </c>
      <c r="K433" t="e">
        <v>#N/A</v>
      </c>
      <c r="L433">
        <v>60900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</row>
    <row r="434" spans="1:19" x14ac:dyDescent="0.25">
      <c r="A434" s="2">
        <v>29677</v>
      </c>
      <c r="B434">
        <v>101056</v>
      </c>
      <c r="C434" t="e">
        <v>#N/A</v>
      </c>
      <c r="D434" t="e">
        <v>#N/A</v>
      </c>
      <c r="E434" t="e">
        <v>#N/A</v>
      </c>
      <c r="F434" t="e">
        <v>#N/A</v>
      </c>
      <c r="G434">
        <v>7869</v>
      </c>
      <c r="H434" t="e">
        <v>#N/A</v>
      </c>
      <c r="I434" t="e">
        <v>#N/A</v>
      </c>
      <c r="J434" t="e">
        <v>#N/A</v>
      </c>
      <c r="K434" t="e">
        <v>#N/A</v>
      </c>
      <c r="L434">
        <v>60716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</row>
    <row r="435" spans="1:19" x14ac:dyDescent="0.25">
      <c r="A435" s="2">
        <v>29707</v>
      </c>
      <c r="B435">
        <v>101048</v>
      </c>
      <c r="C435" t="e">
        <v>#N/A</v>
      </c>
      <c r="D435" t="e">
        <v>#N/A</v>
      </c>
      <c r="E435" t="e">
        <v>#N/A</v>
      </c>
      <c r="F435" t="e">
        <v>#N/A</v>
      </c>
      <c r="G435">
        <v>8174</v>
      </c>
      <c r="H435" t="e">
        <v>#N/A</v>
      </c>
      <c r="I435" t="e">
        <v>#N/A</v>
      </c>
      <c r="J435" t="e">
        <v>#N/A</v>
      </c>
      <c r="K435" t="e">
        <v>#N/A</v>
      </c>
      <c r="L435">
        <v>60607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</row>
    <row r="436" spans="1:19" x14ac:dyDescent="0.25">
      <c r="A436" s="2">
        <v>29738</v>
      </c>
      <c r="B436">
        <v>100298</v>
      </c>
      <c r="C436" t="e">
        <v>#N/A</v>
      </c>
      <c r="D436" t="e">
        <v>#N/A</v>
      </c>
      <c r="E436" t="e">
        <v>#N/A</v>
      </c>
      <c r="F436" t="e">
        <v>#N/A</v>
      </c>
      <c r="G436">
        <v>8098</v>
      </c>
      <c r="H436" t="e">
        <v>#N/A</v>
      </c>
      <c r="I436" t="e">
        <v>#N/A</v>
      </c>
      <c r="J436" t="e">
        <v>#N/A</v>
      </c>
      <c r="K436" t="e">
        <v>#N/A</v>
      </c>
      <c r="L436">
        <v>61646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</row>
    <row r="437" spans="1:19" x14ac:dyDescent="0.25">
      <c r="A437" s="2">
        <v>29768</v>
      </c>
      <c r="B437">
        <v>100693</v>
      </c>
      <c r="C437" t="e">
        <v>#N/A</v>
      </c>
      <c r="D437" t="e">
        <v>#N/A</v>
      </c>
      <c r="E437" t="e">
        <v>#N/A</v>
      </c>
      <c r="F437" t="e">
        <v>#N/A</v>
      </c>
      <c r="G437">
        <v>7863</v>
      </c>
      <c r="H437" t="e">
        <v>#N/A</v>
      </c>
      <c r="I437" t="e">
        <v>#N/A</v>
      </c>
      <c r="J437" t="e">
        <v>#N/A</v>
      </c>
      <c r="K437" t="e">
        <v>#N/A</v>
      </c>
      <c r="L437">
        <v>61690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</row>
    <row r="438" spans="1:19" x14ac:dyDescent="0.25">
      <c r="A438" s="2">
        <v>29799</v>
      </c>
      <c r="B438">
        <v>100689</v>
      </c>
      <c r="C438" t="e">
        <v>#N/A</v>
      </c>
      <c r="D438" t="e">
        <v>#N/A</v>
      </c>
      <c r="E438" t="e">
        <v>#N/A</v>
      </c>
      <c r="F438" t="e">
        <v>#N/A</v>
      </c>
      <c r="G438">
        <v>8036</v>
      </c>
      <c r="H438" t="e">
        <v>#N/A</v>
      </c>
      <c r="I438" t="e">
        <v>#N/A</v>
      </c>
      <c r="J438" t="e">
        <v>#N/A</v>
      </c>
      <c r="K438" t="e">
        <v>#N/A</v>
      </c>
      <c r="L438">
        <v>61674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</row>
    <row r="439" spans="1:19" x14ac:dyDescent="0.25">
      <c r="A439" s="2">
        <v>29830</v>
      </c>
      <c r="B439">
        <v>100064</v>
      </c>
      <c r="C439" t="e">
        <v>#N/A</v>
      </c>
      <c r="D439" t="e">
        <v>#N/A</v>
      </c>
      <c r="E439" t="e">
        <v>#N/A</v>
      </c>
      <c r="F439" t="e">
        <v>#N/A</v>
      </c>
      <c r="G439">
        <v>8230</v>
      </c>
      <c r="H439" t="e">
        <v>#N/A</v>
      </c>
      <c r="I439" t="e">
        <v>#N/A</v>
      </c>
      <c r="J439" t="e">
        <v>#N/A</v>
      </c>
      <c r="K439" t="e">
        <v>#N/A</v>
      </c>
      <c r="L439">
        <v>62299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</row>
    <row r="440" spans="1:19" x14ac:dyDescent="0.25">
      <c r="A440" s="2">
        <v>29860</v>
      </c>
      <c r="B440">
        <v>100378</v>
      </c>
      <c r="C440" t="e">
        <v>#N/A</v>
      </c>
      <c r="D440" t="e">
        <v>#N/A</v>
      </c>
      <c r="E440" t="e">
        <v>#N/A</v>
      </c>
      <c r="F440" t="e">
        <v>#N/A</v>
      </c>
      <c r="G440">
        <v>8646</v>
      </c>
      <c r="H440" t="e">
        <v>#N/A</v>
      </c>
      <c r="I440" t="e">
        <v>#N/A</v>
      </c>
      <c r="J440" t="e">
        <v>#N/A</v>
      </c>
      <c r="K440" t="e">
        <v>#N/A</v>
      </c>
      <c r="L440">
        <v>61785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</row>
    <row r="441" spans="1:19" x14ac:dyDescent="0.25">
      <c r="A441" s="2">
        <v>29891</v>
      </c>
      <c r="B441">
        <v>100207</v>
      </c>
      <c r="C441" t="e">
        <v>#N/A</v>
      </c>
      <c r="D441" t="e">
        <v>#N/A</v>
      </c>
      <c r="E441" t="e">
        <v>#N/A</v>
      </c>
      <c r="F441" t="e">
        <v>#N/A</v>
      </c>
      <c r="G441">
        <v>9029</v>
      </c>
      <c r="H441" t="e">
        <v>#N/A</v>
      </c>
      <c r="I441" t="e">
        <v>#N/A</v>
      </c>
      <c r="J441" t="e">
        <v>#N/A</v>
      </c>
      <c r="K441" t="e">
        <v>#N/A</v>
      </c>
      <c r="L441">
        <v>61760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</row>
    <row r="442" spans="1:19" x14ac:dyDescent="0.25">
      <c r="A442" s="2">
        <v>29921</v>
      </c>
      <c r="B442">
        <v>99645</v>
      </c>
      <c r="C442" t="e">
        <v>#N/A</v>
      </c>
      <c r="D442" t="e">
        <v>#N/A</v>
      </c>
      <c r="E442" t="e">
        <v>#N/A</v>
      </c>
      <c r="F442" t="e">
        <v>#N/A</v>
      </c>
      <c r="G442">
        <v>9267</v>
      </c>
      <c r="H442" t="e">
        <v>#N/A</v>
      </c>
      <c r="I442" t="e">
        <v>#N/A</v>
      </c>
      <c r="J442" t="e">
        <v>#N/A</v>
      </c>
      <c r="K442" t="e">
        <v>#N/A</v>
      </c>
      <c r="L442">
        <v>62254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</row>
    <row r="443" spans="1:19" x14ac:dyDescent="0.25">
      <c r="A443" s="2" t="s">
        <v>44</v>
      </c>
      <c r="B443" t="e">
        <v>#N/A</v>
      </c>
      <c r="C443" t="e">
        <v>#N/A</v>
      </c>
      <c r="D443" t="e">
        <v>#N/A</v>
      </c>
      <c r="E443" t="e">
        <v>#N/A</v>
      </c>
      <c r="F443" t="e">
        <v>#N/A</v>
      </c>
      <c r="G443" t="e">
        <v>#N/A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</row>
    <row r="444" spans="1:19" x14ac:dyDescent="0.25">
      <c r="A444" s="2">
        <v>29952</v>
      </c>
      <c r="B444">
        <v>99692</v>
      </c>
      <c r="C444" t="e">
        <v>#N/A</v>
      </c>
      <c r="D444" t="e">
        <v>#N/A</v>
      </c>
      <c r="E444" t="e">
        <v>#N/A</v>
      </c>
      <c r="F444" t="e">
        <v>#N/A</v>
      </c>
      <c r="G444">
        <v>9397</v>
      </c>
      <c r="H444" t="e">
        <v>#N/A</v>
      </c>
      <c r="I444" t="e">
        <v>#N/A</v>
      </c>
      <c r="J444" t="e">
        <v>#N/A</v>
      </c>
      <c r="K444" t="e">
        <v>#N/A</v>
      </c>
      <c r="L444">
        <v>62246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</row>
    <row r="445" spans="1:19" x14ac:dyDescent="0.25">
      <c r="A445" s="2">
        <v>29983</v>
      </c>
      <c r="B445">
        <v>99762</v>
      </c>
      <c r="C445" t="e">
        <v>#N/A</v>
      </c>
      <c r="D445" t="e">
        <v>#N/A</v>
      </c>
      <c r="E445" t="e">
        <v>#N/A</v>
      </c>
      <c r="F445" t="e">
        <v>#N/A</v>
      </c>
      <c r="G445">
        <v>9705</v>
      </c>
      <c r="H445" t="e">
        <v>#N/A</v>
      </c>
      <c r="I445" t="e">
        <v>#N/A</v>
      </c>
      <c r="J445" t="e">
        <v>#N/A</v>
      </c>
      <c r="K445" t="e">
        <v>#N/A</v>
      </c>
      <c r="L445">
        <v>62022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</row>
    <row r="446" spans="1:19" x14ac:dyDescent="0.25">
      <c r="A446" s="2">
        <v>30011</v>
      </c>
      <c r="B446">
        <v>99672</v>
      </c>
      <c r="C446" t="e">
        <v>#N/A</v>
      </c>
      <c r="D446" t="e">
        <v>#N/A</v>
      </c>
      <c r="E446" t="e">
        <v>#N/A</v>
      </c>
      <c r="F446" t="e">
        <v>#N/A</v>
      </c>
      <c r="G446">
        <v>9895</v>
      </c>
      <c r="H446" t="e">
        <v>#N/A</v>
      </c>
      <c r="I446" t="e">
        <v>#N/A</v>
      </c>
      <c r="J446" t="e">
        <v>#N/A</v>
      </c>
      <c r="K446" t="e">
        <v>#N/A</v>
      </c>
      <c r="L446">
        <v>62100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</row>
    <row r="447" spans="1:19" x14ac:dyDescent="0.25">
      <c r="A447" s="2">
        <v>30042</v>
      </c>
      <c r="B447">
        <v>99576</v>
      </c>
      <c r="C447" t="e">
        <v>#N/A</v>
      </c>
      <c r="D447" t="e">
        <v>#N/A</v>
      </c>
      <c r="E447" t="e">
        <v>#N/A</v>
      </c>
      <c r="F447" t="e">
        <v>#N/A</v>
      </c>
      <c r="G447">
        <v>10244</v>
      </c>
      <c r="H447" t="e">
        <v>#N/A</v>
      </c>
      <c r="I447" t="e">
        <v>#N/A</v>
      </c>
      <c r="J447" t="e">
        <v>#N/A</v>
      </c>
      <c r="K447" t="e">
        <v>#N/A</v>
      </c>
      <c r="L447">
        <v>62024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</row>
    <row r="448" spans="1:19" x14ac:dyDescent="0.25">
      <c r="A448" s="2">
        <v>30072</v>
      </c>
      <c r="B448">
        <v>100116</v>
      </c>
      <c r="C448" t="e">
        <v>#N/A</v>
      </c>
      <c r="D448" t="e">
        <v>#N/A</v>
      </c>
      <c r="E448" t="e">
        <v>#N/A</v>
      </c>
      <c r="F448" t="e">
        <v>#N/A</v>
      </c>
      <c r="G448">
        <v>10335</v>
      </c>
      <c r="H448" t="e">
        <v>#N/A</v>
      </c>
      <c r="I448" t="e">
        <v>#N/A</v>
      </c>
      <c r="J448" t="e">
        <v>#N/A</v>
      </c>
      <c r="K448" t="e">
        <v>#N/A</v>
      </c>
      <c r="L448">
        <v>61575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</row>
    <row r="449" spans="1:19" x14ac:dyDescent="0.25">
      <c r="A449" s="2">
        <v>30103</v>
      </c>
      <c r="B449">
        <v>99543</v>
      </c>
      <c r="C449" t="e">
        <v>#N/A</v>
      </c>
      <c r="D449" t="e">
        <v>#N/A</v>
      </c>
      <c r="E449" t="e">
        <v>#N/A</v>
      </c>
      <c r="F449" t="e">
        <v>#N/A</v>
      </c>
      <c r="G449">
        <v>10538</v>
      </c>
      <c r="H449" t="e">
        <v>#N/A</v>
      </c>
      <c r="I449" t="e">
        <v>#N/A</v>
      </c>
      <c r="J449" t="e">
        <v>#N/A</v>
      </c>
      <c r="K449" t="e">
        <v>#N/A</v>
      </c>
      <c r="L449">
        <v>62109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</row>
    <row r="450" spans="1:19" x14ac:dyDescent="0.25">
      <c r="A450" s="2">
        <v>30133</v>
      </c>
      <c r="B450">
        <v>99493</v>
      </c>
      <c r="C450" t="e">
        <v>#N/A</v>
      </c>
      <c r="D450" t="e">
        <v>#N/A</v>
      </c>
      <c r="E450" t="e">
        <v>#N/A</v>
      </c>
      <c r="F450" t="e">
        <v>#N/A</v>
      </c>
      <c r="G450">
        <v>10849</v>
      </c>
      <c r="H450" t="e">
        <v>#N/A</v>
      </c>
      <c r="I450" t="e">
        <v>#N/A</v>
      </c>
      <c r="J450" t="e">
        <v>#N/A</v>
      </c>
      <c r="K450" t="e">
        <v>#N/A</v>
      </c>
      <c r="L450">
        <v>62022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</row>
    <row r="451" spans="1:19" x14ac:dyDescent="0.25">
      <c r="A451" s="2">
        <v>30164</v>
      </c>
      <c r="B451">
        <v>99633</v>
      </c>
      <c r="C451" t="e">
        <v>#N/A</v>
      </c>
      <c r="D451" t="e">
        <v>#N/A</v>
      </c>
      <c r="E451" t="e">
        <v>#N/A</v>
      </c>
      <c r="F451" t="e">
        <v>#N/A</v>
      </c>
      <c r="G451">
        <v>10881</v>
      </c>
      <c r="H451" t="e">
        <v>#N/A</v>
      </c>
      <c r="I451" t="e">
        <v>#N/A</v>
      </c>
      <c r="J451" t="e">
        <v>#N/A</v>
      </c>
      <c r="K451" t="e">
        <v>#N/A</v>
      </c>
      <c r="L451">
        <v>61997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</row>
    <row r="452" spans="1:19" x14ac:dyDescent="0.25">
      <c r="A452" s="2">
        <v>30195</v>
      </c>
      <c r="B452">
        <v>99504</v>
      </c>
      <c r="C452" t="e">
        <v>#N/A</v>
      </c>
      <c r="D452" t="e">
        <v>#N/A</v>
      </c>
      <c r="E452" t="e">
        <v>#N/A</v>
      </c>
      <c r="F452" t="e">
        <v>#N/A</v>
      </c>
      <c r="G452">
        <v>11217</v>
      </c>
      <c r="H452" t="e">
        <v>#N/A</v>
      </c>
      <c r="I452" t="e">
        <v>#N/A</v>
      </c>
      <c r="J452" t="e">
        <v>#N/A</v>
      </c>
      <c r="K452" t="e">
        <v>#N/A</v>
      </c>
      <c r="L452">
        <v>61969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</row>
    <row r="453" spans="1:19" x14ac:dyDescent="0.25">
      <c r="A453" s="2">
        <v>30225</v>
      </c>
      <c r="B453">
        <v>99215</v>
      </c>
      <c r="C453" t="e">
        <v>#N/A</v>
      </c>
      <c r="D453" t="e">
        <v>#N/A</v>
      </c>
      <c r="E453" t="e">
        <v>#N/A</v>
      </c>
      <c r="F453" t="e">
        <v>#N/A</v>
      </c>
      <c r="G453">
        <v>11529</v>
      </c>
      <c r="H453" t="e">
        <v>#N/A</v>
      </c>
      <c r="I453" t="e">
        <v>#N/A</v>
      </c>
      <c r="J453" t="e">
        <v>#N/A</v>
      </c>
      <c r="K453" t="e">
        <v>#N/A</v>
      </c>
      <c r="L453">
        <v>62137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</row>
    <row r="454" spans="1:19" x14ac:dyDescent="0.25">
      <c r="A454" s="2">
        <v>30256</v>
      </c>
      <c r="B454">
        <v>99112</v>
      </c>
      <c r="C454" t="e">
        <v>#N/A</v>
      </c>
      <c r="D454" t="e">
        <v>#N/A</v>
      </c>
      <c r="E454" t="e">
        <v>#N/A</v>
      </c>
      <c r="F454" t="e">
        <v>#N/A</v>
      </c>
      <c r="G454">
        <v>11938</v>
      </c>
      <c r="H454" t="e">
        <v>#N/A</v>
      </c>
      <c r="I454" t="e">
        <v>#N/A</v>
      </c>
      <c r="J454" t="e">
        <v>#N/A</v>
      </c>
      <c r="K454" t="e">
        <v>#N/A</v>
      </c>
      <c r="L454">
        <v>62008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</row>
    <row r="455" spans="1:19" x14ac:dyDescent="0.25">
      <c r="A455" s="2">
        <v>30286</v>
      </c>
      <c r="B455">
        <v>99032</v>
      </c>
      <c r="C455" t="e">
        <v>#N/A</v>
      </c>
      <c r="D455" t="e">
        <v>#N/A</v>
      </c>
      <c r="E455" t="e">
        <v>#N/A</v>
      </c>
      <c r="F455" t="e">
        <v>#N/A</v>
      </c>
      <c r="G455">
        <v>12051</v>
      </c>
      <c r="H455" t="e">
        <v>#N/A</v>
      </c>
      <c r="I455" t="e">
        <v>#N/A</v>
      </c>
      <c r="J455" t="e">
        <v>#N/A</v>
      </c>
      <c r="K455" t="e">
        <v>#N/A</v>
      </c>
      <c r="L455">
        <v>62116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</row>
    <row r="456" spans="1:19" x14ac:dyDescent="0.25">
      <c r="A456" s="2" t="s">
        <v>45</v>
      </c>
      <c r="B456" t="e">
        <v>#N/A</v>
      </c>
      <c r="C456" t="e">
        <v>#N/A</v>
      </c>
      <c r="D456" t="e">
        <v>#N/A</v>
      </c>
      <c r="E456" t="e">
        <v>#N/A</v>
      </c>
      <c r="F456" t="e">
        <v>#N/A</v>
      </c>
      <c r="G456" t="e">
        <v>#N/A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</row>
    <row r="457" spans="1:19" x14ac:dyDescent="0.25">
      <c r="A457" s="2">
        <v>30317</v>
      </c>
      <c r="B457">
        <v>99161</v>
      </c>
      <c r="C457" t="e">
        <v>#N/A</v>
      </c>
      <c r="D457" t="e">
        <v>#N/A</v>
      </c>
      <c r="E457" t="e">
        <v>#N/A</v>
      </c>
      <c r="F457" t="e">
        <v>#N/A</v>
      </c>
      <c r="G457">
        <v>11534</v>
      </c>
      <c r="H457" t="e">
        <v>#N/A</v>
      </c>
      <c r="I457" t="e">
        <v>#N/A</v>
      </c>
      <c r="J457" t="e">
        <v>#N/A</v>
      </c>
      <c r="K457" t="e">
        <v>#N/A</v>
      </c>
      <c r="L457">
        <v>62659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</row>
    <row r="458" spans="1:19" x14ac:dyDescent="0.25">
      <c r="A458" s="2">
        <v>30348</v>
      </c>
      <c r="B458">
        <v>99089</v>
      </c>
      <c r="C458" t="e">
        <v>#N/A</v>
      </c>
      <c r="D458" t="e">
        <v>#N/A</v>
      </c>
      <c r="E458" t="e">
        <v>#N/A</v>
      </c>
      <c r="F458" t="e">
        <v>#N/A</v>
      </c>
      <c r="G458">
        <v>11545</v>
      </c>
      <c r="H458" t="e">
        <v>#N/A</v>
      </c>
      <c r="I458" t="e">
        <v>#N/A</v>
      </c>
      <c r="J458" t="e">
        <v>#N/A</v>
      </c>
      <c r="K458" t="e">
        <v>#N/A</v>
      </c>
      <c r="L458">
        <v>62871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</row>
    <row r="459" spans="1:19" x14ac:dyDescent="0.25">
      <c r="A459" s="2">
        <v>30376</v>
      </c>
      <c r="B459">
        <v>99179</v>
      </c>
      <c r="C459" t="e">
        <v>#N/A</v>
      </c>
      <c r="D459" t="e">
        <v>#N/A</v>
      </c>
      <c r="E459" t="e">
        <v>#N/A</v>
      </c>
      <c r="F459" t="e">
        <v>#N/A</v>
      </c>
      <c r="G459">
        <v>11408</v>
      </c>
      <c r="H459" t="e">
        <v>#N/A</v>
      </c>
      <c r="I459" t="e">
        <v>#N/A</v>
      </c>
      <c r="J459" t="e">
        <v>#N/A</v>
      </c>
      <c r="K459" t="e">
        <v>#N/A</v>
      </c>
      <c r="L459">
        <v>63069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</row>
    <row r="460" spans="1:19" x14ac:dyDescent="0.25">
      <c r="A460" s="2">
        <v>30407</v>
      </c>
      <c r="B460">
        <v>99560</v>
      </c>
      <c r="C460" t="e">
        <v>#N/A</v>
      </c>
      <c r="D460" t="e">
        <v>#N/A</v>
      </c>
      <c r="E460" t="e">
        <v>#N/A</v>
      </c>
      <c r="F460" t="e">
        <v>#N/A</v>
      </c>
      <c r="G460">
        <v>11268</v>
      </c>
      <c r="H460" t="e">
        <v>#N/A</v>
      </c>
      <c r="I460" t="e">
        <v>#N/A</v>
      </c>
      <c r="J460" t="e">
        <v>#N/A</v>
      </c>
      <c r="K460" t="e">
        <v>#N/A</v>
      </c>
      <c r="L460">
        <v>62966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</row>
    <row r="461" spans="1:19" x14ac:dyDescent="0.25">
      <c r="A461" s="2">
        <v>30437</v>
      </c>
      <c r="B461">
        <v>99642</v>
      </c>
      <c r="C461" t="e">
        <v>#N/A</v>
      </c>
      <c r="D461" t="e">
        <v>#N/A</v>
      </c>
      <c r="E461" t="e">
        <v>#N/A</v>
      </c>
      <c r="F461" t="e">
        <v>#N/A</v>
      </c>
      <c r="G461">
        <v>11154</v>
      </c>
      <c r="H461" t="e">
        <v>#N/A</v>
      </c>
      <c r="I461" t="e">
        <v>#N/A</v>
      </c>
      <c r="J461" t="e">
        <v>#N/A</v>
      </c>
      <c r="K461" t="e">
        <v>#N/A</v>
      </c>
      <c r="L461">
        <v>63157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</row>
    <row r="462" spans="1:19" x14ac:dyDescent="0.25">
      <c r="A462" s="2">
        <v>30468</v>
      </c>
      <c r="B462">
        <v>100633</v>
      </c>
      <c r="C462" t="e">
        <v>#N/A</v>
      </c>
      <c r="D462" t="e">
        <v>#N/A</v>
      </c>
      <c r="E462" t="e">
        <v>#N/A</v>
      </c>
      <c r="F462" t="e">
        <v>#N/A</v>
      </c>
      <c r="G462">
        <v>11246</v>
      </c>
      <c r="H462" t="e">
        <v>#N/A</v>
      </c>
      <c r="I462" t="e">
        <v>#N/A</v>
      </c>
      <c r="J462" t="e">
        <v>#N/A</v>
      </c>
      <c r="K462" t="e">
        <v>#N/A</v>
      </c>
      <c r="L462">
        <v>62246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</row>
    <row r="463" spans="1:19" x14ac:dyDescent="0.25">
      <c r="A463" s="2">
        <v>30498</v>
      </c>
      <c r="B463">
        <v>101208</v>
      </c>
      <c r="C463" t="e">
        <v>#N/A</v>
      </c>
      <c r="D463" t="e">
        <v>#N/A</v>
      </c>
      <c r="E463" t="e">
        <v>#N/A</v>
      </c>
      <c r="F463" t="e">
        <v>#N/A</v>
      </c>
      <c r="G463">
        <v>10548</v>
      </c>
      <c r="H463" t="e">
        <v>#N/A</v>
      </c>
      <c r="I463" t="e">
        <v>#N/A</v>
      </c>
      <c r="J463" t="e">
        <v>#N/A</v>
      </c>
      <c r="K463" t="e">
        <v>#N/A</v>
      </c>
      <c r="L463">
        <v>62550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</row>
    <row r="464" spans="1:19" x14ac:dyDescent="0.25">
      <c r="A464" s="2">
        <v>30529</v>
      </c>
      <c r="B464">
        <v>101608</v>
      </c>
      <c r="C464" t="e">
        <v>#N/A</v>
      </c>
      <c r="D464" t="e">
        <v>#N/A</v>
      </c>
      <c r="E464" t="e">
        <v>#N/A</v>
      </c>
      <c r="F464" t="e">
        <v>#N/A</v>
      </c>
      <c r="G464">
        <v>10623</v>
      </c>
      <c r="H464" t="e">
        <v>#N/A</v>
      </c>
      <c r="I464" t="e">
        <v>#N/A</v>
      </c>
      <c r="J464" t="e">
        <v>#N/A</v>
      </c>
      <c r="K464" t="e">
        <v>#N/A</v>
      </c>
      <c r="L464">
        <v>62209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</row>
    <row r="465" spans="1:19" x14ac:dyDescent="0.25">
      <c r="A465" s="2">
        <v>30560</v>
      </c>
      <c r="B465">
        <v>102016</v>
      </c>
      <c r="C465" t="e">
        <v>#N/A</v>
      </c>
      <c r="D465" t="e">
        <v>#N/A</v>
      </c>
      <c r="E465" t="e">
        <v>#N/A</v>
      </c>
      <c r="F465" t="e">
        <v>#N/A</v>
      </c>
      <c r="G465">
        <v>10282</v>
      </c>
      <c r="H465" t="e">
        <v>#N/A</v>
      </c>
      <c r="I465" t="e">
        <v>#N/A</v>
      </c>
      <c r="J465" t="e">
        <v>#N/A</v>
      </c>
      <c r="K465" t="e">
        <v>#N/A</v>
      </c>
      <c r="L465">
        <v>62304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</row>
    <row r="466" spans="1:19" x14ac:dyDescent="0.25">
      <c r="A466" s="2">
        <v>30590</v>
      </c>
      <c r="B466">
        <v>102039</v>
      </c>
      <c r="C466" t="e">
        <v>#N/A</v>
      </c>
      <c r="D466" t="e">
        <v>#N/A</v>
      </c>
      <c r="E466" t="e">
        <v>#N/A</v>
      </c>
      <c r="F466" t="e">
        <v>#N/A</v>
      </c>
      <c r="G466">
        <v>9887</v>
      </c>
      <c r="H466" t="e">
        <v>#N/A</v>
      </c>
      <c r="I466" t="e">
        <v>#N/A</v>
      </c>
      <c r="J466" t="e">
        <v>#N/A</v>
      </c>
      <c r="K466" t="e">
        <v>#N/A</v>
      </c>
      <c r="L466">
        <v>62853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</row>
    <row r="467" spans="1:19" x14ac:dyDescent="0.25">
      <c r="A467" s="2">
        <v>30621</v>
      </c>
      <c r="B467">
        <v>102729</v>
      </c>
      <c r="C467" t="e">
        <v>#N/A</v>
      </c>
      <c r="D467" t="e">
        <v>#N/A</v>
      </c>
      <c r="E467" t="e">
        <v>#N/A</v>
      </c>
      <c r="F467" t="e">
        <v>#N/A</v>
      </c>
      <c r="G467">
        <v>9499</v>
      </c>
      <c r="H467" t="e">
        <v>#N/A</v>
      </c>
      <c r="I467" t="e">
        <v>#N/A</v>
      </c>
      <c r="J467" t="e">
        <v>#N/A</v>
      </c>
      <c r="K467" t="e">
        <v>#N/A</v>
      </c>
      <c r="L467">
        <v>62723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</row>
    <row r="468" spans="1:19" x14ac:dyDescent="0.25">
      <c r="A468" s="2">
        <v>30651</v>
      </c>
      <c r="B468">
        <v>102996</v>
      </c>
      <c r="C468" t="e">
        <v>#N/A</v>
      </c>
      <c r="D468" t="e">
        <v>#N/A</v>
      </c>
      <c r="E468" t="e">
        <v>#N/A</v>
      </c>
      <c r="F468" t="e">
        <v>#N/A</v>
      </c>
      <c r="G468">
        <v>9331</v>
      </c>
      <c r="H468" t="e">
        <v>#N/A</v>
      </c>
      <c r="I468" t="e">
        <v>#N/A</v>
      </c>
      <c r="J468" t="e">
        <v>#N/A</v>
      </c>
      <c r="K468" t="e">
        <v>#N/A</v>
      </c>
      <c r="L468">
        <v>62794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</row>
    <row r="469" spans="1:19" x14ac:dyDescent="0.25">
      <c r="A469" s="2" t="s">
        <v>46</v>
      </c>
      <c r="B469" t="e">
        <v>#N/A</v>
      </c>
      <c r="C469" t="e">
        <v>#N/A</v>
      </c>
      <c r="D469" t="e">
        <v>#N/A</v>
      </c>
      <c r="E469" t="e">
        <v>#N/A</v>
      </c>
      <c r="F469" t="e">
        <v>#N/A</v>
      </c>
      <c r="G469" t="e">
        <v>#N/A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</row>
    <row r="470" spans="1:19" x14ac:dyDescent="0.25">
      <c r="A470" s="2">
        <v>30682</v>
      </c>
      <c r="B470">
        <v>103201</v>
      </c>
      <c r="C470" t="e">
        <v>#N/A</v>
      </c>
      <c r="D470" t="e">
        <v>#N/A</v>
      </c>
      <c r="E470" t="e">
        <v>#N/A</v>
      </c>
      <c r="F470" t="e">
        <v>#N/A</v>
      </c>
      <c r="G470">
        <v>9008</v>
      </c>
      <c r="H470" t="e">
        <v>#N/A</v>
      </c>
      <c r="I470" t="e">
        <v>#N/A</v>
      </c>
      <c r="J470" t="e">
        <v>#N/A</v>
      </c>
      <c r="K470" t="e">
        <v>#N/A</v>
      </c>
      <c r="L470">
        <v>63324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</row>
    <row r="471" spans="1:19" x14ac:dyDescent="0.25">
      <c r="A471" s="2">
        <v>30713</v>
      </c>
      <c r="B471">
        <v>103824</v>
      </c>
      <c r="C471" t="e">
        <v>#N/A</v>
      </c>
      <c r="D471" t="e">
        <v>#N/A</v>
      </c>
      <c r="E471" t="e">
        <v>#N/A</v>
      </c>
      <c r="F471" t="e">
        <v>#N/A</v>
      </c>
      <c r="G471">
        <v>8791</v>
      </c>
      <c r="H471" t="e">
        <v>#N/A</v>
      </c>
      <c r="I471" t="e">
        <v>#N/A</v>
      </c>
      <c r="J471" t="e">
        <v>#N/A</v>
      </c>
      <c r="K471" t="e">
        <v>#N/A</v>
      </c>
      <c r="L471">
        <v>63064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</row>
    <row r="472" spans="1:19" x14ac:dyDescent="0.25">
      <c r="A472" s="2">
        <v>30742</v>
      </c>
      <c r="B472">
        <v>103967</v>
      </c>
      <c r="C472" t="e">
        <v>#N/A</v>
      </c>
      <c r="D472" t="e">
        <v>#N/A</v>
      </c>
      <c r="E472" t="e">
        <v>#N/A</v>
      </c>
      <c r="F472" t="e">
        <v>#N/A</v>
      </c>
      <c r="G472">
        <v>8746</v>
      </c>
      <c r="H472" t="e">
        <v>#N/A</v>
      </c>
      <c r="I472" t="e">
        <v>#N/A</v>
      </c>
      <c r="J472" t="e">
        <v>#N/A</v>
      </c>
      <c r="K472" t="e">
        <v>#N/A</v>
      </c>
      <c r="L472">
        <v>63111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</row>
    <row r="473" spans="1:19" x14ac:dyDescent="0.25">
      <c r="A473" s="2">
        <v>30773</v>
      </c>
      <c r="B473">
        <v>104336</v>
      </c>
      <c r="C473" t="e">
        <v>#N/A</v>
      </c>
      <c r="D473" t="e">
        <v>#N/A</v>
      </c>
      <c r="E473" t="e">
        <v>#N/A</v>
      </c>
      <c r="F473" t="e">
        <v>#N/A</v>
      </c>
      <c r="G473">
        <v>8762</v>
      </c>
      <c r="H473" t="e">
        <v>#N/A</v>
      </c>
      <c r="I473" t="e">
        <v>#N/A</v>
      </c>
      <c r="J473" t="e">
        <v>#N/A</v>
      </c>
      <c r="K473" t="e">
        <v>#N/A</v>
      </c>
      <c r="L473">
        <v>62871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</row>
    <row r="474" spans="1:19" x14ac:dyDescent="0.25">
      <c r="A474" s="2">
        <v>30803</v>
      </c>
      <c r="B474">
        <v>105193</v>
      </c>
      <c r="C474" t="e">
        <v>#N/A</v>
      </c>
      <c r="D474" t="e">
        <v>#N/A</v>
      </c>
      <c r="E474" t="e">
        <v>#N/A</v>
      </c>
      <c r="F474" t="e">
        <v>#N/A</v>
      </c>
      <c r="G474">
        <v>8456</v>
      </c>
      <c r="H474" t="e">
        <v>#N/A</v>
      </c>
      <c r="I474" t="e">
        <v>#N/A</v>
      </c>
      <c r="J474" t="e">
        <v>#N/A</v>
      </c>
      <c r="K474" t="e">
        <v>#N/A</v>
      </c>
      <c r="L474">
        <v>62474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</row>
    <row r="475" spans="1:19" x14ac:dyDescent="0.25">
      <c r="A475" s="2">
        <v>30834</v>
      </c>
      <c r="B475">
        <v>105591</v>
      </c>
      <c r="C475" t="e">
        <v>#N/A</v>
      </c>
      <c r="D475" t="e">
        <v>#N/A</v>
      </c>
      <c r="E475" t="e">
        <v>#N/A</v>
      </c>
      <c r="F475" t="e">
        <v>#N/A</v>
      </c>
      <c r="G475">
        <v>8226</v>
      </c>
      <c r="H475" t="e">
        <v>#N/A</v>
      </c>
      <c r="I475" t="e">
        <v>#N/A</v>
      </c>
      <c r="J475" t="e">
        <v>#N/A</v>
      </c>
      <c r="K475" t="e">
        <v>#N/A</v>
      </c>
      <c r="L475">
        <v>62467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</row>
    <row r="476" spans="1:19" x14ac:dyDescent="0.25">
      <c r="A476" s="2">
        <v>30864</v>
      </c>
      <c r="B476">
        <v>105435</v>
      </c>
      <c r="C476" t="e">
        <v>#N/A</v>
      </c>
      <c r="D476" t="e">
        <v>#N/A</v>
      </c>
      <c r="E476" t="e">
        <v>#N/A</v>
      </c>
      <c r="F476" t="e">
        <v>#N/A</v>
      </c>
      <c r="G476">
        <v>8537</v>
      </c>
      <c r="H476" t="e">
        <v>#N/A</v>
      </c>
      <c r="I476" t="e">
        <v>#N/A</v>
      </c>
      <c r="J476" t="e">
        <v>#N/A</v>
      </c>
      <c r="K476" t="e">
        <v>#N/A</v>
      </c>
      <c r="L476">
        <v>62468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</row>
    <row r="477" spans="1:19" x14ac:dyDescent="0.25">
      <c r="A477" s="2">
        <v>30895</v>
      </c>
      <c r="B477">
        <v>105163</v>
      </c>
      <c r="C477" t="e">
        <v>#N/A</v>
      </c>
      <c r="D477" t="e">
        <v>#N/A</v>
      </c>
      <c r="E477" t="e">
        <v>#N/A</v>
      </c>
      <c r="F477" t="e">
        <v>#N/A</v>
      </c>
      <c r="G477">
        <v>8519</v>
      </c>
      <c r="H477" t="e">
        <v>#N/A</v>
      </c>
      <c r="I477" t="e">
        <v>#N/A</v>
      </c>
      <c r="J477" t="e">
        <v>#N/A</v>
      </c>
      <c r="K477" t="e">
        <v>#N/A</v>
      </c>
      <c r="L477">
        <v>62901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</row>
    <row r="478" spans="1:19" x14ac:dyDescent="0.25">
      <c r="A478" s="2">
        <v>30926</v>
      </c>
      <c r="B478">
        <v>105490</v>
      </c>
      <c r="C478" t="e">
        <v>#N/A</v>
      </c>
      <c r="D478" t="e">
        <v>#N/A</v>
      </c>
      <c r="E478" t="e">
        <v>#N/A</v>
      </c>
      <c r="F478" t="e">
        <v>#N/A</v>
      </c>
      <c r="G478">
        <v>8367</v>
      </c>
      <c r="H478" t="e">
        <v>#N/A</v>
      </c>
      <c r="I478" t="e">
        <v>#N/A</v>
      </c>
      <c r="J478" t="e">
        <v>#N/A</v>
      </c>
      <c r="K478" t="e">
        <v>#N/A</v>
      </c>
      <c r="L478">
        <v>62906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</row>
    <row r="479" spans="1:19" x14ac:dyDescent="0.25">
      <c r="A479" s="2">
        <v>30956</v>
      </c>
      <c r="B479">
        <v>105638</v>
      </c>
      <c r="C479" t="e">
        <v>#N/A</v>
      </c>
      <c r="D479" t="e">
        <v>#N/A</v>
      </c>
      <c r="E479" t="e">
        <v>#N/A</v>
      </c>
      <c r="F479" t="e">
        <v>#N/A</v>
      </c>
      <c r="G479">
        <v>8381</v>
      </c>
      <c r="H479" t="e">
        <v>#N/A</v>
      </c>
      <c r="I479" t="e">
        <v>#N/A</v>
      </c>
      <c r="J479" t="e">
        <v>#N/A</v>
      </c>
      <c r="K479" t="e">
        <v>#N/A</v>
      </c>
      <c r="L479">
        <v>62937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</row>
    <row r="480" spans="1:19" x14ac:dyDescent="0.25">
      <c r="A480" s="2">
        <v>30987</v>
      </c>
      <c r="B480">
        <v>105972</v>
      </c>
      <c r="C480" t="e">
        <v>#N/A</v>
      </c>
      <c r="D480" t="e">
        <v>#N/A</v>
      </c>
      <c r="E480" t="e">
        <v>#N/A</v>
      </c>
      <c r="F480" t="e">
        <v>#N/A</v>
      </c>
      <c r="G480">
        <v>8198</v>
      </c>
      <c r="H480" t="e">
        <v>#N/A</v>
      </c>
      <c r="I480" t="e">
        <v>#N/A</v>
      </c>
      <c r="J480" t="e">
        <v>#N/A</v>
      </c>
      <c r="K480" t="e">
        <v>#N/A</v>
      </c>
      <c r="L480">
        <v>62965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</row>
    <row r="481" spans="1:19" x14ac:dyDescent="0.25">
      <c r="A481" s="2">
        <v>31017</v>
      </c>
      <c r="B481">
        <v>106223</v>
      </c>
      <c r="C481" t="e">
        <v>#N/A</v>
      </c>
      <c r="D481" t="e">
        <v>#N/A</v>
      </c>
      <c r="E481" t="e">
        <v>#N/A</v>
      </c>
      <c r="F481" t="e">
        <v>#N/A</v>
      </c>
      <c r="G481">
        <v>8358</v>
      </c>
      <c r="H481" t="e">
        <v>#N/A</v>
      </c>
      <c r="I481" t="e">
        <v>#N/A</v>
      </c>
      <c r="J481" t="e">
        <v>#N/A</v>
      </c>
      <c r="K481" t="e">
        <v>#N/A</v>
      </c>
      <c r="L481">
        <v>62725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</row>
    <row r="482" spans="1:19" x14ac:dyDescent="0.25">
      <c r="A482" s="2" t="s">
        <v>47</v>
      </c>
      <c r="B482" t="e">
        <v>#N/A</v>
      </c>
      <c r="C482" t="e">
        <v>#N/A</v>
      </c>
      <c r="D482" t="e">
        <v>#N/A</v>
      </c>
      <c r="E482" t="e">
        <v>#N/A</v>
      </c>
      <c r="F482" t="e">
        <v>#N/A</v>
      </c>
      <c r="G482" t="e">
        <v>#N/A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</row>
    <row r="483" spans="1:19" x14ac:dyDescent="0.25">
      <c r="A483" s="2">
        <v>31048</v>
      </c>
      <c r="B483">
        <v>106302</v>
      </c>
      <c r="C483" t="e">
        <v>#N/A</v>
      </c>
      <c r="D483" t="e">
        <v>#N/A</v>
      </c>
      <c r="E483" t="e">
        <v>#N/A</v>
      </c>
      <c r="F483" t="e">
        <v>#N/A</v>
      </c>
      <c r="G483">
        <v>8423</v>
      </c>
      <c r="H483" t="e">
        <v>#N/A</v>
      </c>
      <c r="I483" t="e">
        <v>#N/A</v>
      </c>
      <c r="J483" t="e">
        <v>#N/A</v>
      </c>
      <c r="K483" t="e">
        <v>#N/A</v>
      </c>
      <c r="L483">
        <v>62659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</row>
    <row r="484" spans="1:19" x14ac:dyDescent="0.25">
      <c r="A484" s="2">
        <v>31079</v>
      </c>
      <c r="B484">
        <v>106555</v>
      </c>
      <c r="C484" t="e">
        <v>#N/A</v>
      </c>
      <c r="D484" t="e">
        <v>#N/A</v>
      </c>
      <c r="E484" t="e">
        <v>#N/A</v>
      </c>
      <c r="F484" t="e">
        <v>#N/A</v>
      </c>
      <c r="G484">
        <v>8321</v>
      </c>
      <c r="H484" t="e">
        <v>#N/A</v>
      </c>
      <c r="I484" t="e">
        <v>#N/A</v>
      </c>
      <c r="J484" t="e">
        <v>#N/A</v>
      </c>
      <c r="K484" t="e">
        <v>#N/A</v>
      </c>
      <c r="L484">
        <v>62640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</row>
    <row r="485" spans="1:19" x14ac:dyDescent="0.25">
      <c r="A485" s="2">
        <v>31107</v>
      </c>
      <c r="B485">
        <v>106989</v>
      </c>
      <c r="C485" t="e">
        <v>#N/A</v>
      </c>
      <c r="D485" t="e">
        <v>#N/A</v>
      </c>
      <c r="E485" t="e">
        <v>#N/A</v>
      </c>
      <c r="F485" t="e">
        <v>#N/A</v>
      </c>
      <c r="G485">
        <v>8339</v>
      </c>
      <c r="H485" t="e">
        <v>#N/A</v>
      </c>
      <c r="I485" t="e">
        <v>#N/A</v>
      </c>
      <c r="J485" t="e">
        <v>#N/A</v>
      </c>
      <c r="K485" t="e">
        <v>#N/A</v>
      </c>
      <c r="L485">
        <v>62339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</row>
    <row r="486" spans="1:19" x14ac:dyDescent="0.25">
      <c r="A486" s="2">
        <v>31138</v>
      </c>
      <c r="B486">
        <v>106936</v>
      </c>
      <c r="C486" t="e">
        <v>#N/A</v>
      </c>
      <c r="D486" t="e">
        <v>#N/A</v>
      </c>
      <c r="E486" t="e">
        <v>#N/A</v>
      </c>
      <c r="F486" t="e">
        <v>#N/A</v>
      </c>
      <c r="G486">
        <v>8395</v>
      </c>
      <c r="H486" t="e">
        <v>#N/A</v>
      </c>
      <c r="I486" t="e">
        <v>#N/A</v>
      </c>
      <c r="J486" t="e">
        <v>#N/A</v>
      </c>
      <c r="K486" t="e">
        <v>#N/A</v>
      </c>
      <c r="L486">
        <v>62468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</row>
    <row r="487" spans="1:19" x14ac:dyDescent="0.25">
      <c r="A487" s="2">
        <v>31168</v>
      </c>
      <c r="B487">
        <v>106932</v>
      </c>
      <c r="C487" t="e">
        <v>#N/A</v>
      </c>
      <c r="D487" t="e">
        <v>#N/A</v>
      </c>
      <c r="E487" t="e">
        <v>#N/A</v>
      </c>
      <c r="F487" t="e">
        <v>#N/A</v>
      </c>
      <c r="G487">
        <v>8302</v>
      </c>
      <c r="H487" t="e">
        <v>#N/A</v>
      </c>
      <c r="I487" t="e">
        <v>#N/A</v>
      </c>
      <c r="J487" t="e">
        <v>#N/A</v>
      </c>
      <c r="K487" t="e">
        <v>#N/A</v>
      </c>
      <c r="L487">
        <v>62710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</row>
    <row r="488" spans="1:19" x14ac:dyDescent="0.25">
      <c r="A488" s="2">
        <v>31199</v>
      </c>
      <c r="B488">
        <v>106505</v>
      </c>
      <c r="C488" t="e">
        <v>#N/A</v>
      </c>
      <c r="D488" t="e">
        <v>#N/A</v>
      </c>
      <c r="E488" t="e">
        <v>#N/A</v>
      </c>
      <c r="F488" t="e">
        <v>#N/A</v>
      </c>
      <c r="G488">
        <v>8460</v>
      </c>
      <c r="H488" t="e">
        <v>#N/A</v>
      </c>
      <c r="I488" t="e">
        <v>#N/A</v>
      </c>
      <c r="J488" t="e">
        <v>#N/A</v>
      </c>
      <c r="K488" t="e">
        <v>#N/A</v>
      </c>
      <c r="L488">
        <v>63131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</row>
    <row r="489" spans="1:19" x14ac:dyDescent="0.25">
      <c r="A489" s="2">
        <v>31229</v>
      </c>
      <c r="B489">
        <v>106807</v>
      </c>
      <c r="C489" t="e">
        <v>#N/A</v>
      </c>
      <c r="D489" t="e">
        <v>#N/A</v>
      </c>
      <c r="E489" t="e">
        <v>#N/A</v>
      </c>
      <c r="F489" t="e">
        <v>#N/A</v>
      </c>
      <c r="G489">
        <v>8513</v>
      </c>
      <c r="H489" t="e">
        <v>#N/A</v>
      </c>
      <c r="I489" t="e">
        <v>#N/A</v>
      </c>
      <c r="J489" t="e">
        <v>#N/A</v>
      </c>
      <c r="K489" t="e">
        <v>#N/A</v>
      </c>
      <c r="L489">
        <v>62943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</row>
    <row r="490" spans="1:19" x14ac:dyDescent="0.25">
      <c r="A490" s="2">
        <v>31260</v>
      </c>
      <c r="B490">
        <v>107095</v>
      </c>
      <c r="C490" t="e">
        <v>#N/A</v>
      </c>
      <c r="D490" t="e">
        <v>#N/A</v>
      </c>
      <c r="E490" t="e">
        <v>#N/A</v>
      </c>
      <c r="F490" t="e">
        <v>#N/A</v>
      </c>
      <c r="G490">
        <v>8196</v>
      </c>
      <c r="H490" t="e">
        <v>#N/A</v>
      </c>
      <c r="I490" t="e">
        <v>#N/A</v>
      </c>
      <c r="J490" t="e">
        <v>#N/A</v>
      </c>
      <c r="K490" t="e">
        <v>#N/A</v>
      </c>
      <c r="L490">
        <v>63114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</row>
    <row r="491" spans="1:19" x14ac:dyDescent="0.25">
      <c r="A491" s="2">
        <v>31291</v>
      </c>
      <c r="B491">
        <v>107657</v>
      </c>
      <c r="C491" t="e">
        <v>#N/A</v>
      </c>
      <c r="D491" t="e">
        <v>#N/A</v>
      </c>
      <c r="E491" t="e">
        <v>#N/A</v>
      </c>
      <c r="F491" t="e">
        <v>#N/A</v>
      </c>
      <c r="G491">
        <v>8248</v>
      </c>
      <c r="H491" t="e">
        <v>#N/A</v>
      </c>
      <c r="I491" t="e">
        <v>#N/A</v>
      </c>
      <c r="J491" t="e">
        <v>#N/A</v>
      </c>
      <c r="K491" t="e">
        <v>#N/A</v>
      </c>
      <c r="L491">
        <v>62667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</row>
    <row r="492" spans="1:19" x14ac:dyDescent="0.25">
      <c r="A492" s="2">
        <v>31321</v>
      </c>
      <c r="B492">
        <v>107847</v>
      </c>
      <c r="C492" t="e">
        <v>#N/A</v>
      </c>
      <c r="D492" t="e">
        <v>#N/A</v>
      </c>
      <c r="E492" t="e">
        <v>#N/A</v>
      </c>
      <c r="F492" t="e">
        <v>#N/A</v>
      </c>
      <c r="G492">
        <v>8298</v>
      </c>
      <c r="H492" t="e">
        <v>#N/A</v>
      </c>
      <c r="I492" t="e">
        <v>#N/A</v>
      </c>
      <c r="J492" t="e">
        <v>#N/A</v>
      </c>
      <c r="K492" t="e">
        <v>#N/A</v>
      </c>
      <c r="L492">
        <v>62625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</row>
    <row r="493" spans="1:19" x14ac:dyDescent="0.25">
      <c r="A493" s="2">
        <v>31352</v>
      </c>
      <c r="B493">
        <v>108007</v>
      </c>
      <c r="C493" t="e">
        <v>#N/A</v>
      </c>
      <c r="D493" t="e">
        <v>#N/A</v>
      </c>
      <c r="E493" t="e">
        <v>#N/A</v>
      </c>
      <c r="F493" t="e">
        <v>#N/A</v>
      </c>
      <c r="G493">
        <v>8128</v>
      </c>
      <c r="H493" t="e">
        <v>#N/A</v>
      </c>
      <c r="I493" t="e">
        <v>#N/A</v>
      </c>
      <c r="J493" t="e">
        <v>#N/A</v>
      </c>
      <c r="K493" t="e">
        <v>#N/A</v>
      </c>
      <c r="L493">
        <v>62805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</row>
    <row r="494" spans="1:19" x14ac:dyDescent="0.25">
      <c r="A494" s="2">
        <v>31382</v>
      </c>
      <c r="B494">
        <v>108216</v>
      </c>
      <c r="C494" t="e">
        <v>#N/A</v>
      </c>
      <c r="D494" t="e">
        <v>#N/A</v>
      </c>
      <c r="E494" t="e">
        <v>#N/A</v>
      </c>
      <c r="F494" t="e">
        <v>#N/A</v>
      </c>
      <c r="G494">
        <v>8138</v>
      </c>
      <c r="H494" t="e">
        <v>#N/A</v>
      </c>
      <c r="I494" t="e">
        <v>#N/A</v>
      </c>
      <c r="J494" t="e">
        <v>#N/A</v>
      </c>
      <c r="K494" t="e">
        <v>#N/A</v>
      </c>
      <c r="L494">
        <v>62758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</row>
    <row r="495" spans="1:19" x14ac:dyDescent="0.25">
      <c r="A495" s="2" t="s">
        <v>48</v>
      </c>
      <c r="B495" t="e">
        <v>#N/A</v>
      </c>
      <c r="C495" t="e">
        <v>#N/A</v>
      </c>
      <c r="D495" t="e">
        <v>#N/A</v>
      </c>
      <c r="E495" t="e">
        <v>#N/A</v>
      </c>
      <c r="F495" t="e">
        <v>#N/A</v>
      </c>
      <c r="G495" t="e">
        <v>#N/A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</row>
    <row r="496" spans="1:19" x14ac:dyDescent="0.25">
      <c r="A496" s="2">
        <v>31413</v>
      </c>
      <c r="B496">
        <v>108887</v>
      </c>
      <c r="C496" t="e">
        <v>#N/A</v>
      </c>
      <c r="D496" t="e">
        <v>#N/A</v>
      </c>
      <c r="E496" t="e">
        <v>#N/A</v>
      </c>
      <c r="F496" t="e">
        <v>#N/A</v>
      </c>
      <c r="G496">
        <v>7795</v>
      </c>
      <c r="H496" t="e">
        <v>#N/A</v>
      </c>
      <c r="I496" t="e">
        <v>#N/A</v>
      </c>
      <c r="J496" t="e">
        <v>#N/A</v>
      </c>
      <c r="K496" t="e">
        <v>#N/A</v>
      </c>
      <c r="L496">
        <v>62988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</row>
    <row r="497" spans="1:19" x14ac:dyDescent="0.25">
      <c r="A497" s="2">
        <v>31444</v>
      </c>
      <c r="B497">
        <v>108480</v>
      </c>
      <c r="C497" t="e">
        <v>#N/A</v>
      </c>
      <c r="D497" t="e">
        <v>#N/A</v>
      </c>
      <c r="E497" t="e">
        <v>#N/A</v>
      </c>
      <c r="F497" t="e">
        <v>#N/A</v>
      </c>
      <c r="G497">
        <v>8402</v>
      </c>
      <c r="H497" t="e">
        <v>#N/A</v>
      </c>
      <c r="I497" t="e">
        <v>#N/A</v>
      </c>
      <c r="J497" t="e">
        <v>#N/A</v>
      </c>
      <c r="K497" t="e">
        <v>#N/A</v>
      </c>
      <c r="L497">
        <v>62939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</row>
    <row r="498" spans="1:19" x14ac:dyDescent="0.25">
      <c r="A498" s="2">
        <v>31472</v>
      </c>
      <c r="B498">
        <v>108837</v>
      </c>
      <c r="C498" t="e">
        <v>#N/A</v>
      </c>
      <c r="D498" t="e">
        <v>#N/A</v>
      </c>
      <c r="E498" t="e">
        <v>#N/A</v>
      </c>
      <c r="F498" t="e">
        <v>#N/A</v>
      </c>
      <c r="G498">
        <v>8383</v>
      </c>
      <c r="H498" t="e">
        <v>#N/A</v>
      </c>
      <c r="I498" t="e">
        <v>#N/A</v>
      </c>
      <c r="J498" t="e">
        <v>#N/A</v>
      </c>
      <c r="K498" t="e">
        <v>#N/A</v>
      </c>
      <c r="L498">
        <v>62765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</row>
    <row r="499" spans="1:19" x14ac:dyDescent="0.25">
      <c r="A499" s="2">
        <v>31503</v>
      </c>
      <c r="B499">
        <v>108952</v>
      </c>
      <c r="C499" t="e">
        <v>#N/A</v>
      </c>
      <c r="D499" t="e">
        <v>#N/A</v>
      </c>
      <c r="E499" t="e">
        <v>#N/A</v>
      </c>
      <c r="F499" t="e">
        <v>#N/A</v>
      </c>
      <c r="G499">
        <v>8364</v>
      </c>
      <c r="H499" t="e">
        <v>#N/A</v>
      </c>
      <c r="I499" t="e">
        <v>#N/A</v>
      </c>
      <c r="J499" t="e">
        <v>#N/A</v>
      </c>
      <c r="K499" t="e">
        <v>#N/A</v>
      </c>
      <c r="L499">
        <v>62832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</row>
    <row r="500" spans="1:19" x14ac:dyDescent="0.25">
      <c r="A500" s="2">
        <v>31533</v>
      </c>
      <c r="B500">
        <v>109089</v>
      </c>
      <c r="C500" t="e">
        <v>#N/A</v>
      </c>
      <c r="D500" t="e">
        <v>#N/A</v>
      </c>
      <c r="E500" t="e">
        <v>#N/A</v>
      </c>
      <c r="F500" t="e">
        <v>#N/A</v>
      </c>
      <c r="G500">
        <v>8439</v>
      </c>
      <c r="H500" t="e">
        <v>#N/A</v>
      </c>
      <c r="I500" t="e">
        <v>#N/A</v>
      </c>
      <c r="J500" t="e">
        <v>#N/A</v>
      </c>
      <c r="K500" t="e">
        <v>#N/A</v>
      </c>
      <c r="L500">
        <v>62783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</row>
    <row r="501" spans="1:19" x14ac:dyDescent="0.25">
      <c r="A501" s="2">
        <v>31564</v>
      </c>
      <c r="B501">
        <v>109576</v>
      </c>
      <c r="C501" t="e">
        <v>#N/A</v>
      </c>
      <c r="D501" t="e">
        <v>#N/A</v>
      </c>
      <c r="E501" t="e">
        <v>#N/A</v>
      </c>
      <c r="F501" t="e">
        <v>#N/A</v>
      </c>
      <c r="G501">
        <v>8508</v>
      </c>
      <c r="H501" t="e">
        <v>#N/A</v>
      </c>
      <c r="I501" t="e">
        <v>#N/A</v>
      </c>
      <c r="J501" t="e">
        <v>#N/A</v>
      </c>
      <c r="K501" t="e">
        <v>#N/A</v>
      </c>
      <c r="L501">
        <v>62419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</row>
    <row r="502" spans="1:19" x14ac:dyDescent="0.25">
      <c r="A502" s="2">
        <v>31594</v>
      </c>
      <c r="B502">
        <v>109810</v>
      </c>
      <c r="C502" t="e">
        <v>#N/A</v>
      </c>
      <c r="D502" t="e">
        <v>#N/A</v>
      </c>
      <c r="E502" t="e">
        <v>#N/A</v>
      </c>
      <c r="F502" t="e">
        <v>#N/A</v>
      </c>
      <c r="G502">
        <v>8319</v>
      </c>
      <c r="H502" t="e">
        <v>#N/A</v>
      </c>
      <c r="I502" t="e">
        <v>#N/A</v>
      </c>
      <c r="J502" t="e">
        <v>#N/A</v>
      </c>
      <c r="K502" t="e">
        <v>#N/A</v>
      </c>
      <c r="L502">
        <v>62553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</row>
    <row r="503" spans="1:19" x14ac:dyDescent="0.25">
      <c r="A503" s="2">
        <v>31625</v>
      </c>
      <c r="B503">
        <v>110015</v>
      </c>
      <c r="C503" t="e">
        <v>#N/A</v>
      </c>
      <c r="D503" t="e">
        <v>#N/A</v>
      </c>
      <c r="E503" t="e">
        <v>#N/A</v>
      </c>
      <c r="F503" t="e">
        <v>#N/A</v>
      </c>
      <c r="G503">
        <v>8135</v>
      </c>
      <c r="H503" t="e">
        <v>#N/A</v>
      </c>
      <c r="I503" t="e">
        <v>#N/A</v>
      </c>
      <c r="J503" t="e">
        <v>#N/A</v>
      </c>
      <c r="K503" t="e">
        <v>#N/A</v>
      </c>
      <c r="L503">
        <v>62678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</row>
    <row r="504" spans="1:19" x14ac:dyDescent="0.25">
      <c r="A504" s="2">
        <v>31656</v>
      </c>
      <c r="B504">
        <v>110085</v>
      </c>
      <c r="C504" t="e">
        <v>#N/A</v>
      </c>
      <c r="D504" t="e">
        <v>#N/A</v>
      </c>
      <c r="E504" t="e">
        <v>#N/A</v>
      </c>
      <c r="F504" t="e">
        <v>#N/A</v>
      </c>
      <c r="G504">
        <v>8310</v>
      </c>
      <c r="H504" t="e">
        <v>#N/A</v>
      </c>
      <c r="I504" t="e">
        <v>#N/A</v>
      </c>
      <c r="J504" t="e">
        <v>#N/A</v>
      </c>
      <c r="K504" t="e">
        <v>#N/A</v>
      </c>
      <c r="L504">
        <v>62602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</row>
    <row r="505" spans="1:19" x14ac:dyDescent="0.25">
      <c r="A505" s="2">
        <v>31686</v>
      </c>
      <c r="B505">
        <v>110273</v>
      </c>
      <c r="C505" t="e">
        <v>#N/A</v>
      </c>
      <c r="D505" t="e">
        <v>#N/A</v>
      </c>
      <c r="E505" t="e">
        <v>#N/A</v>
      </c>
      <c r="F505" t="e">
        <v>#N/A</v>
      </c>
      <c r="G505">
        <v>8243</v>
      </c>
      <c r="H505" t="e">
        <v>#N/A</v>
      </c>
      <c r="I505" t="e">
        <v>#N/A</v>
      </c>
      <c r="J505" t="e">
        <v>#N/A</v>
      </c>
      <c r="K505" t="e">
        <v>#N/A</v>
      </c>
      <c r="L505">
        <v>62670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</row>
    <row r="506" spans="1:19" x14ac:dyDescent="0.25">
      <c r="A506" s="2">
        <v>31717</v>
      </c>
      <c r="B506">
        <v>110475</v>
      </c>
      <c r="C506" t="e">
        <v>#N/A</v>
      </c>
      <c r="D506" t="e">
        <v>#N/A</v>
      </c>
      <c r="E506" t="e">
        <v>#N/A</v>
      </c>
      <c r="F506" t="e">
        <v>#N/A</v>
      </c>
      <c r="G506">
        <v>8159</v>
      </c>
      <c r="H506" t="e">
        <v>#N/A</v>
      </c>
      <c r="I506" t="e">
        <v>#N/A</v>
      </c>
      <c r="J506" t="e">
        <v>#N/A</v>
      </c>
      <c r="K506" t="e">
        <v>#N/A</v>
      </c>
      <c r="L506">
        <v>62729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</row>
    <row r="507" spans="1:19" x14ac:dyDescent="0.25">
      <c r="A507" s="2">
        <v>31747</v>
      </c>
      <c r="B507">
        <v>110728</v>
      </c>
      <c r="C507" t="e">
        <v>#N/A</v>
      </c>
      <c r="D507" t="e">
        <v>#N/A</v>
      </c>
      <c r="E507" t="e">
        <v>#N/A</v>
      </c>
      <c r="F507" t="e">
        <v>#N/A</v>
      </c>
      <c r="G507">
        <v>7883</v>
      </c>
      <c r="H507" t="e">
        <v>#N/A</v>
      </c>
      <c r="I507" t="e">
        <v>#N/A</v>
      </c>
      <c r="J507" t="e">
        <v>#N/A</v>
      </c>
      <c r="K507" t="e">
        <v>#N/A</v>
      </c>
      <c r="L507">
        <v>62936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</row>
    <row r="508" spans="1:19" x14ac:dyDescent="0.25">
      <c r="A508" s="2" t="s">
        <v>49</v>
      </c>
      <c r="B508" t="e">
        <v>#N/A</v>
      </c>
      <c r="C508" t="e">
        <v>#N/A</v>
      </c>
      <c r="D508" t="e">
        <v>#N/A</v>
      </c>
      <c r="E508" t="e">
        <v>#N/A</v>
      </c>
      <c r="F508" t="e">
        <v>#N/A</v>
      </c>
      <c r="G508" t="e">
        <v>#N/A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</row>
    <row r="509" spans="1:19" x14ac:dyDescent="0.25">
      <c r="A509" s="2">
        <v>31778</v>
      </c>
      <c r="B509">
        <v>110953</v>
      </c>
      <c r="C509" t="e">
        <v>#N/A</v>
      </c>
      <c r="D509" t="e">
        <v>#N/A</v>
      </c>
      <c r="E509" t="e">
        <v>#N/A</v>
      </c>
      <c r="F509" t="e">
        <v>#N/A</v>
      </c>
      <c r="G509">
        <v>7892</v>
      </c>
      <c r="H509" t="e">
        <v>#N/A</v>
      </c>
      <c r="I509" t="e">
        <v>#N/A</v>
      </c>
      <c r="J509" t="e">
        <v>#N/A</v>
      </c>
      <c r="K509" t="e">
        <v>#N/A</v>
      </c>
      <c r="L509">
        <v>62982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</row>
    <row r="510" spans="1:19" x14ac:dyDescent="0.25">
      <c r="A510" s="2">
        <v>31809</v>
      </c>
      <c r="B510">
        <v>111257</v>
      </c>
      <c r="C510" t="e">
        <v>#N/A</v>
      </c>
      <c r="D510" t="e">
        <v>#N/A</v>
      </c>
      <c r="E510" t="e">
        <v>#N/A</v>
      </c>
      <c r="F510" t="e">
        <v>#N/A</v>
      </c>
      <c r="G510">
        <v>7865</v>
      </c>
      <c r="H510" t="e">
        <v>#N/A</v>
      </c>
      <c r="I510" t="e">
        <v>#N/A</v>
      </c>
      <c r="J510" t="e">
        <v>#N/A</v>
      </c>
      <c r="K510" t="e">
        <v>#N/A</v>
      </c>
      <c r="L510">
        <v>62876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</row>
    <row r="511" spans="1:19" x14ac:dyDescent="0.25">
      <c r="A511" s="2">
        <v>31837</v>
      </c>
      <c r="B511">
        <v>111408</v>
      </c>
      <c r="C511" t="e">
        <v>#N/A</v>
      </c>
      <c r="D511" t="e">
        <v>#N/A</v>
      </c>
      <c r="E511" t="e">
        <v>#N/A</v>
      </c>
      <c r="F511" t="e">
        <v>#N/A</v>
      </c>
      <c r="G511">
        <v>7862</v>
      </c>
      <c r="H511" t="e">
        <v>#N/A</v>
      </c>
      <c r="I511" t="e">
        <v>#N/A</v>
      </c>
      <c r="J511" t="e">
        <v>#N/A</v>
      </c>
      <c r="K511" t="e">
        <v>#N/A</v>
      </c>
      <c r="L511">
        <v>62909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</row>
    <row r="512" spans="1:19" x14ac:dyDescent="0.25">
      <c r="A512" s="2">
        <v>31868</v>
      </c>
      <c r="B512">
        <v>111794</v>
      </c>
      <c r="C512" t="e">
        <v>#N/A</v>
      </c>
      <c r="D512" t="e">
        <v>#N/A</v>
      </c>
      <c r="E512" t="e">
        <v>#N/A</v>
      </c>
      <c r="F512" t="e">
        <v>#N/A</v>
      </c>
      <c r="G512">
        <v>7542</v>
      </c>
      <c r="H512" t="e">
        <v>#N/A</v>
      </c>
      <c r="I512" t="e">
        <v>#N/A</v>
      </c>
      <c r="J512" t="e">
        <v>#N/A</v>
      </c>
      <c r="K512" t="e">
        <v>#N/A</v>
      </c>
      <c r="L512">
        <v>63008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</row>
    <row r="513" spans="1:19" x14ac:dyDescent="0.25">
      <c r="A513" s="2">
        <v>31898</v>
      </c>
      <c r="B513">
        <v>112434</v>
      </c>
      <c r="C513" t="e">
        <v>#N/A</v>
      </c>
      <c r="D513" t="e">
        <v>#N/A</v>
      </c>
      <c r="E513" t="e">
        <v>#N/A</v>
      </c>
      <c r="F513" t="e">
        <v>#N/A</v>
      </c>
      <c r="G513">
        <v>7574</v>
      </c>
      <c r="H513" t="e">
        <v>#N/A</v>
      </c>
      <c r="I513" t="e">
        <v>#N/A</v>
      </c>
      <c r="J513" t="e">
        <v>#N/A</v>
      </c>
      <c r="K513" t="e">
        <v>#N/A</v>
      </c>
      <c r="L513">
        <v>62525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</row>
    <row r="514" spans="1:19" x14ac:dyDescent="0.25">
      <c r="A514" s="2">
        <v>31929</v>
      </c>
      <c r="B514">
        <v>112246</v>
      </c>
      <c r="C514" t="e">
        <v>#N/A</v>
      </c>
      <c r="D514" t="e">
        <v>#N/A</v>
      </c>
      <c r="E514" t="e">
        <v>#N/A</v>
      </c>
      <c r="F514" t="e">
        <v>#N/A</v>
      </c>
      <c r="G514">
        <v>7398</v>
      </c>
      <c r="H514" t="e">
        <v>#N/A</v>
      </c>
      <c r="I514" t="e">
        <v>#N/A</v>
      </c>
      <c r="J514" t="e">
        <v>#N/A</v>
      </c>
      <c r="K514" t="e">
        <v>#N/A</v>
      </c>
      <c r="L514">
        <v>63059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</row>
    <row r="515" spans="1:19" x14ac:dyDescent="0.25">
      <c r="A515" s="2">
        <v>31959</v>
      </c>
      <c r="B515">
        <v>112634</v>
      </c>
      <c r="C515" t="e">
        <v>#N/A</v>
      </c>
      <c r="D515" t="e">
        <v>#N/A</v>
      </c>
      <c r="E515" t="e">
        <v>#N/A</v>
      </c>
      <c r="F515" t="e">
        <v>#N/A</v>
      </c>
      <c r="G515">
        <v>7268</v>
      </c>
      <c r="H515" t="e">
        <v>#N/A</v>
      </c>
      <c r="I515" t="e">
        <v>#N/A</v>
      </c>
      <c r="J515" t="e">
        <v>#N/A</v>
      </c>
      <c r="K515" t="e">
        <v>#N/A</v>
      </c>
      <c r="L515">
        <v>62983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</row>
    <row r="516" spans="1:19" x14ac:dyDescent="0.25">
      <c r="A516" s="2">
        <v>31990</v>
      </c>
      <c r="B516">
        <v>113057</v>
      </c>
      <c r="C516" t="e">
        <v>#N/A</v>
      </c>
      <c r="D516" t="e">
        <v>#N/A</v>
      </c>
      <c r="E516" t="e">
        <v>#N/A</v>
      </c>
      <c r="F516" t="e">
        <v>#N/A</v>
      </c>
      <c r="G516">
        <v>7261</v>
      </c>
      <c r="H516" t="e">
        <v>#N/A</v>
      </c>
      <c r="I516" t="e">
        <v>#N/A</v>
      </c>
      <c r="J516" t="e">
        <v>#N/A</v>
      </c>
      <c r="K516" t="e">
        <v>#N/A</v>
      </c>
      <c r="L516">
        <v>62684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</row>
    <row r="517" spans="1:19" x14ac:dyDescent="0.25">
      <c r="A517" s="2">
        <v>32021</v>
      </c>
      <c r="B517">
        <v>112909</v>
      </c>
      <c r="C517" t="e">
        <v>#N/A</v>
      </c>
      <c r="D517" t="e">
        <v>#N/A</v>
      </c>
      <c r="E517" t="e">
        <v>#N/A</v>
      </c>
      <c r="F517" t="e">
        <v>#N/A</v>
      </c>
      <c r="G517">
        <v>7102</v>
      </c>
      <c r="H517" t="e">
        <v>#N/A</v>
      </c>
      <c r="I517" t="e">
        <v>#N/A</v>
      </c>
      <c r="J517" t="e">
        <v>#N/A</v>
      </c>
      <c r="K517" t="e">
        <v>#N/A</v>
      </c>
      <c r="L517">
        <v>63150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</row>
    <row r="518" spans="1:19" x14ac:dyDescent="0.25">
      <c r="A518" s="2">
        <v>32051</v>
      </c>
      <c r="B518">
        <v>113282</v>
      </c>
      <c r="C518" t="e">
        <v>#N/A</v>
      </c>
      <c r="D518" t="e">
        <v>#N/A</v>
      </c>
      <c r="E518" t="e">
        <v>#N/A</v>
      </c>
      <c r="F518" t="e">
        <v>#N/A</v>
      </c>
      <c r="G518">
        <v>7227</v>
      </c>
      <c r="H518" t="e">
        <v>#N/A</v>
      </c>
      <c r="I518" t="e">
        <v>#N/A</v>
      </c>
      <c r="J518" t="e">
        <v>#N/A</v>
      </c>
      <c r="K518" t="e">
        <v>#N/A</v>
      </c>
      <c r="L518">
        <v>62802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</row>
    <row r="519" spans="1:19" x14ac:dyDescent="0.25">
      <c r="A519" s="2">
        <v>32082</v>
      </c>
      <c r="B519">
        <v>113505</v>
      </c>
      <c r="C519" t="e">
        <v>#N/A</v>
      </c>
      <c r="D519" t="e">
        <v>#N/A</v>
      </c>
      <c r="E519" t="e">
        <v>#N/A</v>
      </c>
      <c r="F519" t="e">
        <v>#N/A</v>
      </c>
      <c r="G519">
        <v>7035</v>
      </c>
      <c r="H519" t="e">
        <v>#N/A</v>
      </c>
      <c r="I519" t="e">
        <v>#N/A</v>
      </c>
      <c r="J519" t="e">
        <v>#N/A</v>
      </c>
      <c r="K519" t="e">
        <v>#N/A</v>
      </c>
      <c r="L519">
        <v>62930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</row>
    <row r="520" spans="1:19" x14ac:dyDescent="0.25">
      <c r="A520" s="2">
        <v>32112</v>
      </c>
      <c r="B520">
        <v>113793</v>
      </c>
      <c r="C520" t="e">
        <v>#N/A</v>
      </c>
      <c r="D520" t="e">
        <v>#N/A</v>
      </c>
      <c r="E520" t="e">
        <v>#N/A</v>
      </c>
      <c r="F520" t="e">
        <v>#N/A</v>
      </c>
      <c r="G520">
        <v>6936</v>
      </c>
      <c r="H520" t="e">
        <v>#N/A</v>
      </c>
      <c r="I520" t="e">
        <v>#N/A</v>
      </c>
      <c r="J520" t="e">
        <v>#N/A</v>
      </c>
      <c r="K520" t="e">
        <v>#N/A</v>
      </c>
      <c r="L520">
        <v>62891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</row>
    <row r="521" spans="1:19" x14ac:dyDescent="0.25">
      <c r="A521" s="2" t="s">
        <v>50</v>
      </c>
      <c r="B521" t="e">
        <v>#N/A</v>
      </c>
      <c r="C521" t="e">
        <v>#N/A</v>
      </c>
      <c r="D521" t="e">
        <v>#N/A</v>
      </c>
      <c r="E521" t="e">
        <v>#N/A</v>
      </c>
      <c r="F521" t="e">
        <v>#N/A</v>
      </c>
      <c r="G521" t="e">
        <v>#N/A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</row>
    <row r="522" spans="1:19" x14ac:dyDescent="0.25">
      <c r="A522" s="2">
        <v>32143</v>
      </c>
      <c r="B522">
        <v>114016</v>
      </c>
      <c r="C522" t="e">
        <v>#N/A</v>
      </c>
      <c r="D522" t="e">
        <v>#N/A</v>
      </c>
      <c r="E522" t="e">
        <v>#N/A</v>
      </c>
      <c r="F522" t="e">
        <v>#N/A</v>
      </c>
      <c r="G522">
        <v>6953</v>
      </c>
      <c r="H522" t="e">
        <v>#N/A</v>
      </c>
      <c r="I522" t="e">
        <v>#N/A</v>
      </c>
      <c r="J522" t="e">
        <v>#N/A</v>
      </c>
      <c r="K522" t="e">
        <v>#N/A</v>
      </c>
      <c r="L522">
        <v>62853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</row>
    <row r="523" spans="1:19" x14ac:dyDescent="0.25">
      <c r="A523" s="2">
        <v>32174</v>
      </c>
      <c r="B523">
        <v>114227</v>
      </c>
      <c r="C523" t="e">
        <v>#N/A</v>
      </c>
      <c r="D523" t="e">
        <v>#N/A</v>
      </c>
      <c r="E523" t="e">
        <v>#N/A</v>
      </c>
      <c r="F523" t="e">
        <v>#N/A</v>
      </c>
      <c r="G523">
        <v>6929</v>
      </c>
      <c r="H523" t="e">
        <v>#N/A</v>
      </c>
      <c r="I523" t="e">
        <v>#N/A</v>
      </c>
      <c r="J523" t="e">
        <v>#N/A</v>
      </c>
      <c r="K523" t="e">
        <v>#N/A</v>
      </c>
      <c r="L523">
        <v>62813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</row>
    <row r="524" spans="1:19" x14ac:dyDescent="0.25">
      <c r="A524" s="2">
        <v>32203</v>
      </c>
      <c r="B524">
        <v>114037</v>
      </c>
      <c r="C524" t="e">
        <v>#N/A</v>
      </c>
      <c r="D524" t="e">
        <v>#N/A</v>
      </c>
      <c r="E524" t="e">
        <v>#N/A</v>
      </c>
      <c r="F524" t="e">
        <v>#N/A</v>
      </c>
      <c r="G524">
        <v>6876</v>
      </c>
      <c r="H524" t="e">
        <v>#N/A</v>
      </c>
      <c r="I524" t="e">
        <v>#N/A</v>
      </c>
      <c r="J524" t="e">
        <v>#N/A</v>
      </c>
      <c r="K524" t="e">
        <v>#N/A</v>
      </c>
      <c r="L524">
        <v>63198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</row>
    <row r="525" spans="1:19" x14ac:dyDescent="0.25">
      <c r="A525" s="2">
        <v>32234</v>
      </c>
      <c r="B525">
        <v>114650</v>
      </c>
      <c r="C525" t="e">
        <v>#N/A</v>
      </c>
      <c r="D525" t="e">
        <v>#N/A</v>
      </c>
      <c r="E525" t="e">
        <v>#N/A</v>
      </c>
      <c r="F525" t="e">
        <v>#N/A</v>
      </c>
      <c r="G525">
        <v>6601</v>
      </c>
      <c r="H525" t="e">
        <v>#N/A</v>
      </c>
      <c r="I525" t="e">
        <v>#N/A</v>
      </c>
      <c r="J525" t="e">
        <v>#N/A</v>
      </c>
      <c r="K525" t="e">
        <v>#N/A</v>
      </c>
      <c r="L525">
        <v>62981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</row>
    <row r="526" spans="1:19" x14ac:dyDescent="0.25">
      <c r="A526" s="2">
        <v>32264</v>
      </c>
      <c r="B526">
        <v>114292</v>
      </c>
      <c r="C526" t="e">
        <v>#N/A</v>
      </c>
      <c r="D526" t="e">
        <v>#N/A</v>
      </c>
      <c r="E526" t="e">
        <v>#N/A</v>
      </c>
      <c r="F526" t="e">
        <v>#N/A</v>
      </c>
      <c r="G526">
        <v>6779</v>
      </c>
      <c r="H526" t="e">
        <v>#N/A</v>
      </c>
      <c r="I526" t="e">
        <v>#N/A</v>
      </c>
      <c r="J526" t="e">
        <v>#N/A</v>
      </c>
      <c r="K526" t="e">
        <v>#N/A</v>
      </c>
      <c r="L526">
        <v>63303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</row>
    <row r="527" spans="1:19" x14ac:dyDescent="0.25">
      <c r="A527" s="2">
        <v>32295</v>
      </c>
      <c r="B527">
        <v>114927</v>
      </c>
      <c r="C527" t="e">
        <v>#N/A</v>
      </c>
      <c r="D527" t="e">
        <v>#N/A</v>
      </c>
      <c r="E527" t="e">
        <v>#N/A</v>
      </c>
      <c r="F527" t="e">
        <v>#N/A</v>
      </c>
      <c r="G527">
        <v>6546</v>
      </c>
      <c r="H527" t="e">
        <v>#N/A</v>
      </c>
      <c r="I527" t="e">
        <v>#N/A</v>
      </c>
      <c r="J527" t="e">
        <v>#N/A</v>
      </c>
      <c r="K527" t="e">
        <v>#N/A</v>
      </c>
      <c r="L527">
        <v>63089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</row>
    <row r="528" spans="1:19" x14ac:dyDescent="0.25">
      <c r="A528" s="2">
        <v>32325</v>
      </c>
      <c r="B528">
        <v>115060</v>
      </c>
      <c r="C528" t="e">
        <v>#N/A</v>
      </c>
      <c r="D528" t="e">
        <v>#N/A</v>
      </c>
      <c r="E528" t="e">
        <v>#N/A</v>
      </c>
      <c r="F528" t="e">
        <v>#N/A</v>
      </c>
      <c r="G528">
        <v>6605</v>
      </c>
      <c r="H528" t="e">
        <v>#N/A</v>
      </c>
      <c r="I528" t="e">
        <v>#N/A</v>
      </c>
      <c r="J528" t="e">
        <v>#N/A</v>
      </c>
      <c r="K528" t="e">
        <v>#N/A</v>
      </c>
      <c r="L528">
        <v>63064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</row>
    <row r="529" spans="1:19" x14ac:dyDescent="0.25">
      <c r="A529" s="2">
        <v>32356</v>
      </c>
      <c r="B529">
        <v>115282</v>
      </c>
      <c r="C529" t="e">
        <v>#N/A</v>
      </c>
      <c r="D529" t="e">
        <v>#N/A</v>
      </c>
      <c r="E529" t="e">
        <v>#N/A</v>
      </c>
      <c r="F529" t="e">
        <v>#N/A</v>
      </c>
      <c r="G529">
        <v>6843</v>
      </c>
      <c r="H529" t="e">
        <v>#N/A</v>
      </c>
      <c r="I529" t="e">
        <v>#N/A</v>
      </c>
      <c r="J529" t="e">
        <v>#N/A</v>
      </c>
      <c r="K529" t="e">
        <v>#N/A</v>
      </c>
      <c r="L529">
        <v>62705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</row>
    <row r="530" spans="1:19" x14ac:dyDescent="0.25">
      <c r="A530" s="2">
        <v>32387</v>
      </c>
      <c r="B530">
        <v>115356</v>
      </c>
      <c r="C530" t="e">
        <v>#N/A</v>
      </c>
      <c r="D530" t="e">
        <v>#N/A</v>
      </c>
      <c r="E530" t="e">
        <v>#N/A</v>
      </c>
      <c r="F530" t="e">
        <v>#N/A</v>
      </c>
      <c r="G530">
        <v>6604</v>
      </c>
      <c r="H530" t="e">
        <v>#N/A</v>
      </c>
      <c r="I530" t="e">
        <v>#N/A</v>
      </c>
      <c r="J530" t="e">
        <v>#N/A</v>
      </c>
      <c r="K530" t="e">
        <v>#N/A</v>
      </c>
      <c r="L530">
        <v>63002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</row>
    <row r="531" spans="1:19" x14ac:dyDescent="0.25">
      <c r="A531" s="2">
        <v>32417</v>
      </c>
      <c r="B531">
        <v>115638</v>
      </c>
      <c r="C531" t="e">
        <v>#N/A</v>
      </c>
      <c r="D531" t="e">
        <v>#N/A</v>
      </c>
      <c r="E531" t="e">
        <v>#N/A</v>
      </c>
      <c r="F531" t="e">
        <v>#N/A</v>
      </c>
      <c r="G531">
        <v>6568</v>
      </c>
      <c r="H531" t="e">
        <v>#N/A</v>
      </c>
      <c r="I531" t="e">
        <v>#N/A</v>
      </c>
      <c r="J531" t="e">
        <v>#N/A</v>
      </c>
      <c r="K531" t="e">
        <v>#N/A</v>
      </c>
      <c r="L531">
        <v>62908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</row>
    <row r="532" spans="1:19" x14ac:dyDescent="0.25">
      <c r="A532" s="2">
        <v>32448</v>
      </c>
      <c r="B532">
        <v>116100</v>
      </c>
      <c r="C532" t="e">
        <v>#N/A</v>
      </c>
      <c r="D532" t="e">
        <v>#N/A</v>
      </c>
      <c r="E532" t="e">
        <v>#N/A</v>
      </c>
      <c r="F532" t="e">
        <v>#N/A</v>
      </c>
      <c r="G532">
        <v>6537</v>
      </c>
      <c r="H532" t="e">
        <v>#N/A</v>
      </c>
      <c r="I532" t="e">
        <v>#N/A</v>
      </c>
      <c r="J532" t="e">
        <v>#N/A</v>
      </c>
      <c r="K532" t="e">
        <v>#N/A</v>
      </c>
      <c r="L532">
        <v>62607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</row>
    <row r="533" spans="1:19" x14ac:dyDescent="0.25">
      <c r="A533" s="2">
        <v>32478</v>
      </c>
      <c r="B533">
        <v>116104</v>
      </c>
      <c r="C533" t="e">
        <v>#N/A</v>
      </c>
      <c r="D533" t="e">
        <v>#N/A</v>
      </c>
      <c r="E533" t="e">
        <v>#N/A</v>
      </c>
      <c r="F533" t="e">
        <v>#N/A</v>
      </c>
      <c r="G533">
        <v>6518</v>
      </c>
      <c r="H533" t="e">
        <v>#N/A</v>
      </c>
      <c r="I533" t="e">
        <v>#N/A</v>
      </c>
      <c r="J533" t="e">
        <v>#N/A</v>
      </c>
      <c r="K533" t="e">
        <v>#N/A</v>
      </c>
      <c r="L533">
        <v>62780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</row>
    <row r="534" spans="1:19" x14ac:dyDescent="0.25">
      <c r="A534" s="2" t="s">
        <v>51</v>
      </c>
      <c r="B534" t="e">
        <v>#N/A</v>
      </c>
      <c r="C534" t="e">
        <v>#N/A</v>
      </c>
      <c r="D534" t="e">
        <v>#N/A</v>
      </c>
      <c r="E534" t="e">
        <v>#N/A</v>
      </c>
      <c r="F534" t="e">
        <v>#N/A</v>
      </c>
      <c r="G534" t="e">
        <v>#N/A</v>
      </c>
      <c r="H534" t="e">
        <v>#N/A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</row>
    <row r="535" spans="1:19" x14ac:dyDescent="0.25">
      <c r="A535" s="2">
        <v>32509</v>
      </c>
      <c r="B535">
        <v>116708</v>
      </c>
      <c r="C535" t="e">
        <v>#N/A</v>
      </c>
      <c r="D535" t="e">
        <v>#N/A</v>
      </c>
      <c r="E535" t="e">
        <v>#N/A</v>
      </c>
      <c r="F535" t="e">
        <v>#N/A</v>
      </c>
      <c r="G535">
        <v>6682</v>
      </c>
      <c r="H535" t="e">
        <v>#N/A</v>
      </c>
      <c r="I535" t="e">
        <v>#N/A</v>
      </c>
      <c r="J535" t="e">
        <v>#N/A</v>
      </c>
      <c r="K535" t="e">
        <v>#N/A</v>
      </c>
      <c r="L535">
        <v>62254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</row>
    <row r="536" spans="1:19" x14ac:dyDescent="0.25">
      <c r="A536" s="2">
        <v>32540</v>
      </c>
      <c r="B536">
        <v>116776</v>
      </c>
      <c r="C536" t="e">
        <v>#N/A</v>
      </c>
      <c r="D536" t="e">
        <v>#N/A</v>
      </c>
      <c r="E536" t="e">
        <v>#N/A</v>
      </c>
      <c r="F536" t="e">
        <v>#N/A</v>
      </c>
      <c r="G536">
        <v>6359</v>
      </c>
      <c r="H536" t="e">
        <v>#N/A</v>
      </c>
      <c r="I536" t="e">
        <v>#N/A</v>
      </c>
      <c r="J536" t="e">
        <v>#N/A</v>
      </c>
      <c r="K536" t="e">
        <v>#N/A</v>
      </c>
      <c r="L536">
        <v>62642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</row>
    <row r="537" spans="1:19" x14ac:dyDescent="0.25">
      <c r="A537" s="2">
        <v>32568</v>
      </c>
      <c r="B537">
        <v>117022</v>
      </c>
      <c r="C537" t="e">
        <v>#N/A</v>
      </c>
      <c r="D537" t="e">
        <v>#N/A</v>
      </c>
      <c r="E537" t="e">
        <v>#N/A</v>
      </c>
      <c r="F537" t="e">
        <v>#N/A</v>
      </c>
      <c r="G537">
        <v>6205</v>
      </c>
      <c r="H537" t="e">
        <v>#N/A</v>
      </c>
      <c r="I537" t="e">
        <v>#N/A</v>
      </c>
      <c r="J537" t="e">
        <v>#N/A</v>
      </c>
      <c r="K537" t="e">
        <v>#N/A</v>
      </c>
      <c r="L537">
        <v>62670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</row>
    <row r="538" spans="1:19" x14ac:dyDescent="0.25">
      <c r="A538" s="2">
        <v>32599</v>
      </c>
      <c r="B538">
        <v>117097</v>
      </c>
      <c r="C538" t="e">
        <v>#N/A</v>
      </c>
      <c r="D538" t="e">
        <v>#N/A</v>
      </c>
      <c r="E538" t="e">
        <v>#N/A</v>
      </c>
      <c r="F538" t="e">
        <v>#N/A</v>
      </c>
      <c r="G538">
        <v>6468</v>
      </c>
      <c r="H538" t="e">
        <v>#N/A</v>
      </c>
      <c r="I538" t="e">
        <v>#N/A</v>
      </c>
      <c r="J538" t="e">
        <v>#N/A</v>
      </c>
      <c r="K538" t="e">
        <v>#N/A</v>
      </c>
      <c r="L538">
        <v>62459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</row>
    <row r="539" spans="1:19" x14ac:dyDescent="0.25">
      <c r="A539" s="2">
        <v>32629</v>
      </c>
      <c r="B539">
        <v>117099</v>
      </c>
      <c r="C539" t="e">
        <v>#N/A</v>
      </c>
      <c r="D539" t="e">
        <v>#N/A</v>
      </c>
      <c r="E539" t="e">
        <v>#N/A</v>
      </c>
      <c r="F539" t="e">
        <v>#N/A</v>
      </c>
      <c r="G539">
        <v>6375</v>
      </c>
      <c r="H539" t="e">
        <v>#N/A</v>
      </c>
      <c r="I539" t="e">
        <v>#N/A</v>
      </c>
      <c r="J539" t="e">
        <v>#N/A</v>
      </c>
      <c r="K539" t="e">
        <v>#N/A</v>
      </c>
      <c r="L539">
        <v>62707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</row>
    <row r="540" spans="1:19" x14ac:dyDescent="0.25">
      <c r="A540" s="2">
        <v>32660</v>
      </c>
      <c r="B540">
        <v>117418</v>
      </c>
      <c r="C540" t="e">
        <v>#N/A</v>
      </c>
      <c r="D540" t="e">
        <v>#N/A</v>
      </c>
      <c r="E540" t="e">
        <v>#N/A</v>
      </c>
      <c r="F540" t="e">
        <v>#N/A</v>
      </c>
      <c r="G540">
        <v>6577</v>
      </c>
      <c r="H540" t="e">
        <v>#N/A</v>
      </c>
      <c r="I540" t="e">
        <v>#N/A</v>
      </c>
      <c r="J540" t="e">
        <v>#N/A</v>
      </c>
      <c r="K540" t="e">
        <v>#N/A</v>
      </c>
      <c r="L540">
        <v>62334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</row>
    <row r="541" spans="1:19" x14ac:dyDescent="0.25">
      <c r="A541" s="2">
        <v>32690</v>
      </c>
      <c r="B541">
        <v>117472</v>
      </c>
      <c r="C541" t="e">
        <v>#N/A</v>
      </c>
      <c r="D541" t="e">
        <v>#N/A</v>
      </c>
      <c r="E541" t="e">
        <v>#N/A</v>
      </c>
      <c r="F541" t="e">
        <v>#N/A</v>
      </c>
      <c r="G541">
        <v>6495</v>
      </c>
      <c r="H541" t="e">
        <v>#N/A</v>
      </c>
      <c r="I541" t="e">
        <v>#N/A</v>
      </c>
      <c r="J541" t="e">
        <v>#N/A</v>
      </c>
      <c r="K541" t="e">
        <v>#N/A</v>
      </c>
      <c r="L541">
        <v>62516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</row>
    <row r="542" spans="1:19" x14ac:dyDescent="0.25">
      <c r="A542" s="2">
        <v>32721</v>
      </c>
      <c r="B542">
        <v>117655</v>
      </c>
      <c r="C542" t="e">
        <v>#N/A</v>
      </c>
      <c r="D542" t="e">
        <v>#N/A</v>
      </c>
      <c r="E542" t="e">
        <v>#N/A</v>
      </c>
      <c r="F542" t="e">
        <v>#N/A</v>
      </c>
      <c r="G542">
        <v>6511</v>
      </c>
      <c r="H542" t="e">
        <v>#N/A</v>
      </c>
      <c r="I542" t="e">
        <v>#N/A</v>
      </c>
      <c r="J542" t="e">
        <v>#N/A</v>
      </c>
      <c r="K542" t="e">
        <v>#N/A</v>
      </c>
      <c r="L542">
        <v>62432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</row>
    <row r="543" spans="1:19" x14ac:dyDescent="0.25">
      <c r="A543" s="2">
        <v>32752</v>
      </c>
      <c r="B543">
        <v>117354</v>
      </c>
      <c r="C543" t="e">
        <v>#N/A</v>
      </c>
      <c r="D543" t="e">
        <v>#N/A</v>
      </c>
      <c r="E543" t="e">
        <v>#N/A</v>
      </c>
      <c r="F543" t="e">
        <v>#N/A</v>
      </c>
      <c r="G543">
        <v>6590</v>
      </c>
      <c r="H543" t="e">
        <v>#N/A</v>
      </c>
      <c r="I543" t="e">
        <v>#N/A</v>
      </c>
      <c r="J543" t="e">
        <v>#N/A</v>
      </c>
      <c r="K543" t="e">
        <v>#N/A</v>
      </c>
      <c r="L543">
        <v>62782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</row>
    <row r="544" spans="1:19" x14ac:dyDescent="0.25">
      <c r="A544" s="2">
        <v>32782</v>
      </c>
      <c r="B544">
        <v>117581</v>
      </c>
      <c r="C544" t="e">
        <v>#N/A</v>
      </c>
      <c r="D544" t="e">
        <v>#N/A</v>
      </c>
      <c r="E544" t="e">
        <v>#N/A</v>
      </c>
      <c r="F544" t="e">
        <v>#N/A</v>
      </c>
      <c r="G544">
        <v>6630</v>
      </c>
      <c r="H544" t="e">
        <v>#N/A</v>
      </c>
      <c r="I544" t="e">
        <v>#N/A</v>
      </c>
      <c r="J544" t="e">
        <v>#N/A</v>
      </c>
      <c r="K544" t="e">
        <v>#N/A</v>
      </c>
      <c r="L544">
        <v>62660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</row>
    <row r="545" spans="1:19" x14ac:dyDescent="0.25">
      <c r="A545" s="2">
        <v>32813</v>
      </c>
      <c r="B545">
        <v>117912</v>
      </c>
      <c r="C545" t="e">
        <v>#N/A</v>
      </c>
      <c r="D545" t="e">
        <v>#N/A</v>
      </c>
      <c r="E545" t="e">
        <v>#N/A</v>
      </c>
      <c r="F545" t="e">
        <v>#N/A</v>
      </c>
      <c r="G545">
        <v>6725</v>
      </c>
      <c r="H545" t="e">
        <v>#N/A</v>
      </c>
      <c r="I545" t="e">
        <v>#N/A</v>
      </c>
      <c r="J545" t="e">
        <v>#N/A</v>
      </c>
      <c r="K545" t="e">
        <v>#N/A</v>
      </c>
      <c r="L545">
        <v>62380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</row>
    <row r="546" spans="1:19" x14ac:dyDescent="0.25">
      <c r="A546" s="2">
        <v>32843</v>
      </c>
      <c r="B546">
        <v>117830</v>
      </c>
      <c r="C546" t="e">
        <v>#N/A</v>
      </c>
      <c r="D546" t="e">
        <v>#N/A</v>
      </c>
      <c r="E546" t="e">
        <v>#N/A</v>
      </c>
      <c r="F546" t="e">
        <v>#N/A</v>
      </c>
      <c r="G546">
        <v>6667</v>
      </c>
      <c r="H546" t="e">
        <v>#N/A</v>
      </c>
      <c r="I546" t="e">
        <v>#N/A</v>
      </c>
      <c r="J546" t="e">
        <v>#N/A</v>
      </c>
      <c r="K546" t="e">
        <v>#N/A</v>
      </c>
      <c r="L546">
        <v>62668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</row>
    <row r="547" spans="1:19" x14ac:dyDescent="0.25">
      <c r="A547" s="2" t="s">
        <v>52</v>
      </c>
      <c r="B547" t="e">
        <v>#N/A</v>
      </c>
      <c r="C547" t="e">
        <v>#N/A</v>
      </c>
      <c r="D547" t="e">
        <v>#N/A</v>
      </c>
      <c r="E547" t="e">
        <v>#N/A</v>
      </c>
      <c r="F547" t="e">
        <v>#N/A</v>
      </c>
      <c r="G547" t="e">
        <v>#N/A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</row>
    <row r="548" spans="1:19" x14ac:dyDescent="0.25">
      <c r="A548" s="2">
        <v>32874</v>
      </c>
      <c r="B548">
        <v>119081</v>
      </c>
      <c r="C548" t="e">
        <v>#N/A</v>
      </c>
      <c r="D548" t="e">
        <v>#N/A</v>
      </c>
      <c r="E548" t="e">
        <v>#N/A</v>
      </c>
      <c r="F548" t="e">
        <v>#N/A</v>
      </c>
      <c r="G548">
        <v>6752</v>
      </c>
      <c r="H548" t="e">
        <v>#N/A</v>
      </c>
      <c r="I548" t="e">
        <v>#N/A</v>
      </c>
      <c r="J548" t="e">
        <v>#N/A</v>
      </c>
      <c r="K548" t="e">
        <v>#N/A</v>
      </c>
      <c r="L548">
        <v>62580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</row>
    <row r="549" spans="1:19" x14ac:dyDescent="0.25">
      <c r="A549" s="2">
        <v>32905</v>
      </c>
      <c r="B549">
        <v>119059</v>
      </c>
      <c r="C549">
        <v>113650</v>
      </c>
      <c r="D549">
        <v>2152</v>
      </c>
      <c r="E549">
        <v>3204</v>
      </c>
      <c r="F549">
        <v>53</v>
      </c>
      <c r="G549">
        <v>6651</v>
      </c>
      <c r="H549">
        <v>1823</v>
      </c>
      <c r="I549">
        <v>3238</v>
      </c>
      <c r="J549">
        <v>1573</v>
      </c>
      <c r="K549">
        <v>16</v>
      </c>
      <c r="L549">
        <v>62806</v>
      </c>
      <c r="M549">
        <v>3583</v>
      </c>
      <c r="N549">
        <v>1360</v>
      </c>
      <c r="O549">
        <v>57654</v>
      </c>
      <c r="P549">
        <v>210</v>
      </c>
      <c r="Q549">
        <v>25</v>
      </c>
      <c r="R549">
        <v>2</v>
      </c>
      <c r="S549">
        <v>149</v>
      </c>
    </row>
    <row r="550" spans="1:19" x14ac:dyDescent="0.25">
      <c r="A550" s="2">
        <v>32933</v>
      </c>
      <c r="B550">
        <v>119203</v>
      </c>
      <c r="C550">
        <v>113910</v>
      </c>
      <c r="D550">
        <v>1964</v>
      </c>
      <c r="E550">
        <v>3244</v>
      </c>
      <c r="F550">
        <v>85</v>
      </c>
      <c r="G550">
        <v>6598</v>
      </c>
      <c r="H550">
        <v>1764</v>
      </c>
      <c r="I550">
        <v>3219</v>
      </c>
      <c r="J550">
        <v>1604</v>
      </c>
      <c r="K550">
        <v>11</v>
      </c>
      <c r="L550">
        <v>62829</v>
      </c>
      <c r="M550">
        <v>3367</v>
      </c>
      <c r="N550">
        <v>1466</v>
      </c>
      <c r="O550">
        <v>57812</v>
      </c>
      <c r="P550">
        <v>184</v>
      </c>
      <c r="Q550">
        <v>18</v>
      </c>
      <c r="R550">
        <v>1</v>
      </c>
      <c r="S550">
        <v>147</v>
      </c>
    </row>
    <row r="551" spans="1:19" x14ac:dyDescent="0.25">
      <c r="A551" s="2">
        <v>32964</v>
      </c>
      <c r="B551">
        <v>118852</v>
      </c>
      <c r="C551">
        <v>113817</v>
      </c>
      <c r="D551">
        <v>1801</v>
      </c>
      <c r="E551">
        <v>3148</v>
      </c>
      <c r="F551">
        <v>87</v>
      </c>
      <c r="G551">
        <v>6797</v>
      </c>
      <c r="H551">
        <v>1873</v>
      </c>
      <c r="I551">
        <v>3402</v>
      </c>
      <c r="J551">
        <v>1510</v>
      </c>
      <c r="K551">
        <v>12</v>
      </c>
      <c r="L551">
        <v>63129</v>
      </c>
      <c r="M551">
        <v>3495</v>
      </c>
      <c r="N551">
        <v>1394</v>
      </c>
      <c r="O551">
        <v>58024</v>
      </c>
      <c r="P551">
        <v>216</v>
      </c>
      <c r="Q551">
        <v>18</v>
      </c>
      <c r="R551">
        <v>1</v>
      </c>
      <c r="S551">
        <v>147</v>
      </c>
    </row>
    <row r="552" spans="1:19" x14ac:dyDescent="0.25">
      <c r="A552" s="2">
        <v>32994</v>
      </c>
      <c r="B552">
        <v>119151</v>
      </c>
      <c r="C552">
        <v>114028</v>
      </c>
      <c r="D552">
        <v>1931</v>
      </c>
      <c r="E552">
        <v>3119</v>
      </c>
      <c r="F552">
        <v>73</v>
      </c>
      <c r="G552">
        <v>6742</v>
      </c>
      <c r="H552">
        <v>1676</v>
      </c>
      <c r="I552">
        <v>3551</v>
      </c>
      <c r="J552">
        <v>1496</v>
      </c>
      <c r="K552">
        <v>20</v>
      </c>
      <c r="L552">
        <v>63020</v>
      </c>
      <c r="M552">
        <v>3125</v>
      </c>
      <c r="N552">
        <v>1313</v>
      </c>
      <c r="O552">
        <v>58364</v>
      </c>
      <c r="P552">
        <v>217</v>
      </c>
      <c r="Q552">
        <v>23</v>
      </c>
      <c r="R552">
        <v>2</v>
      </c>
      <c r="S552">
        <v>151</v>
      </c>
    </row>
    <row r="553" spans="1:19" x14ac:dyDescent="0.25">
      <c r="A553" s="2">
        <v>33025</v>
      </c>
      <c r="B553">
        <v>118983</v>
      </c>
      <c r="C553">
        <v>113970</v>
      </c>
      <c r="D553">
        <v>1945</v>
      </c>
      <c r="E553">
        <v>2986</v>
      </c>
      <c r="F553">
        <v>81</v>
      </c>
      <c r="G553">
        <v>6590</v>
      </c>
      <c r="H553">
        <v>1771</v>
      </c>
      <c r="I553">
        <v>3402</v>
      </c>
      <c r="J553">
        <v>1381</v>
      </c>
      <c r="K553">
        <v>36</v>
      </c>
      <c r="L553">
        <v>63485</v>
      </c>
      <c r="M553">
        <v>3389</v>
      </c>
      <c r="N553">
        <v>1393</v>
      </c>
      <c r="O553">
        <v>58502</v>
      </c>
      <c r="P553">
        <v>201</v>
      </c>
      <c r="Q553">
        <v>21</v>
      </c>
      <c r="R553">
        <v>1</v>
      </c>
      <c r="S553">
        <v>149</v>
      </c>
    </row>
    <row r="554" spans="1:19" x14ac:dyDescent="0.25">
      <c r="A554" s="2">
        <v>33055</v>
      </c>
      <c r="B554">
        <v>118810</v>
      </c>
      <c r="C554">
        <v>113702</v>
      </c>
      <c r="D554">
        <v>1818</v>
      </c>
      <c r="E554">
        <v>3193</v>
      </c>
      <c r="F554">
        <v>97</v>
      </c>
      <c r="G554">
        <v>6922</v>
      </c>
      <c r="H554">
        <v>1941</v>
      </c>
      <c r="I554">
        <v>3379</v>
      </c>
      <c r="J554">
        <v>1566</v>
      </c>
      <c r="K554">
        <v>36</v>
      </c>
      <c r="L554">
        <v>63456</v>
      </c>
      <c r="M554">
        <v>3297</v>
      </c>
      <c r="N554">
        <v>1391</v>
      </c>
      <c r="O554">
        <v>58571</v>
      </c>
      <c r="P554">
        <v>197</v>
      </c>
      <c r="Q554">
        <v>42</v>
      </c>
      <c r="R554">
        <v>3</v>
      </c>
      <c r="S554">
        <v>155</v>
      </c>
    </row>
    <row r="555" spans="1:19" x14ac:dyDescent="0.25">
      <c r="A555" s="2">
        <v>33086</v>
      </c>
      <c r="B555">
        <v>118802</v>
      </c>
      <c r="C555">
        <v>113809</v>
      </c>
      <c r="D555">
        <v>1940</v>
      </c>
      <c r="E555">
        <v>2961</v>
      </c>
      <c r="F555">
        <v>92</v>
      </c>
      <c r="G555">
        <v>7188</v>
      </c>
      <c r="H555">
        <v>1877</v>
      </c>
      <c r="I555">
        <v>3625</v>
      </c>
      <c r="J555">
        <v>1658</v>
      </c>
      <c r="K555">
        <v>28</v>
      </c>
      <c r="L555">
        <v>63352</v>
      </c>
      <c r="M555">
        <v>3106</v>
      </c>
      <c r="N555">
        <v>1355</v>
      </c>
      <c r="O555">
        <v>58690</v>
      </c>
      <c r="P555">
        <v>201</v>
      </c>
      <c r="Q555">
        <v>19</v>
      </c>
      <c r="R555">
        <v>1</v>
      </c>
      <c r="S555">
        <v>147</v>
      </c>
    </row>
    <row r="556" spans="1:19" x14ac:dyDescent="0.25">
      <c r="A556" s="2">
        <v>33117</v>
      </c>
      <c r="B556">
        <v>118524</v>
      </c>
      <c r="C556">
        <v>113676</v>
      </c>
      <c r="D556">
        <v>1764</v>
      </c>
      <c r="E556">
        <v>2975</v>
      </c>
      <c r="F556">
        <v>110</v>
      </c>
      <c r="G556">
        <v>7368</v>
      </c>
      <c r="H556">
        <v>1752</v>
      </c>
      <c r="I556">
        <v>4045</v>
      </c>
      <c r="J556">
        <v>1559</v>
      </c>
      <c r="K556">
        <v>12</v>
      </c>
      <c r="L556">
        <v>63636</v>
      </c>
      <c r="M556">
        <v>3356</v>
      </c>
      <c r="N556">
        <v>1378</v>
      </c>
      <c r="O556">
        <v>58671</v>
      </c>
      <c r="P556">
        <v>232</v>
      </c>
      <c r="Q556">
        <v>19</v>
      </c>
      <c r="R556">
        <v>1</v>
      </c>
      <c r="S556">
        <v>147</v>
      </c>
    </row>
    <row r="557" spans="1:19" x14ac:dyDescent="0.25">
      <c r="A557" s="2">
        <v>33147</v>
      </c>
      <c r="B557">
        <v>118536</v>
      </c>
      <c r="C557">
        <v>113367</v>
      </c>
      <c r="D557">
        <v>2029</v>
      </c>
      <c r="E557">
        <v>3032</v>
      </c>
      <c r="F557">
        <v>108</v>
      </c>
      <c r="G557">
        <v>7459</v>
      </c>
      <c r="H557">
        <v>1902</v>
      </c>
      <c r="I557">
        <v>3924</v>
      </c>
      <c r="J557">
        <v>1613</v>
      </c>
      <c r="K557">
        <v>19</v>
      </c>
      <c r="L557">
        <v>63715</v>
      </c>
      <c r="M557">
        <v>3236</v>
      </c>
      <c r="N557">
        <v>1413</v>
      </c>
      <c r="O557">
        <v>58843</v>
      </c>
      <c r="P557">
        <v>222</v>
      </c>
      <c r="Q557">
        <v>19</v>
      </c>
      <c r="R557">
        <v>1</v>
      </c>
      <c r="S557">
        <v>148</v>
      </c>
    </row>
    <row r="558" spans="1:19" x14ac:dyDescent="0.25">
      <c r="A558" s="2">
        <v>33178</v>
      </c>
      <c r="B558">
        <v>118306</v>
      </c>
      <c r="C558">
        <v>113166</v>
      </c>
      <c r="D558">
        <v>1975</v>
      </c>
      <c r="E558">
        <v>3092</v>
      </c>
      <c r="F558">
        <v>73</v>
      </c>
      <c r="G558">
        <v>7764</v>
      </c>
      <c r="H558">
        <v>2034</v>
      </c>
      <c r="I558">
        <v>4027</v>
      </c>
      <c r="J558">
        <v>1668</v>
      </c>
      <c r="K558">
        <v>35</v>
      </c>
      <c r="L558">
        <v>63802</v>
      </c>
      <c r="M558">
        <v>3308</v>
      </c>
      <c r="N558">
        <v>1455</v>
      </c>
      <c r="O558">
        <v>58804</v>
      </c>
      <c r="P558">
        <v>233</v>
      </c>
      <c r="Q558">
        <v>28</v>
      </c>
      <c r="R558">
        <v>2</v>
      </c>
      <c r="S558">
        <v>151</v>
      </c>
    </row>
    <row r="559" spans="1:19" x14ac:dyDescent="0.25">
      <c r="A559" s="2">
        <v>33208</v>
      </c>
      <c r="B559">
        <v>118241</v>
      </c>
      <c r="C559">
        <v>113229</v>
      </c>
      <c r="D559">
        <v>1963</v>
      </c>
      <c r="E559">
        <v>2962</v>
      </c>
      <c r="F559">
        <v>87</v>
      </c>
      <c r="G559">
        <v>7901</v>
      </c>
      <c r="H559">
        <v>1874</v>
      </c>
      <c r="I559">
        <v>4310</v>
      </c>
      <c r="J559">
        <v>1692</v>
      </c>
      <c r="K559">
        <v>26</v>
      </c>
      <c r="L559">
        <v>63875</v>
      </c>
      <c r="M559">
        <v>3185</v>
      </c>
      <c r="N559">
        <v>1490</v>
      </c>
      <c r="O559">
        <v>58998</v>
      </c>
      <c r="P559">
        <v>201</v>
      </c>
      <c r="Q559">
        <v>19</v>
      </c>
      <c r="R559">
        <v>1</v>
      </c>
      <c r="S559">
        <v>148</v>
      </c>
    </row>
    <row r="560" spans="1:19" x14ac:dyDescent="0.25">
      <c r="A560" s="2" t="s">
        <v>53</v>
      </c>
      <c r="B560" t="e">
        <v>#N/A</v>
      </c>
      <c r="C560" t="e">
        <v>#N/A</v>
      </c>
      <c r="D560" t="e">
        <v>#N/A</v>
      </c>
      <c r="E560" t="e">
        <v>#N/A</v>
      </c>
      <c r="F560" t="e">
        <v>#N/A</v>
      </c>
      <c r="G560" t="e">
        <v>#N/A</v>
      </c>
      <c r="H560" t="e">
        <v>#N/A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</row>
    <row r="561" spans="1:19" x14ac:dyDescent="0.25">
      <c r="A561" s="2">
        <v>33239</v>
      </c>
      <c r="B561">
        <v>117940</v>
      </c>
      <c r="C561">
        <v>113007</v>
      </c>
      <c r="D561">
        <v>2016</v>
      </c>
      <c r="E561">
        <v>2836</v>
      </c>
      <c r="F561">
        <v>81</v>
      </c>
      <c r="G561">
        <v>8015</v>
      </c>
      <c r="H561">
        <v>1978</v>
      </c>
      <c r="I561">
        <v>4302</v>
      </c>
      <c r="J561">
        <v>1698</v>
      </c>
      <c r="K561">
        <v>37</v>
      </c>
      <c r="L561">
        <v>64208</v>
      </c>
      <c r="M561">
        <v>3237</v>
      </c>
      <c r="N561">
        <v>1582</v>
      </c>
      <c r="O561">
        <v>59193</v>
      </c>
      <c r="P561">
        <v>195</v>
      </c>
      <c r="Q561">
        <v>19</v>
      </c>
      <c r="R561">
        <v>1</v>
      </c>
      <c r="S561">
        <v>148</v>
      </c>
    </row>
    <row r="562" spans="1:19" x14ac:dyDescent="0.25">
      <c r="A562" s="2">
        <v>33270</v>
      </c>
      <c r="B562">
        <v>117755</v>
      </c>
      <c r="C562">
        <v>112786</v>
      </c>
      <c r="D562">
        <v>2043</v>
      </c>
      <c r="E562">
        <v>2857</v>
      </c>
      <c r="F562">
        <v>69</v>
      </c>
      <c r="G562">
        <v>8265</v>
      </c>
      <c r="H562">
        <v>2084</v>
      </c>
      <c r="I562">
        <v>4446</v>
      </c>
      <c r="J562">
        <v>1718</v>
      </c>
      <c r="K562">
        <v>17</v>
      </c>
      <c r="L562">
        <v>64251</v>
      </c>
      <c r="M562">
        <v>3022</v>
      </c>
      <c r="N562">
        <v>1522</v>
      </c>
      <c r="O562">
        <v>59474</v>
      </c>
      <c r="P562">
        <v>233</v>
      </c>
      <c r="Q562">
        <v>49</v>
      </c>
      <c r="R562">
        <v>3</v>
      </c>
      <c r="S562">
        <v>158</v>
      </c>
    </row>
    <row r="563" spans="1:19" x14ac:dyDescent="0.25">
      <c r="A563" s="2">
        <v>33298</v>
      </c>
      <c r="B563">
        <v>117652</v>
      </c>
      <c r="C563">
        <v>112522</v>
      </c>
      <c r="D563">
        <v>2091</v>
      </c>
      <c r="E563">
        <v>2982</v>
      </c>
      <c r="F563">
        <v>56</v>
      </c>
      <c r="G563">
        <v>8586</v>
      </c>
      <c r="H563">
        <v>2130</v>
      </c>
      <c r="I563">
        <v>4662</v>
      </c>
      <c r="J563">
        <v>1774</v>
      </c>
      <c r="K563">
        <v>21</v>
      </c>
      <c r="L563">
        <v>64143</v>
      </c>
      <c r="M563">
        <v>3082</v>
      </c>
      <c r="N563">
        <v>1510</v>
      </c>
      <c r="O563">
        <v>59345</v>
      </c>
      <c r="P563">
        <v>206</v>
      </c>
      <c r="Q563">
        <v>22</v>
      </c>
      <c r="R563">
        <v>2</v>
      </c>
      <c r="S563">
        <v>149</v>
      </c>
    </row>
    <row r="564" spans="1:19" x14ac:dyDescent="0.25">
      <c r="A564" s="2">
        <v>33329</v>
      </c>
      <c r="B564">
        <v>118109</v>
      </c>
      <c r="C564">
        <v>112720</v>
      </c>
      <c r="D564">
        <v>2341</v>
      </c>
      <c r="E564">
        <v>2972</v>
      </c>
      <c r="F564">
        <v>76</v>
      </c>
      <c r="G564">
        <v>8439</v>
      </c>
      <c r="H564">
        <v>1956</v>
      </c>
      <c r="I564">
        <v>4751</v>
      </c>
      <c r="J564">
        <v>1705</v>
      </c>
      <c r="K564">
        <v>28</v>
      </c>
      <c r="L564">
        <v>63969</v>
      </c>
      <c r="M564">
        <v>2958</v>
      </c>
      <c r="N564">
        <v>1493</v>
      </c>
      <c r="O564">
        <v>59318</v>
      </c>
      <c r="P564">
        <v>199</v>
      </c>
      <c r="Q564">
        <v>19</v>
      </c>
      <c r="R564">
        <v>1</v>
      </c>
      <c r="S564">
        <v>148</v>
      </c>
    </row>
    <row r="565" spans="1:19" x14ac:dyDescent="0.25">
      <c r="A565" s="2">
        <v>33359</v>
      </c>
      <c r="B565">
        <v>117440</v>
      </c>
      <c r="C565">
        <v>112657</v>
      </c>
      <c r="D565">
        <v>1979</v>
      </c>
      <c r="E565">
        <v>2736</v>
      </c>
      <c r="F565">
        <v>68</v>
      </c>
      <c r="G565">
        <v>8736</v>
      </c>
      <c r="H565">
        <v>2077</v>
      </c>
      <c r="I565">
        <v>4846</v>
      </c>
      <c r="J565">
        <v>1789</v>
      </c>
      <c r="K565">
        <v>24</v>
      </c>
      <c r="L565">
        <v>64474</v>
      </c>
      <c r="M565">
        <v>3356</v>
      </c>
      <c r="N565">
        <v>1613</v>
      </c>
      <c r="O565">
        <v>59294</v>
      </c>
      <c r="P565">
        <v>209</v>
      </c>
      <c r="Q565">
        <v>19</v>
      </c>
      <c r="R565">
        <v>1</v>
      </c>
      <c r="S565">
        <v>148</v>
      </c>
    </row>
    <row r="566" spans="1:19" x14ac:dyDescent="0.25">
      <c r="A566" s="2">
        <v>33390</v>
      </c>
      <c r="B566">
        <v>117639</v>
      </c>
      <c r="C566">
        <v>112342</v>
      </c>
      <c r="D566">
        <v>2199</v>
      </c>
      <c r="E566">
        <v>2993</v>
      </c>
      <c r="F566">
        <v>105</v>
      </c>
      <c r="G566">
        <v>8692</v>
      </c>
      <c r="H566">
        <v>1909</v>
      </c>
      <c r="I566">
        <v>4924</v>
      </c>
      <c r="J566">
        <v>1834</v>
      </c>
      <c r="K566">
        <v>25</v>
      </c>
      <c r="L566">
        <v>64469</v>
      </c>
      <c r="M566">
        <v>3170</v>
      </c>
      <c r="N566">
        <v>1612</v>
      </c>
      <c r="O566">
        <v>59498</v>
      </c>
      <c r="P566">
        <v>190</v>
      </c>
      <c r="Q566">
        <v>19</v>
      </c>
      <c r="R566">
        <v>1</v>
      </c>
      <c r="S566">
        <v>149</v>
      </c>
    </row>
    <row r="567" spans="1:19" x14ac:dyDescent="0.25">
      <c r="A567" s="2">
        <v>33420</v>
      </c>
      <c r="B567">
        <v>117568</v>
      </c>
      <c r="C567">
        <v>112517</v>
      </c>
      <c r="D567">
        <v>2057</v>
      </c>
      <c r="E567">
        <v>2891</v>
      </c>
      <c r="F567">
        <v>103</v>
      </c>
      <c r="G567">
        <v>8586</v>
      </c>
      <c r="H567">
        <v>1947</v>
      </c>
      <c r="I567">
        <v>4969</v>
      </c>
      <c r="J567">
        <v>1648</v>
      </c>
      <c r="K567">
        <v>23</v>
      </c>
      <c r="L567">
        <v>64792</v>
      </c>
      <c r="M567">
        <v>3156</v>
      </c>
      <c r="N567">
        <v>1665</v>
      </c>
      <c r="O567">
        <v>59782</v>
      </c>
      <c r="P567">
        <v>189</v>
      </c>
      <c r="Q567">
        <v>19</v>
      </c>
      <c r="R567">
        <v>1</v>
      </c>
      <c r="S567">
        <v>149</v>
      </c>
    </row>
    <row r="568" spans="1:19" x14ac:dyDescent="0.25">
      <c r="A568" s="2">
        <v>33451</v>
      </c>
      <c r="B568">
        <v>117484</v>
      </c>
      <c r="C568">
        <v>112404</v>
      </c>
      <c r="D568">
        <v>2148</v>
      </c>
      <c r="E568">
        <v>2868</v>
      </c>
      <c r="F568">
        <v>63</v>
      </c>
      <c r="G568">
        <v>8666</v>
      </c>
      <c r="H568">
        <v>2043</v>
      </c>
      <c r="I568">
        <v>4825</v>
      </c>
      <c r="J568">
        <v>1773</v>
      </c>
      <c r="K568">
        <v>25</v>
      </c>
      <c r="L568">
        <v>64966</v>
      </c>
      <c r="M568">
        <v>3082</v>
      </c>
      <c r="N568">
        <v>1610</v>
      </c>
      <c r="O568">
        <v>59992</v>
      </c>
      <c r="P568">
        <v>283</v>
      </c>
      <c r="Q568">
        <v>40</v>
      </c>
      <c r="R568">
        <v>3</v>
      </c>
      <c r="S568">
        <v>159</v>
      </c>
    </row>
    <row r="569" spans="1:19" x14ac:dyDescent="0.25">
      <c r="A569" s="2">
        <v>33482</v>
      </c>
      <c r="B569">
        <v>117928</v>
      </c>
      <c r="C569">
        <v>112548</v>
      </c>
      <c r="D569">
        <v>2247</v>
      </c>
      <c r="E569">
        <v>3047</v>
      </c>
      <c r="F569">
        <v>85</v>
      </c>
      <c r="G569">
        <v>8722</v>
      </c>
      <c r="H569">
        <v>1959</v>
      </c>
      <c r="I569">
        <v>4829</v>
      </c>
      <c r="J569">
        <v>1906</v>
      </c>
      <c r="K569">
        <v>27</v>
      </c>
      <c r="L569">
        <v>64652</v>
      </c>
      <c r="M569">
        <v>2958</v>
      </c>
      <c r="N569">
        <v>1588</v>
      </c>
      <c r="O569">
        <v>59864</v>
      </c>
      <c r="P569">
        <v>243</v>
      </c>
      <c r="Q569">
        <v>19</v>
      </c>
      <c r="R569">
        <v>1</v>
      </c>
      <c r="S569">
        <v>149</v>
      </c>
    </row>
    <row r="570" spans="1:19" x14ac:dyDescent="0.25">
      <c r="A570" s="2">
        <v>33512</v>
      </c>
      <c r="B570">
        <v>117800</v>
      </c>
      <c r="C570">
        <v>112804</v>
      </c>
      <c r="D570">
        <v>2110</v>
      </c>
      <c r="E570">
        <v>2806</v>
      </c>
      <c r="F570">
        <v>80</v>
      </c>
      <c r="G570">
        <v>8842</v>
      </c>
      <c r="H570">
        <v>2019</v>
      </c>
      <c r="I570">
        <v>4936</v>
      </c>
      <c r="J570">
        <v>1855</v>
      </c>
      <c r="K570">
        <v>32</v>
      </c>
      <c r="L570">
        <v>64855</v>
      </c>
      <c r="M570">
        <v>3086</v>
      </c>
      <c r="N570">
        <v>1675</v>
      </c>
      <c r="O570">
        <v>59843</v>
      </c>
      <c r="P570">
        <v>252</v>
      </c>
      <c r="Q570">
        <v>19</v>
      </c>
      <c r="R570">
        <v>1</v>
      </c>
      <c r="S570">
        <v>149</v>
      </c>
    </row>
    <row r="571" spans="1:19" x14ac:dyDescent="0.25">
      <c r="A571" s="2">
        <v>33543</v>
      </c>
      <c r="B571">
        <v>117770</v>
      </c>
      <c r="C571">
        <v>112846</v>
      </c>
      <c r="D571">
        <v>2123</v>
      </c>
      <c r="E571">
        <v>2722</v>
      </c>
      <c r="F571">
        <v>80</v>
      </c>
      <c r="G571">
        <v>8931</v>
      </c>
      <c r="H571">
        <v>1935</v>
      </c>
      <c r="I571">
        <v>5123</v>
      </c>
      <c r="J571">
        <v>1849</v>
      </c>
      <c r="K571">
        <v>24</v>
      </c>
      <c r="L571">
        <v>64956</v>
      </c>
      <c r="M571">
        <v>3000</v>
      </c>
      <c r="N571">
        <v>1595</v>
      </c>
      <c r="O571">
        <v>60135</v>
      </c>
      <c r="P571">
        <v>225</v>
      </c>
      <c r="Q571">
        <v>19</v>
      </c>
      <c r="R571">
        <v>1</v>
      </c>
      <c r="S571">
        <v>149</v>
      </c>
    </row>
    <row r="572" spans="1:19" x14ac:dyDescent="0.25">
      <c r="A572" s="2">
        <v>33573</v>
      </c>
      <c r="B572">
        <v>117466</v>
      </c>
      <c r="C572">
        <v>112766</v>
      </c>
      <c r="D572">
        <v>1936</v>
      </c>
      <c r="E572">
        <v>2661</v>
      </c>
      <c r="F572">
        <v>103</v>
      </c>
      <c r="G572">
        <v>9198</v>
      </c>
      <c r="H572">
        <v>1975</v>
      </c>
      <c r="I572">
        <v>5321</v>
      </c>
      <c r="J572">
        <v>1884</v>
      </c>
      <c r="K572">
        <v>19</v>
      </c>
      <c r="L572">
        <v>65134</v>
      </c>
      <c r="M572">
        <v>3011</v>
      </c>
      <c r="N572">
        <v>1673</v>
      </c>
      <c r="O572">
        <v>60262</v>
      </c>
      <c r="P572">
        <v>190</v>
      </c>
      <c r="Q572">
        <v>19</v>
      </c>
      <c r="R572">
        <v>1</v>
      </c>
      <c r="S572">
        <v>149</v>
      </c>
    </row>
    <row r="573" spans="1:19" x14ac:dyDescent="0.25">
      <c r="A573" s="2" t="s">
        <v>54</v>
      </c>
      <c r="B573" t="e">
        <v>#N/A</v>
      </c>
      <c r="C573" t="e">
        <v>#N/A</v>
      </c>
      <c r="D573" t="e">
        <v>#N/A</v>
      </c>
      <c r="E573" t="e">
        <v>#N/A</v>
      </c>
      <c r="F573" t="e">
        <v>#N/A</v>
      </c>
      <c r="G573" t="e">
        <v>#N/A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</row>
    <row r="574" spans="1:19" x14ac:dyDescent="0.25">
      <c r="A574" s="2">
        <v>33604</v>
      </c>
      <c r="B574">
        <v>117978</v>
      </c>
      <c r="C574">
        <v>112354</v>
      </c>
      <c r="D574">
        <v>2425</v>
      </c>
      <c r="E574">
        <v>3133</v>
      </c>
      <c r="F574">
        <v>66</v>
      </c>
      <c r="G574">
        <v>9283</v>
      </c>
      <c r="H574">
        <v>2150</v>
      </c>
      <c r="I574">
        <v>5155</v>
      </c>
      <c r="J574">
        <v>1951</v>
      </c>
      <c r="K574">
        <v>27</v>
      </c>
      <c r="L574">
        <v>64692</v>
      </c>
      <c r="M574">
        <v>2934</v>
      </c>
      <c r="N574">
        <v>1616</v>
      </c>
      <c r="O574">
        <v>59898</v>
      </c>
      <c r="P574">
        <v>243</v>
      </c>
      <c r="Q574">
        <v>28</v>
      </c>
      <c r="R574">
        <v>2</v>
      </c>
      <c r="S574">
        <v>153</v>
      </c>
    </row>
    <row r="575" spans="1:19" x14ac:dyDescent="0.25">
      <c r="A575" s="2">
        <v>33635</v>
      </c>
      <c r="B575">
        <v>117753</v>
      </c>
      <c r="C575">
        <v>112941</v>
      </c>
      <c r="D575">
        <v>2044</v>
      </c>
      <c r="E575">
        <v>2708</v>
      </c>
      <c r="F575">
        <v>60</v>
      </c>
      <c r="G575">
        <v>9454</v>
      </c>
      <c r="H575">
        <v>2035</v>
      </c>
      <c r="I575">
        <v>5696</v>
      </c>
      <c r="J575">
        <v>1698</v>
      </c>
      <c r="K575">
        <v>25</v>
      </c>
      <c r="L575">
        <v>64860</v>
      </c>
      <c r="M575">
        <v>2978</v>
      </c>
      <c r="N575">
        <v>1542</v>
      </c>
      <c r="O575">
        <v>60135</v>
      </c>
      <c r="P575">
        <v>205</v>
      </c>
      <c r="Q575">
        <v>23</v>
      </c>
      <c r="R575">
        <v>2</v>
      </c>
      <c r="S575">
        <v>151</v>
      </c>
    </row>
    <row r="576" spans="1:19" x14ac:dyDescent="0.25">
      <c r="A576" s="2">
        <v>33664</v>
      </c>
      <c r="B576">
        <v>118144</v>
      </c>
      <c r="C576">
        <v>113012</v>
      </c>
      <c r="D576">
        <v>2117</v>
      </c>
      <c r="E576">
        <v>2921</v>
      </c>
      <c r="F576">
        <v>94</v>
      </c>
      <c r="G576">
        <v>9460</v>
      </c>
      <c r="H576">
        <v>1773</v>
      </c>
      <c r="I576">
        <v>5713</v>
      </c>
      <c r="J576">
        <v>1959</v>
      </c>
      <c r="K576">
        <v>15</v>
      </c>
      <c r="L576">
        <v>64600</v>
      </c>
      <c r="M576">
        <v>2949</v>
      </c>
      <c r="N576">
        <v>1623</v>
      </c>
      <c r="O576">
        <v>59830</v>
      </c>
      <c r="P576">
        <v>197</v>
      </c>
      <c r="Q576">
        <v>19</v>
      </c>
      <c r="R576">
        <v>1</v>
      </c>
      <c r="S576">
        <v>150</v>
      </c>
    </row>
    <row r="577" spans="1:19" x14ac:dyDescent="0.25">
      <c r="A577" s="2">
        <v>33695</v>
      </c>
      <c r="B577">
        <v>118426</v>
      </c>
      <c r="C577">
        <v>113342</v>
      </c>
      <c r="D577">
        <v>2181</v>
      </c>
      <c r="E577">
        <v>2836</v>
      </c>
      <c r="F577">
        <v>68</v>
      </c>
      <c r="G577">
        <v>9415</v>
      </c>
      <c r="H577">
        <v>1915</v>
      </c>
      <c r="I577">
        <v>5538</v>
      </c>
      <c r="J577">
        <v>1921</v>
      </c>
      <c r="K577">
        <v>42</v>
      </c>
      <c r="L577">
        <v>64513</v>
      </c>
      <c r="M577">
        <v>2869</v>
      </c>
      <c r="N577">
        <v>1740</v>
      </c>
      <c r="O577">
        <v>59693</v>
      </c>
      <c r="P577">
        <v>212</v>
      </c>
      <c r="Q577">
        <v>19</v>
      </c>
      <c r="R577">
        <v>1</v>
      </c>
      <c r="S577">
        <v>150</v>
      </c>
    </row>
    <row r="578" spans="1:19" x14ac:dyDescent="0.25">
      <c r="A578" s="2">
        <v>33725</v>
      </c>
      <c r="B578">
        <v>118375</v>
      </c>
      <c r="C578">
        <v>113225</v>
      </c>
      <c r="D578">
        <v>2161</v>
      </c>
      <c r="E578">
        <v>2912</v>
      </c>
      <c r="F578">
        <v>77</v>
      </c>
      <c r="G578">
        <v>9744</v>
      </c>
      <c r="H578">
        <v>2028</v>
      </c>
      <c r="I578">
        <v>5620</v>
      </c>
      <c r="J578">
        <v>2067</v>
      </c>
      <c r="K578">
        <v>29</v>
      </c>
      <c r="L578">
        <v>64384</v>
      </c>
      <c r="M578">
        <v>3154</v>
      </c>
      <c r="N578">
        <v>1633</v>
      </c>
      <c r="O578">
        <v>59384</v>
      </c>
      <c r="P578">
        <v>213</v>
      </c>
      <c r="Q578">
        <v>19</v>
      </c>
      <c r="R578">
        <v>1</v>
      </c>
      <c r="S578">
        <v>150</v>
      </c>
    </row>
    <row r="579" spans="1:19" x14ac:dyDescent="0.25">
      <c r="A579" s="2">
        <v>33756</v>
      </c>
      <c r="B579">
        <v>118419</v>
      </c>
      <c r="C579">
        <v>113310</v>
      </c>
      <c r="D579">
        <v>2217</v>
      </c>
      <c r="E579">
        <v>2800</v>
      </c>
      <c r="F579">
        <v>93</v>
      </c>
      <c r="G579">
        <v>10040</v>
      </c>
      <c r="H579">
        <v>2057</v>
      </c>
      <c r="I579">
        <v>5899</v>
      </c>
      <c r="J579">
        <v>2050</v>
      </c>
      <c r="K579">
        <v>35</v>
      </c>
      <c r="L579">
        <v>64204</v>
      </c>
      <c r="M579">
        <v>2990</v>
      </c>
      <c r="N579">
        <v>1627</v>
      </c>
      <c r="O579">
        <v>59385</v>
      </c>
      <c r="P579">
        <v>203</v>
      </c>
      <c r="Q579">
        <v>19</v>
      </c>
      <c r="R579">
        <v>1</v>
      </c>
      <c r="S579">
        <v>150</v>
      </c>
    </row>
    <row r="580" spans="1:19" x14ac:dyDescent="0.25">
      <c r="A580" s="2">
        <v>33786</v>
      </c>
      <c r="B580">
        <v>118713</v>
      </c>
      <c r="C580">
        <v>113440</v>
      </c>
      <c r="D580">
        <v>2301</v>
      </c>
      <c r="E580">
        <v>2933</v>
      </c>
      <c r="F580">
        <v>39</v>
      </c>
      <c r="G580">
        <v>9850</v>
      </c>
      <c r="H580">
        <v>1940</v>
      </c>
      <c r="I580">
        <v>5894</v>
      </c>
      <c r="J580">
        <v>1972</v>
      </c>
      <c r="K580">
        <v>45</v>
      </c>
      <c r="L580">
        <v>64263</v>
      </c>
      <c r="M580">
        <v>2970</v>
      </c>
      <c r="N580">
        <v>1839</v>
      </c>
      <c r="O580">
        <v>59128</v>
      </c>
      <c r="P580">
        <v>326</v>
      </c>
      <c r="Q580">
        <v>70</v>
      </c>
      <c r="R580">
        <v>6</v>
      </c>
      <c r="S580">
        <v>171</v>
      </c>
    </row>
    <row r="581" spans="1:19" x14ac:dyDescent="0.25">
      <c r="A581" s="2">
        <v>33817</v>
      </c>
      <c r="B581">
        <v>118826</v>
      </c>
      <c r="C581">
        <v>113661</v>
      </c>
      <c r="D581">
        <v>2188</v>
      </c>
      <c r="E581">
        <v>2848</v>
      </c>
      <c r="F581">
        <v>129</v>
      </c>
      <c r="G581">
        <v>9787</v>
      </c>
      <c r="H581">
        <v>1950</v>
      </c>
      <c r="I581">
        <v>5939</v>
      </c>
      <c r="J581">
        <v>1867</v>
      </c>
      <c r="K581">
        <v>30</v>
      </c>
      <c r="L581">
        <v>64405</v>
      </c>
      <c r="M581">
        <v>3083</v>
      </c>
      <c r="N581">
        <v>1721</v>
      </c>
      <c r="O581">
        <v>59398</v>
      </c>
      <c r="P581">
        <v>203</v>
      </c>
      <c r="Q581">
        <v>19</v>
      </c>
      <c r="R581">
        <v>1</v>
      </c>
      <c r="S581">
        <v>150</v>
      </c>
    </row>
    <row r="582" spans="1:19" x14ac:dyDescent="0.25">
      <c r="A582" s="2">
        <v>33848</v>
      </c>
      <c r="B582">
        <v>118720</v>
      </c>
      <c r="C582">
        <v>113569</v>
      </c>
      <c r="D582">
        <v>2241</v>
      </c>
      <c r="E582">
        <v>2767</v>
      </c>
      <c r="F582">
        <v>143</v>
      </c>
      <c r="G582">
        <v>9781</v>
      </c>
      <c r="H582">
        <v>2087</v>
      </c>
      <c r="I582">
        <v>5741</v>
      </c>
      <c r="J582">
        <v>1931</v>
      </c>
      <c r="K582">
        <v>22</v>
      </c>
      <c r="L582">
        <v>64728</v>
      </c>
      <c r="M582">
        <v>3152</v>
      </c>
      <c r="N582">
        <v>1803</v>
      </c>
      <c r="O582">
        <v>59557</v>
      </c>
      <c r="P582">
        <v>215</v>
      </c>
      <c r="Q582">
        <v>19</v>
      </c>
      <c r="R582">
        <v>1</v>
      </c>
      <c r="S582">
        <v>150</v>
      </c>
    </row>
    <row r="583" spans="1:19" x14ac:dyDescent="0.25">
      <c r="A583" s="2">
        <v>33878</v>
      </c>
      <c r="B583">
        <v>118628</v>
      </c>
      <c r="C583">
        <v>113468</v>
      </c>
      <c r="D583">
        <v>2264</v>
      </c>
      <c r="E583">
        <v>2814</v>
      </c>
      <c r="F583">
        <v>83</v>
      </c>
      <c r="G583">
        <v>9398</v>
      </c>
      <c r="H583">
        <v>1923</v>
      </c>
      <c r="I583">
        <v>5607</v>
      </c>
      <c r="J583">
        <v>1848</v>
      </c>
      <c r="K583">
        <v>21</v>
      </c>
      <c r="L583">
        <v>65416</v>
      </c>
      <c r="M583">
        <v>3311</v>
      </c>
      <c r="N583">
        <v>1909</v>
      </c>
      <c r="O583">
        <v>59915</v>
      </c>
      <c r="P583">
        <v>281</v>
      </c>
      <c r="Q583">
        <v>19</v>
      </c>
      <c r="R583">
        <v>1</v>
      </c>
      <c r="S583">
        <v>151</v>
      </c>
    </row>
    <row r="584" spans="1:19" x14ac:dyDescent="0.25">
      <c r="A584" s="2">
        <v>33909</v>
      </c>
      <c r="B584">
        <v>118876</v>
      </c>
      <c r="C584">
        <v>113572</v>
      </c>
      <c r="D584">
        <v>2252</v>
      </c>
      <c r="E584">
        <v>2964</v>
      </c>
      <c r="F584">
        <v>88</v>
      </c>
      <c r="G584">
        <v>9565</v>
      </c>
      <c r="H584">
        <v>1994</v>
      </c>
      <c r="I584">
        <v>5536</v>
      </c>
      <c r="J584">
        <v>2010</v>
      </c>
      <c r="K584">
        <v>25</v>
      </c>
      <c r="L584">
        <v>65180</v>
      </c>
      <c r="M584">
        <v>3043</v>
      </c>
      <c r="N584">
        <v>1609</v>
      </c>
      <c r="O584">
        <v>60291</v>
      </c>
      <c r="P584">
        <v>237</v>
      </c>
      <c r="Q584">
        <v>19</v>
      </c>
      <c r="R584">
        <v>1</v>
      </c>
      <c r="S584">
        <v>151</v>
      </c>
    </row>
    <row r="585" spans="1:19" x14ac:dyDescent="0.25">
      <c r="A585" s="2">
        <v>33939</v>
      </c>
      <c r="B585">
        <v>118997</v>
      </c>
      <c r="C585">
        <v>113726</v>
      </c>
      <c r="D585">
        <v>2247</v>
      </c>
      <c r="E585">
        <v>2880</v>
      </c>
      <c r="F585">
        <v>144</v>
      </c>
      <c r="G585">
        <v>9557</v>
      </c>
      <c r="H585">
        <v>2019</v>
      </c>
      <c r="I585">
        <v>5504</v>
      </c>
      <c r="J585">
        <v>2022</v>
      </c>
      <c r="K585">
        <v>12</v>
      </c>
      <c r="L585">
        <v>65230</v>
      </c>
      <c r="M585">
        <v>3111</v>
      </c>
      <c r="N585">
        <v>1813</v>
      </c>
      <c r="O585">
        <v>60128</v>
      </c>
      <c r="P585">
        <v>178</v>
      </c>
      <c r="Q585">
        <v>19</v>
      </c>
      <c r="R585">
        <v>1</v>
      </c>
      <c r="S585">
        <v>151</v>
      </c>
    </row>
    <row r="586" spans="1:19" x14ac:dyDescent="0.25">
      <c r="A586" s="2" t="s">
        <v>55</v>
      </c>
      <c r="B586" t="e">
        <v>#N/A</v>
      </c>
      <c r="C586" t="e">
        <v>#N/A</v>
      </c>
      <c r="D586" t="e">
        <v>#N/A</v>
      </c>
      <c r="E586" t="e">
        <v>#N/A</v>
      </c>
      <c r="F586" t="e">
        <v>#N/A</v>
      </c>
      <c r="G586" t="e">
        <v>#N/A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</row>
    <row r="587" spans="1:19" x14ac:dyDescent="0.25">
      <c r="A587" s="2">
        <v>33970</v>
      </c>
      <c r="B587">
        <v>119075</v>
      </c>
      <c r="C587">
        <v>113968</v>
      </c>
      <c r="D587">
        <v>2180</v>
      </c>
      <c r="E587">
        <v>2870</v>
      </c>
      <c r="F587">
        <v>57</v>
      </c>
      <c r="G587">
        <v>9325</v>
      </c>
      <c r="H587">
        <v>1818</v>
      </c>
      <c r="I587">
        <v>5628</v>
      </c>
      <c r="J587">
        <v>1849</v>
      </c>
      <c r="K587">
        <v>31</v>
      </c>
      <c r="L587">
        <v>65562</v>
      </c>
      <c r="M587">
        <v>3187</v>
      </c>
      <c r="N587">
        <v>1747</v>
      </c>
      <c r="O587">
        <v>60356</v>
      </c>
      <c r="P587">
        <v>273</v>
      </c>
      <c r="Q587">
        <v>25</v>
      </c>
      <c r="R587">
        <v>2</v>
      </c>
      <c r="S587">
        <v>156</v>
      </c>
    </row>
    <row r="588" spans="1:19" x14ac:dyDescent="0.25">
      <c r="A588" s="2">
        <v>34001</v>
      </c>
      <c r="B588">
        <v>119275</v>
      </c>
      <c r="C588">
        <v>113917</v>
      </c>
      <c r="D588">
        <v>2102</v>
      </c>
      <c r="E588">
        <v>3167</v>
      </c>
      <c r="F588">
        <v>89</v>
      </c>
      <c r="G588">
        <v>9183</v>
      </c>
      <c r="H588">
        <v>1903</v>
      </c>
      <c r="I588">
        <v>5376</v>
      </c>
      <c r="J588">
        <v>1896</v>
      </c>
      <c r="K588">
        <v>8</v>
      </c>
      <c r="L588">
        <v>65650</v>
      </c>
      <c r="M588">
        <v>3235</v>
      </c>
      <c r="N588">
        <v>1846</v>
      </c>
      <c r="O588">
        <v>60348</v>
      </c>
      <c r="P588">
        <v>221</v>
      </c>
      <c r="Q588">
        <v>19</v>
      </c>
      <c r="R588">
        <v>1</v>
      </c>
      <c r="S588">
        <v>151</v>
      </c>
    </row>
    <row r="589" spans="1:19" x14ac:dyDescent="0.25">
      <c r="A589" s="2">
        <v>34029</v>
      </c>
      <c r="B589">
        <v>119542</v>
      </c>
      <c r="C589">
        <v>114269</v>
      </c>
      <c r="D589">
        <v>2181</v>
      </c>
      <c r="E589">
        <v>2989</v>
      </c>
      <c r="F589">
        <v>104</v>
      </c>
      <c r="G589">
        <v>9056</v>
      </c>
      <c r="H589">
        <v>1930</v>
      </c>
      <c r="I589">
        <v>5269</v>
      </c>
      <c r="J589">
        <v>1822</v>
      </c>
      <c r="K589">
        <v>35</v>
      </c>
      <c r="L589">
        <v>65650</v>
      </c>
      <c r="M589">
        <v>3057</v>
      </c>
      <c r="N589">
        <v>1732</v>
      </c>
      <c r="O589">
        <v>60688</v>
      </c>
      <c r="P589">
        <v>173</v>
      </c>
      <c r="Q589">
        <v>19</v>
      </c>
      <c r="R589">
        <v>1</v>
      </c>
      <c r="S589">
        <v>151</v>
      </c>
    </row>
    <row r="590" spans="1:19" x14ac:dyDescent="0.25">
      <c r="A590" s="2">
        <v>34060</v>
      </c>
      <c r="B590">
        <v>119474</v>
      </c>
      <c r="C590">
        <v>114401</v>
      </c>
      <c r="D590">
        <v>2139</v>
      </c>
      <c r="E590">
        <v>2871</v>
      </c>
      <c r="F590">
        <v>63</v>
      </c>
      <c r="G590">
        <v>9110</v>
      </c>
      <c r="H590">
        <v>1894</v>
      </c>
      <c r="I590">
        <v>5265</v>
      </c>
      <c r="J590">
        <v>1920</v>
      </c>
      <c r="K590">
        <v>31</v>
      </c>
      <c r="L590">
        <v>65814</v>
      </c>
      <c r="M590">
        <v>3228</v>
      </c>
      <c r="N590">
        <v>1651</v>
      </c>
      <c r="O590">
        <v>60707</v>
      </c>
      <c r="P590">
        <v>228</v>
      </c>
      <c r="Q590">
        <v>19</v>
      </c>
      <c r="R590">
        <v>1</v>
      </c>
      <c r="S590">
        <v>151</v>
      </c>
    </row>
    <row r="591" spans="1:19" x14ac:dyDescent="0.25">
      <c r="A591" s="2">
        <v>34090</v>
      </c>
      <c r="B591">
        <v>120115</v>
      </c>
      <c r="C591">
        <v>114531</v>
      </c>
      <c r="D591">
        <v>2217</v>
      </c>
      <c r="E591">
        <v>3271</v>
      </c>
      <c r="F591">
        <v>95</v>
      </c>
      <c r="G591">
        <v>9149</v>
      </c>
      <c r="H591">
        <v>1895</v>
      </c>
      <c r="I591">
        <v>5360</v>
      </c>
      <c r="J591">
        <v>1869</v>
      </c>
      <c r="K591">
        <v>26</v>
      </c>
      <c r="L591">
        <v>65285</v>
      </c>
      <c r="M591">
        <v>3028</v>
      </c>
      <c r="N591">
        <v>1532</v>
      </c>
      <c r="O591">
        <v>60523</v>
      </c>
      <c r="P591">
        <v>202</v>
      </c>
      <c r="Q591">
        <v>19</v>
      </c>
      <c r="R591">
        <v>1</v>
      </c>
      <c r="S591">
        <v>151</v>
      </c>
    </row>
    <row r="592" spans="1:19" x14ac:dyDescent="0.25">
      <c r="A592" s="2">
        <v>34121</v>
      </c>
      <c r="B592">
        <v>120290</v>
      </c>
      <c r="C592">
        <v>115236</v>
      </c>
      <c r="D592">
        <v>2119</v>
      </c>
      <c r="E592">
        <v>2842</v>
      </c>
      <c r="F592">
        <v>94</v>
      </c>
      <c r="G592">
        <v>9121</v>
      </c>
      <c r="H592">
        <v>1872</v>
      </c>
      <c r="I592">
        <v>5451</v>
      </c>
      <c r="J592">
        <v>1768</v>
      </c>
      <c r="K592">
        <v>29</v>
      </c>
      <c r="L592">
        <v>65308</v>
      </c>
      <c r="M592">
        <v>2988</v>
      </c>
      <c r="N592">
        <v>1578</v>
      </c>
      <c r="O592">
        <v>60523</v>
      </c>
      <c r="P592">
        <v>219</v>
      </c>
      <c r="Q592">
        <v>19</v>
      </c>
      <c r="R592">
        <v>1</v>
      </c>
      <c r="S592">
        <v>152</v>
      </c>
    </row>
    <row r="593" spans="1:19" x14ac:dyDescent="0.25">
      <c r="A593" s="2">
        <v>34151</v>
      </c>
      <c r="B593">
        <v>120467</v>
      </c>
      <c r="C593">
        <v>115319</v>
      </c>
      <c r="D593">
        <v>2243</v>
      </c>
      <c r="E593">
        <v>2825</v>
      </c>
      <c r="F593">
        <v>81</v>
      </c>
      <c r="G593">
        <v>8930</v>
      </c>
      <c r="H593">
        <v>1925</v>
      </c>
      <c r="I593">
        <v>5152</v>
      </c>
      <c r="J593">
        <v>1816</v>
      </c>
      <c r="K593">
        <v>37</v>
      </c>
      <c r="L593">
        <v>65485</v>
      </c>
      <c r="M593">
        <v>3027</v>
      </c>
      <c r="N593">
        <v>1725</v>
      </c>
      <c r="O593">
        <v>60515</v>
      </c>
      <c r="P593">
        <v>217</v>
      </c>
      <c r="Q593">
        <v>19</v>
      </c>
      <c r="R593">
        <v>1</v>
      </c>
      <c r="S593">
        <v>152</v>
      </c>
    </row>
    <row r="594" spans="1:19" x14ac:dyDescent="0.25">
      <c r="A594" s="2">
        <v>34182</v>
      </c>
      <c r="B594">
        <v>120856</v>
      </c>
      <c r="C594">
        <v>115536</v>
      </c>
      <c r="D594">
        <v>2109</v>
      </c>
      <c r="E594">
        <v>3099</v>
      </c>
      <c r="F594">
        <v>112</v>
      </c>
      <c r="G594">
        <v>8763</v>
      </c>
      <c r="H594">
        <v>1807</v>
      </c>
      <c r="I594">
        <v>5131</v>
      </c>
      <c r="J594">
        <v>1801</v>
      </c>
      <c r="K594">
        <v>24</v>
      </c>
      <c r="L594">
        <v>65444</v>
      </c>
      <c r="M594">
        <v>3105</v>
      </c>
      <c r="N594">
        <v>1689</v>
      </c>
      <c r="O594">
        <v>60433</v>
      </c>
      <c r="P594">
        <v>217</v>
      </c>
      <c r="Q594">
        <v>19</v>
      </c>
      <c r="R594">
        <v>1</v>
      </c>
      <c r="S594">
        <v>152</v>
      </c>
    </row>
    <row r="595" spans="1:19" x14ac:dyDescent="0.25">
      <c r="A595" s="2">
        <v>34213</v>
      </c>
      <c r="B595">
        <v>120554</v>
      </c>
      <c r="C595">
        <v>115549</v>
      </c>
      <c r="D595">
        <v>2023</v>
      </c>
      <c r="E595">
        <v>2891</v>
      </c>
      <c r="F595">
        <v>90</v>
      </c>
      <c r="G595">
        <v>8714</v>
      </c>
      <c r="H595">
        <v>1852</v>
      </c>
      <c r="I595">
        <v>5021</v>
      </c>
      <c r="J595">
        <v>1803</v>
      </c>
      <c r="K595">
        <v>38</v>
      </c>
      <c r="L595">
        <v>65991</v>
      </c>
      <c r="M595">
        <v>3435</v>
      </c>
      <c r="N595">
        <v>1718</v>
      </c>
      <c r="O595">
        <v>60598</v>
      </c>
      <c r="P595">
        <v>241</v>
      </c>
      <c r="Q595">
        <v>19</v>
      </c>
      <c r="R595">
        <v>1</v>
      </c>
      <c r="S595">
        <v>152</v>
      </c>
    </row>
    <row r="596" spans="1:19" x14ac:dyDescent="0.25">
      <c r="A596" s="2">
        <v>34243</v>
      </c>
      <c r="B596">
        <v>120823</v>
      </c>
      <c r="C596">
        <v>115671</v>
      </c>
      <c r="D596">
        <v>2115</v>
      </c>
      <c r="E596">
        <v>2971</v>
      </c>
      <c r="F596">
        <v>66</v>
      </c>
      <c r="G596">
        <v>8750</v>
      </c>
      <c r="H596">
        <v>1852</v>
      </c>
      <c r="I596">
        <v>4969</v>
      </c>
      <c r="J596">
        <v>1905</v>
      </c>
      <c r="K596">
        <v>24</v>
      </c>
      <c r="L596">
        <v>65871</v>
      </c>
      <c r="M596">
        <v>3011</v>
      </c>
      <c r="N596">
        <v>1629</v>
      </c>
      <c r="O596">
        <v>60963</v>
      </c>
      <c r="P596">
        <v>268</v>
      </c>
      <c r="Q596">
        <v>19</v>
      </c>
      <c r="R596">
        <v>1</v>
      </c>
      <c r="S596">
        <v>152</v>
      </c>
    </row>
    <row r="597" spans="1:19" x14ac:dyDescent="0.25">
      <c r="A597" s="2">
        <v>34274</v>
      </c>
      <c r="B597">
        <v>121169</v>
      </c>
      <c r="C597">
        <v>115909</v>
      </c>
      <c r="D597">
        <v>2163</v>
      </c>
      <c r="E597">
        <v>3011</v>
      </c>
      <c r="F597">
        <v>86</v>
      </c>
      <c r="G597">
        <v>8542</v>
      </c>
      <c r="H597">
        <v>1807</v>
      </c>
      <c r="I597">
        <v>4895</v>
      </c>
      <c r="J597">
        <v>1815</v>
      </c>
      <c r="K597">
        <v>24</v>
      </c>
      <c r="L597">
        <v>65914</v>
      </c>
      <c r="M597">
        <v>3088</v>
      </c>
      <c r="N597">
        <v>1690</v>
      </c>
      <c r="O597">
        <v>60892</v>
      </c>
      <c r="P597">
        <v>244</v>
      </c>
      <c r="Q597">
        <v>19</v>
      </c>
      <c r="R597">
        <v>1</v>
      </c>
      <c r="S597">
        <v>152</v>
      </c>
    </row>
    <row r="598" spans="1:19" x14ac:dyDescent="0.25">
      <c r="A598" s="2">
        <v>34304</v>
      </c>
      <c r="B598">
        <v>121464</v>
      </c>
      <c r="C598">
        <v>116040</v>
      </c>
      <c r="D598">
        <v>2212</v>
      </c>
      <c r="E598">
        <v>3093</v>
      </c>
      <c r="F598">
        <v>119</v>
      </c>
      <c r="G598">
        <v>8477</v>
      </c>
      <c r="H598">
        <v>1932</v>
      </c>
      <c r="I598">
        <v>4644</v>
      </c>
      <c r="J598">
        <v>1884</v>
      </c>
      <c r="K598">
        <v>16</v>
      </c>
      <c r="L598">
        <v>65853</v>
      </c>
      <c r="M598">
        <v>3178</v>
      </c>
      <c r="N598">
        <v>1684</v>
      </c>
      <c r="O598">
        <v>60785</v>
      </c>
      <c r="P598">
        <v>207</v>
      </c>
      <c r="Q598">
        <v>19</v>
      </c>
      <c r="R598">
        <v>1</v>
      </c>
      <c r="S598">
        <v>152</v>
      </c>
    </row>
    <row r="599" spans="1:19" x14ac:dyDescent="0.25">
      <c r="A599" s="2" t="s">
        <v>56</v>
      </c>
      <c r="B599" t="e">
        <v>#N/A</v>
      </c>
      <c r="C599" t="e">
        <v>#N/A</v>
      </c>
      <c r="D599" t="e">
        <v>#N/A</v>
      </c>
      <c r="E599" t="e">
        <v>#N/A</v>
      </c>
      <c r="F599" t="e">
        <v>#N/A</v>
      </c>
      <c r="G599" t="e">
        <v>#N/A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</row>
    <row r="600" spans="1:19" x14ac:dyDescent="0.25">
      <c r="A600" s="2">
        <v>34335</v>
      </c>
      <c r="B600">
        <v>121966</v>
      </c>
      <c r="C600">
        <v>116484</v>
      </c>
      <c r="D600">
        <v>2171</v>
      </c>
      <c r="E600">
        <v>3228</v>
      </c>
      <c r="F600">
        <v>83</v>
      </c>
      <c r="G600">
        <v>8630</v>
      </c>
      <c r="H600">
        <v>1884</v>
      </c>
      <c r="I600">
        <v>4641</v>
      </c>
      <c r="J600">
        <v>2076</v>
      </c>
      <c r="K600">
        <v>29</v>
      </c>
      <c r="L600">
        <v>65357</v>
      </c>
      <c r="M600">
        <v>3077</v>
      </c>
      <c r="N600">
        <v>1663</v>
      </c>
      <c r="O600">
        <v>60397</v>
      </c>
      <c r="P600">
        <v>219</v>
      </c>
      <c r="Q600">
        <v>19</v>
      </c>
      <c r="R600">
        <v>1</v>
      </c>
      <c r="S600">
        <v>153</v>
      </c>
    </row>
    <row r="601" spans="1:19" x14ac:dyDescent="0.25">
      <c r="A601" s="2">
        <v>34366</v>
      </c>
      <c r="B601">
        <v>122086</v>
      </c>
      <c r="C601">
        <v>116518</v>
      </c>
      <c r="D601">
        <v>2208</v>
      </c>
      <c r="E601">
        <v>3260</v>
      </c>
      <c r="F601">
        <v>101</v>
      </c>
      <c r="G601">
        <v>8583</v>
      </c>
      <c r="H601">
        <v>1898</v>
      </c>
      <c r="I601">
        <v>4638</v>
      </c>
      <c r="J601">
        <v>2029</v>
      </c>
      <c r="K601">
        <v>18</v>
      </c>
      <c r="L601">
        <v>65421</v>
      </c>
      <c r="M601">
        <v>3531</v>
      </c>
      <c r="N601">
        <v>1782</v>
      </c>
      <c r="O601">
        <v>59916</v>
      </c>
      <c r="P601">
        <v>192</v>
      </c>
      <c r="Q601">
        <v>19</v>
      </c>
      <c r="R601">
        <v>1</v>
      </c>
      <c r="S601">
        <v>153</v>
      </c>
    </row>
    <row r="602" spans="1:19" x14ac:dyDescent="0.25">
      <c r="A602" s="2">
        <v>34394</v>
      </c>
      <c r="B602">
        <v>121930</v>
      </c>
      <c r="C602">
        <v>116623</v>
      </c>
      <c r="D602">
        <v>2194</v>
      </c>
      <c r="E602">
        <v>3012</v>
      </c>
      <c r="F602">
        <v>101</v>
      </c>
      <c r="G602">
        <v>8470</v>
      </c>
      <c r="H602">
        <v>1852</v>
      </c>
      <c r="I602">
        <v>4477</v>
      </c>
      <c r="J602">
        <v>2117</v>
      </c>
      <c r="K602">
        <v>23</v>
      </c>
      <c r="L602">
        <v>65813</v>
      </c>
      <c r="M602">
        <v>3592</v>
      </c>
      <c r="N602">
        <v>1911</v>
      </c>
      <c r="O602">
        <v>60139</v>
      </c>
      <c r="P602">
        <v>172</v>
      </c>
      <c r="Q602">
        <v>19</v>
      </c>
      <c r="R602">
        <v>1</v>
      </c>
      <c r="S602">
        <v>153</v>
      </c>
    </row>
    <row r="603" spans="1:19" x14ac:dyDescent="0.25">
      <c r="A603" s="2">
        <v>34425</v>
      </c>
      <c r="B603">
        <v>122290</v>
      </c>
      <c r="C603">
        <v>116882</v>
      </c>
      <c r="D603">
        <v>2199</v>
      </c>
      <c r="E603">
        <v>3102</v>
      </c>
      <c r="F603">
        <v>107</v>
      </c>
      <c r="G603">
        <v>8331</v>
      </c>
      <c r="H603">
        <v>1898</v>
      </c>
      <c r="I603">
        <v>4361</v>
      </c>
      <c r="J603">
        <v>2051</v>
      </c>
      <c r="K603">
        <v>21</v>
      </c>
      <c r="L603">
        <v>65742</v>
      </c>
      <c r="M603">
        <v>3131</v>
      </c>
      <c r="N603">
        <v>1909</v>
      </c>
      <c r="O603">
        <v>60507</v>
      </c>
      <c r="P603">
        <v>196</v>
      </c>
      <c r="Q603">
        <v>19</v>
      </c>
      <c r="R603">
        <v>1</v>
      </c>
      <c r="S603">
        <v>153</v>
      </c>
    </row>
    <row r="604" spans="1:19" x14ac:dyDescent="0.25">
      <c r="A604" s="2">
        <v>34455</v>
      </c>
      <c r="B604">
        <v>122864</v>
      </c>
      <c r="C604">
        <v>117303</v>
      </c>
      <c r="D604">
        <v>2249</v>
      </c>
      <c r="E604">
        <v>3179</v>
      </c>
      <c r="F604">
        <v>133</v>
      </c>
      <c r="G604">
        <v>7915</v>
      </c>
      <c r="H604">
        <v>1776</v>
      </c>
      <c r="I604">
        <v>4181</v>
      </c>
      <c r="J604">
        <v>1937</v>
      </c>
      <c r="K604">
        <v>21</v>
      </c>
      <c r="L604">
        <v>65731</v>
      </c>
      <c r="M604">
        <v>3192</v>
      </c>
      <c r="N604">
        <v>1899</v>
      </c>
      <c r="O604">
        <v>60473</v>
      </c>
      <c r="P604">
        <v>166</v>
      </c>
      <c r="Q604">
        <v>19</v>
      </c>
      <c r="R604">
        <v>1</v>
      </c>
      <c r="S604">
        <v>153</v>
      </c>
    </row>
    <row r="605" spans="1:19" x14ac:dyDescent="0.25">
      <c r="A605" s="2">
        <v>34486</v>
      </c>
      <c r="B605">
        <v>122634</v>
      </c>
      <c r="C605">
        <v>117629</v>
      </c>
      <c r="D605">
        <v>2039</v>
      </c>
      <c r="E605">
        <v>2855</v>
      </c>
      <c r="F605">
        <v>110</v>
      </c>
      <c r="G605">
        <v>7927</v>
      </c>
      <c r="H605">
        <v>1875</v>
      </c>
      <c r="I605">
        <v>3913</v>
      </c>
      <c r="J605">
        <v>2111</v>
      </c>
      <c r="K605">
        <v>28</v>
      </c>
      <c r="L605">
        <v>66132</v>
      </c>
      <c r="M605">
        <v>3341</v>
      </c>
      <c r="N605">
        <v>1961</v>
      </c>
      <c r="O605">
        <v>60611</v>
      </c>
      <c r="P605">
        <v>219</v>
      </c>
      <c r="Q605">
        <v>19</v>
      </c>
      <c r="R605">
        <v>1</v>
      </c>
      <c r="S605">
        <v>153</v>
      </c>
    </row>
    <row r="606" spans="1:19" x14ac:dyDescent="0.25">
      <c r="A606" s="2">
        <v>34516</v>
      </c>
      <c r="B606">
        <v>122706</v>
      </c>
      <c r="C606">
        <v>117389</v>
      </c>
      <c r="D606">
        <v>2141</v>
      </c>
      <c r="E606">
        <v>3061</v>
      </c>
      <c r="F606">
        <v>115</v>
      </c>
      <c r="G606">
        <v>7946</v>
      </c>
      <c r="H606">
        <v>1910</v>
      </c>
      <c r="I606">
        <v>3952</v>
      </c>
      <c r="J606">
        <v>2056</v>
      </c>
      <c r="K606">
        <v>27</v>
      </c>
      <c r="L606">
        <v>66207</v>
      </c>
      <c r="M606">
        <v>3315</v>
      </c>
      <c r="N606">
        <v>1832</v>
      </c>
      <c r="O606">
        <v>60862</v>
      </c>
      <c r="P606">
        <v>198</v>
      </c>
      <c r="Q606">
        <v>19</v>
      </c>
      <c r="R606">
        <v>1</v>
      </c>
      <c r="S606">
        <v>153</v>
      </c>
    </row>
    <row r="607" spans="1:19" x14ac:dyDescent="0.25">
      <c r="A607" s="2">
        <v>34547</v>
      </c>
      <c r="B607">
        <v>123342</v>
      </c>
      <c r="C607">
        <v>117700</v>
      </c>
      <c r="D607">
        <v>2212</v>
      </c>
      <c r="E607">
        <v>3308</v>
      </c>
      <c r="F607">
        <v>122</v>
      </c>
      <c r="G607">
        <v>7933</v>
      </c>
      <c r="H607">
        <v>1848</v>
      </c>
      <c r="I607">
        <v>3955</v>
      </c>
      <c r="J607">
        <v>2099</v>
      </c>
      <c r="K607">
        <v>32</v>
      </c>
      <c r="L607">
        <v>65768</v>
      </c>
      <c r="M607">
        <v>3139</v>
      </c>
      <c r="N607">
        <v>1778</v>
      </c>
      <c r="O607">
        <v>60648</v>
      </c>
      <c r="P607">
        <v>204</v>
      </c>
      <c r="Q607">
        <v>19</v>
      </c>
      <c r="R607">
        <v>1</v>
      </c>
      <c r="S607">
        <v>153</v>
      </c>
    </row>
    <row r="608" spans="1:19" x14ac:dyDescent="0.25">
      <c r="A608" s="2">
        <v>34578</v>
      </c>
      <c r="B608">
        <v>123687</v>
      </c>
      <c r="C608">
        <v>118344</v>
      </c>
      <c r="D608">
        <v>2166</v>
      </c>
      <c r="E608">
        <v>3071</v>
      </c>
      <c r="F608">
        <v>107</v>
      </c>
      <c r="G608">
        <v>7734</v>
      </c>
      <c r="H608">
        <v>1783</v>
      </c>
      <c r="I608">
        <v>3994</v>
      </c>
      <c r="J608">
        <v>1930</v>
      </c>
      <c r="K608">
        <v>26</v>
      </c>
      <c r="L608">
        <v>65827</v>
      </c>
      <c r="M608">
        <v>3196</v>
      </c>
      <c r="N608">
        <v>1772</v>
      </c>
      <c r="O608">
        <v>60614</v>
      </c>
      <c r="P608">
        <v>246</v>
      </c>
      <c r="Q608">
        <v>19</v>
      </c>
      <c r="R608">
        <v>1</v>
      </c>
      <c r="S608">
        <v>154</v>
      </c>
    </row>
    <row r="609" spans="1:19" x14ac:dyDescent="0.25">
      <c r="A609" s="2">
        <v>34608</v>
      </c>
      <c r="B609">
        <v>124112</v>
      </c>
      <c r="C609">
        <v>118833</v>
      </c>
      <c r="D609">
        <v>2013</v>
      </c>
      <c r="E609">
        <v>3125</v>
      </c>
      <c r="F609">
        <v>142</v>
      </c>
      <c r="G609">
        <v>7632</v>
      </c>
      <c r="H609">
        <v>1606</v>
      </c>
      <c r="I609">
        <v>3997</v>
      </c>
      <c r="J609">
        <v>2007</v>
      </c>
      <c r="K609">
        <v>22</v>
      </c>
      <c r="L609">
        <v>65686</v>
      </c>
      <c r="M609">
        <v>3229</v>
      </c>
      <c r="N609">
        <v>1723</v>
      </c>
      <c r="O609">
        <v>60541</v>
      </c>
      <c r="P609">
        <v>193</v>
      </c>
      <c r="Q609">
        <v>19</v>
      </c>
      <c r="R609">
        <v>1</v>
      </c>
      <c r="S609">
        <v>154</v>
      </c>
    </row>
    <row r="610" spans="1:19" x14ac:dyDescent="0.25">
      <c r="A610" s="2">
        <v>34639</v>
      </c>
      <c r="B610">
        <v>124516</v>
      </c>
      <c r="C610">
        <v>119002</v>
      </c>
      <c r="D610">
        <v>2111</v>
      </c>
      <c r="E610">
        <v>3274</v>
      </c>
      <c r="F610">
        <v>129</v>
      </c>
      <c r="G610">
        <v>7375</v>
      </c>
      <c r="H610">
        <v>1791</v>
      </c>
      <c r="I610">
        <v>3700</v>
      </c>
      <c r="J610">
        <v>1858</v>
      </c>
      <c r="K610">
        <v>26</v>
      </c>
      <c r="L610">
        <v>65716</v>
      </c>
      <c r="M610">
        <v>3300</v>
      </c>
      <c r="N610">
        <v>1820</v>
      </c>
      <c r="O610">
        <v>60400</v>
      </c>
      <c r="P610">
        <v>195</v>
      </c>
      <c r="Q610">
        <v>19</v>
      </c>
      <c r="R610">
        <v>1</v>
      </c>
      <c r="S610">
        <v>154</v>
      </c>
    </row>
    <row r="611" spans="1:19" x14ac:dyDescent="0.25">
      <c r="A611" s="2">
        <v>34669</v>
      </c>
      <c r="B611">
        <v>124721</v>
      </c>
      <c r="C611">
        <v>119098</v>
      </c>
      <c r="D611">
        <v>2235</v>
      </c>
      <c r="E611">
        <v>3262</v>
      </c>
      <c r="F611">
        <v>126</v>
      </c>
      <c r="G611">
        <v>7230</v>
      </c>
      <c r="H611">
        <v>1867</v>
      </c>
      <c r="I611">
        <v>3431</v>
      </c>
      <c r="J611">
        <v>1907</v>
      </c>
      <c r="K611">
        <v>26</v>
      </c>
      <c r="L611">
        <v>65814</v>
      </c>
      <c r="M611">
        <v>3532</v>
      </c>
      <c r="N611">
        <v>1708</v>
      </c>
      <c r="O611">
        <v>60393</v>
      </c>
      <c r="P611">
        <v>181</v>
      </c>
      <c r="Q611">
        <v>19</v>
      </c>
      <c r="R611">
        <v>1</v>
      </c>
      <c r="S611">
        <v>154</v>
      </c>
    </row>
    <row r="612" spans="1:19" x14ac:dyDescent="0.25">
      <c r="A612" s="2" t="s">
        <v>57</v>
      </c>
      <c r="B612" t="e">
        <v>#N/A</v>
      </c>
      <c r="C612" t="e">
        <v>#N/A</v>
      </c>
      <c r="D612" t="e">
        <v>#N/A</v>
      </c>
      <c r="E612" t="e">
        <v>#N/A</v>
      </c>
      <c r="F612" t="e">
        <v>#N/A</v>
      </c>
      <c r="G612" t="e">
        <v>#N/A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</row>
    <row r="613" spans="1:19" x14ac:dyDescent="0.25">
      <c r="A613" s="2">
        <v>34700</v>
      </c>
      <c r="B613">
        <v>124663</v>
      </c>
      <c r="C613">
        <v>119303</v>
      </c>
      <c r="D613">
        <v>2062</v>
      </c>
      <c r="E613">
        <v>3214</v>
      </c>
      <c r="F613">
        <v>84</v>
      </c>
      <c r="G613">
        <v>7375</v>
      </c>
      <c r="H613">
        <v>1969</v>
      </c>
      <c r="I613">
        <v>3483</v>
      </c>
      <c r="J613">
        <v>1892</v>
      </c>
      <c r="K613">
        <v>32</v>
      </c>
      <c r="L613">
        <v>65715</v>
      </c>
      <c r="M613">
        <v>3317</v>
      </c>
      <c r="N613">
        <v>1678</v>
      </c>
      <c r="O613">
        <v>60515</v>
      </c>
      <c r="P613">
        <v>205</v>
      </c>
      <c r="Q613">
        <v>132</v>
      </c>
      <c r="R613">
        <v>8</v>
      </c>
      <c r="S613">
        <v>193</v>
      </c>
    </row>
    <row r="614" spans="1:19" x14ac:dyDescent="0.25">
      <c r="A614" s="2">
        <v>34731</v>
      </c>
      <c r="B614">
        <v>124928</v>
      </c>
      <c r="C614">
        <v>119850</v>
      </c>
      <c r="D614">
        <v>2085</v>
      </c>
      <c r="E614">
        <v>2919</v>
      </c>
      <c r="F614">
        <v>74</v>
      </c>
      <c r="G614">
        <v>7187</v>
      </c>
      <c r="H614">
        <v>1700</v>
      </c>
      <c r="I614">
        <v>3603</v>
      </c>
      <c r="J614">
        <v>1851</v>
      </c>
      <c r="K614">
        <v>33</v>
      </c>
      <c r="L614">
        <v>65770</v>
      </c>
      <c r="M614">
        <v>3093</v>
      </c>
      <c r="N614">
        <v>1686</v>
      </c>
      <c r="O614">
        <v>60791</v>
      </c>
      <c r="P614">
        <v>200</v>
      </c>
      <c r="Q614">
        <v>19</v>
      </c>
      <c r="R614">
        <v>1</v>
      </c>
      <c r="S614">
        <v>154</v>
      </c>
    </row>
    <row r="615" spans="1:19" x14ac:dyDescent="0.25">
      <c r="A615" s="2">
        <v>34759</v>
      </c>
      <c r="B615">
        <v>124955</v>
      </c>
      <c r="C615">
        <v>119777</v>
      </c>
      <c r="D615">
        <v>2044</v>
      </c>
      <c r="E615">
        <v>3043</v>
      </c>
      <c r="F615">
        <v>92</v>
      </c>
      <c r="G615">
        <v>7153</v>
      </c>
      <c r="H615">
        <v>1829</v>
      </c>
      <c r="I615">
        <v>3566</v>
      </c>
      <c r="J615">
        <v>1731</v>
      </c>
      <c r="K615">
        <v>27</v>
      </c>
      <c r="L615">
        <v>65899</v>
      </c>
      <c r="M615">
        <v>3303</v>
      </c>
      <c r="N615">
        <v>1576</v>
      </c>
      <c r="O615">
        <v>60843</v>
      </c>
      <c r="P615">
        <v>178</v>
      </c>
      <c r="Q615">
        <v>19</v>
      </c>
      <c r="R615">
        <v>1</v>
      </c>
      <c r="S615">
        <v>154</v>
      </c>
    </row>
    <row r="616" spans="1:19" x14ac:dyDescent="0.25">
      <c r="A616" s="2">
        <v>34790</v>
      </c>
      <c r="B616">
        <v>124945</v>
      </c>
      <c r="C616">
        <v>119671</v>
      </c>
      <c r="D616">
        <v>2009</v>
      </c>
      <c r="E616">
        <v>3150</v>
      </c>
      <c r="F616">
        <v>115</v>
      </c>
      <c r="G616">
        <v>7645</v>
      </c>
      <c r="H616">
        <v>1873</v>
      </c>
      <c r="I616">
        <v>3609</v>
      </c>
      <c r="J616">
        <v>2144</v>
      </c>
      <c r="K616">
        <v>20</v>
      </c>
      <c r="L616">
        <v>65558</v>
      </c>
      <c r="M616">
        <v>3392</v>
      </c>
      <c r="N616">
        <v>1534</v>
      </c>
      <c r="O616">
        <v>60451</v>
      </c>
      <c r="P616">
        <v>182</v>
      </c>
      <c r="Q616">
        <v>19</v>
      </c>
      <c r="R616">
        <v>1</v>
      </c>
      <c r="S616">
        <v>154</v>
      </c>
    </row>
    <row r="617" spans="1:19" x14ac:dyDescent="0.25">
      <c r="A617" s="2">
        <v>34820</v>
      </c>
      <c r="B617">
        <v>124421</v>
      </c>
      <c r="C617">
        <v>119596</v>
      </c>
      <c r="D617">
        <v>2035</v>
      </c>
      <c r="E617">
        <v>2675</v>
      </c>
      <c r="F617">
        <v>114</v>
      </c>
      <c r="G617">
        <v>7430</v>
      </c>
      <c r="H617">
        <v>1784</v>
      </c>
      <c r="I617">
        <v>3775</v>
      </c>
      <c r="J617">
        <v>1849</v>
      </c>
      <c r="K617">
        <v>22</v>
      </c>
      <c r="L617">
        <v>66435</v>
      </c>
      <c r="M617">
        <v>3545</v>
      </c>
      <c r="N617">
        <v>1834</v>
      </c>
      <c r="O617">
        <v>60880</v>
      </c>
      <c r="P617">
        <v>177</v>
      </c>
      <c r="Q617">
        <v>19</v>
      </c>
      <c r="R617">
        <v>1</v>
      </c>
      <c r="S617">
        <v>154</v>
      </c>
    </row>
    <row r="618" spans="1:19" x14ac:dyDescent="0.25">
      <c r="A618" s="2">
        <v>34851</v>
      </c>
      <c r="B618">
        <v>124522</v>
      </c>
      <c r="C618">
        <v>119107</v>
      </c>
      <c r="D618">
        <v>2075</v>
      </c>
      <c r="E618">
        <v>3215</v>
      </c>
      <c r="F618">
        <v>125</v>
      </c>
      <c r="G618">
        <v>7427</v>
      </c>
      <c r="H618">
        <v>1871</v>
      </c>
      <c r="I618">
        <v>3658</v>
      </c>
      <c r="J618">
        <v>1864</v>
      </c>
      <c r="K618">
        <v>34</v>
      </c>
      <c r="L618">
        <v>66504</v>
      </c>
      <c r="M618">
        <v>3424</v>
      </c>
      <c r="N618">
        <v>1695</v>
      </c>
      <c r="O618">
        <v>61202</v>
      </c>
      <c r="P618">
        <v>182</v>
      </c>
      <c r="Q618">
        <v>19</v>
      </c>
      <c r="R618">
        <v>1</v>
      </c>
      <c r="S618">
        <v>154</v>
      </c>
    </row>
    <row r="619" spans="1:19" x14ac:dyDescent="0.25">
      <c r="A619" s="2">
        <v>34881</v>
      </c>
      <c r="B619">
        <v>124816</v>
      </c>
      <c r="C619">
        <v>119431</v>
      </c>
      <c r="D619">
        <v>2060</v>
      </c>
      <c r="E619">
        <v>3211</v>
      </c>
      <c r="F619">
        <v>114</v>
      </c>
      <c r="G619">
        <v>7527</v>
      </c>
      <c r="H619">
        <v>1820</v>
      </c>
      <c r="I619">
        <v>3705</v>
      </c>
      <c r="J619">
        <v>1976</v>
      </c>
      <c r="K619">
        <v>26</v>
      </c>
      <c r="L619">
        <v>66272</v>
      </c>
      <c r="M619">
        <v>3252</v>
      </c>
      <c r="N619">
        <v>1661</v>
      </c>
      <c r="O619">
        <v>61161</v>
      </c>
      <c r="P619">
        <v>197</v>
      </c>
      <c r="Q619">
        <v>19</v>
      </c>
      <c r="R619">
        <v>1</v>
      </c>
      <c r="S619">
        <v>155</v>
      </c>
    </row>
    <row r="620" spans="1:19" x14ac:dyDescent="0.25">
      <c r="A620" s="2">
        <v>34912</v>
      </c>
      <c r="B620">
        <v>124852</v>
      </c>
      <c r="C620">
        <v>119491</v>
      </c>
      <c r="D620">
        <v>2182</v>
      </c>
      <c r="E620">
        <v>3039</v>
      </c>
      <c r="F620">
        <v>140</v>
      </c>
      <c r="G620">
        <v>7484</v>
      </c>
      <c r="H620">
        <v>1910</v>
      </c>
      <c r="I620">
        <v>3650</v>
      </c>
      <c r="J620">
        <v>1898</v>
      </c>
      <c r="K620">
        <v>26</v>
      </c>
      <c r="L620">
        <v>66465</v>
      </c>
      <c r="M620">
        <v>3396</v>
      </c>
      <c r="N620">
        <v>1693</v>
      </c>
      <c r="O620">
        <v>61180</v>
      </c>
      <c r="P620">
        <v>196</v>
      </c>
      <c r="Q620">
        <v>19</v>
      </c>
      <c r="R620">
        <v>1</v>
      </c>
      <c r="S620">
        <v>155</v>
      </c>
    </row>
    <row r="621" spans="1:19" x14ac:dyDescent="0.25">
      <c r="A621" s="2">
        <v>34943</v>
      </c>
      <c r="B621">
        <v>125133</v>
      </c>
      <c r="C621">
        <v>119646</v>
      </c>
      <c r="D621">
        <v>2062</v>
      </c>
      <c r="E621">
        <v>3297</v>
      </c>
      <c r="F621">
        <v>129</v>
      </c>
      <c r="G621">
        <v>7478</v>
      </c>
      <c r="H621">
        <v>1895</v>
      </c>
      <c r="I621">
        <v>3636</v>
      </c>
      <c r="J621">
        <v>1923</v>
      </c>
      <c r="K621">
        <v>23</v>
      </c>
      <c r="L621">
        <v>66394</v>
      </c>
      <c r="M621">
        <v>3292</v>
      </c>
      <c r="N621">
        <v>1785</v>
      </c>
      <c r="O621">
        <v>61090</v>
      </c>
      <c r="P621">
        <v>228</v>
      </c>
      <c r="Q621">
        <v>19</v>
      </c>
      <c r="R621">
        <v>1</v>
      </c>
      <c r="S621">
        <v>155</v>
      </c>
    </row>
    <row r="622" spans="1:19" x14ac:dyDescent="0.25">
      <c r="A622" s="2">
        <v>34973</v>
      </c>
      <c r="B622">
        <v>125388</v>
      </c>
      <c r="C622">
        <v>119880</v>
      </c>
      <c r="D622">
        <v>2158</v>
      </c>
      <c r="E622">
        <v>3215</v>
      </c>
      <c r="F622">
        <v>135</v>
      </c>
      <c r="G622">
        <v>7328</v>
      </c>
      <c r="H622">
        <v>1857</v>
      </c>
      <c r="I622">
        <v>3508</v>
      </c>
      <c r="J622">
        <v>1907</v>
      </c>
      <c r="K622">
        <v>56</v>
      </c>
      <c r="L622">
        <v>66476</v>
      </c>
      <c r="M622">
        <v>3376</v>
      </c>
      <c r="N622">
        <v>1811</v>
      </c>
      <c r="O622">
        <v>61117</v>
      </c>
      <c r="P622">
        <v>172</v>
      </c>
      <c r="Q622">
        <v>20</v>
      </c>
      <c r="R622">
        <v>1</v>
      </c>
      <c r="S622">
        <v>155</v>
      </c>
    </row>
    <row r="623" spans="1:19" x14ac:dyDescent="0.25">
      <c r="A623" s="2">
        <v>35004</v>
      </c>
      <c r="B623">
        <v>125188</v>
      </c>
      <c r="C623">
        <v>120119</v>
      </c>
      <c r="D623">
        <v>1969</v>
      </c>
      <c r="E623">
        <v>3012</v>
      </c>
      <c r="F623">
        <v>87</v>
      </c>
      <c r="G623">
        <v>7426</v>
      </c>
      <c r="H623">
        <v>1798</v>
      </c>
      <c r="I623">
        <v>3663</v>
      </c>
      <c r="J623">
        <v>1940</v>
      </c>
      <c r="K623">
        <v>24</v>
      </c>
      <c r="L623">
        <v>66741</v>
      </c>
      <c r="M623">
        <v>3452</v>
      </c>
      <c r="N623">
        <v>1694</v>
      </c>
      <c r="O623">
        <v>61368</v>
      </c>
      <c r="P623">
        <v>227</v>
      </c>
      <c r="Q623">
        <v>20</v>
      </c>
      <c r="R623">
        <v>1</v>
      </c>
      <c r="S623">
        <v>155</v>
      </c>
    </row>
    <row r="624" spans="1:19" x14ac:dyDescent="0.25">
      <c r="A624" s="2">
        <v>35034</v>
      </c>
      <c r="B624">
        <v>125088</v>
      </c>
      <c r="C624">
        <v>120269</v>
      </c>
      <c r="D624">
        <v>1899</v>
      </c>
      <c r="E624">
        <v>2777</v>
      </c>
      <c r="F624">
        <v>144</v>
      </c>
      <c r="G624">
        <v>7423</v>
      </c>
      <c r="H624">
        <v>1657</v>
      </c>
      <c r="I624">
        <v>3808</v>
      </c>
      <c r="J624">
        <v>1947</v>
      </c>
      <c r="K624">
        <v>11</v>
      </c>
      <c r="L624">
        <v>66997</v>
      </c>
      <c r="M624">
        <v>3243</v>
      </c>
      <c r="N624">
        <v>1718</v>
      </c>
      <c r="O624">
        <v>61861</v>
      </c>
      <c r="P624">
        <v>175</v>
      </c>
      <c r="Q624">
        <v>20</v>
      </c>
      <c r="R624">
        <v>1</v>
      </c>
      <c r="S624">
        <v>155</v>
      </c>
    </row>
    <row r="625" spans="1:19" x14ac:dyDescent="0.25">
      <c r="A625" s="2" t="s">
        <v>58</v>
      </c>
      <c r="B625" t="e">
        <v>#N/A</v>
      </c>
      <c r="C625" t="e">
        <v>#N/A</v>
      </c>
      <c r="D625" t="e">
        <v>#N/A</v>
      </c>
      <c r="E625" t="e">
        <v>#N/A</v>
      </c>
      <c r="F625" t="e">
        <v>#N/A</v>
      </c>
      <c r="G625" t="e">
        <v>#N/A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</row>
    <row r="626" spans="1:19" x14ac:dyDescent="0.25">
      <c r="A626" s="2">
        <v>35065</v>
      </c>
      <c r="B626">
        <v>125125</v>
      </c>
      <c r="C626">
        <v>120022</v>
      </c>
      <c r="D626">
        <v>2035</v>
      </c>
      <c r="E626">
        <v>2989</v>
      </c>
      <c r="F626">
        <v>78</v>
      </c>
      <c r="G626">
        <v>7491</v>
      </c>
      <c r="H626">
        <v>1867</v>
      </c>
      <c r="I626">
        <v>3704</v>
      </c>
      <c r="J626">
        <v>1890</v>
      </c>
      <c r="K626">
        <v>30</v>
      </c>
      <c r="L626">
        <v>67018</v>
      </c>
      <c r="M626">
        <v>3174</v>
      </c>
      <c r="N626">
        <v>1682</v>
      </c>
      <c r="O626">
        <v>61960</v>
      </c>
      <c r="P626">
        <v>202</v>
      </c>
      <c r="Q626">
        <v>25</v>
      </c>
      <c r="R626">
        <v>2</v>
      </c>
      <c r="S626">
        <v>157</v>
      </c>
    </row>
    <row r="627" spans="1:19" x14ac:dyDescent="0.25">
      <c r="A627" s="2">
        <v>35096</v>
      </c>
      <c r="B627">
        <v>125639</v>
      </c>
      <c r="C627">
        <v>120194</v>
      </c>
      <c r="D627">
        <v>2044</v>
      </c>
      <c r="E627">
        <v>3329</v>
      </c>
      <c r="F627">
        <v>72</v>
      </c>
      <c r="G627">
        <v>7313</v>
      </c>
      <c r="H627">
        <v>1677</v>
      </c>
      <c r="I627">
        <v>3687</v>
      </c>
      <c r="J627">
        <v>1939</v>
      </c>
      <c r="K627">
        <v>10</v>
      </c>
      <c r="L627">
        <v>66820</v>
      </c>
      <c r="M627">
        <v>3234</v>
      </c>
      <c r="N627">
        <v>1759</v>
      </c>
      <c r="O627">
        <v>61594</v>
      </c>
      <c r="P627">
        <v>233</v>
      </c>
      <c r="Q627">
        <v>20</v>
      </c>
      <c r="R627">
        <v>1</v>
      </c>
      <c r="S627">
        <v>156</v>
      </c>
    </row>
    <row r="628" spans="1:19" x14ac:dyDescent="0.25">
      <c r="A628" s="2">
        <v>35125</v>
      </c>
      <c r="B628">
        <v>125862</v>
      </c>
      <c r="C628">
        <v>120616</v>
      </c>
      <c r="D628">
        <v>2022</v>
      </c>
      <c r="E628">
        <v>3111</v>
      </c>
      <c r="F628">
        <v>113</v>
      </c>
      <c r="G628">
        <v>7318</v>
      </c>
      <c r="H628">
        <v>1752</v>
      </c>
      <c r="I628">
        <v>3601</v>
      </c>
      <c r="J628">
        <v>1944</v>
      </c>
      <c r="K628">
        <v>21</v>
      </c>
      <c r="L628">
        <v>66741</v>
      </c>
      <c r="M628">
        <v>3251</v>
      </c>
      <c r="N628">
        <v>1689</v>
      </c>
      <c r="O628">
        <v>61610</v>
      </c>
      <c r="P628">
        <v>191</v>
      </c>
      <c r="Q628">
        <v>20</v>
      </c>
      <c r="R628">
        <v>1</v>
      </c>
      <c r="S628">
        <v>156</v>
      </c>
    </row>
    <row r="629" spans="1:19" x14ac:dyDescent="0.25">
      <c r="A629" s="2">
        <v>35156</v>
      </c>
      <c r="B629">
        <v>125994</v>
      </c>
      <c r="C629">
        <v>120930</v>
      </c>
      <c r="D629">
        <v>1963</v>
      </c>
      <c r="E629">
        <v>2996</v>
      </c>
      <c r="F629">
        <v>105</v>
      </c>
      <c r="G629">
        <v>7415</v>
      </c>
      <c r="H629">
        <v>1750</v>
      </c>
      <c r="I629">
        <v>3713</v>
      </c>
      <c r="J629">
        <v>1935</v>
      </c>
      <c r="K629">
        <v>18</v>
      </c>
      <c r="L629">
        <v>66692</v>
      </c>
      <c r="M629">
        <v>3162</v>
      </c>
      <c r="N629">
        <v>1641</v>
      </c>
      <c r="O629">
        <v>61655</v>
      </c>
      <c r="P629">
        <v>234</v>
      </c>
      <c r="Q629">
        <v>20</v>
      </c>
      <c r="R629">
        <v>1</v>
      </c>
      <c r="S629">
        <v>156</v>
      </c>
    </row>
    <row r="630" spans="1:19" x14ac:dyDescent="0.25">
      <c r="A630" s="2">
        <v>35186</v>
      </c>
      <c r="B630">
        <v>126244</v>
      </c>
      <c r="C630">
        <v>120990</v>
      </c>
      <c r="D630">
        <v>1994</v>
      </c>
      <c r="E630">
        <v>3131</v>
      </c>
      <c r="F630">
        <v>128</v>
      </c>
      <c r="G630">
        <v>7423</v>
      </c>
      <c r="H630">
        <v>1787</v>
      </c>
      <c r="I630">
        <v>3666</v>
      </c>
      <c r="J630">
        <v>1950</v>
      </c>
      <c r="K630">
        <v>21</v>
      </c>
      <c r="L630">
        <v>66611</v>
      </c>
      <c r="M630">
        <v>3198</v>
      </c>
      <c r="N630">
        <v>1754</v>
      </c>
      <c r="O630">
        <v>61455</v>
      </c>
      <c r="P630">
        <v>205</v>
      </c>
      <c r="Q630">
        <v>20</v>
      </c>
      <c r="R630">
        <v>1</v>
      </c>
      <c r="S630">
        <v>156</v>
      </c>
    </row>
    <row r="631" spans="1:19" x14ac:dyDescent="0.25">
      <c r="A631" s="2">
        <v>35217</v>
      </c>
      <c r="B631">
        <v>126602</v>
      </c>
      <c r="C631">
        <v>121245</v>
      </c>
      <c r="D631">
        <v>2039</v>
      </c>
      <c r="E631">
        <v>3194</v>
      </c>
      <c r="F631">
        <v>124</v>
      </c>
      <c r="G631">
        <v>7095</v>
      </c>
      <c r="H631">
        <v>1754</v>
      </c>
      <c r="I631">
        <v>3544</v>
      </c>
      <c r="J631">
        <v>1766</v>
      </c>
      <c r="K631">
        <v>31</v>
      </c>
      <c r="L631">
        <v>66762</v>
      </c>
      <c r="M631">
        <v>3225</v>
      </c>
      <c r="N631">
        <v>1839</v>
      </c>
      <c r="O631">
        <v>61495</v>
      </c>
      <c r="P631">
        <v>202</v>
      </c>
      <c r="Q631">
        <v>20</v>
      </c>
      <c r="R631">
        <v>1</v>
      </c>
      <c r="S631">
        <v>156</v>
      </c>
    </row>
    <row r="632" spans="1:19" x14ac:dyDescent="0.25">
      <c r="A632" s="2">
        <v>35247</v>
      </c>
      <c r="B632">
        <v>126947</v>
      </c>
      <c r="C632">
        <v>121504</v>
      </c>
      <c r="D632">
        <v>2007</v>
      </c>
      <c r="E632">
        <v>3310</v>
      </c>
      <c r="F632">
        <v>127</v>
      </c>
      <c r="G632">
        <v>7337</v>
      </c>
      <c r="H632">
        <v>1765</v>
      </c>
      <c r="I632">
        <v>3486</v>
      </c>
      <c r="J632">
        <v>2061</v>
      </c>
      <c r="K632">
        <v>25</v>
      </c>
      <c r="L632">
        <v>66357</v>
      </c>
      <c r="M632">
        <v>3314</v>
      </c>
      <c r="N632">
        <v>1601</v>
      </c>
      <c r="O632">
        <v>61235</v>
      </c>
      <c r="P632">
        <v>208</v>
      </c>
      <c r="Q632">
        <v>20</v>
      </c>
      <c r="R632">
        <v>1</v>
      </c>
      <c r="S632">
        <v>156</v>
      </c>
    </row>
    <row r="633" spans="1:19" x14ac:dyDescent="0.25">
      <c r="A633" s="2">
        <v>35278</v>
      </c>
      <c r="B633">
        <v>127172</v>
      </c>
      <c r="C633">
        <v>121885</v>
      </c>
      <c r="D633">
        <v>2123</v>
      </c>
      <c r="E633">
        <v>3063</v>
      </c>
      <c r="F633">
        <v>100</v>
      </c>
      <c r="G633">
        <v>6882</v>
      </c>
      <c r="H633">
        <v>1634</v>
      </c>
      <c r="I633">
        <v>3541</v>
      </c>
      <c r="J633">
        <v>1689</v>
      </c>
      <c r="K633">
        <v>18</v>
      </c>
      <c r="L633">
        <v>66793</v>
      </c>
      <c r="M633">
        <v>3408</v>
      </c>
      <c r="N633">
        <v>1671</v>
      </c>
      <c r="O633">
        <v>61449</v>
      </c>
      <c r="P633">
        <v>265</v>
      </c>
      <c r="Q633">
        <v>20</v>
      </c>
      <c r="R633">
        <v>1</v>
      </c>
      <c r="S633">
        <v>156</v>
      </c>
    </row>
    <row r="634" spans="1:19" x14ac:dyDescent="0.25">
      <c r="A634" s="2">
        <v>35309</v>
      </c>
      <c r="B634">
        <v>127536</v>
      </c>
      <c r="C634">
        <v>122245</v>
      </c>
      <c r="D634">
        <v>1976</v>
      </c>
      <c r="E634">
        <v>3149</v>
      </c>
      <c r="F634">
        <v>165</v>
      </c>
      <c r="G634">
        <v>6979</v>
      </c>
      <c r="H634">
        <v>1792</v>
      </c>
      <c r="I634">
        <v>3264</v>
      </c>
      <c r="J634">
        <v>1896</v>
      </c>
      <c r="K634">
        <v>27</v>
      </c>
      <c r="L634">
        <v>66546</v>
      </c>
      <c r="M634">
        <v>3115</v>
      </c>
      <c r="N634">
        <v>1640</v>
      </c>
      <c r="O634">
        <v>61591</v>
      </c>
      <c r="P634">
        <v>198</v>
      </c>
      <c r="Q634">
        <v>20</v>
      </c>
      <c r="R634">
        <v>1</v>
      </c>
      <c r="S634">
        <v>156</v>
      </c>
    </row>
    <row r="635" spans="1:19" x14ac:dyDescent="0.25">
      <c r="A635" s="2">
        <v>35339</v>
      </c>
      <c r="B635">
        <v>127890</v>
      </c>
      <c r="C635">
        <v>122621</v>
      </c>
      <c r="D635">
        <v>2034</v>
      </c>
      <c r="E635">
        <v>3080</v>
      </c>
      <c r="F635">
        <v>155</v>
      </c>
      <c r="G635">
        <v>7031</v>
      </c>
      <c r="H635">
        <v>1666</v>
      </c>
      <c r="I635">
        <v>3479</v>
      </c>
      <c r="J635">
        <v>1867</v>
      </c>
      <c r="K635">
        <v>19</v>
      </c>
      <c r="L635">
        <v>66352</v>
      </c>
      <c r="M635">
        <v>3229</v>
      </c>
      <c r="N635">
        <v>1464</v>
      </c>
      <c r="O635">
        <v>61443</v>
      </c>
      <c r="P635">
        <v>217</v>
      </c>
      <c r="Q635">
        <v>20</v>
      </c>
      <c r="R635">
        <v>1</v>
      </c>
      <c r="S635">
        <v>157</v>
      </c>
    </row>
    <row r="636" spans="1:19" x14ac:dyDescent="0.25">
      <c r="A636" s="2">
        <v>35370</v>
      </c>
      <c r="B636">
        <v>127771</v>
      </c>
      <c r="C636">
        <v>122794</v>
      </c>
      <c r="D636">
        <v>1947</v>
      </c>
      <c r="E636">
        <v>2923</v>
      </c>
      <c r="F636">
        <v>107</v>
      </c>
      <c r="G636">
        <v>7236</v>
      </c>
      <c r="H636">
        <v>1849</v>
      </c>
      <c r="I636">
        <v>3466</v>
      </c>
      <c r="J636">
        <v>1890</v>
      </c>
      <c r="K636">
        <v>31</v>
      </c>
      <c r="L636">
        <v>66456</v>
      </c>
      <c r="M636">
        <v>3227</v>
      </c>
      <c r="N636">
        <v>1617</v>
      </c>
      <c r="O636">
        <v>61382</v>
      </c>
      <c r="P636">
        <v>229</v>
      </c>
      <c r="Q636">
        <v>20</v>
      </c>
      <c r="R636">
        <v>1</v>
      </c>
      <c r="S636">
        <v>157</v>
      </c>
    </row>
    <row r="637" spans="1:19" x14ac:dyDescent="0.25">
      <c r="A637" s="2">
        <v>35400</v>
      </c>
      <c r="B637">
        <v>127860</v>
      </c>
      <c r="C637">
        <v>123041</v>
      </c>
      <c r="D637">
        <v>1935</v>
      </c>
      <c r="E637">
        <v>2741</v>
      </c>
      <c r="F637">
        <v>144</v>
      </c>
      <c r="G637">
        <v>7253</v>
      </c>
      <c r="H637">
        <v>1604</v>
      </c>
      <c r="I637">
        <v>3707</v>
      </c>
      <c r="J637">
        <v>1922</v>
      </c>
      <c r="K637">
        <v>19</v>
      </c>
      <c r="L637">
        <v>66523</v>
      </c>
      <c r="M637">
        <v>3106</v>
      </c>
      <c r="N637">
        <v>1593</v>
      </c>
      <c r="O637">
        <v>61636</v>
      </c>
      <c r="P637">
        <v>188</v>
      </c>
      <c r="Q637">
        <v>20</v>
      </c>
      <c r="R637">
        <v>1</v>
      </c>
      <c r="S637">
        <v>157</v>
      </c>
    </row>
    <row r="638" spans="1:19" x14ac:dyDescent="0.25">
      <c r="A638" s="2" t="s">
        <v>59</v>
      </c>
      <c r="B638" t="e">
        <v>#N/A</v>
      </c>
      <c r="C638" t="e">
        <v>#N/A</v>
      </c>
      <c r="D638" t="e">
        <v>#N/A</v>
      </c>
      <c r="E638" t="e">
        <v>#N/A</v>
      </c>
      <c r="F638" t="e">
        <v>#N/A</v>
      </c>
      <c r="G638" t="e">
        <v>#N/A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</row>
    <row r="639" spans="1:19" x14ac:dyDescent="0.25">
      <c r="A639" s="2">
        <v>35431</v>
      </c>
      <c r="B639">
        <v>128298</v>
      </c>
      <c r="C639">
        <v>122620</v>
      </c>
      <c r="D639">
        <v>2187</v>
      </c>
      <c r="E639">
        <v>3094</v>
      </c>
      <c r="F639">
        <v>397</v>
      </c>
      <c r="G639">
        <v>7158</v>
      </c>
      <c r="H639">
        <v>1863</v>
      </c>
      <c r="I639">
        <v>3418</v>
      </c>
      <c r="J639">
        <v>1841</v>
      </c>
      <c r="K639">
        <v>36</v>
      </c>
      <c r="L639">
        <v>66829</v>
      </c>
      <c r="M639">
        <v>3357</v>
      </c>
      <c r="N639">
        <v>1647</v>
      </c>
      <c r="O639">
        <v>61431</v>
      </c>
      <c r="P639">
        <v>394</v>
      </c>
      <c r="Q639">
        <v>20</v>
      </c>
      <c r="R639">
        <v>1</v>
      </c>
      <c r="S639">
        <v>157</v>
      </c>
    </row>
    <row r="640" spans="1:19" x14ac:dyDescent="0.25">
      <c r="A640" s="2">
        <v>35462</v>
      </c>
      <c r="B640">
        <v>128298</v>
      </c>
      <c r="C640">
        <v>123094</v>
      </c>
      <c r="D640">
        <v>2074</v>
      </c>
      <c r="E640">
        <v>3059</v>
      </c>
      <c r="F640">
        <v>72</v>
      </c>
      <c r="G640">
        <v>7102</v>
      </c>
      <c r="H640">
        <v>1789</v>
      </c>
      <c r="I640">
        <v>3474</v>
      </c>
      <c r="J640">
        <v>1810</v>
      </c>
      <c r="K640">
        <v>30</v>
      </c>
      <c r="L640">
        <v>66988</v>
      </c>
      <c r="M640">
        <v>3396</v>
      </c>
      <c r="N640">
        <v>1609</v>
      </c>
      <c r="O640">
        <v>61803</v>
      </c>
      <c r="P640">
        <v>180</v>
      </c>
      <c r="Q640">
        <v>20</v>
      </c>
      <c r="R640">
        <v>1</v>
      </c>
      <c r="S640">
        <v>157</v>
      </c>
    </row>
    <row r="641" spans="1:19" x14ac:dyDescent="0.25">
      <c r="A641" s="2">
        <v>35490</v>
      </c>
      <c r="B641">
        <v>128891</v>
      </c>
      <c r="C641">
        <v>123292</v>
      </c>
      <c r="D641">
        <v>2056</v>
      </c>
      <c r="E641">
        <v>3450</v>
      </c>
      <c r="F641">
        <v>92</v>
      </c>
      <c r="G641">
        <v>7000</v>
      </c>
      <c r="H641">
        <v>1650</v>
      </c>
      <c r="I641">
        <v>3475</v>
      </c>
      <c r="J641">
        <v>1855</v>
      </c>
      <c r="K641">
        <v>20</v>
      </c>
      <c r="L641">
        <v>66622</v>
      </c>
      <c r="M641">
        <v>3336</v>
      </c>
      <c r="N641">
        <v>1569</v>
      </c>
      <c r="O641">
        <v>61525</v>
      </c>
      <c r="P641">
        <v>192</v>
      </c>
      <c r="Q641">
        <v>20</v>
      </c>
      <c r="R641">
        <v>1</v>
      </c>
      <c r="S641">
        <v>158</v>
      </c>
    </row>
    <row r="642" spans="1:19" x14ac:dyDescent="0.25">
      <c r="A642" s="2">
        <v>35521</v>
      </c>
      <c r="B642">
        <v>129143</v>
      </c>
      <c r="C642">
        <v>123816</v>
      </c>
      <c r="D642">
        <v>1976</v>
      </c>
      <c r="E642">
        <v>3215</v>
      </c>
      <c r="F642">
        <v>136</v>
      </c>
      <c r="G642">
        <v>6873</v>
      </c>
      <c r="H642">
        <v>1724</v>
      </c>
      <c r="I642">
        <v>3379</v>
      </c>
      <c r="J642">
        <v>1753</v>
      </c>
      <c r="K642">
        <v>17</v>
      </c>
      <c r="L642">
        <v>66658</v>
      </c>
      <c r="M642">
        <v>3332</v>
      </c>
      <c r="N642">
        <v>1644</v>
      </c>
      <c r="O642">
        <v>61497</v>
      </c>
      <c r="P642">
        <v>186</v>
      </c>
      <c r="Q642">
        <v>20</v>
      </c>
      <c r="R642">
        <v>1</v>
      </c>
      <c r="S642">
        <v>158</v>
      </c>
    </row>
    <row r="643" spans="1:19" x14ac:dyDescent="0.25">
      <c r="A643" s="2">
        <v>35551</v>
      </c>
      <c r="B643">
        <v>129464</v>
      </c>
      <c r="C643">
        <v>124156</v>
      </c>
      <c r="D643">
        <v>2051</v>
      </c>
      <c r="E643">
        <v>3172</v>
      </c>
      <c r="F643">
        <v>86</v>
      </c>
      <c r="G643">
        <v>6655</v>
      </c>
      <c r="H643">
        <v>1639</v>
      </c>
      <c r="I643">
        <v>3228</v>
      </c>
      <c r="J643">
        <v>1764</v>
      </c>
      <c r="K643">
        <v>24</v>
      </c>
      <c r="L643">
        <v>66713</v>
      </c>
      <c r="M643">
        <v>3328</v>
      </c>
      <c r="N643">
        <v>1593</v>
      </c>
      <c r="O643">
        <v>61564</v>
      </c>
      <c r="P643">
        <v>227</v>
      </c>
      <c r="Q643">
        <v>20</v>
      </c>
      <c r="R643">
        <v>1</v>
      </c>
      <c r="S643">
        <v>158</v>
      </c>
    </row>
    <row r="644" spans="1:19" x14ac:dyDescent="0.25">
      <c r="A644" s="2">
        <v>35582</v>
      </c>
      <c r="B644">
        <v>129412</v>
      </c>
      <c r="C644">
        <v>124226</v>
      </c>
      <c r="D644">
        <v>1990</v>
      </c>
      <c r="E644">
        <v>3075</v>
      </c>
      <c r="F644">
        <v>121</v>
      </c>
      <c r="G644">
        <v>6799</v>
      </c>
      <c r="H644">
        <v>1865</v>
      </c>
      <c r="I644">
        <v>3126</v>
      </c>
      <c r="J644">
        <v>1781</v>
      </c>
      <c r="K644">
        <v>26</v>
      </c>
      <c r="L644">
        <v>66789</v>
      </c>
      <c r="M644">
        <v>3353</v>
      </c>
      <c r="N644">
        <v>1538</v>
      </c>
      <c r="O644">
        <v>61699</v>
      </c>
      <c r="P644">
        <v>199</v>
      </c>
      <c r="Q644">
        <v>20</v>
      </c>
      <c r="R644">
        <v>1</v>
      </c>
      <c r="S644">
        <v>158</v>
      </c>
    </row>
    <row r="645" spans="1:19" x14ac:dyDescent="0.25">
      <c r="A645" s="2">
        <v>35612</v>
      </c>
      <c r="B645">
        <v>129822</v>
      </c>
      <c r="C645">
        <v>124551</v>
      </c>
      <c r="D645">
        <v>2097</v>
      </c>
      <c r="E645">
        <v>3096</v>
      </c>
      <c r="F645">
        <v>78</v>
      </c>
      <c r="G645">
        <v>6655</v>
      </c>
      <c r="H645">
        <v>1685</v>
      </c>
      <c r="I645">
        <v>3162</v>
      </c>
      <c r="J645">
        <v>1788</v>
      </c>
      <c r="K645">
        <v>21</v>
      </c>
      <c r="L645">
        <v>66689</v>
      </c>
      <c r="M645">
        <v>3157</v>
      </c>
      <c r="N645">
        <v>1539</v>
      </c>
      <c r="O645">
        <v>61747</v>
      </c>
      <c r="P645">
        <v>247</v>
      </c>
      <c r="Q645">
        <v>20</v>
      </c>
      <c r="R645">
        <v>1</v>
      </c>
      <c r="S645">
        <v>158</v>
      </c>
    </row>
    <row r="646" spans="1:19" x14ac:dyDescent="0.25">
      <c r="A646" s="2">
        <v>35643</v>
      </c>
      <c r="B646">
        <v>130010</v>
      </c>
      <c r="C646">
        <v>124942</v>
      </c>
      <c r="D646">
        <v>1811</v>
      </c>
      <c r="E646">
        <v>3142</v>
      </c>
      <c r="F646">
        <v>115</v>
      </c>
      <c r="G646">
        <v>6608</v>
      </c>
      <c r="H646">
        <v>1578</v>
      </c>
      <c r="I646">
        <v>3165</v>
      </c>
      <c r="J646">
        <v>1836</v>
      </c>
      <c r="K646">
        <v>29</v>
      </c>
      <c r="L646">
        <v>66746</v>
      </c>
      <c r="M646">
        <v>3282</v>
      </c>
      <c r="N646">
        <v>1677</v>
      </c>
      <c r="O646">
        <v>61553</v>
      </c>
      <c r="P646">
        <v>234</v>
      </c>
      <c r="Q646">
        <v>20</v>
      </c>
      <c r="R646">
        <v>1</v>
      </c>
      <c r="S646">
        <v>158</v>
      </c>
    </row>
    <row r="647" spans="1:19" x14ac:dyDescent="0.25">
      <c r="A647" s="2">
        <v>35674</v>
      </c>
      <c r="B647">
        <v>130019</v>
      </c>
      <c r="C647">
        <v>124955</v>
      </c>
      <c r="D647">
        <v>1836</v>
      </c>
      <c r="E647">
        <v>3074</v>
      </c>
      <c r="F647">
        <v>154</v>
      </c>
      <c r="G647">
        <v>6656</v>
      </c>
      <c r="H647">
        <v>1667</v>
      </c>
      <c r="I647">
        <v>3237</v>
      </c>
      <c r="J647">
        <v>1741</v>
      </c>
      <c r="K647">
        <v>11</v>
      </c>
      <c r="L647">
        <v>66895</v>
      </c>
      <c r="M647">
        <v>3369</v>
      </c>
      <c r="N647">
        <v>1534</v>
      </c>
      <c r="O647">
        <v>61773</v>
      </c>
      <c r="P647">
        <v>219</v>
      </c>
      <c r="Q647">
        <v>20</v>
      </c>
      <c r="R647">
        <v>1</v>
      </c>
      <c r="S647">
        <v>158</v>
      </c>
    </row>
    <row r="648" spans="1:19" x14ac:dyDescent="0.25">
      <c r="A648" s="2">
        <v>35704</v>
      </c>
      <c r="B648">
        <v>130179</v>
      </c>
      <c r="C648">
        <v>125004</v>
      </c>
      <c r="D648">
        <v>1953</v>
      </c>
      <c r="E648">
        <v>3113</v>
      </c>
      <c r="F648">
        <v>110</v>
      </c>
      <c r="G648">
        <v>6454</v>
      </c>
      <c r="H648">
        <v>1691</v>
      </c>
      <c r="I648">
        <v>3115</v>
      </c>
      <c r="J648">
        <v>1622</v>
      </c>
      <c r="K648">
        <v>25</v>
      </c>
      <c r="L648">
        <v>67134</v>
      </c>
      <c r="M648">
        <v>3303</v>
      </c>
      <c r="N648">
        <v>1587</v>
      </c>
      <c r="O648">
        <v>62001</v>
      </c>
      <c r="P648">
        <v>243</v>
      </c>
      <c r="Q648">
        <v>20</v>
      </c>
      <c r="R648">
        <v>1</v>
      </c>
      <c r="S648">
        <v>159</v>
      </c>
    </row>
    <row r="649" spans="1:19" x14ac:dyDescent="0.25">
      <c r="A649" s="2">
        <v>35735</v>
      </c>
      <c r="B649">
        <v>130653</v>
      </c>
      <c r="C649">
        <v>125254</v>
      </c>
      <c r="D649">
        <v>1900</v>
      </c>
      <c r="E649">
        <v>3381</v>
      </c>
      <c r="F649">
        <v>118</v>
      </c>
      <c r="G649">
        <v>6308</v>
      </c>
      <c r="H649">
        <v>1596</v>
      </c>
      <c r="I649">
        <v>3041</v>
      </c>
      <c r="J649">
        <v>1649</v>
      </c>
      <c r="K649">
        <v>21</v>
      </c>
      <c r="L649">
        <v>66980</v>
      </c>
      <c r="M649">
        <v>3309</v>
      </c>
      <c r="N649">
        <v>1511</v>
      </c>
      <c r="O649">
        <v>61945</v>
      </c>
      <c r="P649">
        <v>214</v>
      </c>
      <c r="Q649">
        <v>20</v>
      </c>
      <c r="R649">
        <v>1</v>
      </c>
      <c r="S649">
        <v>159</v>
      </c>
    </row>
    <row r="650" spans="1:19" x14ac:dyDescent="0.25">
      <c r="A650" s="2">
        <v>35765</v>
      </c>
      <c r="B650">
        <v>130679</v>
      </c>
      <c r="C650">
        <v>125186</v>
      </c>
      <c r="D650">
        <v>1997</v>
      </c>
      <c r="E650">
        <v>3402</v>
      </c>
      <c r="F650">
        <v>94</v>
      </c>
      <c r="G650">
        <v>6476</v>
      </c>
      <c r="H650">
        <v>1880</v>
      </c>
      <c r="I650">
        <v>2831</v>
      </c>
      <c r="J650">
        <v>1747</v>
      </c>
      <c r="K650">
        <v>17</v>
      </c>
      <c r="L650">
        <v>66943</v>
      </c>
      <c r="M650">
        <v>3567</v>
      </c>
      <c r="N650">
        <v>1478</v>
      </c>
      <c r="O650">
        <v>61672</v>
      </c>
      <c r="P650">
        <v>226</v>
      </c>
      <c r="Q650">
        <v>20</v>
      </c>
      <c r="R650">
        <v>1</v>
      </c>
      <c r="S650">
        <v>159</v>
      </c>
    </row>
    <row r="651" spans="1:19" x14ac:dyDescent="0.25">
      <c r="A651" s="2" t="s">
        <v>60</v>
      </c>
      <c r="B651" t="e">
        <v>#N/A</v>
      </c>
      <c r="C651" t="e">
        <v>#N/A</v>
      </c>
      <c r="D651" t="e">
        <v>#N/A</v>
      </c>
      <c r="E651" t="e">
        <v>#N/A</v>
      </c>
      <c r="F651" t="e">
        <v>#N/A</v>
      </c>
      <c r="G651" t="e">
        <v>#N/A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</row>
    <row r="652" spans="1:19" x14ac:dyDescent="0.25">
      <c r="A652" s="2">
        <v>35796</v>
      </c>
      <c r="B652">
        <v>130726</v>
      </c>
      <c r="C652">
        <v>125499</v>
      </c>
      <c r="D652">
        <v>1896</v>
      </c>
      <c r="E652">
        <v>3226</v>
      </c>
      <c r="F652">
        <v>105</v>
      </c>
      <c r="G652">
        <v>6368</v>
      </c>
      <c r="H652">
        <v>1685</v>
      </c>
      <c r="I652">
        <v>3026</v>
      </c>
      <c r="J652">
        <v>1641</v>
      </c>
      <c r="K652">
        <v>17</v>
      </c>
      <c r="L652">
        <v>67143</v>
      </c>
      <c r="M652">
        <v>3453</v>
      </c>
      <c r="N652">
        <v>1552</v>
      </c>
      <c r="O652">
        <v>61910</v>
      </c>
      <c r="P652">
        <v>229</v>
      </c>
      <c r="Q652">
        <v>42</v>
      </c>
      <c r="R652">
        <v>2</v>
      </c>
      <c r="S652">
        <v>167</v>
      </c>
    </row>
    <row r="653" spans="1:19" x14ac:dyDescent="0.25">
      <c r="A653" s="2">
        <v>35827</v>
      </c>
      <c r="B653">
        <v>130807</v>
      </c>
      <c r="C653">
        <v>125579</v>
      </c>
      <c r="D653">
        <v>1954</v>
      </c>
      <c r="E653">
        <v>3202</v>
      </c>
      <c r="F653">
        <v>73</v>
      </c>
      <c r="G653">
        <v>6306</v>
      </c>
      <c r="H653">
        <v>1750</v>
      </c>
      <c r="I653">
        <v>2807</v>
      </c>
      <c r="J653">
        <v>1723</v>
      </c>
      <c r="K653">
        <v>25</v>
      </c>
      <c r="L653">
        <v>67288</v>
      </c>
      <c r="M653">
        <v>3377</v>
      </c>
      <c r="N653">
        <v>1606</v>
      </c>
      <c r="O653">
        <v>62059</v>
      </c>
      <c r="P653">
        <v>245</v>
      </c>
      <c r="Q653">
        <v>20</v>
      </c>
      <c r="R653">
        <v>1</v>
      </c>
      <c r="S653">
        <v>159</v>
      </c>
    </row>
    <row r="654" spans="1:19" x14ac:dyDescent="0.25">
      <c r="A654" s="2">
        <v>35855</v>
      </c>
      <c r="B654">
        <v>130814</v>
      </c>
      <c r="C654">
        <v>125574</v>
      </c>
      <c r="D654">
        <v>1876</v>
      </c>
      <c r="E654">
        <v>3272</v>
      </c>
      <c r="F654">
        <v>93</v>
      </c>
      <c r="G654">
        <v>6422</v>
      </c>
      <c r="H654">
        <v>1781</v>
      </c>
      <c r="I654">
        <v>2842</v>
      </c>
      <c r="J654">
        <v>1780</v>
      </c>
      <c r="K654">
        <v>20</v>
      </c>
      <c r="L654">
        <v>67311</v>
      </c>
      <c r="M654">
        <v>3432</v>
      </c>
      <c r="N654">
        <v>1587</v>
      </c>
      <c r="O654">
        <v>62077</v>
      </c>
      <c r="P654">
        <v>214</v>
      </c>
      <c r="Q654">
        <v>20</v>
      </c>
      <c r="R654">
        <v>1</v>
      </c>
      <c r="S654">
        <v>159</v>
      </c>
    </row>
    <row r="655" spans="1:19" x14ac:dyDescent="0.25">
      <c r="A655" s="2">
        <v>35886</v>
      </c>
      <c r="B655">
        <v>131209</v>
      </c>
      <c r="C655">
        <v>125746</v>
      </c>
      <c r="D655">
        <v>2060</v>
      </c>
      <c r="E655">
        <v>3288</v>
      </c>
      <c r="F655">
        <v>116</v>
      </c>
      <c r="G655">
        <v>5941</v>
      </c>
      <c r="H655">
        <v>1586</v>
      </c>
      <c r="I655">
        <v>2778</v>
      </c>
      <c r="J655">
        <v>1557</v>
      </c>
      <c r="K655">
        <v>21</v>
      </c>
      <c r="L655">
        <v>67581</v>
      </c>
      <c r="M655">
        <v>3463</v>
      </c>
      <c r="N655">
        <v>1582</v>
      </c>
      <c r="O655">
        <v>62306</v>
      </c>
      <c r="P655">
        <v>229</v>
      </c>
      <c r="Q655">
        <v>20</v>
      </c>
      <c r="R655">
        <v>1</v>
      </c>
      <c r="S655">
        <v>159</v>
      </c>
    </row>
    <row r="656" spans="1:19" x14ac:dyDescent="0.25">
      <c r="A656" s="2">
        <v>35916</v>
      </c>
      <c r="B656">
        <v>131325</v>
      </c>
      <c r="C656">
        <v>126116</v>
      </c>
      <c r="D656">
        <v>1759</v>
      </c>
      <c r="E656">
        <v>3331</v>
      </c>
      <c r="F656">
        <v>119</v>
      </c>
      <c r="G656">
        <v>6047</v>
      </c>
      <c r="H656">
        <v>1656</v>
      </c>
      <c r="I656">
        <v>2748</v>
      </c>
      <c r="J656">
        <v>1627</v>
      </c>
      <c r="K656">
        <v>16</v>
      </c>
      <c r="L656">
        <v>67527</v>
      </c>
      <c r="M656">
        <v>3417</v>
      </c>
      <c r="N656">
        <v>1432</v>
      </c>
      <c r="O656">
        <v>62464</v>
      </c>
      <c r="P656">
        <v>213</v>
      </c>
      <c r="Q656">
        <v>20</v>
      </c>
      <c r="R656">
        <v>1</v>
      </c>
      <c r="S656">
        <v>159</v>
      </c>
    </row>
    <row r="657" spans="1:19" x14ac:dyDescent="0.25">
      <c r="A657" s="2">
        <v>35947</v>
      </c>
      <c r="B657">
        <v>131244</v>
      </c>
      <c r="C657">
        <v>126025</v>
      </c>
      <c r="D657">
        <v>1892</v>
      </c>
      <c r="E657">
        <v>3196</v>
      </c>
      <c r="F657">
        <v>131</v>
      </c>
      <c r="G657">
        <v>6212</v>
      </c>
      <c r="H657">
        <v>1661</v>
      </c>
      <c r="I657">
        <v>2823</v>
      </c>
      <c r="J657">
        <v>1704</v>
      </c>
      <c r="K657">
        <v>24</v>
      </c>
      <c r="L657">
        <v>67630</v>
      </c>
      <c r="M657">
        <v>3620</v>
      </c>
      <c r="N657">
        <v>1331</v>
      </c>
      <c r="O657">
        <v>62467</v>
      </c>
      <c r="P657">
        <v>213</v>
      </c>
      <c r="Q657">
        <v>20</v>
      </c>
      <c r="R657">
        <v>1</v>
      </c>
      <c r="S657">
        <v>160</v>
      </c>
    </row>
    <row r="658" spans="1:19" x14ac:dyDescent="0.25">
      <c r="A658" s="2">
        <v>35977</v>
      </c>
      <c r="B658">
        <v>131329</v>
      </c>
      <c r="C658">
        <v>125954</v>
      </c>
      <c r="D658">
        <v>1883</v>
      </c>
      <c r="E658">
        <v>3391</v>
      </c>
      <c r="F658">
        <v>101</v>
      </c>
      <c r="G658">
        <v>6259</v>
      </c>
      <c r="H658">
        <v>1739</v>
      </c>
      <c r="I658">
        <v>2854</v>
      </c>
      <c r="J658">
        <v>1654</v>
      </c>
      <c r="K658">
        <v>12</v>
      </c>
      <c r="L658">
        <v>67682</v>
      </c>
      <c r="M658">
        <v>3531</v>
      </c>
      <c r="N658">
        <v>1473</v>
      </c>
      <c r="O658">
        <v>62426</v>
      </c>
      <c r="P658">
        <v>252</v>
      </c>
      <c r="Q658">
        <v>20</v>
      </c>
      <c r="R658">
        <v>1</v>
      </c>
      <c r="S658">
        <v>160</v>
      </c>
    </row>
    <row r="659" spans="1:19" x14ac:dyDescent="0.25">
      <c r="A659" s="2">
        <v>36008</v>
      </c>
      <c r="B659">
        <v>131390</v>
      </c>
      <c r="C659">
        <v>125738</v>
      </c>
      <c r="D659">
        <v>1941</v>
      </c>
      <c r="E659">
        <v>3576</v>
      </c>
      <c r="F659">
        <v>136</v>
      </c>
      <c r="G659">
        <v>6179</v>
      </c>
      <c r="H659">
        <v>1684</v>
      </c>
      <c r="I659">
        <v>2856</v>
      </c>
      <c r="J659">
        <v>1621</v>
      </c>
      <c r="K659">
        <v>18</v>
      </c>
      <c r="L659">
        <v>67910</v>
      </c>
      <c r="M659">
        <v>3887</v>
      </c>
      <c r="N659">
        <v>1461</v>
      </c>
      <c r="O659">
        <v>62325</v>
      </c>
      <c r="P659">
        <v>237</v>
      </c>
      <c r="Q659">
        <v>20</v>
      </c>
      <c r="R659">
        <v>1</v>
      </c>
      <c r="S659">
        <v>160</v>
      </c>
    </row>
    <row r="660" spans="1:19" x14ac:dyDescent="0.25">
      <c r="A660" s="2">
        <v>36039</v>
      </c>
      <c r="B660">
        <v>131986</v>
      </c>
      <c r="C660">
        <v>126022</v>
      </c>
      <c r="D660">
        <v>1942</v>
      </c>
      <c r="E660">
        <v>3871</v>
      </c>
      <c r="F660">
        <v>150</v>
      </c>
      <c r="G660">
        <v>6300</v>
      </c>
      <c r="H660">
        <v>1758</v>
      </c>
      <c r="I660">
        <v>2788</v>
      </c>
      <c r="J660">
        <v>1737</v>
      </c>
      <c r="K660">
        <v>17</v>
      </c>
      <c r="L660">
        <v>67413</v>
      </c>
      <c r="M660">
        <v>3590</v>
      </c>
      <c r="N660">
        <v>1447</v>
      </c>
      <c r="O660">
        <v>62141</v>
      </c>
      <c r="P660">
        <v>234</v>
      </c>
      <c r="Q660">
        <v>20</v>
      </c>
      <c r="R660">
        <v>1</v>
      </c>
      <c r="S660">
        <v>160</v>
      </c>
    </row>
    <row r="661" spans="1:19" x14ac:dyDescent="0.25">
      <c r="A661" s="2">
        <v>36069</v>
      </c>
      <c r="B661">
        <v>131999</v>
      </c>
      <c r="C661">
        <v>126522</v>
      </c>
      <c r="D661">
        <v>1918</v>
      </c>
      <c r="E661">
        <v>3413</v>
      </c>
      <c r="F661">
        <v>146</v>
      </c>
      <c r="G661">
        <v>6280</v>
      </c>
      <c r="H661">
        <v>1684</v>
      </c>
      <c r="I661">
        <v>2870</v>
      </c>
      <c r="J661">
        <v>1703</v>
      </c>
      <c r="K661">
        <v>24</v>
      </c>
      <c r="L661">
        <v>67640</v>
      </c>
      <c r="M661">
        <v>3760</v>
      </c>
      <c r="N661">
        <v>1511</v>
      </c>
      <c r="O661">
        <v>62137</v>
      </c>
      <c r="P661">
        <v>233</v>
      </c>
      <c r="Q661">
        <v>20</v>
      </c>
      <c r="R661">
        <v>1</v>
      </c>
      <c r="S661">
        <v>160</v>
      </c>
    </row>
    <row r="662" spans="1:19" x14ac:dyDescent="0.25">
      <c r="A662" s="2">
        <v>36100</v>
      </c>
      <c r="B662">
        <v>132280</v>
      </c>
      <c r="C662">
        <v>126659</v>
      </c>
      <c r="D662">
        <v>1941</v>
      </c>
      <c r="E662">
        <v>3539</v>
      </c>
      <c r="F662">
        <v>142</v>
      </c>
      <c r="G662">
        <v>6100</v>
      </c>
      <c r="H662">
        <v>1643</v>
      </c>
      <c r="I662">
        <v>2742</v>
      </c>
      <c r="J662">
        <v>1691</v>
      </c>
      <c r="K662">
        <v>24</v>
      </c>
      <c r="L662">
        <v>67723</v>
      </c>
      <c r="M662">
        <v>3677</v>
      </c>
      <c r="N662">
        <v>1595</v>
      </c>
      <c r="O662">
        <v>62250</v>
      </c>
      <c r="P662">
        <v>201</v>
      </c>
      <c r="Q662">
        <v>20</v>
      </c>
      <c r="R662">
        <v>1</v>
      </c>
      <c r="S662">
        <v>160</v>
      </c>
    </row>
    <row r="663" spans="1:19" x14ac:dyDescent="0.25">
      <c r="A663" s="2">
        <v>36130</v>
      </c>
      <c r="B663">
        <v>132602</v>
      </c>
      <c r="C663">
        <v>126880</v>
      </c>
      <c r="D663">
        <v>1882</v>
      </c>
      <c r="E663">
        <v>3683</v>
      </c>
      <c r="F663">
        <v>157</v>
      </c>
      <c r="G663">
        <v>6032</v>
      </c>
      <c r="H663">
        <v>1751</v>
      </c>
      <c r="I663">
        <v>2641</v>
      </c>
      <c r="J663">
        <v>1624</v>
      </c>
      <c r="K663">
        <v>16</v>
      </c>
      <c r="L663">
        <v>67635</v>
      </c>
      <c r="M663">
        <v>3629</v>
      </c>
      <c r="N663">
        <v>1576</v>
      </c>
      <c r="O663">
        <v>62256</v>
      </c>
      <c r="P663">
        <v>175</v>
      </c>
      <c r="Q663">
        <v>20</v>
      </c>
      <c r="R663">
        <v>1</v>
      </c>
      <c r="S663">
        <v>160</v>
      </c>
    </row>
    <row r="664" spans="1:19" x14ac:dyDescent="0.25">
      <c r="A664" s="2" t="s">
        <v>61</v>
      </c>
      <c r="B664" t="e">
        <v>#N/A</v>
      </c>
      <c r="C664" t="e">
        <v>#N/A</v>
      </c>
      <c r="D664" t="e">
        <v>#N/A</v>
      </c>
      <c r="E664" t="e">
        <v>#N/A</v>
      </c>
      <c r="F664" t="e">
        <v>#N/A</v>
      </c>
      <c r="G664" t="e">
        <v>#N/A</v>
      </c>
      <c r="H664" t="e">
        <v>#N/A</v>
      </c>
      <c r="I664" t="e">
        <v>#N/A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</row>
    <row r="665" spans="1:19" x14ac:dyDescent="0.25">
      <c r="A665" s="2">
        <v>36161</v>
      </c>
      <c r="B665">
        <v>133027</v>
      </c>
      <c r="C665">
        <v>127216</v>
      </c>
      <c r="D665">
        <v>1864</v>
      </c>
      <c r="E665">
        <v>3621</v>
      </c>
      <c r="F665">
        <v>326</v>
      </c>
      <c r="G665">
        <v>5976</v>
      </c>
      <c r="H665">
        <v>1576</v>
      </c>
      <c r="I665">
        <v>2674</v>
      </c>
      <c r="J665">
        <v>1679</v>
      </c>
      <c r="K665">
        <v>48</v>
      </c>
      <c r="L665">
        <v>67715</v>
      </c>
      <c r="M665">
        <v>3665</v>
      </c>
      <c r="N665">
        <v>1488</v>
      </c>
      <c r="O665">
        <v>62132</v>
      </c>
      <c r="P665">
        <v>431</v>
      </c>
      <c r="Q665">
        <v>145</v>
      </c>
      <c r="R665">
        <v>7</v>
      </c>
      <c r="S665">
        <v>204</v>
      </c>
    </row>
    <row r="666" spans="1:19" x14ac:dyDescent="0.25">
      <c r="A666" s="2">
        <v>36192</v>
      </c>
      <c r="B666">
        <v>132856</v>
      </c>
      <c r="C666">
        <v>127525</v>
      </c>
      <c r="D666">
        <v>1873</v>
      </c>
      <c r="E666">
        <v>3393</v>
      </c>
      <c r="F666">
        <v>65</v>
      </c>
      <c r="G666">
        <v>6111</v>
      </c>
      <c r="H666">
        <v>1736</v>
      </c>
      <c r="I666">
        <v>2660</v>
      </c>
      <c r="J666">
        <v>1691</v>
      </c>
      <c r="K666">
        <v>23</v>
      </c>
      <c r="L666">
        <v>67906</v>
      </c>
      <c r="M666">
        <v>3740</v>
      </c>
      <c r="N666">
        <v>1442</v>
      </c>
      <c r="O666">
        <v>62466</v>
      </c>
      <c r="P666">
        <v>258</v>
      </c>
      <c r="Q666">
        <v>26</v>
      </c>
      <c r="R666">
        <v>2</v>
      </c>
      <c r="S666">
        <v>165</v>
      </c>
    </row>
    <row r="667" spans="1:19" x14ac:dyDescent="0.25">
      <c r="A667" s="2">
        <v>36220</v>
      </c>
      <c r="B667">
        <v>132947</v>
      </c>
      <c r="C667">
        <v>127503</v>
      </c>
      <c r="D667">
        <v>2039</v>
      </c>
      <c r="E667">
        <v>3349</v>
      </c>
      <c r="F667">
        <v>56</v>
      </c>
      <c r="G667">
        <v>5783</v>
      </c>
      <c r="H667">
        <v>1591</v>
      </c>
      <c r="I667">
        <v>2599</v>
      </c>
      <c r="J667">
        <v>1581</v>
      </c>
      <c r="K667">
        <v>12</v>
      </c>
      <c r="L667">
        <v>68306</v>
      </c>
      <c r="M667">
        <v>3722</v>
      </c>
      <c r="N667">
        <v>1471</v>
      </c>
      <c r="O667">
        <v>62808</v>
      </c>
      <c r="P667">
        <v>305</v>
      </c>
      <c r="Q667">
        <v>40</v>
      </c>
      <c r="R667">
        <v>2</v>
      </c>
      <c r="S667">
        <v>168</v>
      </c>
    </row>
    <row r="668" spans="1:19" x14ac:dyDescent="0.25">
      <c r="A668" s="2">
        <v>36251</v>
      </c>
      <c r="B668">
        <v>132955</v>
      </c>
      <c r="C668">
        <v>127485</v>
      </c>
      <c r="D668">
        <v>1658</v>
      </c>
      <c r="E668">
        <v>3736</v>
      </c>
      <c r="F668">
        <v>75</v>
      </c>
      <c r="G668">
        <v>6004</v>
      </c>
      <c r="H668">
        <v>1682</v>
      </c>
      <c r="I668">
        <v>2684</v>
      </c>
      <c r="J668">
        <v>1603</v>
      </c>
      <c r="K668">
        <v>35</v>
      </c>
      <c r="L668">
        <v>68277</v>
      </c>
      <c r="M668">
        <v>3736</v>
      </c>
      <c r="N668">
        <v>1438</v>
      </c>
      <c r="O668">
        <v>62792</v>
      </c>
      <c r="P668">
        <v>311</v>
      </c>
      <c r="Q668">
        <v>44</v>
      </c>
      <c r="R668">
        <v>2</v>
      </c>
      <c r="S668">
        <v>175</v>
      </c>
    </row>
    <row r="669" spans="1:19" x14ac:dyDescent="0.25">
      <c r="A669" s="2">
        <v>36281</v>
      </c>
      <c r="B669">
        <v>133311</v>
      </c>
      <c r="C669">
        <v>127556</v>
      </c>
      <c r="D669">
        <v>1867</v>
      </c>
      <c r="E669">
        <v>3779</v>
      </c>
      <c r="F669">
        <v>108</v>
      </c>
      <c r="G669">
        <v>5796</v>
      </c>
      <c r="H669">
        <v>1685</v>
      </c>
      <c r="I669">
        <v>2607</v>
      </c>
      <c r="J669">
        <v>1489</v>
      </c>
      <c r="K669">
        <v>15</v>
      </c>
      <c r="L669">
        <v>68320</v>
      </c>
      <c r="M669">
        <v>3693</v>
      </c>
      <c r="N669">
        <v>1528</v>
      </c>
      <c r="O669">
        <v>62847</v>
      </c>
      <c r="P669">
        <v>251</v>
      </c>
      <c r="Q669">
        <v>20</v>
      </c>
      <c r="R669">
        <v>1</v>
      </c>
      <c r="S669">
        <v>161</v>
      </c>
    </row>
    <row r="670" spans="1:19" x14ac:dyDescent="0.25">
      <c r="A670" s="2">
        <v>36312</v>
      </c>
      <c r="B670">
        <v>133378</v>
      </c>
      <c r="C670">
        <v>127897</v>
      </c>
      <c r="D670">
        <v>1827</v>
      </c>
      <c r="E670">
        <v>3556</v>
      </c>
      <c r="F670">
        <v>98</v>
      </c>
      <c r="G670">
        <v>5951</v>
      </c>
      <c r="H670">
        <v>1662</v>
      </c>
      <c r="I670">
        <v>2653</v>
      </c>
      <c r="J670">
        <v>1606</v>
      </c>
      <c r="K670">
        <v>30</v>
      </c>
      <c r="L670">
        <v>68304</v>
      </c>
      <c r="M670">
        <v>3730</v>
      </c>
      <c r="N670">
        <v>1316</v>
      </c>
      <c r="O670">
        <v>62994</v>
      </c>
      <c r="P670">
        <v>263</v>
      </c>
      <c r="Q670">
        <v>22</v>
      </c>
      <c r="R670">
        <v>1</v>
      </c>
      <c r="S670">
        <v>163</v>
      </c>
    </row>
    <row r="671" spans="1:19" x14ac:dyDescent="0.25">
      <c r="A671" s="2">
        <v>36342</v>
      </c>
      <c r="B671">
        <v>133414</v>
      </c>
      <c r="C671">
        <v>127876</v>
      </c>
      <c r="D671">
        <v>1848</v>
      </c>
      <c r="E671">
        <v>3610</v>
      </c>
      <c r="F671">
        <v>80</v>
      </c>
      <c r="G671">
        <v>6025</v>
      </c>
      <c r="H671">
        <v>1611</v>
      </c>
      <c r="I671">
        <v>2741</v>
      </c>
      <c r="J671">
        <v>1647</v>
      </c>
      <c r="K671">
        <v>26</v>
      </c>
      <c r="L671">
        <v>68390</v>
      </c>
      <c r="M671">
        <v>3851</v>
      </c>
      <c r="N671">
        <v>1360</v>
      </c>
      <c r="O671">
        <v>62877</v>
      </c>
      <c r="P671">
        <v>301</v>
      </c>
      <c r="Q671">
        <v>40</v>
      </c>
      <c r="R671">
        <v>2</v>
      </c>
      <c r="S671">
        <v>169</v>
      </c>
    </row>
    <row r="672" spans="1:19" x14ac:dyDescent="0.25">
      <c r="A672" s="2">
        <v>36373</v>
      </c>
      <c r="B672">
        <v>133591</v>
      </c>
      <c r="C672">
        <v>127976</v>
      </c>
      <c r="D672">
        <v>1944</v>
      </c>
      <c r="E672">
        <v>3572</v>
      </c>
      <c r="F672">
        <v>99</v>
      </c>
      <c r="G672">
        <v>5838</v>
      </c>
      <c r="H672">
        <v>1603</v>
      </c>
      <c r="I672">
        <v>2666</v>
      </c>
      <c r="J672">
        <v>1552</v>
      </c>
      <c r="K672">
        <v>18</v>
      </c>
      <c r="L672">
        <v>68609</v>
      </c>
      <c r="M672">
        <v>3811</v>
      </c>
      <c r="N672">
        <v>1413</v>
      </c>
      <c r="O672">
        <v>63103</v>
      </c>
      <c r="P672">
        <v>282</v>
      </c>
      <c r="Q672">
        <v>24</v>
      </c>
      <c r="R672">
        <v>2</v>
      </c>
      <c r="S672">
        <v>163</v>
      </c>
    </row>
    <row r="673" spans="1:19" x14ac:dyDescent="0.25">
      <c r="A673" s="2">
        <v>36404</v>
      </c>
      <c r="B673">
        <v>133707</v>
      </c>
      <c r="C673">
        <v>128243</v>
      </c>
      <c r="D673">
        <v>1871</v>
      </c>
      <c r="E673">
        <v>3497</v>
      </c>
      <c r="F673">
        <v>96</v>
      </c>
      <c r="G673">
        <v>5915</v>
      </c>
      <c r="H673">
        <v>1527</v>
      </c>
      <c r="I673">
        <v>2673</v>
      </c>
      <c r="J673">
        <v>1696</v>
      </c>
      <c r="K673">
        <v>20</v>
      </c>
      <c r="L673">
        <v>68642</v>
      </c>
      <c r="M673">
        <v>3779</v>
      </c>
      <c r="N673">
        <v>1292</v>
      </c>
      <c r="O673">
        <v>63246</v>
      </c>
      <c r="P673">
        <v>325</v>
      </c>
      <c r="Q673">
        <v>42</v>
      </c>
      <c r="R673">
        <v>2</v>
      </c>
      <c r="S673">
        <v>170</v>
      </c>
    </row>
    <row r="674" spans="1:19" x14ac:dyDescent="0.25">
      <c r="A674" s="2">
        <v>36434</v>
      </c>
      <c r="B674">
        <v>133993</v>
      </c>
      <c r="C674">
        <v>128418</v>
      </c>
      <c r="D674">
        <v>1827</v>
      </c>
      <c r="E674">
        <v>3644</v>
      </c>
      <c r="F674">
        <v>103</v>
      </c>
      <c r="G674">
        <v>5778</v>
      </c>
      <c r="H674">
        <v>1613</v>
      </c>
      <c r="I674">
        <v>2630</v>
      </c>
      <c r="J674">
        <v>1525</v>
      </c>
      <c r="K674">
        <v>11</v>
      </c>
      <c r="L674">
        <v>68712</v>
      </c>
      <c r="M674">
        <v>3656</v>
      </c>
      <c r="N674">
        <v>1457</v>
      </c>
      <c r="O674">
        <v>63311</v>
      </c>
      <c r="P674">
        <v>288</v>
      </c>
      <c r="Q674">
        <v>20</v>
      </c>
      <c r="R674">
        <v>1</v>
      </c>
      <c r="S674">
        <v>162</v>
      </c>
    </row>
    <row r="675" spans="1:19" x14ac:dyDescent="0.25">
      <c r="A675" s="2">
        <v>36465</v>
      </c>
      <c r="B675">
        <v>134309</v>
      </c>
      <c r="C675">
        <v>128693</v>
      </c>
      <c r="D675">
        <v>1993</v>
      </c>
      <c r="E675">
        <v>3547</v>
      </c>
      <c r="F675">
        <v>76</v>
      </c>
      <c r="G675">
        <v>5716</v>
      </c>
      <c r="H675">
        <v>1613</v>
      </c>
      <c r="I675">
        <v>2380</v>
      </c>
      <c r="J675">
        <v>1688</v>
      </c>
      <c r="K675">
        <v>35</v>
      </c>
      <c r="L675">
        <v>68641</v>
      </c>
      <c r="M675">
        <v>3666</v>
      </c>
      <c r="N675">
        <v>1404</v>
      </c>
      <c r="O675">
        <v>63315</v>
      </c>
      <c r="P675">
        <v>256</v>
      </c>
      <c r="Q675">
        <v>20</v>
      </c>
      <c r="R675">
        <v>1</v>
      </c>
      <c r="S675">
        <v>162</v>
      </c>
    </row>
    <row r="676" spans="1:19" x14ac:dyDescent="0.25">
      <c r="A676" s="2">
        <v>36495</v>
      </c>
      <c r="B676">
        <v>134523</v>
      </c>
      <c r="C676">
        <v>128956</v>
      </c>
      <c r="D676">
        <v>1944</v>
      </c>
      <c r="E676">
        <v>3561</v>
      </c>
      <c r="F676">
        <v>63</v>
      </c>
      <c r="G676">
        <v>5653</v>
      </c>
      <c r="H676">
        <v>1620</v>
      </c>
      <c r="I676">
        <v>2370</v>
      </c>
      <c r="J676">
        <v>1643</v>
      </c>
      <c r="K676">
        <v>20</v>
      </c>
      <c r="L676">
        <v>68655</v>
      </c>
      <c r="M676">
        <v>3707</v>
      </c>
      <c r="N676">
        <v>1401</v>
      </c>
      <c r="O676">
        <v>63270</v>
      </c>
      <c r="P676">
        <v>277</v>
      </c>
      <c r="Q676">
        <v>27</v>
      </c>
      <c r="R676">
        <v>2</v>
      </c>
      <c r="S676">
        <v>167</v>
      </c>
    </row>
    <row r="677" spans="1:19" x14ac:dyDescent="0.25">
      <c r="A677" s="2" t="s">
        <v>62</v>
      </c>
      <c r="B677" t="e">
        <v>#N/A</v>
      </c>
      <c r="C677" t="e">
        <v>#N/A</v>
      </c>
      <c r="D677" t="e">
        <v>#N/A</v>
      </c>
      <c r="E677" t="e">
        <v>#N/A</v>
      </c>
      <c r="F677" t="e">
        <v>#N/A</v>
      </c>
      <c r="G677" t="e">
        <v>#N/A</v>
      </c>
      <c r="H677" t="e">
        <v>#N/A</v>
      </c>
      <c r="I677" t="e">
        <v>#N/A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</row>
    <row r="678" spans="1:19" x14ac:dyDescent="0.25">
      <c r="A678" s="2">
        <v>36526</v>
      </c>
      <c r="B678">
        <v>136559</v>
      </c>
      <c r="C678">
        <v>129298</v>
      </c>
      <c r="D678">
        <v>2005</v>
      </c>
      <c r="E678">
        <v>3629</v>
      </c>
      <c r="F678">
        <v>1627</v>
      </c>
      <c r="G678">
        <v>5708</v>
      </c>
      <c r="H678">
        <v>1614</v>
      </c>
      <c r="I678">
        <v>2391</v>
      </c>
      <c r="J678">
        <v>1628</v>
      </c>
      <c r="K678">
        <v>75</v>
      </c>
      <c r="L678">
        <v>69142</v>
      </c>
      <c r="M678">
        <v>3591</v>
      </c>
      <c r="N678">
        <v>1256</v>
      </c>
      <c r="O678">
        <v>63235</v>
      </c>
      <c r="P678">
        <v>1060</v>
      </c>
      <c r="Q678">
        <v>20</v>
      </c>
      <c r="R678">
        <v>1</v>
      </c>
      <c r="S678">
        <v>163</v>
      </c>
    </row>
    <row r="679" spans="1:19" x14ac:dyDescent="0.25">
      <c r="A679" s="2">
        <v>36557</v>
      </c>
      <c r="B679">
        <v>136598</v>
      </c>
      <c r="C679">
        <v>131110</v>
      </c>
      <c r="D679">
        <v>1784</v>
      </c>
      <c r="E679">
        <v>3640</v>
      </c>
      <c r="F679">
        <v>65</v>
      </c>
      <c r="G679">
        <v>5858</v>
      </c>
      <c r="H679">
        <v>1678</v>
      </c>
      <c r="I679">
        <v>2527</v>
      </c>
      <c r="J679">
        <v>1628</v>
      </c>
      <c r="K679">
        <v>24</v>
      </c>
      <c r="L679">
        <v>69120</v>
      </c>
      <c r="M679">
        <v>3739</v>
      </c>
      <c r="N679">
        <v>1395</v>
      </c>
      <c r="O679">
        <v>63702</v>
      </c>
      <c r="P679">
        <v>285</v>
      </c>
      <c r="Q679">
        <v>32</v>
      </c>
      <c r="R679">
        <v>2</v>
      </c>
      <c r="S679">
        <v>173</v>
      </c>
    </row>
    <row r="680" spans="1:19" x14ac:dyDescent="0.25">
      <c r="A680" s="2">
        <v>36586</v>
      </c>
      <c r="B680">
        <v>136701</v>
      </c>
      <c r="C680">
        <v>131134</v>
      </c>
      <c r="D680">
        <v>1893</v>
      </c>
      <c r="E680">
        <v>3585</v>
      </c>
      <c r="F680">
        <v>89</v>
      </c>
      <c r="G680">
        <v>5733</v>
      </c>
      <c r="H680">
        <v>1646</v>
      </c>
      <c r="I680">
        <v>2513</v>
      </c>
      <c r="J680">
        <v>1541</v>
      </c>
      <c r="K680">
        <v>32</v>
      </c>
      <c r="L680">
        <v>69338</v>
      </c>
      <c r="M680">
        <v>3798</v>
      </c>
      <c r="N680">
        <v>1451</v>
      </c>
      <c r="O680">
        <v>63829</v>
      </c>
      <c r="P680">
        <v>262</v>
      </c>
      <c r="Q680">
        <v>21</v>
      </c>
      <c r="R680">
        <v>1</v>
      </c>
      <c r="S680">
        <v>165</v>
      </c>
    </row>
    <row r="681" spans="1:19" x14ac:dyDescent="0.25">
      <c r="A681" s="2">
        <v>36617</v>
      </c>
      <c r="B681">
        <v>137270</v>
      </c>
      <c r="C681">
        <v>131601</v>
      </c>
      <c r="D681">
        <v>1940</v>
      </c>
      <c r="E681">
        <v>3611</v>
      </c>
      <c r="F681">
        <v>118</v>
      </c>
      <c r="G681">
        <v>5481</v>
      </c>
      <c r="H681">
        <v>1532</v>
      </c>
      <c r="I681">
        <v>2393</v>
      </c>
      <c r="J681">
        <v>1533</v>
      </c>
      <c r="K681">
        <v>23</v>
      </c>
      <c r="L681">
        <v>69267</v>
      </c>
      <c r="M681">
        <v>3547</v>
      </c>
      <c r="N681">
        <v>1398</v>
      </c>
      <c r="O681">
        <v>64029</v>
      </c>
      <c r="P681">
        <v>293</v>
      </c>
      <c r="Q681">
        <v>21</v>
      </c>
      <c r="R681">
        <v>1</v>
      </c>
      <c r="S681">
        <v>165</v>
      </c>
    </row>
    <row r="682" spans="1:19" x14ac:dyDescent="0.25">
      <c r="A682" s="2">
        <v>36647</v>
      </c>
      <c r="B682">
        <v>136630</v>
      </c>
      <c r="C682">
        <v>131570</v>
      </c>
      <c r="D682">
        <v>1660</v>
      </c>
      <c r="E682">
        <v>3265</v>
      </c>
      <c r="F682">
        <v>135</v>
      </c>
      <c r="G682">
        <v>5758</v>
      </c>
      <c r="H682">
        <v>1688</v>
      </c>
      <c r="I682">
        <v>2440</v>
      </c>
      <c r="J682">
        <v>1619</v>
      </c>
      <c r="K682">
        <v>11</v>
      </c>
      <c r="L682">
        <v>69853</v>
      </c>
      <c r="M682">
        <v>3992</v>
      </c>
      <c r="N682">
        <v>1379</v>
      </c>
      <c r="O682">
        <v>64218</v>
      </c>
      <c r="P682">
        <v>265</v>
      </c>
      <c r="Q682">
        <v>21</v>
      </c>
      <c r="R682">
        <v>1</v>
      </c>
      <c r="S682">
        <v>165</v>
      </c>
    </row>
    <row r="683" spans="1:19" x14ac:dyDescent="0.25">
      <c r="A683" s="2">
        <v>36678</v>
      </c>
      <c r="B683">
        <v>136940</v>
      </c>
      <c r="C683">
        <v>131306</v>
      </c>
      <c r="D683">
        <v>1850</v>
      </c>
      <c r="E683">
        <v>3660</v>
      </c>
      <c r="F683">
        <v>124</v>
      </c>
      <c r="G683">
        <v>5651</v>
      </c>
      <c r="H683">
        <v>1597</v>
      </c>
      <c r="I683">
        <v>2415</v>
      </c>
      <c r="J683">
        <v>1610</v>
      </c>
      <c r="K683">
        <v>28</v>
      </c>
      <c r="L683">
        <v>69876</v>
      </c>
      <c r="M683">
        <v>3696</v>
      </c>
      <c r="N683">
        <v>1491</v>
      </c>
      <c r="O683">
        <v>64415</v>
      </c>
      <c r="P683">
        <v>274</v>
      </c>
      <c r="Q683">
        <v>31</v>
      </c>
      <c r="R683">
        <v>2</v>
      </c>
      <c r="S683">
        <v>169</v>
      </c>
    </row>
    <row r="684" spans="1:19" x14ac:dyDescent="0.25">
      <c r="A684" s="2">
        <v>36708</v>
      </c>
      <c r="B684">
        <v>136531</v>
      </c>
      <c r="C684">
        <v>131248</v>
      </c>
      <c r="D684">
        <v>1887</v>
      </c>
      <c r="E684">
        <v>3276</v>
      </c>
      <c r="F684">
        <v>121</v>
      </c>
      <c r="G684">
        <v>5747</v>
      </c>
      <c r="H684">
        <v>1751</v>
      </c>
      <c r="I684">
        <v>2473</v>
      </c>
      <c r="J684">
        <v>1499</v>
      </c>
      <c r="K684">
        <v>24</v>
      </c>
      <c r="L684">
        <v>70398</v>
      </c>
      <c r="M684">
        <v>3921</v>
      </c>
      <c r="N684">
        <v>1289</v>
      </c>
      <c r="O684">
        <v>64936</v>
      </c>
      <c r="P684">
        <v>253</v>
      </c>
      <c r="Q684">
        <v>21</v>
      </c>
      <c r="R684">
        <v>1</v>
      </c>
      <c r="S684">
        <v>166</v>
      </c>
    </row>
    <row r="685" spans="1:19" x14ac:dyDescent="0.25">
      <c r="A685" s="2">
        <v>36739</v>
      </c>
      <c r="B685">
        <v>136662</v>
      </c>
      <c r="C685">
        <v>131097</v>
      </c>
      <c r="D685">
        <v>1831</v>
      </c>
      <c r="E685">
        <v>3639</v>
      </c>
      <c r="F685">
        <v>95</v>
      </c>
      <c r="G685">
        <v>5853</v>
      </c>
      <c r="H685">
        <v>1718</v>
      </c>
      <c r="I685">
        <v>2492</v>
      </c>
      <c r="J685">
        <v>1596</v>
      </c>
      <c r="K685">
        <v>47</v>
      </c>
      <c r="L685">
        <v>70401</v>
      </c>
      <c r="M685">
        <v>3684</v>
      </c>
      <c r="N685">
        <v>1422</v>
      </c>
      <c r="O685">
        <v>64993</v>
      </c>
      <c r="P685">
        <v>301</v>
      </c>
      <c r="Q685">
        <v>32</v>
      </c>
      <c r="R685">
        <v>2</v>
      </c>
      <c r="S685">
        <v>170</v>
      </c>
    </row>
    <row r="686" spans="1:19" x14ac:dyDescent="0.25">
      <c r="A686" s="2">
        <v>36770</v>
      </c>
      <c r="B686">
        <v>136893</v>
      </c>
      <c r="C686">
        <v>131097</v>
      </c>
      <c r="D686">
        <v>1875</v>
      </c>
      <c r="E686">
        <v>3775</v>
      </c>
      <c r="F686">
        <v>145</v>
      </c>
      <c r="G686">
        <v>5625</v>
      </c>
      <c r="H686">
        <v>1643</v>
      </c>
      <c r="I686">
        <v>2479</v>
      </c>
      <c r="J686">
        <v>1471</v>
      </c>
      <c r="K686">
        <v>32</v>
      </c>
      <c r="L686">
        <v>70645</v>
      </c>
      <c r="M686">
        <v>3901</v>
      </c>
      <c r="N686">
        <v>1497</v>
      </c>
      <c r="O686">
        <v>64989</v>
      </c>
      <c r="P686">
        <v>259</v>
      </c>
      <c r="Q686">
        <v>21</v>
      </c>
      <c r="R686">
        <v>1</v>
      </c>
      <c r="S686">
        <v>166</v>
      </c>
    </row>
    <row r="687" spans="1:19" x14ac:dyDescent="0.25">
      <c r="A687" s="2">
        <v>36800</v>
      </c>
      <c r="B687">
        <v>137088</v>
      </c>
      <c r="C687">
        <v>131395</v>
      </c>
      <c r="D687">
        <v>1885</v>
      </c>
      <c r="E687">
        <v>3691</v>
      </c>
      <c r="F687">
        <v>117</v>
      </c>
      <c r="G687">
        <v>5534</v>
      </c>
      <c r="H687">
        <v>1549</v>
      </c>
      <c r="I687">
        <v>2466</v>
      </c>
      <c r="J687">
        <v>1498</v>
      </c>
      <c r="K687">
        <v>22</v>
      </c>
      <c r="L687">
        <v>70782</v>
      </c>
      <c r="M687">
        <v>3929</v>
      </c>
      <c r="N687">
        <v>1273</v>
      </c>
      <c r="O687">
        <v>65290</v>
      </c>
      <c r="P687">
        <v>291</v>
      </c>
      <c r="Q687">
        <v>21</v>
      </c>
      <c r="R687">
        <v>1</v>
      </c>
      <c r="S687">
        <v>166</v>
      </c>
    </row>
    <row r="688" spans="1:19" x14ac:dyDescent="0.25">
      <c r="A688" s="2">
        <v>36831</v>
      </c>
      <c r="B688">
        <v>137322</v>
      </c>
      <c r="C688">
        <v>131664</v>
      </c>
      <c r="D688">
        <v>1709</v>
      </c>
      <c r="E688">
        <v>3831</v>
      </c>
      <c r="F688">
        <v>118</v>
      </c>
      <c r="G688">
        <v>5639</v>
      </c>
      <c r="H688">
        <v>1444</v>
      </c>
      <c r="I688">
        <v>2578</v>
      </c>
      <c r="J688">
        <v>1596</v>
      </c>
      <c r="K688">
        <v>22</v>
      </c>
      <c r="L688">
        <v>70579</v>
      </c>
      <c r="M688">
        <v>3894</v>
      </c>
      <c r="N688">
        <v>1244</v>
      </c>
      <c r="O688">
        <v>65145</v>
      </c>
      <c r="P688">
        <v>297</v>
      </c>
      <c r="Q688">
        <v>86</v>
      </c>
      <c r="R688">
        <v>4</v>
      </c>
      <c r="S688">
        <v>212</v>
      </c>
    </row>
    <row r="689" spans="1:19" x14ac:dyDescent="0.25">
      <c r="A689" s="2">
        <v>36861</v>
      </c>
      <c r="B689">
        <v>137614</v>
      </c>
      <c r="C689">
        <v>132007</v>
      </c>
      <c r="D689">
        <v>1699</v>
      </c>
      <c r="E689">
        <v>3768</v>
      </c>
      <c r="F689">
        <v>140</v>
      </c>
      <c r="G689">
        <v>5634</v>
      </c>
      <c r="H689">
        <v>1472</v>
      </c>
      <c r="I689">
        <v>2643</v>
      </c>
      <c r="J689">
        <v>1487</v>
      </c>
      <c r="K689">
        <v>32</v>
      </c>
      <c r="L689">
        <v>70488</v>
      </c>
      <c r="M689">
        <v>3748</v>
      </c>
      <c r="N689">
        <v>1293</v>
      </c>
      <c r="O689">
        <v>65132</v>
      </c>
      <c r="P689">
        <v>315</v>
      </c>
      <c r="Q689">
        <v>94</v>
      </c>
      <c r="R689">
        <v>4</v>
      </c>
      <c r="S689">
        <v>192</v>
      </c>
    </row>
    <row r="690" spans="1:19" x14ac:dyDescent="0.25">
      <c r="A690" s="2" t="s">
        <v>63</v>
      </c>
      <c r="B690" t="e">
        <v>#N/A</v>
      </c>
      <c r="C690" t="e">
        <v>#N/A</v>
      </c>
      <c r="D690" t="e">
        <v>#N/A</v>
      </c>
      <c r="E690" t="e">
        <v>#N/A</v>
      </c>
      <c r="F690" t="e">
        <v>#N/A</v>
      </c>
      <c r="G690" t="e">
        <v>#N/A</v>
      </c>
      <c r="H690" t="e">
        <v>#N/A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</row>
    <row r="691" spans="1:19" x14ac:dyDescent="0.25">
      <c r="A691" s="2">
        <v>36892</v>
      </c>
      <c r="B691">
        <v>137778</v>
      </c>
      <c r="C691">
        <v>131941</v>
      </c>
      <c r="D691">
        <v>1784</v>
      </c>
      <c r="E691">
        <v>3972</v>
      </c>
      <c r="F691">
        <v>81</v>
      </c>
      <c r="G691">
        <v>6023</v>
      </c>
      <c r="H691">
        <v>1758</v>
      </c>
      <c r="I691">
        <v>2591</v>
      </c>
      <c r="J691">
        <v>1660</v>
      </c>
      <c r="K691">
        <v>13</v>
      </c>
      <c r="L691">
        <v>70088</v>
      </c>
      <c r="M691">
        <v>3894</v>
      </c>
      <c r="N691">
        <v>1258</v>
      </c>
      <c r="O691">
        <v>64689</v>
      </c>
      <c r="P691">
        <v>247</v>
      </c>
      <c r="Q691">
        <v>21</v>
      </c>
      <c r="R691">
        <v>1</v>
      </c>
      <c r="S691">
        <v>166</v>
      </c>
    </row>
    <row r="692" spans="1:19" x14ac:dyDescent="0.25">
      <c r="A692" s="2">
        <v>36923</v>
      </c>
      <c r="B692">
        <v>137612</v>
      </c>
      <c r="C692">
        <v>131858</v>
      </c>
      <c r="D692">
        <v>1831</v>
      </c>
      <c r="E692">
        <v>3843</v>
      </c>
      <c r="F692">
        <v>79</v>
      </c>
      <c r="G692">
        <v>6089</v>
      </c>
      <c r="H692">
        <v>1729</v>
      </c>
      <c r="I692">
        <v>2754</v>
      </c>
      <c r="J692">
        <v>1573</v>
      </c>
      <c r="K692">
        <v>34</v>
      </c>
      <c r="L692">
        <v>70409</v>
      </c>
      <c r="M692">
        <v>4170</v>
      </c>
      <c r="N692">
        <v>1436</v>
      </c>
      <c r="O692">
        <v>64506</v>
      </c>
      <c r="P692">
        <v>298</v>
      </c>
      <c r="Q692">
        <v>21</v>
      </c>
      <c r="R692">
        <v>1</v>
      </c>
      <c r="S692">
        <v>167</v>
      </c>
    </row>
    <row r="693" spans="1:19" x14ac:dyDescent="0.25">
      <c r="A693" s="2">
        <v>36951</v>
      </c>
      <c r="B693">
        <v>137783</v>
      </c>
      <c r="C693">
        <v>131973</v>
      </c>
      <c r="D693">
        <v>1892</v>
      </c>
      <c r="E693">
        <v>3840</v>
      </c>
      <c r="F693">
        <v>78</v>
      </c>
      <c r="G693">
        <v>6141</v>
      </c>
      <c r="H693">
        <v>1782</v>
      </c>
      <c r="I693">
        <v>2717</v>
      </c>
      <c r="J693">
        <v>1626</v>
      </c>
      <c r="K693">
        <v>16</v>
      </c>
      <c r="L693">
        <v>70381</v>
      </c>
      <c r="M693">
        <v>3836</v>
      </c>
      <c r="N693">
        <v>1478</v>
      </c>
      <c r="O693">
        <v>64777</v>
      </c>
      <c r="P693">
        <v>290</v>
      </c>
      <c r="Q693">
        <v>21</v>
      </c>
      <c r="R693">
        <v>1</v>
      </c>
      <c r="S693">
        <v>167</v>
      </c>
    </row>
    <row r="694" spans="1:19" x14ac:dyDescent="0.25">
      <c r="A694" s="2">
        <v>36982</v>
      </c>
      <c r="B694">
        <v>137299</v>
      </c>
      <c r="C694">
        <v>131739</v>
      </c>
      <c r="D694">
        <v>1859</v>
      </c>
      <c r="E694">
        <v>3594</v>
      </c>
      <c r="F694">
        <v>107</v>
      </c>
      <c r="G694">
        <v>6271</v>
      </c>
      <c r="H694">
        <v>1827</v>
      </c>
      <c r="I694">
        <v>2745</v>
      </c>
      <c r="J694">
        <v>1672</v>
      </c>
      <c r="K694">
        <v>27</v>
      </c>
      <c r="L694">
        <v>70956</v>
      </c>
      <c r="M694">
        <v>4193</v>
      </c>
      <c r="N694">
        <v>1536</v>
      </c>
      <c r="O694">
        <v>64947</v>
      </c>
      <c r="P694">
        <v>281</v>
      </c>
      <c r="Q694">
        <v>24</v>
      </c>
      <c r="R694">
        <v>2</v>
      </c>
      <c r="S694">
        <v>169</v>
      </c>
    </row>
    <row r="695" spans="1:19" x14ac:dyDescent="0.25">
      <c r="A695" s="2">
        <v>37012</v>
      </c>
      <c r="B695">
        <v>137092</v>
      </c>
      <c r="C695">
        <v>131305</v>
      </c>
      <c r="D695">
        <v>2034</v>
      </c>
      <c r="E695">
        <v>3677</v>
      </c>
      <c r="F695">
        <v>76</v>
      </c>
      <c r="G695">
        <v>6226</v>
      </c>
      <c r="H695">
        <v>1810</v>
      </c>
      <c r="I695">
        <v>2773</v>
      </c>
      <c r="J695">
        <v>1618</v>
      </c>
      <c r="K695">
        <v>25</v>
      </c>
      <c r="L695">
        <v>71414</v>
      </c>
      <c r="M695">
        <v>4163</v>
      </c>
      <c r="N695">
        <v>1462</v>
      </c>
      <c r="O695">
        <v>65494</v>
      </c>
      <c r="P695">
        <v>295</v>
      </c>
      <c r="Q695">
        <v>21</v>
      </c>
      <c r="R695">
        <v>1</v>
      </c>
      <c r="S695">
        <v>167</v>
      </c>
    </row>
    <row r="696" spans="1:19" x14ac:dyDescent="0.25">
      <c r="A696" s="2">
        <v>37043</v>
      </c>
      <c r="B696">
        <v>136873</v>
      </c>
      <c r="C696">
        <v>131227</v>
      </c>
      <c r="D696">
        <v>1910</v>
      </c>
      <c r="E696">
        <v>3655</v>
      </c>
      <c r="F696">
        <v>81</v>
      </c>
      <c r="G696">
        <v>6484</v>
      </c>
      <c r="H696">
        <v>1877</v>
      </c>
      <c r="I696">
        <v>2877</v>
      </c>
      <c r="J696">
        <v>1689</v>
      </c>
      <c r="K696">
        <v>41</v>
      </c>
      <c r="L696">
        <v>71592</v>
      </c>
      <c r="M696">
        <v>3958</v>
      </c>
      <c r="N696">
        <v>1437</v>
      </c>
      <c r="O696">
        <v>65896</v>
      </c>
      <c r="P696">
        <v>301</v>
      </c>
      <c r="Q696">
        <v>30</v>
      </c>
      <c r="R696">
        <v>2</v>
      </c>
      <c r="S696">
        <v>174</v>
      </c>
    </row>
    <row r="697" spans="1:19" x14ac:dyDescent="0.25">
      <c r="A697" s="2">
        <v>37073</v>
      </c>
      <c r="B697">
        <v>137071</v>
      </c>
      <c r="C697">
        <v>130991</v>
      </c>
      <c r="D697">
        <v>1956</v>
      </c>
      <c r="E697">
        <v>4003</v>
      </c>
      <c r="F697">
        <v>121</v>
      </c>
      <c r="G697">
        <v>6583</v>
      </c>
      <c r="H697">
        <v>1833</v>
      </c>
      <c r="I697">
        <v>3071</v>
      </c>
      <c r="J697">
        <v>1661</v>
      </c>
      <c r="K697">
        <v>17</v>
      </c>
      <c r="L697">
        <v>71526</v>
      </c>
      <c r="M697">
        <v>4028</v>
      </c>
      <c r="N697">
        <v>1456</v>
      </c>
      <c r="O697">
        <v>65761</v>
      </c>
      <c r="P697">
        <v>282</v>
      </c>
      <c r="Q697">
        <v>21</v>
      </c>
      <c r="R697">
        <v>1</v>
      </c>
      <c r="S697">
        <v>167</v>
      </c>
    </row>
    <row r="698" spans="1:19" x14ac:dyDescent="0.25">
      <c r="A698" s="2">
        <v>37104</v>
      </c>
      <c r="B698">
        <v>136241</v>
      </c>
      <c r="C698">
        <v>130580</v>
      </c>
      <c r="D698">
        <v>1914</v>
      </c>
      <c r="E698">
        <v>3663</v>
      </c>
      <c r="F698">
        <v>85</v>
      </c>
      <c r="G698">
        <v>7042</v>
      </c>
      <c r="H698">
        <v>1946</v>
      </c>
      <c r="I698">
        <v>3214</v>
      </c>
      <c r="J698">
        <v>1861</v>
      </c>
      <c r="K698">
        <v>21</v>
      </c>
      <c r="L698">
        <v>72136</v>
      </c>
      <c r="M698">
        <v>4523</v>
      </c>
      <c r="N698">
        <v>1454</v>
      </c>
      <c r="O698">
        <v>65834</v>
      </c>
      <c r="P698">
        <v>326</v>
      </c>
      <c r="Q698">
        <v>22</v>
      </c>
      <c r="R698">
        <v>2</v>
      </c>
      <c r="S698">
        <v>168</v>
      </c>
    </row>
    <row r="699" spans="1:19" x14ac:dyDescent="0.25">
      <c r="A699" s="2">
        <v>37135</v>
      </c>
      <c r="B699">
        <v>136846</v>
      </c>
      <c r="C699">
        <v>130558</v>
      </c>
      <c r="D699">
        <v>2045</v>
      </c>
      <c r="E699">
        <v>4124</v>
      </c>
      <c r="F699">
        <v>119</v>
      </c>
      <c r="G699">
        <v>7142</v>
      </c>
      <c r="H699">
        <v>1823</v>
      </c>
      <c r="I699">
        <v>3446</v>
      </c>
      <c r="J699">
        <v>1856</v>
      </c>
      <c r="K699">
        <v>17</v>
      </c>
      <c r="L699">
        <v>71676</v>
      </c>
      <c r="M699">
        <v>3839</v>
      </c>
      <c r="N699">
        <v>1550</v>
      </c>
      <c r="O699">
        <v>65989</v>
      </c>
      <c r="P699">
        <v>300</v>
      </c>
      <c r="Q699">
        <v>21</v>
      </c>
      <c r="R699">
        <v>1</v>
      </c>
      <c r="S699">
        <v>168</v>
      </c>
    </row>
    <row r="700" spans="1:19" x14ac:dyDescent="0.25">
      <c r="A700" s="2">
        <v>37165</v>
      </c>
      <c r="B700">
        <v>136392</v>
      </c>
      <c r="C700">
        <v>130909</v>
      </c>
      <c r="D700">
        <v>1933</v>
      </c>
      <c r="E700">
        <v>3416</v>
      </c>
      <c r="F700">
        <v>134</v>
      </c>
      <c r="G700">
        <v>7694</v>
      </c>
      <c r="H700">
        <v>2025</v>
      </c>
      <c r="I700">
        <v>3646</v>
      </c>
      <c r="J700">
        <v>1989</v>
      </c>
      <c r="K700">
        <v>34</v>
      </c>
      <c r="L700">
        <v>71817</v>
      </c>
      <c r="M700">
        <v>3890</v>
      </c>
      <c r="N700">
        <v>1562</v>
      </c>
      <c r="O700">
        <v>66104</v>
      </c>
      <c r="P700">
        <v>261</v>
      </c>
      <c r="Q700">
        <v>21</v>
      </c>
      <c r="R700">
        <v>1</v>
      </c>
      <c r="S700">
        <v>168</v>
      </c>
    </row>
    <row r="701" spans="1:19" x14ac:dyDescent="0.25">
      <c r="A701" s="2">
        <v>37196</v>
      </c>
      <c r="B701">
        <v>136238</v>
      </c>
      <c r="C701">
        <v>130534</v>
      </c>
      <c r="D701">
        <v>2121</v>
      </c>
      <c r="E701">
        <v>3528</v>
      </c>
      <c r="F701">
        <v>55</v>
      </c>
      <c r="G701">
        <v>8003</v>
      </c>
      <c r="H701">
        <v>2109</v>
      </c>
      <c r="I701">
        <v>3948</v>
      </c>
      <c r="J701">
        <v>1917</v>
      </c>
      <c r="K701">
        <v>29</v>
      </c>
      <c r="L701">
        <v>71876</v>
      </c>
      <c r="M701">
        <v>3719</v>
      </c>
      <c r="N701">
        <v>1624</v>
      </c>
      <c r="O701">
        <v>66199</v>
      </c>
      <c r="P701">
        <v>334</v>
      </c>
      <c r="Q701">
        <v>30</v>
      </c>
      <c r="R701">
        <v>2</v>
      </c>
      <c r="S701">
        <v>172</v>
      </c>
    </row>
    <row r="702" spans="1:19" x14ac:dyDescent="0.25">
      <c r="A702" s="2">
        <v>37226</v>
      </c>
      <c r="B702">
        <v>136047</v>
      </c>
      <c r="C702">
        <v>130347</v>
      </c>
      <c r="D702">
        <v>2109</v>
      </c>
      <c r="E702">
        <v>3505</v>
      </c>
      <c r="F702">
        <v>85</v>
      </c>
      <c r="G702">
        <v>8258</v>
      </c>
      <c r="H702">
        <v>1986</v>
      </c>
      <c r="I702">
        <v>4213</v>
      </c>
      <c r="J702">
        <v>2036</v>
      </c>
      <c r="K702">
        <v>23</v>
      </c>
      <c r="L702">
        <v>72010</v>
      </c>
      <c r="M702">
        <v>3883</v>
      </c>
      <c r="N702">
        <v>1680</v>
      </c>
      <c r="O702">
        <v>66167</v>
      </c>
      <c r="P702">
        <v>281</v>
      </c>
      <c r="Q702">
        <v>21</v>
      </c>
      <c r="R702">
        <v>1</v>
      </c>
      <c r="S702">
        <v>168</v>
      </c>
    </row>
    <row r="703" spans="1:19" x14ac:dyDescent="0.25">
      <c r="A703" s="2" t="s">
        <v>64</v>
      </c>
      <c r="B703" t="e">
        <v>#N/A</v>
      </c>
      <c r="C703" t="e">
        <v>#N/A</v>
      </c>
      <c r="D703" t="e">
        <v>#N/A</v>
      </c>
      <c r="E703" t="e">
        <v>#N/A</v>
      </c>
      <c r="F703" t="e">
        <v>#N/A</v>
      </c>
      <c r="G703" t="e">
        <v>#N/A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</row>
    <row r="704" spans="1:19" x14ac:dyDescent="0.25">
      <c r="A704" s="2">
        <v>37257</v>
      </c>
      <c r="B704">
        <v>135701</v>
      </c>
      <c r="C704">
        <v>129970</v>
      </c>
      <c r="D704">
        <v>2109</v>
      </c>
      <c r="E704">
        <v>3558</v>
      </c>
      <c r="F704">
        <v>64</v>
      </c>
      <c r="G704">
        <v>8182</v>
      </c>
      <c r="H704">
        <v>2130</v>
      </c>
      <c r="I704">
        <v>4350</v>
      </c>
      <c r="J704">
        <v>1687</v>
      </c>
      <c r="K704">
        <v>15</v>
      </c>
      <c r="L704">
        <v>72623</v>
      </c>
      <c r="M704">
        <v>3897</v>
      </c>
      <c r="N704">
        <v>1796</v>
      </c>
      <c r="O704">
        <v>66587</v>
      </c>
      <c r="P704">
        <v>343</v>
      </c>
      <c r="Q704">
        <v>49</v>
      </c>
      <c r="R704">
        <v>3</v>
      </c>
      <c r="S704">
        <v>179</v>
      </c>
    </row>
    <row r="705" spans="1:19" x14ac:dyDescent="0.25">
      <c r="A705" s="2">
        <v>37288</v>
      </c>
      <c r="B705">
        <v>136438</v>
      </c>
      <c r="C705">
        <v>130289</v>
      </c>
      <c r="D705">
        <v>2332</v>
      </c>
      <c r="E705">
        <v>3766</v>
      </c>
      <c r="F705">
        <v>52</v>
      </c>
      <c r="G705">
        <v>8215</v>
      </c>
      <c r="H705">
        <v>1950</v>
      </c>
      <c r="I705">
        <v>4240</v>
      </c>
      <c r="J705">
        <v>2013</v>
      </c>
      <c r="K705">
        <v>12</v>
      </c>
      <c r="L705">
        <v>72010</v>
      </c>
      <c r="M705">
        <v>3419</v>
      </c>
      <c r="N705">
        <v>1608</v>
      </c>
      <c r="O705">
        <v>66658</v>
      </c>
      <c r="P705">
        <v>325</v>
      </c>
      <c r="Q705">
        <v>44</v>
      </c>
      <c r="R705">
        <v>3</v>
      </c>
      <c r="S705">
        <v>185</v>
      </c>
    </row>
    <row r="706" spans="1:19" x14ac:dyDescent="0.25">
      <c r="A706" s="2">
        <v>37316</v>
      </c>
      <c r="B706">
        <v>136177</v>
      </c>
      <c r="C706">
        <v>130541</v>
      </c>
      <c r="D706">
        <v>2195</v>
      </c>
      <c r="E706">
        <v>3360</v>
      </c>
      <c r="F706">
        <v>81</v>
      </c>
      <c r="G706">
        <v>8304</v>
      </c>
      <c r="H706">
        <v>1884</v>
      </c>
      <c r="I706">
        <v>4364</v>
      </c>
      <c r="J706">
        <v>2029</v>
      </c>
      <c r="K706">
        <v>27</v>
      </c>
      <c r="L706">
        <v>72343</v>
      </c>
      <c r="M706">
        <v>3992</v>
      </c>
      <c r="N706">
        <v>1655</v>
      </c>
      <c r="O706">
        <v>66452</v>
      </c>
      <c r="P706">
        <v>244</v>
      </c>
      <c r="Q706">
        <v>21</v>
      </c>
      <c r="R706">
        <v>1</v>
      </c>
      <c r="S706">
        <v>169</v>
      </c>
    </row>
    <row r="707" spans="1:19" x14ac:dyDescent="0.25">
      <c r="A707" s="2">
        <v>37347</v>
      </c>
      <c r="B707">
        <v>136126</v>
      </c>
      <c r="C707">
        <v>130344</v>
      </c>
      <c r="D707">
        <v>2085</v>
      </c>
      <c r="E707">
        <v>3637</v>
      </c>
      <c r="F707">
        <v>61</v>
      </c>
      <c r="G707">
        <v>8599</v>
      </c>
      <c r="H707">
        <v>2008</v>
      </c>
      <c r="I707">
        <v>4567</v>
      </c>
      <c r="J707">
        <v>1992</v>
      </c>
      <c r="K707">
        <v>32</v>
      </c>
      <c r="L707">
        <v>72281</v>
      </c>
      <c r="M707">
        <v>3801</v>
      </c>
      <c r="N707">
        <v>1651</v>
      </c>
      <c r="O707">
        <v>66543</v>
      </c>
      <c r="P707">
        <v>286</v>
      </c>
      <c r="Q707">
        <v>24</v>
      </c>
      <c r="R707">
        <v>2</v>
      </c>
      <c r="S707">
        <v>171</v>
      </c>
    </row>
    <row r="708" spans="1:19" x14ac:dyDescent="0.25">
      <c r="A708" s="2">
        <v>37377</v>
      </c>
      <c r="B708">
        <v>136539</v>
      </c>
      <c r="C708">
        <v>130487</v>
      </c>
      <c r="D708">
        <v>2130</v>
      </c>
      <c r="E708">
        <v>3852</v>
      </c>
      <c r="F708">
        <v>70</v>
      </c>
      <c r="G708">
        <v>8399</v>
      </c>
      <c r="H708">
        <v>1797</v>
      </c>
      <c r="I708">
        <v>4653</v>
      </c>
      <c r="J708">
        <v>1927</v>
      </c>
      <c r="K708">
        <v>22</v>
      </c>
      <c r="L708">
        <v>72260</v>
      </c>
      <c r="M708">
        <v>3817</v>
      </c>
      <c r="N708">
        <v>1814</v>
      </c>
      <c r="O708">
        <v>66331</v>
      </c>
      <c r="P708">
        <v>298</v>
      </c>
      <c r="Q708">
        <v>25</v>
      </c>
      <c r="R708">
        <v>2</v>
      </c>
      <c r="S708">
        <v>172</v>
      </c>
    </row>
    <row r="709" spans="1:19" x14ac:dyDescent="0.25">
      <c r="A709" s="2">
        <v>37408</v>
      </c>
      <c r="B709">
        <v>136415</v>
      </c>
      <c r="C709">
        <v>130541</v>
      </c>
      <c r="D709">
        <v>1997</v>
      </c>
      <c r="E709">
        <v>3765</v>
      </c>
      <c r="F709">
        <v>111</v>
      </c>
      <c r="G709">
        <v>8393</v>
      </c>
      <c r="H709">
        <v>1989</v>
      </c>
      <c r="I709">
        <v>4614</v>
      </c>
      <c r="J709">
        <v>1774</v>
      </c>
      <c r="K709">
        <v>17</v>
      </c>
      <c r="L709">
        <v>72600</v>
      </c>
      <c r="M709">
        <v>3988</v>
      </c>
      <c r="N709">
        <v>1786</v>
      </c>
      <c r="O709">
        <v>66551</v>
      </c>
      <c r="P709">
        <v>274</v>
      </c>
      <c r="Q709">
        <v>21</v>
      </c>
      <c r="R709">
        <v>1</v>
      </c>
      <c r="S709">
        <v>169</v>
      </c>
    </row>
    <row r="710" spans="1:19" x14ac:dyDescent="0.25">
      <c r="A710" s="2">
        <v>37438</v>
      </c>
      <c r="B710">
        <v>136413</v>
      </c>
      <c r="C710">
        <v>130737</v>
      </c>
      <c r="D710">
        <v>2022</v>
      </c>
      <c r="E710">
        <v>3562</v>
      </c>
      <c r="F710">
        <v>92</v>
      </c>
      <c r="G710">
        <v>8390</v>
      </c>
      <c r="H710">
        <v>1935</v>
      </c>
      <c r="I710">
        <v>4395</v>
      </c>
      <c r="J710">
        <v>2028</v>
      </c>
      <c r="K710">
        <v>31</v>
      </c>
      <c r="L710">
        <v>72827</v>
      </c>
      <c r="M710">
        <v>3721</v>
      </c>
      <c r="N710">
        <v>1975</v>
      </c>
      <c r="O710">
        <v>66840</v>
      </c>
      <c r="P710">
        <v>291</v>
      </c>
      <c r="Q710">
        <v>21</v>
      </c>
      <c r="R710">
        <v>1</v>
      </c>
      <c r="S710">
        <v>169</v>
      </c>
    </row>
    <row r="711" spans="1:19" x14ac:dyDescent="0.25">
      <c r="A711" s="2">
        <v>37469</v>
      </c>
      <c r="B711">
        <v>136705</v>
      </c>
      <c r="C711">
        <v>130755</v>
      </c>
      <c r="D711">
        <v>2184</v>
      </c>
      <c r="E711">
        <v>3718</v>
      </c>
      <c r="F711">
        <v>48</v>
      </c>
      <c r="G711">
        <v>8304</v>
      </c>
      <c r="H711">
        <v>1934</v>
      </c>
      <c r="I711">
        <v>4491</v>
      </c>
      <c r="J711">
        <v>1852</v>
      </c>
      <c r="K711">
        <v>27</v>
      </c>
      <c r="L711">
        <v>72856</v>
      </c>
      <c r="M711">
        <v>3682</v>
      </c>
      <c r="N711">
        <v>1713</v>
      </c>
      <c r="O711">
        <v>67074</v>
      </c>
      <c r="P711">
        <v>388</v>
      </c>
      <c r="Q711">
        <v>41</v>
      </c>
      <c r="R711">
        <v>3</v>
      </c>
      <c r="S711">
        <v>183</v>
      </c>
    </row>
    <row r="712" spans="1:19" x14ac:dyDescent="0.25">
      <c r="A712" s="2">
        <v>37500</v>
      </c>
      <c r="B712">
        <v>137302</v>
      </c>
      <c r="C712">
        <v>131393</v>
      </c>
      <c r="D712">
        <v>2178</v>
      </c>
      <c r="E712">
        <v>3611</v>
      </c>
      <c r="F712">
        <v>119</v>
      </c>
      <c r="G712">
        <v>8251</v>
      </c>
      <c r="H712">
        <v>1878</v>
      </c>
      <c r="I712">
        <v>4411</v>
      </c>
      <c r="J712">
        <v>1948</v>
      </c>
      <c r="K712">
        <v>15</v>
      </c>
      <c r="L712">
        <v>72554</v>
      </c>
      <c r="M712">
        <v>3413</v>
      </c>
      <c r="N712">
        <v>1714</v>
      </c>
      <c r="O712">
        <v>67128</v>
      </c>
      <c r="P712">
        <v>300</v>
      </c>
      <c r="Q712">
        <v>21</v>
      </c>
      <c r="R712">
        <v>1</v>
      </c>
      <c r="S712">
        <v>170</v>
      </c>
    </row>
    <row r="713" spans="1:19" x14ac:dyDescent="0.25">
      <c r="A713" s="2">
        <v>37530</v>
      </c>
      <c r="B713">
        <v>137008</v>
      </c>
      <c r="C713">
        <v>131300</v>
      </c>
      <c r="D713">
        <v>2041</v>
      </c>
      <c r="E713">
        <v>3604</v>
      </c>
      <c r="F713">
        <v>63</v>
      </c>
      <c r="G713">
        <v>8307</v>
      </c>
      <c r="H713">
        <v>2004</v>
      </c>
      <c r="I713">
        <v>4429</v>
      </c>
      <c r="J713">
        <v>1842</v>
      </c>
      <c r="K713">
        <v>31</v>
      </c>
      <c r="L713">
        <v>73026</v>
      </c>
      <c r="M713">
        <v>3956</v>
      </c>
      <c r="N713">
        <v>1778</v>
      </c>
      <c r="O713">
        <v>66931</v>
      </c>
      <c r="P713">
        <v>360</v>
      </c>
      <c r="Q713">
        <v>41</v>
      </c>
      <c r="R713">
        <v>3</v>
      </c>
      <c r="S713">
        <v>177</v>
      </c>
    </row>
    <row r="714" spans="1:19" x14ac:dyDescent="0.25">
      <c r="A714" s="2">
        <v>37561</v>
      </c>
      <c r="B714">
        <v>136521</v>
      </c>
      <c r="C714">
        <v>130895</v>
      </c>
      <c r="D714">
        <v>1959</v>
      </c>
      <c r="E714">
        <v>3620</v>
      </c>
      <c r="F714">
        <v>47</v>
      </c>
      <c r="G714">
        <v>8520</v>
      </c>
      <c r="H714">
        <v>2050</v>
      </c>
      <c r="I714">
        <v>4527</v>
      </c>
      <c r="J714">
        <v>1890</v>
      </c>
      <c r="K714">
        <v>53</v>
      </c>
      <c r="L714">
        <v>73508</v>
      </c>
      <c r="M714">
        <v>4040</v>
      </c>
      <c r="N714">
        <v>1819</v>
      </c>
      <c r="O714">
        <v>67344</v>
      </c>
      <c r="P714">
        <v>306</v>
      </c>
      <c r="Q714">
        <v>24</v>
      </c>
      <c r="R714">
        <v>2</v>
      </c>
      <c r="S714">
        <v>172</v>
      </c>
    </row>
    <row r="715" spans="1:19" x14ac:dyDescent="0.25">
      <c r="A715" s="2">
        <v>37591</v>
      </c>
      <c r="B715">
        <v>136426</v>
      </c>
      <c r="C715">
        <v>130887</v>
      </c>
      <c r="D715">
        <v>1977</v>
      </c>
      <c r="E715">
        <v>3445</v>
      </c>
      <c r="F715">
        <v>117</v>
      </c>
      <c r="G715">
        <v>8640</v>
      </c>
      <c r="H715">
        <v>1911</v>
      </c>
      <c r="I715">
        <v>4764</v>
      </c>
      <c r="J715">
        <v>1951</v>
      </c>
      <c r="K715">
        <v>14</v>
      </c>
      <c r="L715">
        <v>73675</v>
      </c>
      <c r="M715">
        <v>3701</v>
      </c>
      <c r="N715">
        <v>1777</v>
      </c>
      <c r="O715">
        <v>67941</v>
      </c>
      <c r="P715">
        <v>255</v>
      </c>
      <c r="Q715">
        <v>21</v>
      </c>
      <c r="R715">
        <v>1</v>
      </c>
      <c r="S715">
        <v>170</v>
      </c>
    </row>
    <row r="716" spans="1:19" x14ac:dyDescent="0.25">
      <c r="A716" s="2" t="s">
        <v>65</v>
      </c>
      <c r="B716" t="e">
        <v>#N/A</v>
      </c>
      <c r="C716" t="e">
        <v>#N/A</v>
      </c>
      <c r="D716" t="e">
        <v>#N/A</v>
      </c>
      <c r="E716" t="e">
        <v>#N/A</v>
      </c>
      <c r="F716" t="e">
        <v>#N/A</v>
      </c>
      <c r="G716" t="e">
        <v>#N/A</v>
      </c>
      <c r="H716" t="e">
        <v>#N/A</v>
      </c>
      <c r="I716" t="e">
        <v>#N/A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</row>
    <row r="717" spans="1:19" x14ac:dyDescent="0.25">
      <c r="A717" s="2">
        <v>37622</v>
      </c>
      <c r="B717">
        <v>137417</v>
      </c>
      <c r="C717">
        <v>130692</v>
      </c>
      <c r="D717">
        <v>2176</v>
      </c>
      <c r="E717">
        <v>3902</v>
      </c>
      <c r="F717">
        <v>647</v>
      </c>
      <c r="G717">
        <v>8520</v>
      </c>
      <c r="H717">
        <v>2008</v>
      </c>
      <c r="I717">
        <v>4475</v>
      </c>
      <c r="J717">
        <v>1958</v>
      </c>
      <c r="K717">
        <v>79</v>
      </c>
      <c r="L717">
        <v>73960</v>
      </c>
      <c r="M717">
        <v>3705</v>
      </c>
      <c r="N717">
        <v>1988</v>
      </c>
      <c r="O717">
        <v>67645</v>
      </c>
      <c r="P717">
        <v>623</v>
      </c>
      <c r="Q717">
        <v>21</v>
      </c>
      <c r="R717">
        <v>1</v>
      </c>
      <c r="S717">
        <v>170</v>
      </c>
    </row>
    <row r="718" spans="1:19" x14ac:dyDescent="0.25">
      <c r="A718" s="2">
        <v>37653</v>
      </c>
      <c r="B718">
        <v>137482</v>
      </c>
      <c r="C718">
        <v>131799</v>
      </c>
      <c r="D718">
        <v>1966</v>
      </c>
      <c r="E718">
        <v>3623</v>
      </c>
      <c r="F718">
        <v>93</v>
      </c>
      <c r="G718">
        <v>8618</v>
      </c>
      <c r="H718">
        <v>1886</v>
      </c>
      <c r="I718">
        <v>4756</v>
      </c>
      <c r="J718">
        <v>1964</v>
      </c>
      <c r="K718">
        <v>12</v>
      </c>
      <c r="L718">
        <v>74015</v>
      </c>
      <c r="M718">
        <v>3710</v>
      </c>
      <c r="N718">
        <v>1796</v>
      </c>
      <c r="O718">
        <v>68202</v>
      </c>
      <c r="P718">
        <v>306</v>
      </c>
      <c r="Q718">
        <v>22</v>
      </c>
      <c r="R718">
        <v>1</v>
      </c>
      <c r="S718">
        <v>171</v>
      </c>
    </row>
    <row r="719" spans="1:19" x14ac:dyDescent="0.25">
      <c r="A719" s="2">
        <v>37681</v>
      </c>
      <c r="B719">
        <v>137434</v>
      </c>
      <c r="C719">
        <v>131711</v>
      </c>
      <c r="D719">
        <v>1998</v>
      </c>
      <c r="E719">
        <v>3623</v>
      </c>
      <c r="F719">
        <v>103</v>
      </c>
      <c r="G719">
        <v>8588</v>
      </c>
      <c r="H719">
        <v>1959</v>
      </c>
      <c r="I719">
        <v>4604</v>
      </c>
      <c r="J719">
        <v>1999</v>
      </c>
      <c r="K719">
        <v>25</v>
      </c>
      <c r="L719">
        <v>74295</v>
      </c>
      <c r="M719">
        <v>3790</v>
      </c>
      <c r="N719">
        <v>2015</v>
      </c>
      <c r="O719">
        <v>68221</v>
      </c>
      <c r="P719">
        <v>269</v>
      </c>
      <c r="Q719">
        <v>22</v>
      </c>
      <c r="R719">
        <v>1</v>
      </c>
      <c r="S719">
        <v>171</v>
      </c>
    </row>
    <row r="720" spans="1:19" x14ac:dyDescent="0.25">
      <c r="A720" s="2">
        <v>37712</v>
      </c>
      <c r="B720">
        <v>137633</v>
      </c>
      <c r="C720">
        <v>131826</v>
      </c>
      <c r="D720">
        <v>2086</v>
      </c>
      <c r="E720">
        <v>3639</v>
      </c>
      <c r="F720">
        <v>81</v>
      </c>
      <c r="G720">
        <v>8842</v>
      </c>
      <c r="H720">
        <v>1978</v>
      </c>
      <c r="I720">
        <v>4722</v>
      </c>
      <c r="J720">
        <v>2124</v>
      </c>
      <c r="K720">
        <v>18</v>
      </c>
      <c r="L720">
        <v>74066</v>
      </c>
      <c r="M720">
        <v>3608</v>
      </c>
      <c r="N720">
        <v>1778</v>
      </c>
      <c r="O720">
        <v>68361</v>
      </c>
      <c r="P720">
        <v>318</v>
      </c>
      <c r="Q720">
        <v>22</v>
      </c>
      <c r="R720">
        <v>1</v>
      </c>
      <c r="S720">
        <v>172</v>
      </c>
    </row>
    <row r="721" spans="1:19" x14ac:dyDescent="0.25">
      <c r="A721" s="2">
        <v>37742</v>
      </c>
      <c r="B721">
        <v>137544</v>
      </c>
      <c r="C721">
        <v>131944</v>
      </c>
      <c r="D721">
        <v>2048</v>
      </c>
      <c r="E721">
        <v>3478</v>
      </c>
      <c r="F721">
        <v>74</v>
      </c>
      <c r="G721">
        <v>8957</v>
      </c>
      <c r="H721">
        <v>2000</v>
      </c>
      <c r="I721">
        <v>4895</v>
      </c>
      <c r="J721">
        <v>2048</v>
      </c>
      <c r="K721">
        <v>13</v>
      </c>
      <c r="L721">
        <v>74268</v>
      </c>
      <c r="M721">
        <v>3667</v>
      </c>
      <c r="N721">
        <v>1897</v>
      </c>
      <c r="O721">
        <v>68368</v>
      </c>
      <c r="P721">
        <v>336</v>
      </c>
      <c r="Q721">
        <v>22</v>
      </c>
      <c r="R721">
        <v>1</v>
      </c>
      <c r="S721">
        <v>172</v>
      </c>
    </row>
    <row r="722" spans="1:19" x14ac:dyDescent="0.25">
      <c r="A722" s="2">
        <v>37773</v>
      </c>
      <c r="B722">
        <v>137790</v>
      </c>
      <c r="C722">
        <v>131772</v>
      </c>
      <c r="D722">
        <v>2114</v>
      </c>
      <c r="E722">
        <v>3776</v>
      </c>
      <c r="F722">
        <v>128</v>
      </c>
      <c r="G722">
        <v>9266</v>
      </c>
      <c r="H722">
        <v>1949</v>
      </c>
      <c r="I722">
        <v>5012</v>
      </c>
      <c r="J722">
        <v>2273</v>
      </c>
      <c r="K722">
        <v>31</v>
      </c>
      <c r="L722">
        <v>73958</v>
      </c>
      <c r="M722">
        <v>3801</v>
      </c>
      <c r="N722">
        <v>1828</v>
      </c>
      <c r="O722">
        <v>68047</v>
      </c>
      <c r="P722">
        <v>282</v>
      </c>
      <c r="Q722">
        <v>22</v>
      </c>
      <c r="R722">
        <v>1</v>
      </c>
      <c r="S722">
        <v>172</v>
      </c>
    </row>
    <row r="723" spans="1:19" x14ac:dyDescent="0.25">
      <c r="A723" s="2">
        <v>37803</v>
      </c>
      <c r="B723">
        <v>137474</v>
      </c>
      <c r="C723">
        <v>131796</v>
      </c>
      <c r="D723">
        <v>2127</v>
      </c>
      <c r="E723">
        <v>3487</v>
      </c>
      <c r="F723">
        <v>64</v>
      </c>
      <c r="G723">
        <v>9011</v>
      </c>
      <c r="H723">
        <v>1882</v>
      </c>
      <c r="I723">
        <v>5132</v>
      </c>
      <c r="J723">
        <v>1972</v>
      </c>
      <c r="K723">
        <v>25</v>
      </c>
      <c r="L723">
        <v>74767</v>
      </c>
      <c r="M723">
        <v>4074</v>
      </c>
      <c r="N723">
        <v>2005</v>
      </c>
      <c r="O723">
        <v>68317</v>
      </c>
      <c r="P723">
        <v>371</v>
      </c>
      <c r="Q723">
        <v>37</v>
      </c>
      <c r="R723">
        <v>2</v>
      </c>
      <c r="S723">
        <v>183</v>
      </c>
    </row>
    <row r="724" spans="1:19" x14ac:dyDescent="0.25">
      <c r="A724" s="2">
        <v>37834</v>
      </c>
      <c r="B724">
        <v>137549</v>
      </c>
      <c r="C724">
        <v>131630</v>
      </c>
      <c r="D724">
        <v>2127</v>
      </c>
      <c r="E724">
        <v>3698</v>
      </c>
      <c r="F724">
        <v>93</v>
      </c>
      <c r="G724">
        <v>8896</v>
      </c>
      <c r="H724">
        <v>2041</v>
      </c>
      <c r="I724">
        <v>4866</v>
      </c>
      <c r="J724">
        <v>1973</v>
      </c>
      <c r="K724">
        <v>16</v>
      </c>
      <c r="L724">
        <v>75062</v>
      </c>
      <c r="M724">
        <v>3781</v>
      </c>
      <c r="N724">
        <v>2016</v>
      </c>
      <c r="O724">
        <v>68923</v>
      </c>
      <c r="P724">
        <v>342</v>
      </c>
      <c r="Q724">
        <v>22</v>
      </c>
      <c r="R724">
        <v>1</v>
      </c>
      <c r="S724">
        <v>172</v>
      </c>
    </row>
    <row r="725" spans="1:19" x14ac:dyDescent="0.25">
      <c r="A725" s="2">
        <v>37865</v>
      </c>
      <c r="B725">
        <v>137609</v>
      </c>
      <c r="C725">
        <v>131702</v>
      </c>
      <c r="D725">
        <v>2051</v>
      </c>
      <c r="E725">
        <v>3757</v>
      </c>
      <c r="F725">
        <v>100</v>
      </c>
      <c r="G725">
        <v>8921</v>
      </c>
      <c r="H725">
        <v>1931</v>
      </c>
      <c r="I725">
        <v>4932</v>
      </c>
      <c r="J725">
        <v>2040</v>
      </c>
      <c r="K725">
        <v>17</v>
      </c>
      <c r="L725">
        <v>75249</v>
      </c>
      <c r="M725">
        <v>3894</v>
      </c>
      <c r="N725">
        <v>1912</v>
      </c>
      <c r="O725">
        <v>69092</v>
      </c>
      <c r="P725">
        <v>351</v>
      </c>
      <c r="Q725">
        <v>22</v>
      </c>
      <c r="R725">
        <v>1</v>
      </c>
      <c r="S725">
        <v>173</v>
      </c>
    </row>
    <row r="726" spans="1:19" x14ac:dyDescent="0.25">
      <c r="A726" s="2">
        <v>37895</v>
      </c>
      <c r="B726">
        <v>137984</v>
      </c>
      <c r="C726">
        <v>132061</v>
      </c>
      <c r="D726">
        <v>2064</v>
      </c>
      <c r="E726">
        <v>3800</v>
      </c>
      <c r="F726">
        <v>59</v>
      </c>
      <c r="G726">
        <v>8732</v>
      </c>
      <c r="H726">
        <v>1733</v>
      </c>
      <c r="I726">
        <v>4856</v>
      </c>
      <c r="J726">
        <v>2121</v>
      </c>
      <c r="K726">
        <v>22</v>
      </c>
      <c r="L726">
        <v>75324</v>
      </c>
      <c r="M726">
        <v>3768</v>
      </c>
      <c r="N726">
        <v>1997</v>
      </c>
      <c r="O726">
        <v>69137</v>
      </c>
      <c r="P726">
        <v>421</v>
      </c>
      <c r="Q726">
        <v>47</v>
      </c>
      <c r="R726">
        <v>3</v>
      </c>
      <c r="S726">
        <v>191</v>
      </c>
    </row>
    <row r="727" spans="1:19" x14ac:dyDescent="0.25">
      <c r="A727" s="2">
        <v>37926</v>
      </c>
      <c r="B727">
        <v>138424</v>
      </c>
      <c r="C727">
        <v>132308</v>
      </c>
      <c r="D727">
        <v>2120</v>
      </c>
      <c r="E727">
        <v>3886</v>
      </c>
      <c r="F727">
        <v>109</v>
      </c>
      <c r="G727">
        <v>8576</v>
      </c>
      <c r="H727">
        <v>1832</v>
      </c>
      <c r="I727">
        <v>4765</v>
      </c>
      <c r="J727">
        <v>1959</v>
      </c>
      <c r="K727">
        <v>20</v>
      </c>
      <c r="L727">
        <v>75280</v>
      </c>
      <c r="M727">
        <v>3822</v>
      </c>
      <c r="N727">
        <v>1845</v>
      </c>
      <c r="O727">
        <v>69306</v>
      </c>
      <c r="P727">
        <v>308</v>
      </c>
      <c r="Q727">
        <v>22</v>
      </c>
      <c r="R727">
        <v>1</v>
      </c>
      <c r="S727">
        <v>173</v>
      </c>
    </row>
    <row r="728" spans="1:19" x14ac:dyDescent="0.25">
      <c r="A728" s="2">
        <v>37956</v>
      </c>
      <c r="B728">
        <v>138411</v>
      </c>
      <c r="C728">
        <v>132489</v>
      </c>
      <c r="D728">
        <v>2247</v>
      </c>
      <c r="E728">
        <v>3584</v>
      </c>
      <c r="F728">
        <v>91</v>
      </c>
      <c r="G728">
        <v>8317</v>
      </c>
      <c r="H728">
        <v>1922</v>
      </c>
      <c r="I728">
        <v>4435</v>
      </c>
      <c r="J728">
        <v>1936</v>
      </c>
      <c r="K728">
        <v>24</v>
      </c>
      <c r="L728">
        <v>75780</v>
      </c>
      <c r="M728">
        <v>3991</v>
      </c>
      <c r="N728">
        <v>1892</v>
      </c>
      <c r="O728">
        <v>69587</v>
      </c>
      <c r="P728">
        <v>311</v>
      </c>
      <c r="Q728">
        <v>22</v>
      </c>
      <c r="R728">
        <v>2</v>
      </c>
      <c r="S728">
        <v>173</v>
      </c>
    </row>
    <row r="729" spans="1:19" x14ac:dyDescent="0.25">
      <c r="A729" s="2" t="s">
        <v>66</v>
      </c>
      <c r="B729" t="e">
        <v>#N/A</v>
      </c>
      <c r="C729" t="e">
        <v>#N/A</v>
      </c>
      <c r="D729" t="e">
        <v>#N/A</v>
      </c>
      <c r="E729" t="e">
        <v>#N/A</v>
      </c>
      <c r="F729" t="e">
        <v>#N/A</v>
      </c>
      <c r="G729" t="e">
        <v>#N/A</v>
      </c>
      <c r="H729" t="e">
        <v>#N/A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</row>
    <row r="730" spans="1:19" x14ac:dyDescent="0.25">
      <c r="A730" s="2">
        <v>37987</v>
      </c>
      <c r="B730">
        <v>138472</v>
      </c>
      <c r="C730">
        <v>132603</v>
      </c>
      <c r="D730">
        <v>2058</v>
      </c>
      <c r="E730">
        <v>3769</v>
      </c>
      <c r="F730">
        <v>42</v>
      </c>
      <c r="G730">
        <v>8370</v>
      </c>
      <c r="H730">
        <v>1729</v>
      </c>
      <c r="I730">
        <v>4579</v>
      </c>
      <c r="J730">
        <v>2049</v>
      </c>
      <c r="K730">
        <v>13</v>
      </c>
      <c r="L730">
        <v>75319</v>
      </c>
      <c r="M730">
        <v>3766</v>
      </c>
      <c r="N730">
        <v>1661</v>
      </c>
      <c r="O730">
        <v>69605</v>
      </c>
      <c r="P730">
        <v>287</v>
      </c>
      <c r="Q730">
        <v>313</v>
      </c>
      <c r="R730">
        <v>19</v>
      </c>
      <c r="S730">
        <v>358</v>
      </c>
    </row>
    <row r="731" spans="1:19" x14ac:dyDescent="0.25">
      <c r="A731" s="2">
        <v>38018</v>
      </c>
      <c r="B731">
        <v>138542</v>
      </c>
      <c r="C731">
        <v>132898</v>
      </c>
      <c r="D731">
        <v>1984</v>
      </c>
      <c r="E731">
        <v>3549</v>
      </c>
      <c r="F731">
        <v>111</v>
      </c>
      <c r="G731">
        <v>8167</v>
      </c>
      <c r="H731">
        <v>1806</v>
      </c>
      <c r="I731">
        <v>4436</v>
      </c>
      <c r="J731">
        <v>1910</v>
      </c>
      <c r="K731">
        <v>14</v>
      </c>
      <c r="L731">
        <v>75648</v>
      </c>
      <c r="M731">
        <v>3747</v>
      </c>
      <c r="N731">
        <v>1948</v>
      </c>
      <c r="O731">
        <v>69687</v>
      </c>
      <c r="P731">
        <v>267</v>
      </c>
      <c r="Q731">
        <v>22</v>
      </c>
      <c r="R731">
        <v>2</v>
      </c>
      <c r="S731">
        <v>173</v>
      </c>
    </row>
    <row r="732" spans="1:19" x14ac:dyDescent="0.25">
      <c r="A732" s="2">
        <v>38047</v>
      </c>
      <c r="B732">
        <v>138453</v>
      </c>
      <c r="C732">
        <v>132753</v>
      </c>
      <c r="D732">
        <v>1925</v>
      </c>
      <c r="E732">
        <v>3704</v>
      </c>
      <c r="F732">
        <v>71</v>
      </c>
      <c r="G732">
        <v>8491</v>
      </c>
      <c r="H732">
        <v>1857</v>
      </c>
      <c r="I732">
        <v>4370</v>
      </c>
      <c r="J732">
        <v>2237</v>
      </c>
      <c r="K732">
        <v>28</v>
      </c>
      <c r="L732">
        <v>75606</v>
      </c>
      <c r="M732">
        <v>3910</v>
      </c>
      <c r="N732">
        <v>1871</v>
      </c>
      <c r="O732">
        <v>69534</v>
      </c>
      <c r="P732">
        <v>291</v>
      </c>
      <c r="Q732">
        <v>22</v>
      </c>
      <c r="R732">
        <v>2</v>
      </c>
      <c r="S732">
        <v>173</v>
      </c>
    </row>
    <row r="733" spans="1:19" x14ac:dyDescent="0.25">
      <c r="A733" s="2">
        <v>38078</v>
      </c>
      <c r="B733">
        <v>138680</v>
      </c>
      <c r="C733">
        <v>132799</v>
      </c>
      <c r="D733">
        <v>2147</v>
      </c>
      <c r="E733">
        <v>3656</v>
      </c>
      <c r="F733">
        <v>78</v>
      </c>
      <c r="G733">
        <v>8170</v>
      </c>
      <c r="H733">
        <v>1787</v>
      </c>
      <c r="I733">
        <v>4464</v>
      </c>
      <c r="J733">
        <v>1897</v>
      </c>
      <c r="K733">
        <v>22</v>
      </c>
      <c r="L733">
        <v>75907</v>
      </c>
      <c r="M733">
        <v>3845</v>
      </c>
      <c r="N733">
        <v>1879</v>
      </c>
      <c r="O733">
        <v>69880</v>
      </c>
      <c r="P733">
        <v>303</v>
      </c>
      <c r="Q733">
        <v>22</v>
      </c>
      <c r="R733">
        <v>2</v>
      </c>
      <c r="S733">
        <v>173</v>
      </c>
    </row>
    <row r="734" spans="1:19" x14ac:dyDescent="0.25">
      <c r="A734" s="2">
        <v>38108</v>
      </c>
      <c r="B734">
        <v>138852</v>
      </c>
      <c r="C734">
        <v>132961</v>
      </c>
      <c r="D734">
        <v>2088</v>
      </c>
      <c r="E734">
        <v>3722</v>
      </c>
      <c r="F734">
        <v>81</v>
      </c>
      <c r="G734">
        <v>8212</v>
      </c>
      <c r="H734">
        <v>1851</v>
      </c>
      <c r="I734">
        <v>4314</v>
      </c>
      <c r="J734">
        <v>2034</v>
      </c>
      <c r="K734">
        <v>14</v>
      </c>
      <c r="L734">
        <v>75903</v>
      </c>
      <c r="M734">
        <v>3846</v>
      </c>
      <c r="N734">
        <v>1766</v>
      </c>
      <c r="O734">
        <v>69978</v>
      </c>
      <c r="P734">
        <v>312</v>
      </c>
      <c r="Q734">
        <v>22</v>
      </c>
      <c r="R734">
        <v>2</v>
      </c>
      <c r="S734">
        <v>174</v>
      </c>
    </row>
    <row r="735" spans="1:19" x14ac:dyDescent="0.25">
      <c r="A735" s="2">
        <v>38139</v>
      </c>
      <c r="B735">
        <v>139174</v>
      </c>
      <c r="C735">
        <v>133433</v>
      </c>
      <c r="D735">
        <v>2032</v>
      </c>
      <c r="E735">
        <v>3630</v>
      </c>
      <c r="F735">
        <v>79</v>
      </c>
      <c r="G735">
        <v>8286</v>
      </c>
      <c r="H735">
        <v>1777</v>
      </c>
      <c r="I735">
        <v>4381</v>
      </c>
      <c r="J735">
        <v>2088</v>
      </c>
      <c r="K735">
        <v>40</v>
      </c>
      <c r="L735">
        <v>75735</v>
      </c>
      <c r="M735">
        <v>3604</v>
      </c>
      <c r="N735">
        <v>1797</v>
      </c>
      <c r="O735">
        <v>69999</v>
      </c>
      <c r="P735">
        <v>336</v>
      </c>
      <c r="Q735">
        <v>39</v>
      </c>
      <c r="R735">
        <v>2</v>
      </c>
      <c r="S735">
        <v>186</v>
      </c>
    </row>
    <row r="736" spans="1:19" x14ac:dyDescent="0.25">
      <c r="A736" s="2">
        <v>38169</v>
      </c>
      <c r="B736">
        <v>139556</v>
      </c>
      <c r="C736">
        <v>133431</v>
      </c>
      <c r="D736">
        <v>2151</v>
      </c>
      <c r="E736">
        <v>3903</v>
      </c>
      <c r="F736">
        <v>71</v>
      </c>
      <c r="G736">
        <v>8136</v>
      </c>
      <c r="H736">
        <v>1823</v>
      </c>
      <c r="I736">
        <v>4287</v>
      </c>
      <c r="J736">
        <v>1991</v>
      </c>
      <c r="K736">
        <v>35</v>
      </c>
      <c r="L736">
        <v>75730</v>
      </c>
      <c r="M736">
        <v>3887</v>
      </c>
      <c r="N736">
        <v>1845</v>
      </c>
      <c r="O736">
        <v>69663</v>
      </c>
      <c r="P736">
        <v>335</v>
      </c>
      <c r="Q736">
        <v>33</v>
      </c>
      <c r="R736">
        <v>2</v>
      </c>
      <c r="S736">
        <v>178</v>
      </c>
    </row>
    <row r="737" spans="1:19" x14ac:dyDescent="0.25">
      <c r="A737" s="2">
        <v>38200</v>
      </c>
      <c r="B737">
        <v>139573</v>
      </c>
      <c r="C737">
        <v>133730</v>
      </c>
      <c r="D737">
        <v>1996</v>
      </c>
      <c r="E737">
        <v>3713</v>
      </c>
      <c r="F737">
        <v>135</v>
      </c>
      <c r="G737">
        <v>7990</v>
      </c>
      <c r="H737">
        <v>1858</v>
      </c>
      <c r="I737">
        <v>4164</v>
      </c>
      <c r="J737">
        <v>1946</v>
      </c>
      <c r="K737">
        <v>23</v>
      </c>
      <c r="L737">
        <v>76113</v>
      </c>
      <c r="M737">
        <v>3946</v>
      </c>
      <c r="N737">
        <v>1974</v>
      </c>
      <c r="O737">
        <v>69898</v>
      </c>
      <c r="P737">
        <v>295</v>
      </c>
      <c r="Q737">
        <v>22</v>
      </c>
      <c r="R737">
        <v>2</v>
      </c>
      <c r="S737">
        <v>174</v>
      </c>
    </row>
    <row r="738" spans="1:19" x14ac:dyDescent="0.25">
      <c r="A738" s="2">
        <v>38231</v>
      </c>
      <c r="B738">
        <v>139487</v>
      </c>
      <c r="C738">
        <v>133638</v>
      </c>
      <c r="D738">
        <v>2138</v>
      </c>
      <c r="E738">
        <v>3608</v>
      </c>
      <c r="F738">
        <v>104</v>
      </c>
      <c r="G738">
        <v>7927</v>
      </c>
      <c r="H738">
        <v>1907</v>
      </c>
      <c r="I738">
        <v>3966</v>
      </c>
      <c r="J738">
        <v>2025</v>
      </c>
      <c r="K738">
        <v>30</v>
      </c>
      <c r="L738">
        <v>76526</v>
      </c>
      <c r="M738">
        <v>4006</v>
      </c>
      <c r="N738">
        <v>1886</v>
      </c>
      <c r="O738">
        <v>70306</v>
      </c>
      <c r="P738">
        <v>328</v>
      </c>
      <c r="Q738">
        <v>22</v>
      </c>
      <c r="R738">
        <v>2</v>
      </c>
      <c r="S738">
        <v>174</v>
      </c>
    </row>
    <row r="739" spans="1:19" x14ac:dyDescent="0.25">
      <c r="A739" s="2">
        <v>38261</v>
      </c>
      <c r="B739">
        <v>139732</v>
      </c>
      <c r="C739">
        <v>133561</v>
      </c>
      <c r="D739">
        <v>2132</v>
      </c>
      <c r="E739">
        <v>3937</v>
      </c>
      <c r="F739">
        <v>101</v>
      </c>
      <c r="G739">
        <v>8061</v>
      </c>
      <c r="H739">
        <v>1890</v>
      </c>
      <c r="I739">
        <v>4053</v>
      </c>
      <c r="J739">
        <v>2085</v>
      </c>
      <c r="K739">
        <v>34</v>
      </c>
      <c r="L739">
        <v>76399</v>
      </c>
      <c r="M739">
        <v>4014</v>
      </c>
      <c r="N739">
        <v>1740</v>
      </c>
      <c r="O739">
        <v>70330</v>
      </c>
      <c r="P739">
        <v>314</v>
      </c>
      <c r="Q739">
        <v>22</v>
      </c>
      <c r="R739">
        <v>2</v>
      </c>
      <c r="S739">
        <v>174</v>
      </c>
    </row>
    <row r="740" spans="1:19" x14ac:dyDescent="0.25">
      <c r="A740" s="2">
        <v>38292</v>
      </c>
      <c r="B740">
        <v>140231</v>
      </c>
      <c r="C740">
        <v>134094</v>
      </c>
      <c r="D740">
        <v>2154</v>
      </c>
      <c r="E740">
        <v>3876</v>
      </c>
      <c r="F740">
        <v>107</v>
      </c>
      <c r="G740">
        <v>7932</v>
      </c>
      <c r="H740">
        <v>1801</v>
      </c>
      <c r="I740">
        <v>4125</v>
      </c>
      <c r="J740">
        <v>1992</v>
      </c>
      <c r="K740">
        <v>13</v>
      </c>
      <c r="L740">
        <v>76259</v>
      </c>
      <c r="M740">
        <v>3815</v>
      </c>
      <c r="N740">
        <v>1780</v>
      </c>
      <c r="O740">
        <v>70356</v>
      </c>
      <c r="P740">
        <v>308</v>
      </c>
      <c r="Q740">
        <v>22</v>
      </c>
      <c r="R740">
        <v>2</v>
      </c>
      <c r="S740">
        <v>175</v>
      </c>
    </row>
    <row r="741" spans="1:19" x14ac:dyDescent="0.25">
      <c r="A741" s="2">
        <v>38322</v>
      </c>
      <c r="B741">
        <v>140125</v>
      </c>
      <c r="C741">
        <v>134242</v>
      </c>
      <c r="D741">
        <v>2080</v>
      </c>
      <c r="E741">
        <v>3726</v>
      </c>
      <c r="F741">
        <v>77</v>
      </c>
      <c r="G741">
        <v>7934</v>
      </c>
      <c r="H741">
        <v>1848</v>
      </c>
      <c r="I741">
        <v>4053</v>
      </c>
      <c r="J741">
        <v>2015</v>
      </c>
      <c r="K741">
        <v>18</v>
      </c>
      <c r="L741">
        <v>76581</v>
      </c>
      <c r="M741">
        <v>4119</v>
      </c>
      <c r="N741">
        <v>1797</v>
      </c>
      <c r="O741">
        <v>70343</v>
      </c>
      <c r="P741">
        <v>321</v>
      </c>
      <c r="Q741">
        <v>22</v>
      </c>
      <c r="R741">
        <v>2</v>
      </c>
      <c r="S741">
        <v>175</v>
      </c>
    </row>
    <row r="742" spans="1:19" x14ac:dyDescent="0.25">
      <c r="A742" s="2" t="s">
        <v>67</v>
      </c>
      <c r="B742" t="e">
        <v>#N/A</v>
      </c>
      <c r="C742" t="e">
        <v>#N/A</v>
      </c>
      <c r="D742" t="e">
        <v>#N/A</v>
      </c>
      <c r="E742" t="e">
        <v>#N/A</v>
      </c>
      <c r="F742" t="e">
        <v>#N/A</v>
      </c>
      <c r="G742" t="e">
        <v>#N/A</v>
      </c>
      <c r="H742" t="e">
        <v>#N/A</v>
      </c>
      <c r="I742" t="e">
        <v>#N/A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</row>
    <row r="743" spans="1:19" x14ac:dyDescent="0.25">
      <c r="A743" s="2">
        <v>38353</v>
      </c>
      <c r="B743">
        <v>140245</v>
      </c>
      <c r="C743">
        <v>134291</v>
      </c>
      <c r="D743">
        <v>2040</v>
      </c>
      <c r="E743">
        <v>3865</v>
      </c>
      <c r="F743">
        <v>48</v>
      </c>
      <c r="G743">
        <v>7784</v>
      </c>
      <c r="H743">
        <v>1814</v>
      </c>
      <c r="I743">
        <v>4158</v>
      </c>
      <c r="J743">
        <v>1776</v>
      </c>
      <c r="K743">
        <v>37</v>
      </c>
      <c r="L743">
        <v>76808</v>
      </c>
      <c r="M743">
        <v>3978</v>
      </c>
      <c r="N743">
        <v>1733</v>
      </c>
      <c r="O743">
        <v>70751</v>
      </c>
      <c r="P743">
        <v>346</v>
      </c>
      <c r="Q743">
        <v>43</v>
      </c>
      <c r="R743">
        <v>3</v>
      </c>
      <c r="S743">
        <v>188</v>
      </c>
    </row>
    <row r="744" spans="1:19" x14ac:dyDescent="0.25">
      <c r="A744" s="2">
        <v>38384</v>
      </c>
      <c r="B744">
        <v>140385</v>
      </c>
      <c r="C744">
        <v>134480</v>
      </c>
      <c r="D744">
        <v>2052</v>
      </c>
      <c r="E744">
        <v>3757</v>
      </c>
      <c r="F744">
        <v>96</v>
      </c>
      <c r="G744">
        <v>7980</v>
      </c>
      <c r="H744">
        <v>1853</v>
      </c>
      <c r="I744">
        <v>4083</v>
      </c>
      <c r="J744">
        <v>2030</v>
      </c>
      <c r="K744">
        <v>14</v>
      </c>
      <c r="L744">
        <v>76677</v>
      </c>
      <c r="M744">
        <v>3890</v>
      </c>
      <c r="N744">
        <v>1648</v>
      </c>
      <c r="O744">
        <v>70846</v>
      </c>
      <c r="P744">
        <v>293</v>
      </c>
      <c r="Q744">
        <v>22</v>
      </c>
      <c r="R744">
        <v>2</v>
      </c>
      <c r="S744">
        <v>175</v>
      </c>
    </row>
    <row r="745" spans="1:19" x14ac:dyDescent="0.25">
      <c r="A745" s="2">
        <v>38412</v>
      </c>
      <c r="B745">
        <v>140654</v>
      </c>
      <c r="C745">
        <v>134785</v>
      </c>
      <c r="D745">
        <v>2060</v>
      </c>
      <c r="E745">
        <v>3741</v>
      </c>
      <c r="F745">
        <v>67</v>
      </c>
      <c r="G745">
        <v>7737</v>
      </c>
      <c r="H745">
        <v>1730</v>
      </c>
      <c r="I745">
        <v>4065</v>
      </c>
      <c r="J745">
        <v>1929</v>
      </c>
      <c r="K745">
        <v>12</v>
      </c>
      <c r="L745">
        <v>76846</v>
      </c>
      <c r="M745">
        <v>3847</v>
      </c>
      <c r="N745">
        <v>1853</v>
      </c>
      <c r="O745">
        <v>70831</v>
      </c>
      <c r="P745">
        <v>315</v>
      </c>
      <c r="Q745">
        <v>22</v>
      </c>
      <c r="R745">
        <v>2</v>
      </c>
      <c r="S745">
        <v>175</v>
      </c>
    </row>
    <row r="746" spans="1:19" x14ac:dyDescent="0.25">
      <c r="A746" s="2">
        <v>38443</v>
      </c>
      <c r="B746">
        <v>141254</v>
      </c>
      <c r="C746">
        <v>135077</v>
      </c>
      <c r="D746">
        <v>2060</v>
      </c>
      <c r="E746">
        <v>4034</v>
      </c>
      <c r="F746">
        <v>83</v>
      </c>
      <c r="G746">
        <v>7672</v>
      </c>
      <c r="H746">
        <v>1692</v>
      </c>
      <c r="I746">
        <v>3959</v>
      </c>
      <c r="J746">
        <v>1983</v>
      </c>
      <c r="K746">
        <v>38</v>
      </c>
      <c r="L746">
        <v>76514</v>
      </c>
      <c r="M746">
        <v>3863</v>
      </c>
      <c r="N746">
        <v>1716</v>
      </c>
      <c r="O746">
        <v>70653</v>
      </c>
      <c r="P746">
        <v>282</v>
      </c>
      <c r="Q746">
        <v>22</v>
      </c>
      <c r="R746">
        <v>2</v>
      </c>
      <c r="S746">
        <v>175</v>
      </c>
    </row>
    <row r="747" spans="1:19" x14ac:dyDescent="0.25">
      <c r="A747" s="2">
        <v>38473</v>
      </c>
      <c r="B747">
        <v>141609</v>
      </c>
      <c r="C747">
        <v>135600</v>
      </c>
      <c r="D747">
        <v>1979</v>
      </c>
      <c r="E747">
        <v>3943</v>
      </c>
      <c r="F747">
        <v>88</v>
      </c>
      <c r="G747">
        <v>7651</v>
      </c>
      <c r="H747">
        <v>1738</v>
      </c>
      <c r="I747">
        <v>3915</v>
      </c>
      <c r="J747">
        <v>1964</v>
      </c>
      <c r="K747">
        <v>34</v>
      </c>
      <c r="L747">
        <v>76409</v>
      </c>
      <c r="M747">
        <v>3894</v>
      </c>
      <c r="N747">
        <v>1777</v>
      </c>
      <c r="O747">
        <v>70433</v>
      </c>
      <c r="P747">
        <v>306</v>
      </c>
      <c r="Q747">
        <v>22</v>
      </c>
      <c r="R747">
        <v>2</v>
      </c>
      <c r="S747">
        <v>176</v>
      </c>
    </row>
    <row r="748" spans="1:19" x14ac:dyDescent="0.25">
      <c r="A748" s="2">
        <v>38504</v>
      </c>
      <c r="B748">
        <v>141714</v>
      </c>
      <c r="C748">
        <v>135897</v>
      </c>
      <c r="D748">
        <v>1978</v>
      </c>
      <c r="E748">
        <v>3755</v>
      </c>
      <c r="F748">
        <v>83</v>
      </c>
      <c r="G748">
        <v>7524</v>
      </c>
      <c r="H748">
        <v>1822</v>
      </c>
      <c r="I748">
        <v>3852</v>
      </c>
      <c r="J748">
        <v>1827</v>
      </c>
      <c r="K748">
        <v>22</v>
      </c>
      <c r="L748">
        <v>76673</v>
      </c>
      <c r="M748">
        <v>3863</v>
      </c>
      <c r="N748">
        <v>1819</v>
      </c>
      <c r="O748">
        <v>70649</v>
      </c>
      <c r="P748">
        <v>342</v>
      </c>
      <c r="Q748">
        <v>27</v>
      </c>
      <c r="R748">
        <v>2</v>
      </c>
      <c r="S748">
        <v>178</v>
      </c>
    </row>
    <row r="749" spans="1:19" x14ac:dyDescent="0.25">
      <c r="A749" s="2">
        <v>38534</v>
      </c>
      <c r="B749">
        <v>142026</v>
      </c>
      <c r="C749">
        <v>135916</v>
      </c>
      <c r="D749">
        <v>1944</v>
      </c>
      <c r="E749">
        <v>4062</v>
      </c>
      <c r="F749">
        <v>104</v>
      </c>
      <c r="G749">
        <v>7406</v>
      </c>
      <c r="H749">
        <v>1783</v>
      </c>
      <c r="I749">
        <v>3762</v>
      </c>
      <c r="J749">
        <v>1841</v>
      </c>
      <c r="K749">
        <v>19</v>
      </c>
      <c r="L749">
        <v>76721</v>
      </c>
      <c r="M749">
        <v>3993</v>
      </c>
      <c r="N749">
        <v>1816</v>
      </c>
      <c r="O749">
        <v>70593</v>
      </c>
      <c r="P749">
        <v>318</v>
      </c>
      <c r="Q749">
        <v>22</v>
      </c>
      <c r="R749">
        <v>2</v>
      </c>
      <c r="S749">
        <v>176</v>
      </c>
    </row>
    <row r="750" spans="1:19" x14ac:dyDescent="0.25">
      <c r="A750" s="2">
        <v>38565</v>
      </c>
      <c r="B750">
        <v>142434</v>
      </c>
      <c r="C750">
        <v>136360</v>
      </c>
      <c r="D750">
        <v>2119</v>
      </c>
      <c r="E750">
        <v>3849</v>
      </c>
      <c r="F750">
        <v>105</v>
      </c>
      <c r="G750">
        <v>7345</v>
      </c>
      <c r="H750">
        <v>1769</v>
      </c>
      <c r="I750">
        <v>3565</v>
      </c>
      <c r="J750">
        <v>1986</v>
      </c>
      <c r="K750">
        <v>26</v>
      </c>
      <c r="L750">
        <v>76642</v>
      </c>
      <c r="M750">
        <v>3875</v>
      </c>
      <c r="N750">
        <v>1721</v>
      </c>
      <c r="O750">
        <v>70709</v>
      </c>
      <c r="P750">
        <v>337</v>
      </c>
      <c r="Q750">
        <v>22</v>
      </c>
      <c r="R750">
        <v>2</v>
      </c>
      <c r="S750">
        <v>176</v>
      </c>
    </row>
    <row r="751" spans="1:19" x14ac:dyDescent="0.25">
      <c r="A751" s="2">
        <v>38596</v>
      </c>
      <c r="B751">
        <v>142401</v>
      </c>
      <c r="C751">
        <v>136621</v>
      </c>
      <c r="D751">
        <v>1852</v>
      </c>
      <c r="E751">
        <v>3845</v>
      </c>
      <c r="F751">
        <v>84</v>
      </c>
      <c r="G751">
        <v>7553</v>
      </c>
      <c r="H751">
        <v>1853</v>
      </c>
      <c r="I751">
        <v>3712</v>
      </c>
      <c r="J751">
        <v>1950</v>
      </c>
      <c r="K751">
        <v>38</v>
      </c>
      <c r="L751">
        <v>76739</v>
      </c>
      <c r="M751">
        <v>3934</v>
      </c>
      <c r="N751">
        <v>1780</v>
      </c>
      <c r="O751">
        <v>70670</v>
      </c>
      <c r="P751">
        <v>355</v>
      </c>
      <c r="Q751">
        <v>26</v>
      </c>
      <c r="R751">
        <v>2</v>
      </c>
      <c r="S751">
        <v>178</v>
      </c>
    </row>
    <row r="752" spans="1:19" x14ac:dyDescent="0.25">
      <c r="A752" s="2">
        <v>38626</v>
      </c>
      <c r="B752">
        <v>142548</v>
      </c>
      <c r="C752">
        <v>136599</v>
      </c>
      <c r="D752">
        <v>1954</v>
      </c>
      <c r="E752">
        <v>3882</v>
      </c>
      <c r="F752">
        <v>114</v>
      </c>
      <c r="G752">
        <v>7453</v>
      </c>
      <c r="H752">
        <v>1736</v>
      </c>
      <c r="I752">
        <v>3780</v>
      </c>
      <c r="J752">
        <v>1895</v>
      </c>
      <c r="K752">
        <v>43</v>
      </c>
      <c r="L752">
        <v>76958</v>
      </c>
      <c r="M752">
        <v>4044</v>
      </c>
      <c r="N752">
        <v>1817</v>
      </c>
      <c r="O752">
        <v>70786</v>
      </c>
      <c r="P752">
        <v>310</v>
      </c>
      <c r="Q752">
        <v>22</v>
      </c>
      <c r="R752">
        <v>2</v>
      </c>
      <c r="S752">
        <v>177</v>
      </c>
    </row>
    <row r="753" spans="1:19" x14ac:dyDescent="0.25">
      <c r="A753" s="2">
        <v>38657</v>
      </c>
      <c r="B753">
        <v>142499</v>
      </c>
      <c r="C753">
        <v>136768</v>
      </c>
      <c r="D753">
        <v>2052</v>
      </c>
      <c r="E753">
        <v>3625</v>
      </c>
      <c r="F753">
        <v>54</v>
      </c>
      <c r="G753">
        <v>7566</v>
      </c>
      <c r="H753">
        <v>1685</v>
      </c>
      <c r="I753">
        <v>3686</v>
      </c>
      <c r="J753">
        <v>2153</v>
      </c>
      <c r="K753">
        <v>42</v>
      </c>
      <c r="L753">
        <v>77138</v>
      </c>
      <c r="M753">
        <v>4037</v>
      </c>
      <c r="N753">
        <v>1712</v>
      </c>
      <c r="O753">
        <v>70989</v>
      </c>
      <c r="P753">
        <v>401</v>
      </c>
      <c r="Q753">
        <v>58</v>
      </c>
      <c r="R753">
        <v>3</v>
      </c>
      <c r="S753">
        <v>191</v>
      </c>
    </row>
    <row r="754" spans="1:19" x14ac:dyDescent="0.25">
      <c r="A754" s="2">
        <v>38687</v>
      </c>
      <c r="B754">
        <v>142752</v>
      </c>
      <c r="C754">
        <v>136650</v>
      </c>
      <c r="D754">
        <v>1968</v>
      </c>
      <c r="E754">
        <v>4067</v>
      </c>
      <c r="F754">
        <v>67</v>
      </c>
      <c r="G754">
        <v>7279</v>
      </c>
      <c r="H754">
        <v>1732</v>
      </c>
      <c r="I754">
        <v>3593</v>
      </c>
      <c r="J754">
        <v>1928</v>
      </c>
      <c r="K754">
        <v>26</v>
      </c>
      <c r="L754">
        <v>77394</v>
      </c>
      <c r="M754">
        <v>4095</v>
      </c>
      <c r="N754">
        <v>2004</v>
      </c>
      <c r="O754">
        <v>70967</v>
      </c>
      <c r="P754">
        <v>328</v>
      </c>
      <c r="Q754">
        <v>22</v>
      </c>
      <c r="R754">
        <v>2</v>
      </c>
      <c r="S754">
        <v>177</v>
      </c>
    </row>
    <row r="755" spans="1:19" x14ac:dyDescent="0.25">
      <c r="A755" s="2" t="s">
        <v>68</v>
      </c>
      <c r="B755" t="e">
        <v>#N/A</v>
      </c>
      <c r="C755" t="e">
        <v>#N/A</v>
      </c>
      <c r="D755" t="e">
        <v>#N/A</v>
      </c>
      <c r="E755" t="e">
        <v>#N/A</v>
      </c>
      <c r="F755" t="e">
        <v>#N/A</v>
      </c>
      <c r="G755" t="e">
        <v>#N/A</v>
      </c>
      <c r="H755" t="e">
        <v>#N/A</v>
      </c>
      <c r="I755" t="e">
        <v>#N/A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</row>
    <row r="756" spans="1:19" x14ac:dyDescent="0.25">
      <c r="A756" s="2">
        <v>38718</v>
      </c>
      <c r="B756">
        <v>143150</v>
      </c>
      <c r="C756">
        <v>137122</v>
      </c>
      <c r="D756">
        <v>2033</v>
      </c>
      <c r="E756">
        <v>3968</v>
      </c>
      <c r="F756">
        <v>27</v>
      </c>
      <c r="G756">
        <v>7064</v>
      </c>
      <c r="H756">
        <v>1595</v>
      </c>
      <c r="I756">
        <v>3440</v>
      </c>
      <c r="J756">
        <v>1997</v>
      </c>
      <c r="K756">
        <v>31</v>
      </c>
      <c r="L756">
        <v>77339</v>
      </c>
      <c r="M756">
        <v>3935</v>
      </c>
      <c r="N756">
        <v>1800</v>
      </c>
      <c r="O756">
        <v>71212</v>
      </c>
      <c r="P756">
        <v>393</v>
      </c>
      <c r="Q756">
        <v>99</v>
      </c>
      <c r="R756">
        <v>5</v>
      </c>
      <c r="S756">
        <v>217</v>
      </c>
    </row>
    <row r="757" spans="1:19" x14ac:dyDescent="0.25">
      <c r="A757" s="2">
        <v>38749</v>
      </c>
      <c r="B757">
        <v>143457</v>
      </c>
      <c r="C757">
        <v>137643</v>
      </c>
      <c r="D757">
        <v>1824</v>
      </c>
      <c r="E757">
        <v>3942</v>
      </c>
      <c r="F757">
        <v>48</v>
      </c>
      <c r="G757">
        <v>7184</v>
      </c>
      <c r="H757">
        <v>1692</v>
      </c>
      <c r="I757">
        <v>3566</v>
      </c>
      <c r="J757">
        <v>1903</v>
      </c>
      <c r="K757">
        <v>24</v>
      </c>
      <c r="L757">
        <v>77122</v>
      </c>
      <c r="M757">
        <v>3791</v>
      </c>
      <c r="N757">
        <v>1672</v>
      </c>
      <c r="O757">
        <v>71316</v>
      </c>
      <c r="P757">
        <v>344</v>
      </c>
      <c r="Q757">
        <v>24</v>
      </c>
      <c r="R757">
        <v>2</v>
      </c>
      <c r="S757">
        <v>179</v>
      </c>
    </row>
    <row r="758" spans="1:19" x14ac:dyDescent="0.25">
      <c r="A758" s="2">
        <v>38777</v>
      </c>
      <c r="B758">
        <v>143741</v>
      </c>
      <c r="C758">
        <v>137695</v>
      </c>
      <c r="D758">
        <v>1952</v>
      </c>
      <c r="E758">
        <v>4015</v>
      </c>
      <c r="F758">
        <v>79</v>
      </c>
      <c r="G758">
        <v>7072</v>
      </c>
      <c r="H758">
        <v>1728</v>
      </c>
      <c r="I758">
        <v>3485</v>
      </c>
      <c r="J758">
        <v>1833</v>
      </c>
      <c r="K758">
        <v>26</v>
      </c>
      <c r="L758">
        <v>77161</v>
      </c>
      <c r="M758">
        <v>4011</v>
      </c>
      <c r="N758">
        <v>1745</v>
      </c>
      <c r="O758">
        <v>71097</v>
      </c>
      <c r="P758">
        <v>308</v>
      </c>
      <c r="Q758">
        <v>22</v>
      </c>
      <c r="R758">
        <v>2</v>
      </c>
      <c r="S758">
        <v>177</v>
      </c>
    </row>
    <row r="759" spans="1:19" x14ac:dyDescent="0.25">
      <c r="A759" s="2">
        <v>38808</v>
      </c>
      <c r="B759">
        <v>143761</v>
      </c>
      <c r="C759">
        <v>137608</v>
      </c>
      <c r="D759">
        <v>1977</v>
      </c>
      <c r="E759">
        <v>4064</v>
      </c>
      <c r="F759">
        <v>113</v>
      </c>
      <c r="G759">
        <v>7120</v>
      </c>
      <c r="H759">
        <v>1882</v>
      </c>
      <c r="I759">
        <v>3362</v>
      </c>
      <c r="J759">
        <v>1866</v>
      </c>
      <c r="K759">
        <v>10</v>
      </c>
      <c r="L759">
        <v>77318</v>
      </c>
      <c r="M759">
        <v>4229</v>
      </c>
      <c r="N759">
        <v>1733</v>
      </c>
      <c r="O759">
        <v>71054</v>
      </c>
      <c r="P759">
        <v>303</v>
      </c>
      <c r="Q759">
        <v>22</v>
      </c>
      <c r="R759">
        <v>2</v>
      </c>
      <c r="S759">
        <v>178</v>
      </c>
    </row>
    <row r="760" spans="1:19" x14ac:dyDescent="0.25">
      <c r="A760" s="2">
        <v>38838</v>
      </c>
      <c r="B760">
        <v>144089</v>
      </c>
      <c r="C760">
        <v>137853</v>
      </c>
      <c r="D760">
        <v>1997</v>
      </c>
      <c r="E760">
        <v>4122</v>
      </c>
      <c r="F760">
        <v>117</v>
      </c>
      <c r="G760">
        <v>6980</v>
      </c>
      <c r="H760">
        <v>1754</v>
      </c>
      <c r="I760">
        <v>3376</v>
      </c>
      <c r="J760">
        <v>1832</v>
      </c>
      <c r="K760">
        <v>18</v>
      </c>
      <c r="L760">
        <v>77359</v>
      </c>
      <c r="M760">
        <v>4132</v>
      </c>
      <c r="N760">
        <v>1745</v>
      </c>
      <c r="O760">
        <v>71187</v>
      </c>
      <c r="P760">
        <v>295</v>
      </c>
      <c r="Q760">
        <v>22</v>
      </c>
      <c r="R760">
        <v>2</v>
      </c>
      <c r="S760">
        <v>178</v>
      </c>
    </row>
    <row r="761" spans="1:19" x14ac:dyDescent="0.25">
      <c r="A761" s="2">
        <v>38869</v>
      </c>
      <c r="B761">
        <v>144353</v>
      </c>
      <c r="C761">
        <v>138172</v>
      </c>
      <c r="D761">
        <v>2022</v>
      </c>
      <c r="E761">
        <v>4089</v>
      </c>
      <c r="F761">
        <v>69</v>
      </c>
      <c r="G761">
        <v>7001</v>
      </c>
      <c r="H761">
        <v>1752</v>
      </c>
      <c r="I761">
        <v>3222</v>
      </c>
      <c r="J761">
        <v>1983</v>
      </c>
      <c r="K761">
        <v>45</v>
      </c>
      <c r="L761">
        <v>77317</v>
      </c>
      <c r="M761">
        <v>4136</v>
      </c>
      <c r="N761">
        <v>1734</v>
      </c>
      <c r="O761">
        <v>71107</v>
      </c>
      <c r="P761">
        <v>340</v>
      </c>
      <c r="Q761">
        <v>30</v>
      </c>
      <c r="R761">
        <v>2</v>
      </c>
      <c r="S761">
        <v>181</v>
      </c>
    </row>
    <row r="762" spans="1:19" x14ac:dyDescent="0.25">
      <c r="A762" s="2">
        <v>38899</v>
      </c>
      <c r="B762">
        <v>144202</v>
      </c>
      <c r="C762">
        <v>138186</v>
      </c>
      <c r="D762">
        <v>2012</v>
      </c>
      <c r="E762">
        <v>3881</v>
      </c>
      <c r="F762">
        <v>123</v>
      </c>
      <c r="G762">
        <v>7175</v>
      </c>
      <c r="H762">
        <v>1900</v>
      </c>
      <c r="I762">
        <v>3276</v>
      </c>
      <c r="J762">
        <v>1974</v>
      </c>
      <c r="K762">
        <v>25</v>
      </c>
      <c r="L762">
        <v>77535</v>
      </c>
      <c r="M762">
        <v>4244</v>
      </c>
      <c r="N762">
        <v>1711</v>
      </c>
      <c r="O762">
        <v>71284</v>
      </c>
      <c r="P762">
        <v>295</v>
      </c>
      <c r="Q762">
        <v>22</v>
      </c>
      <c r="R762">
        <v>2</v>
      </c>
      <c r="S762">
        <v>178</v>
      </c>
    </row>
    <row r="763" spans="1:19" x14ac:dyDescent="0.25">
      <c r="A763" s="2">
        <v>38930</v>
      </c>
      <c r="B763">
        <v>144625</v>
      </c>
      <c r="C763">
        <v>138364</v>
      </c>
      <c r="D763">
        <v>2075</v>
      </c>
      <c r="E763">
        <v>4108</v>
      </c>
      <c r="F763">
        <v>78</v>
      </c>
      <c r="G763">
        <v>7091</v>
      </c>
      <c r="H763">
        <v>1725</v>
      </c>
      <c r="I763">
        <v>3360</v>
      </c>
      <c r="J763">
        <v>1955</v>
      </c>
      <c r="K763">
        <v>50</v>
      </c>
      <c r="L763">
        <v>77451</v>
      </c>
      <c r="M763">
        <v>4086</v>
      </c>
      <c r="N763">
        <v>1738</v>
      </c>
      <c r="O763">
        <v>71290</v>
      </c>
      <c r="P763">
        <v>338</v>
      </c>
      <c r="Q763">
        <v>28</v>
      </c>
      <c r="R763">
        <v>2</v>
      </c>
      <c r="S763">
        <v>182</v>
      </c>
    </row>
    <row r="764" spans="1:19" x14ac:dyDescent="0.25">
      <c r="A764" s="2">
        <v>38961</v>
      </c>
      <c r="B764">
        <v>144815</v>
      </c>
      <c r="C764">
        <v>138687</v>
      </c>
      <c r="D764">
        <v>2081</v>
      </c>
      <c r="E764">
        <v>3933</v>
      </c>
      <c r="F764">
        <v>114</v>
      </c>
      <c r="G764">
        <v>6847</v>
      </c>
      <c r="H764">
        <v>1761</v>
      </c>
      <c r="I764">
        <v>3325</v>
      </c>
      <c r="J764">
        <v>1733</v>
      </c>
      <c r="K764">
        <v>28</v>
      </c>
      <c r="L764">
        <v>77757</v>
      </c>
      <c r="M764">
        <v>4154</v>
      </c>
      <c r="N764">
        <v>1683</v>
      </c>
      <c r="O764">
        <v>71607</v>
      </c>
      <c r="P764">
        <v>313</v>
      </c>
      <c r="Q764">
        <v>23</v>
      </c>
      <c r="R764">
        <v>2</v>
      </c>
      <c r="S764">
        <v>179</v>
      </c>
    </row>
    <row r="765" spans="1:19" x14ac:dyDescent="0.25">
      <c r="A765" s="2">
        <v>38991</v>
      </c>
      <c r="B765">
        <v>145314</v>
      </c>
      <c r="C765">
        <v>139140</v>
      </c>
      <c r="D765">
        <v>1881</v>
      </c>
      <c r="E765">
        <v>4163</v>
      </c>
      <c r="F765">
        <v>130</v>
      </c>
      <c r="G765">
        <v>6727</v>
      </c>
      <c r="H765">
        <v>1749</v>
      </c>
      <c r="I765">
        <v>3226</v>
      </c>
      <c r="J765">
        <v>1713</v>
      </c>
      <c r="K765">
        <v>39</v>
      </c>
      <c r="L765">
        <v>77634</v>
      </c>
      <c r="M765">
        <v>3904</v>
      </c>
      <c r="N765">
        <v>1739</v>
      </c>
      <c r="O765">
        <v>71702</v>
      </c>
      <c r="P765">
        <v>289</v>
      </c>
      <c r="Q765">
        <v>23</v>
      </c>
      <c r="R765">
        <v>2</v>
      </c>
      <c r="S765">
        <v>179</v>
      </c>
    </row>
    <row r="766" spans="1:19" x14ac:dyDescent="0.25">
      <c r="A766" s="2">
        <v>39022</v>
      </c>
      <c r="B766">
        <v>145534</v>
      </c>
      <c r="C766">
        <v>139289</v>
      </c>
      <c r="D766">
        <v>1932</v>
      </c>
      <c r="E766">
        <v>4225</v>
      </c>
      <c r="F766">
        <v>88</v>
      </c>
      <c r="G766">
        <v>6872</v>
      </c>
      <c r="H766">
        <v>1814</v>
      </c>
      <c r="I766">
        <v>3305</v>
      </c>
      <c r="J766">
        <v>1719</v>
      </c>
      <c r="K766">
        <v>35</v>
      </c>
      <c r="L766">
        <v>77499</v>
      </c>
      <c r="M766">
        <v>4175</v>
      </c>
      <c r="N766">
        <v>1488</v>
      </c>
      <c r="O766">
        <v>71503</v>
      </c>
      <c r="P766">
        <v>333</v>
      </c>
      <c r="Q766">
        <v>36</v>
      </c>
      <c r="R766">
        <v>2</v>
      </c>
      <c r="S766">
        <v>189</v>
      </c>
    </row>
    <row r="767" spans="1:19" x14ac:dyDescent="0.25">
      <c r="A767" s="2">
        <v>39052</v>
      </c>
      <c r="B767">
        <v>145970</v>
      </c>
      <c r="C767">
        <v>139554</v>
      </c>
      <c r="D767">
        <v>2077</v>
      </c>
      <c r="E767">
        <v>4295</v>
      </c>
      <c r="F767">
        <v>45</v>
      </c>
      <c r="G767">
        <v>6762</v>
      </c>
      <c r="H767">
        <v>1820</v>
      </c>
      <c r="I767">
        <v>3194</v>
      </c>
      <c r="J767">
        <v>1740</v>
      </c>
      <c r="K767">
        <v>8</v>
      </c>
      <c r="L767">
        <v>77376</v>
      </c>
      <c r="M767">
        <v>4137</v>
      </c>
      <c r="N767">
        <v>1600</v>
      </c>
      <c r="O767">
        <v>71285</v>
      </c>
      <c r="P767">
        <v>354</v>
      </c>
      <c r="Q767">
        <v>23</v>
      </c>
      <c r="R767">
        <v>2</v>
      </c>
      <c r="S767">
        <v>179</v>
      </c>
    </row>
    <row r="768" spans="1:19" x14ac:dyDescent="0.25">
      <c r="A768" s="2" t="s">
        <v>69</v>
      </c>
      <c r="B768" t="e">
        <v>#N/A</v>
      </c>
      <c r="C768" t="e">
        <v>#N/A</v>
      </c>
      <c r="D768" t="e">
        <v>#N/A</v>
      </c>
      <c r="E768" t="e">
        <v>#N/A</v>
      </c>
      <c r="F768" t="e">
        <v>#N/A</v>
      </c>
      <c r="G768" t="e">
        <v>#N/A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</row>
    <row r="769" spans="1:19" x14ac:dyDescent="0.25">
      <c r="A769" s="2">
        <v>39083</v>
      </c>
      <c r="B769">
        <v>146028</v>
      </c>
      <c r="C769">
        <v>139748</v>
      </c>
      <c r="D769">
        <v>1945</v>
      </c>
      <c r="E769">
        <v>4146</v>
      </c>
      <c r="F769">
        <v>189</v>
      </c>
      <c r="G769">
        <v>7116</v>
      </c>
      <c r="H769">
        <v>1917</v>
      </c>
      <c r="I769">
        <v>3272</v>
      </c>
      <c r="J769">
        <v>1905</v>
      </c>
      <c r="K769">
        <v>23</v>
      </c>
      <c r="L769">
        <v>77506</v>
      </c>
      <c r="M769">
        <v>4283</v>
      </c>
      <c r="N769">
        <v>1544</v>
      </c>
      <c r="O769">
        <v>71146</v>
      </c>
      <c r="P769">
        <v>533</v>
      </c>
      <c r="Q769">
        <v>23</v>
      </c>
      <c r="R769">
        <v>2</v>
      </c>
      <c r="S769">
        <v>179</v>
      </c>
    </row>
    <row r="770" spans="1:19" x14ac:dyDescent="0.25">
      <c r="A770" s="2">
        <v>39114</v>
      </c>
      <c r="B770">
        <v>146057</v>
      </c>
      <c r="C770">
        <v>139839</v>
      </c>
      <c r="D770">
        <v>2125</v>
      </c>
      <c r="E770">
        <v>4044</v>
      </c>
      <c r="F770">
        <v>48</v>
      </c>
      <c r="G770">
        <v>6927</v>
      </c>
      <c r="H770">
        <v>1833</v>
      </c>
      <c r="I770">
        <v>3248</v>
      </c>
      <c r="J770">
        <v>1812</v>
      </c>
      <c r="K770">
        <v>34</v>
      </c>
      <c r="L770">
        <v>77851</v>
      </c>
      <c r="M770">
        <v>4333</v>
      </c>
      <c r="N770">
        <v>1741</v>
      </c>
      <c r="O770">
        <v>71471</v>
      </c>
      <c r="P770">
        <v>307</v>
      </c>
      <c r="Q770">
        <v>23</v>
      </c>
      <c r="R770">
        <v>2</v>
      </c>
      <c r="S770">
        <v>180</v>
      </c>
    </row>
    <row r="771" spans="1:19" x14ac:dyDescent="0.25">
      <c r="A771" s="2">
        <v>39142</v>
      </c>
      <c r="B771">
        <v>146320</v>
      </c>
      <c r="C771">
        <v>140142</v>
      </c>
      <c r="D771">
        <v>2088</v>
      </c>
      <c r="E771">
        <v>4018</v>
      </c>
      <c r="F771">
        <v>72</v>
      </c>
      <c r="G771">
        <v>6731</v>
      </c>
      <c r="H771">
        <v>1701</v>
      </c>
      <c r="I771">
        <v>3207</v>
      </c>
      <c r="J771">
        <v>1788</v>
      </c>
      <c r="K771">
        <v>35</v>
      </c>
      <c r="L771">
        <v>77982</v>
      </c>
      <c r="M771">
        <v>4191</v>
      </c>
      <c r="N771">
        <v>1630</v>
      </c>
      <c r="O771">
        <v>71865</v>
      </c>
      <c r="P771">
        <v>296</v>
      </c>
      <c r="Q771">
        <v>23</v>
      </c>
      <c r="R771">
        <v>2</v>
      </c>
      <c r="S771">
        <v>180</v>
      </c>
    </row>
    <row r="772" spans="1:19" x14ac:dyDescent="0.25">
      <c r="A772" s="2">
        <v>39173</v>
      </c>
      <c r="B772">
        <v>145586</v>
      </c>
      <c r="C772">
        <v>140032</v>
      </c>
      <c r="D772">
        <v>1851</v>
      </c>
      <c r="E772">
        <v>3609</v>
      </c>
      <c r="F772">
        <v>93</v>
      </c>
      <c r="G772">
        <v>6850</v>
      </c>
      <c r="H772">
        <v>1763</v>
      </c>
      <c r="I772">
        <v>3377</v>
      </c>
      <c r="J772">
        <v>1683</v>
      </c>
      <c r="K772">
        <v>27</v>
      </c>
      <c r="L772">
        <v>78818</v>
      </c>
      <c r="M772">
        <v>4502</v>
      </c>
      <c r="N772">
        <v>1502</v>
      </c>
      <c r="O772">
        <v>72510</v>
      </c>
      <c r="P772">
        <v>304</v>
      </c>
      <c r="Q772">
        <v>23</v>
      </c>
      <c r="R772">
        <v>2</v>
      </c>
      <c r="S772">
        <v>180</v>
      </c>
    </row>
    <row r="773" spans="1:19" x14ac:dyDescent="0.25">
      <c r="A773" s="2">
        <v>39203</v>
      </c>
      <c r="B773">
        <v>145903</v>
      </c>
      <c r="C773">
        <v>139889</v>
      </c>
      <c r="D773">
        <v>1981</v>
      </c>
      <c r="E773">
        <v>3966</v>
      </c>
      <c r="F773">
        <v>67</v>
      </c>
      <c r="G773">
        <v>6766</v>
      </c>
      <c r="H773">
        <v>1712</v>
      </c>
      <c r="I773">
        <v>3308</v>
      </c>
      <c r="J773">
        <v>1736</v>
      </c>
      <c r="K773">
        <v>11</v>
      </c>
      <c r="L773">
        <v>78810</v>
      </c>
      <c r="M773">
        <v>3961</v>
      </c>
      <c r="N773">
        <v>1559</v>
      </c>
      <c r="O773">
        <v>72935</v>
      </c>
      <c r="P773">
        <v>355</v>
      </c>
      <c r="Q773">
        <v>23</v>
      </c>
      <c r="R773">
        <v>2</v>
      </c>
      <c r="S773">
        <v>181</v>
      </c>
    </row>
    <row r="774" spans="1:19" x14ac:dyDescent="0.25">
      <c r="A774" s="2">
        <v>39234</v>
      </c>
      <c r="B774">
        <v>146063</v>
      </c>
      <c r="C774">
        <v>140072</v>
      </c>
      <c r="D774">
        <v>1753</v>
      </c>
      <c r="E774">
        <v>4095</v>
      </c>
      <c r="F774">
        <v>143</v>
      </c>
      <c r="G774">
        <v>6979</v>
      </c>
      <c r="H774">
        <v>1774</v>
      </c>
      <c r="I774">
        <v>3414</v>
      </c>
      <c r="J774">
        <v>1757</v>
      </c>
      <c r="K774">
        <v>34</v>
      </c>
      <c r="L774">
        <v>78671</v>
      </c>
      <c r="M774">
        <v>4035</v>
      </c>
      <c r="N774">
        <v>1598</v>
      </c>
      <c r="O774">
        <v>72778</v>
      </c>
      <c r="P774">
        <v>260</v>
      </c>
      <c r="Q774">
        <v>23</v>
      </c>
      <c r="R774">
        <v>2</v>
      </c>
      <c r="S774">
        <v>180</v>
      </c>
    </row>
    <row r="775" spans="1:19" x14ac:dyDescent="0.25">
      <c r="A775" s="2">
        <v>39264</v>
      </c>
      <c r="B775">
        <v>145905</v>
      </c>
      <c r="C775">
        <v>140199</v>
      </c>
      <c r="D775">
        <v>1900</v>
      </c>
      <c r="E775">
        <v>3745</v>
      </c>
      <c r="F775">
        <v>61</v>
      </c>
      <c r="G775">
        <v>7149</v>
      </c>
      <c r="H775">
        <v>1843</v>
      </c>
      <c r="I775">
        <v>3495</v>
      </c>
      <c r="J775">
        <v>1787</v>
      </c>
      <c r="K775">
        <v>24</v>
      </c>
      <c r="L775">
        <v>78904</v>
      </c>
      <c r="M775">
        <v>3998</v>
      </c>
      <c r="N775">
        <v>1582</v>
      </c>
      <c r="O775">
        <v>72958</v>
      </c>
      <c r="P775">
        <v>366</v>
      </c>
      <c r="Q775">
        <v>23</v>
      </c>
      <c r="R775">
        <v>2</v>
      </c>
      <c r="S775">
        <v>181</v>
      </c>
    </row>
    <row r="776" spans="1:19" x14ac:dyDescent="0.25">
      <c r="A776" s="2">
        <v>39295</v>
      </c>
      <c r="B776">
        <v>145682</v>
      </c>
      <c r="C776">
        <v>139756</v>
      </c>
      <c r="D776">
        <v>1975</v>
      </c>
      <c r="E776">
        <v>3888</v>
      </c>
      <c r="F776">
        <v>64</v>
      </c>
      <c r="G776">
        <v>7067</v>
      </c>
      <c r="H776">
        <v>1714</v>
      </c>
      <c r="I776">
        <v>3580</v>
      </c>
      <c r="J776">
        <v>1735</v>
      </c>
      <c r="K776">
        <v>38</v>
      </c>
      <c r="L776">
        <v>79461</v>
      </c>
      <c r="M776">
        <v>4412</v>
      </c>
      <c r="N776">
        <v>1592</v>
      </c>
      <c r="O776">
        <v>73101</v>
      </c>
      <c r="P776">
        <v>357</v>
      </c>
      <c r="Q776">
        <v>23</v>
      </c>
      <c r="R776">
        <v>2</v>
      </c>
      <c r="S776">
        <v>181</v>
      </c>
    </row>
    <row r="777" spans="1:19" x14ac:dyDescent="0.25">
      <c r="A777" s="2">
        <v>39326</v>
      </c>
      <c r="B777">
        <v>146244</v>
      </c>
      <c r="C777">
        <v>140179</v>
      </c>
      <c r="D777">
        <v>1910</v>
      </c>
      <c r="E777">
        <v>4052</v>
      </c>
      <c r="F777">
        <v>102</v>
      </c>
      <c r="G777">
        <v>7170</v>
      </c>
      <c r="H777">
        <v>1795</v>
      </c>
      <c r="I777">
        <v>3549</v>
      </c>
      <c r="J777">
        <v>1797</v>
      </c>
      <c r="K777">
        <v>29</v>
      </c>
      <c r="L777">
        <v>79047</v>
      </c>
      <c r="M777">
        <v>3685</v>
      </c>
      <c r="N777">
        <v>1606</v>
      </c>
      <c r="O777">
        <v>73432</v>
      </c>
      <c r="P777">
        <v>324</v>
      </c>
      <c r="Q777">
        <v>23</v>
      </c>
      <c r="R777">
        <v>2</v>
      </c>
      <c r="S777">
        <v>181</v>
      </c>
    </row>
    <row r="778" spans="1:19" x14ac:dyDescent="0.25">
      <c r="A778" s="2">
        <v>39356</v>
      </c>
      <c r="B778">
        <v>145946</v>
      </c>
      <c r="C778">
        <v>140126</v>
      </c>
      <c r="D778">
        <v>1907</v>
      </c>
      <c r="E778">
        <v>3818</v>
      </c>
      <c r="F778">
        <v>96</v>
      </c>
      <c r="G778">
        <v>7237</v>
      </c>
      <c r="H778">
        <v>1818</v>
      </c>
      <c r="I778">
        <v>3624</v>
      </c>
      <c r="J778">
        <v>1774</v>
      </c>
      <c r="K778">
        <v>21</v>
      </c>
      <c r="L778">
        <v>79532</v>
      </c>
      <c r="M778">
        <v>4277</v>
      </c>
      <c r="N778">
        <v>1637</v>
      </c>
      <c r="O778">
        <v>73274</v>
      </c>
      <c r="P778">
        <v>344</v>
      </c>
      <c r="Q778">
        <v>23</v>
      </c>
      <c r="R778">
        <v>2</v>
      </c>
      <c r="S778">
        <v>181</v>
      </c>
    </row>
    <row r="779" spans="1:19" x14ac:dyDescent="0.25">
      <c r="A779" s="2">
        <v>39387</v>
      </c>
      <c r="B779">
        <v>146595</v>
      </c>
      <c r="C779">
        <v>140427</v>
      </c>
      <c r="D779">
        <v>1956</v>
      </c>
      <c r="E779">
        <v>4122</v>
      </c>
      <c r="F779">
        <v>89</v>
      </c>
      <c r="G779">
        <v>7240</v>
      </c>
      <c r="H779">
        <v>1725</v>
      </c>
      <c r="I779">
        <v>3582</v>
      </c>
      <c r="J779">
        <v>1902</v>
      </c>
      <c r="K779">
        <v>31</v>
      </c>
      <c r="L779">
        <v>79105</v>
      </c>
      <c r="M779">
        <v>3772</v>
      </c>
      <c r="N779">
        <v>1697</v>
      </c>
      <c r="O779">
        <v>73326</v>
      </c>
      <c r="P779">
        <v>310</v>
      </c>
      <c r="Q779">
        <v>23</v>
      </c>
      <c r="R779">
        <v>2</v>
      </c>
      <c r="S779">
        <v>181</v>
      </c>
    </row>
    <row r="780" spans="1:19" x14ac:dyDescent="0.25">
      <c r="A780" s="2">
        <v>39417</v>
      </c>
      <c r="B780">
        <v>146273</v>
      </c>
      <c r="C780">
        <v>140546</v>
      </c>
      <c r="D780">
        <v>1951</v>
      </c>
      <c r="E780">
        <v>3668</v>
      </c>
      <c r="F780">
        <v>109</v>
      </c>
      <c r="G780">
        <v>7645</v>
      </c>
      <c r="H780">
        <v>1866</v>
      </c>
      <c r="I780">
        <v>3792</v>
      </c>
      <c r="J780">
        <v>1974</v>
      </c>
      <c r="K780">
        <v>13</v>
      </c>
      <c r="L780">
        <v>79238</v>
      </c>
      <c r="M780">
        <v>4160</v>
      </c>
      <c r="N780">
        <v>1496</v>
      </c>
      <c r="O780">
        <v>73281</v>
      </c>
      <c r="P780">
        <v>301</v>
      </c>
      <c r="Q780">
        <v>23</v>
      </c>
      <c r="R780">
        <v>2</v>
      </c>
      <c r="S780">
        <v>181</v>
      </c>
    </row>
    <row r="781" spans="1:19" x14ac:dyDescent="0.25">
      <c r="A781" s="2" t="s">
        <v>70</v>
      </c>
      <c r="B781" t="e">
        <v>#N/A</v>
      </c>
      <c r="C781" t="e">
        <v>#N/A</v>
      </c>
      <c r="D781" t="e">
        <v>#N/A</v>
      </c>
      <c r="E781" t="e">
        <v>#N/A</v>
      </c>
      <c r="F781" t="e">
        <v>#N/A</v>
      </c>
      <c r="G781" t="e">
        <v>#N/A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</row>
    <row r="782" spans="1:19" x14ac:dyDescent="0.25">
      <c r="A782" s="2">
        <v>39448</v>
      </c>
      <c r="B782">
        <v>146378</v>
      </c>
      <c r="C782">
        <v>140343</v>
      </c>
      <c r="D782">
        <v>2034</v>
      </c>
      <c r="E782">
        <v>3964</v>
      </c>
      <c r="F782">
        <v>37</v>
      </c>
      <c r="G782">
        <v>7685</v>
      </c>
      <c r="H782">
        <v>1780</v>
      </c>
      <c r="I782">
        <v>4016</v>
      </c>
      <c r="J782">
        <v>1851</v>
      </c>
      <c r="K782">
        <v>37</v>
      </c>
      <c r="L782">
        <v>78554</v>
      </c>
      <c r="M782">
        <v>3630</v>
      </c>
      <c r="N782">
        <v>1567</v>
      </c>
      <c r="O782">
        <v>72994</v>
      </c>
      <c r="P782">
        <v>362</v>
      </c>
      <c r="Q782">
        <v>520</v>
      </c>
      <c r="R782">
        <v>28</v>
      </c>
      <c r="S782">
        <v>428</v>
      </c>
    </row>
    <row r="783" spans="1:19" x14ac:dyDescent="0.25">
      <c r="A783" s="2">
        <v>39479</v>
      </c>
      <c r="B783">
        <v>146156</v>
      </c>
      <c r="C783">
        <v>140482</v>
      </c>
      <c r="D783">
        <v>1965</v>
      </c>
      <c r="E783">
        <v>3645</v>
      </c>
      <c r="F783">
        <v>64</v>
      </c>
      <c r="G783">
        <v>7497</v>
      </c>
      <c r="H783">
        <v>1817</v>
      </c>
      <c r="I783">
        <v>3845</v>
      </c>
      <c r="J783">
        <v>1818</v>
      </c>
      <c r="K783">
        <v>16</v>
      </c>
      <c r="L783">
        <v>79156</v>
      </c>
      <c r="M783">
        <v>4048</v>
      </c>
      <c r="N783">
        <v>1873</v>
      </c>
      <c r="O783">
        <v>72904</v>
      </c>
      <c r="P783">
        <v>332</v>
      </c>
      <c r="Q783">
        <v>31</v>
      </c>
      <c r="R783">
        <v>2</v>
      </c>
      <c r="S783">
        <v>187</v>
      </c>
    </row>
    <row r="784" spans="1:19" x14ac:dyDescent="0.25">
      <c r="A784" s="2">
        <v>39508</v>
      </c>
      <c r="B784">
        <v>146086</v>
      </c>
      <c r="C784">
        <v>140171</v>
      </c>
      <c r="D784">
        <v>1996</v>
      </c>
      <c r="E784">
        <v>3830</v>
      </c>
      <c r="F784">
        <v>88</v>
      </c>
      <c r="G784">
        <v>7822</v>
      </c>
      <c r="H784">
        <v>2005</v>
      </c>
      <c r="I784">
        <v>3787</v>
      </c>
      <c r="J784">
        <v>2005</v>
      </c>
      <c r="K784">
        <v>26</v>
      </c>
      <c r="L784">
        <v>79087</v>
      </c>
      <c r="M784">
        <v>3957</v>
      </c>
      <c r="N784">
        <v>1712</v>
      </c>
      <c r="O784">
        <v>73140</v>
      </c>
      <c r="P784">
        <v>277</v>
      </c>
      <c r="Q784">
        <v>23</v>
      </c>
      <c r="R784">
        <v>2</v>
      </c>
      <c r="S784">
        <v>181</v>
      </c>
    </row>
    <row r="785" spans="1:19" x14ac:dyDescent="0.25">
      <c r="A785" s="2">
        <v>39539</v>
      </c>
      <c r="B785">
        <v>146132</v>
      </c>
      <c r="C785">
        <v>140262</v>
      </c>
      <c r="D785">
        <v>2122</v>
      </c>
      <c r="E785">
        <v>3695</v>
      </c>
      <c r="F785">
        <v>53</v>
      </c>
      <c r="G785">
        <v>7637</v>
      </c>
      <c r="H785">
        <v>1915</v>
      </c>
      <c r="I785">
        <v>3794</v>
      </c>
      <c r="J785">
        <v>1911</v>
      </c>
      <c r="K785">
        <v>17</v>
      </c>
      <c r="L785">
        <v>79429</v>
      </c>
      <c r="M785">
        <v>3886</v>
      </c>
      <c r="N785">
        <v>1905</v>
      </c>
      <c r="O785">
        <v>73299</v>
      </c>
      <c r="P785">
        <v>339</v>
      </c>
      <c r="Q785">
        <v>23</v>
      </c>
      <c r="R785">
        <v>2</v>
      </c>
      <c r="S785">
        <v>182</v>
      </c>
    </row>
    <row r="786" spans="1:19" x14ac:dyDescent="0.25">
      <c r="A786" s="2">
        <v>39569</v>
      </c>
      <c r="B786">
        <v>145908</v>
      </c>
      <c r="C786">
        <v>140237</v>
      </c>
      <c r="D786">
        <v>1900</v>
      </c>
      <c r="E786">
        <v>3715</v>
      </c>
      <c r="F786">
        <v>56</v>
      </c>
      <c r="G786">
        <v>8395</v>
      </c>
      <c r="H786">
        <v>2054</v>
      </c>
      <c r="I786">
        <v>4070</v>
      </c>
      <c r="J786">
        <v>2250</v>
      </c>
      <c r="K786">
        <v>21</v>
      </c>
      <c r="L786">
        <v>79102</v>
      </c>
      <c r="M786">
        <v>3819</v>
      </c>
      <c r="N786">
        <v>1666</v>
      </c>
      <c r="O786">
        <v>73281</v>
      </c>
      <c r="P786">
        <v>336</v>
      </c>
      <c r="Q786">
        <v>23</v>
      </c>
      <c r="R786">
        <v>2</v>
      </c>
      <c r="S786">
        <v>182</v>
      </c>
    </row>
    <row r="787" spans="1:19" x14ac:dyDescent="0.25">
      <c r="A787" s="2">
        <v>39600</v>
      </c>
      <c r="B787">
        <v>145737</v>
      </c>
      <c r="C787">
        <v>139857</v>
      </c>
      <c r="D787">
        <v>2016</v>
      </c>
      <c r="E787">
        <v>3765</v>
      </c>
      <c r="F787">
        <v>99</v>
      </c>
      <c r="G787">
        <v>8575</v>
      </c>
      <c r="H787">
        <v>1996</v>
      </c>
      <c r="I787">
        <v>4558</v>
      </c>
      <c r="J787">
        <v>2000</v>
      </c>
      <c r="K787">
        <v>21</v>
      </c>
      <c r="L787">
        <v>79314</v>
      </c>
      <c r="M787">
        <v>4031</v>
      </c>
      <c r="N787">
        <v>1819</v>
      </c>
      <c r="O787">
        <v>73156</v>
      </c>
      <c r="P787">
        <v>308</v>
      </c>
      <c r="Q787">
        <v>23</v>
      </c>
      <c r="R787">
        <v>2</v>
      </c>
      <c r="S787">
        <v>182</v>
      </c>
    </row>
    <row r="788" spans="1:19" x14ac:dyDescent="0.25">
      <c r="A788" s="2">
        <v>39630</v>
      </c>
      <c r="B788">
        <v>145532</v>
      </c>
      <c r="C788">
        <v>139696</v>
      </c>
      <c r="D788">
        <v>2052</v>
      </c>
      <c r="E788">
        <v>3733</v>
      </c>
      <c r="F788">
        <v>50</v>
      </c>
      <c r="G788">
        <v>8937</v>
      </c>
      <c r="H788">
        <v>1967</v>
      </c>
      <c r="I788">
        <v>4781</v>
      </c>
      <c r="J788">
        <v>2153</v>
      </c>
      <c r="K788">
        <v>35</v>
      </c>
      <c r="L788">
        <v>79395</v>
      </c>
      <c r="M788">
        <v>3974</v>
      </c>
      <c r="N788">
        <v>1736</v>
      </c>
      <c r="O788">
        <v>73204</v>
      </c>
      <c r="P788">
        <v>481</v>
      </c>
      <c r="Q788">
        <v>100</v>
      </c>
      <c r="R788">
        <v>6</v>
      </c>
      <c r="S788">
        <v>224</v>
      </c>
    </row>
    <row r="789" spans="1:19" x14ac:dyDescent="0.25">
      <c r="A789" s="2">
        <v>39661</v>
      </c>
      <c r="B789">
        <v>145203</v>
      </c>
      <c r="C789">
        <v>139465</v>
      </c>
      <c r="D789">
        <v>2087</v>
      </c>
      <c r="E789">
        <v>3564</v>
      </c>
      <c r="F789">
        <v>87</v>
      </c>
      <c r="G789">
        <v>9438</v>
      </c>
      <c r="H789">
        <v>2288</v>
      </c>
      <c r="I789">
        <v>4930</v>
      </c>
      <c r="J789">
        <v>2189</v>
      </c>
      <c r="K789">
        <v>30</v>
      </c>
      <c r="L789">
        <v>79466</v>
      </c>
      <c r="M789">
        <v>3756</v>
      </c>
      <c r="N789">
        <v>1919</v>
      </c>
      <c r="O789">
        <v>73459</v>
      </c>
      <c r="P789">
        <v>332</v>
      </c>
      <c r="Q789">
        <v>23</v>
      </c>
      <c r="R789">
        <v>2</v>
      </c>
      <c r="S789">
        <v>182</v>
      </c>
    </row>
    <row r="790" spans="1:19" x14ac:dyDescent="0.25">
      <c r="A790" s="2">
        <v>39692</v>
      </c>
      <c r="B790">
        <v>145076</v>
      </c>
      <c r="C790">
        <v>139097</v>
      </c>
      <c r="D790">
        <v>2293</v>
      </c>
      <c r="E790">
        <v>3608</v>
      </c>
      <c r="F790">
        <v>79</v>
      </c>
      <c r="G790">
        <v>9494</v>
      </c>
      <c r="H790">
        <v>2140</v>
      </c>
      <c r="I790">
        <v>5052</v>
      </c>
      <c r="J790">
        <v>2281</v>
      </c>
      <c r="K790">
        <v>20</v>
      </c>
      <c r="L790">
        <v>79790</v>
      </c>
      <c r="M790">
        <v>3944</v>
      </c>
      <c r="N790">
        <v>2091</v>
      </c>
      <c r="O790">
        <v>73394</v>
      </c>
      <c r="P790">
        <v>361</v>
      </c>
      <c r="Q790">
        <v>23</v>
      </c>
      <c r="R790">
        <v>2</v>
      </c>
      <c r="S790">
        <v>182</v>
      </c>
    </row>
    <row r="791" spans="1:19" x14ac:dyDescent="0.25">
      <c r="A791" s="2">
        <v>39722</v>
      </c>
      <c r="B791">
        <v>144802</v>
      </c>
      <c r="C791">
        <v>139089</v>
      </c>
      <c r="D791">
        <v>2139</v>
      </c>
      <c r="E791">
        <v>3517</v>
      </c>
      <c r="F791">
        <v>58</v>
      </c>
      <c r="G791">
        <v>10074</v>
      </c>
      <c r="H791">
        <v>2259</v>
      </c>
      <c r="I791">
        <v>5355</v>
      </c>
      <c r="J791">
        <v>2422</v>
      </c>
      <c r="K791">
        <v>38</v>
      </c>
      <c r="L791">
        <v>79736</v>
      </c>
      <c r="M791">
        <v>3701</v>
      </c>
      <c r="N791">
        <v>1998</v>
      </c>
      <c r="O791">
        <v>73666</v>
      </c>
      <c r="P791">
        <v>372</v>
      </c>
      <c r="Q791">
        <v>27</v>
      </c>
      <c r="R791">
        <v>2</v>
      </c>
      <c r="S791">
        <v>186</v>
      </c>
    </row>
    <row r="792" spans="1:19" x14ac:dyDescent="0.25">
      <c r="A792" s="2">
        <v>39753</v>
      </c>
      <c r="B792">
        <v>144100</v>
      </c>
      <c r="C792">
        <v>138406</v>
      </c>
      <c r="D792">
        <v>2098</v>
      </c>
      <c r="E792">
        <v>3481</v>
      </c>
      <c r="F792">
        <v>117</v>
      </c>
      <c r="G792">
        <v>10538</v>
      </c>
      <c r="H792">
        <v>2506</v>
      </c>
      <c r="I792">
        <v>5885</v>
      </c>
      <c r="J792">
        <v>2125</v>
      </c>
      <c r="K792">
        <v>22</v>
      </c>
      <c r="L792">
        <v>80189</v>
      </c>
      <c r="M792">
        <v>3867</v>
      </c>
      <c r="N792">
        <v>2090</v>
      </c>
      <c r="O792">
        <v>73948</v>
      </c>
      <c r="P792">
        <v>283</v>
      </c>
      <c r="Q792">
        <v>23</v>
      </c>
      <c r="R792">
        <v>2</v>
      </c>
      <c r="S792">
        <v>183</v>
      </c>
    </row>
    <row r="793" spans="1:19" x14ac:dyDescent="0.25">
      <c r="A793" s="2">
        <v>39783</v>
      </c>
      <c r="B793">
        <v>143369</v>
      </c>
      <c r="C793">
        <v>137761</v>
      </c>
      <c r="D793">
        <v>2080</v>
      </c>
      <c r="E793">
        <v>3441</v>
      </c>
      <c r="F793">
        <v>87</v>
      </c>
      <c r="G793">
        <v>11286</v>
      </c>
      <c r="H793">
        <v>2519</v>
      </c>
      <c r="I793">
        <v>6217</v>
      </c>
      <c r="J793">
        <v>2515</v>
      </c>
      <c r="K793">
        <v>36</v>
      </c>
      <c r="L793">
        <v>80380</v>
      </c>
      <c r="M793">
        <v>3797</v>
      </c>
      <c r="N793">
        <v>2240</v>
      </c>
      <c r="O793">
        <v>74051</v>
      </c>
      <c r="P793">
        <v>292</v>
      </c>
      <c r="Q793">
        <v>23</v>
      </c>
      <c r="R793">
        <v>2</v>
      </c>
      <c r="S793">
        <v>183</v>
      </c>
    </row>
    <row r="794" spans="1:19" x14ac:dyDescent="0.25">
      <c r="A794" s="2" t="s">
        <v>71</v>
      </c>
      <c r="B794" t="e">
        <v>#N/A</v>
      </c>
      <c r="C794" t="e">
        <v>#N/A</v>
      </c>
      <c r="D794" t="e">
        <v>#N/A</v>
      </c>
      <c r="E794" t="e">
        <v>#N/A</v>
      </c>
      <c r="F794" t="e">
        <v>#N/A</v>
      </c>
      <c r="G794" t="e">
        <v>#N/A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</row>
    <row r="795" spans="1:19" x14ac:dyDescent="0.25">
      <c r="A795" s="2">
        <v>39814</v>
      </c>
      <c r="B795">
        <v>142153</v>
      </c>
      <c r="C795">
        <v>136270</v>
      </c>
      <c r="D795">
        <v>2235</v>
      </c>
      <c r="E795">
        <v>3637</v>
      </c>
      <c r="F795">
        <v>12</v>
      </c>
      <c r="G795">
        <v>12079</v>
      </c>
      <c r="H795">
        <v>2764</v>
      </c>
      <c r="I795">
        <v>6796</v>
      </c>
      <c r="J795">
        <v>2507</v>
      </c>
      <c r="K795">
        <v>12</v>
      </c>
      <c r="L795">
        <v>80507</v>
      </c>
      <c r="M795">
        <v>4031</v>
      </c>
      <c r="N795">
        <v>2230</v>
      </c>
      <c r="O795">
        <v>73907</v>
      </c>
      <c r="P795">
        <v>338</v>
      </c>
      <c r="Q795">
        <v>305</v>
      </c>
      <c r="R795">
        <v>24</v>
      </c>
      <c r="S795">
        <v>328</v>
      </c>
    </row>
    <row r="796" spans="1:19" x14ac:dyDescent="0.25">
      <c r="A796" s="2">
        <v>39845</v>
      </c>
      <c r="B796">
        <v>141644</v>
      </c>
      <c r="C796">
        <v>135729</v>
      </c>
      <c r="D796">
        <v>2299</v>
      </c>
      <c r="E796">
        <v>3525</v>
      </c>
      <c r="F796">
        <v>91</v>
      </c>
      <c r="G796">
        <v>12881</v>
      </c>
      <c r="H796">
        <v>2827</v>
      </c>
      <c r="I796">
        <v>7455</v>
      </c>
      <c r="J796">
        <v>2577</v>
      </c>
      <c r="K796">
        <v>21</v>
      </c>
      <c r="L796">
        <v>80387</v>
      </c>
      <c r="M796">
        <v>3574</v>
      </c>
      <c r="N796">
        <v>2323</v>
      </c>
      <c r="O796">
        <v>74222</v>
      </c>
      <c r="P796">
        <v>269</v>
      </c>
      <c r="Q796">
        <v>23</v>
      </c>
      <c r="R796">
        <v>2</v>
      </c>
      <c r="S796">
        <v>183</v>
      </c>
    </row>
    <row r="797" spans="1:19" x14ac:dyDescent="0.25">
      <c r="A797" s="2">
        <v>39873</v>
      </c>
      <c r="B797">
        <v>140721</v>
      </c>
      <c r="C797">
        <v>135187</v>
      </c>
      <c r="D797">
        <v>2212</v>
      </c>
      <c r="E797">
        <v>3294</v>
      </c>
      <c r="F797">
        <v>28</v>
      </c>
      <c r="G797">
        <v>13421</v>
      </c>
      <c r="H797">
        <v>2651</v>
      </c>
      <c r="I797">
        <v>8178</v>
      </c>
      <c r="J797">
        <v>2570</v>
      </c>
      <c r="K797">
        <v>22</v>
      </c>
      <c r="L797">
        <v>80944</v>
      </c>
      <c r="M797">
        <v>3784</v>
      </c>
      <c r="N797">
        <v>2490</v>
      </c>
      <c r="O797">
        <v>74340</v>
      </c>
      <c r="P797">
        <v>330</v>
      </c>
      <c r="Q797">
        <v>23</v>
      </c>
      <c r="R797">
        <v>2</v>
      </c>
      <c r="S797">
        <v>183</v>
      </c>
    </row>
    <row r="798" spans="1:19" x14ac:dyDescent="0.25">
      <c r="A798" s="2">
        <v>39904</v>
      </c>
      <c r="B798">
        <v>140652</v>
      </c>
      <c r="C798">
        <v>134538</v>
      </c>
      <c r="D798">
        <v>2496</v>
      </c>
      <c r="E798">
        <v>3571</v>
      </c>
      <c r="F798">
        <v>47</v>
      </c>
      <c r="G798">
        <v>13826</v>
      </c>
      <c r="H798">
        <v>2483</v>
      </c>
      <c r="I798">
        <v>8501</v>
      </c>
      <c r="J798">
        <v>2814</v>
      </c>
      <c r="K798">
        <v>28</v>
      </c>
      <c r="L798">
        <v>80793</v>
      </c>
      <c r="M798">
        <v>3676</v>
      </c>
      <c r="N798">
        <v>2423</v>
      </c>
      <c r="O798">
        <v>74375</v>
      </c>
      <c r="P798">
        <v>318</v>
      </c>
      <c r="Q798">
        <v>23</v>
      </c>
      <c r="R798">
        <v>2</v>
      </c>
      <c r="S798">
        <v>183</v>
      </c>
    </row>
    <row r="799" spans="1:19" x14ac:dyDescent="0.25">
      <c r="A799" s="2">
        <v>39934</v>
      </c>
      <c r="B799">
        <v>140250</v>
      </c>
      <c r="C799">
        <v>134507</v>
      </c>
      <c r="D799">
        <v>2251</v>
      </c>
      <c r="E799">
        <v>3412</v>
      </c>
      <c r="F799">
        <v>80</v>
      </c>
      <c r="G799">
        <v>14492</v>
      </c>
      <c r="H799">
        <v>2650</v>
      </c>
      <c r="I799">
        <v>8984</v>
      </c>
      <c r="J799">
        <v>2837</v>
      </c>
      <c r="K799">
        <v>21</v>
      </c>
      <c r="L799">
        <v>80710</v>
      </c>
      <c r="M799">
        <v>3472</v>
      </c>
      <c r="N799">
        <v>2590</v>
      </c>
      <c r="O799">
        <v>74361</v>
      </c>
      <c r="P799">
        <v>287</v>
      </c>
      <c r="Q799">
        <v>23</v>
      </c>
      <c r="R799">
        <v>2</v>
      </c>
      <c r="S799">
        <v>183</v>
      </c>
    </row>
    <row r="800" spans="1:19" x14ac:dyDescent="0.25">
      <c r="A800" s="2">
        <v>39965</v>
      </c>
      <c r="B800">
        <v>140005</v>
      </c>
      <c r="C800">
        <v>134041</v>
      </c>
      <c r="D800">
        <v>2622</v>
      </c>
      <c r="E800">
        <v>3281</v>
      </c>
      <c r="F800">
        <v>62</v>
      </c>
      <c r="G800">
        <v>14705</v>
      </c>
      <c r="H800">
        <v>2558</v>
      </c>
      <c r="I800">
        <v>9315</v>
      </c>
      <c r="J800">
        <v>2799</v>
      </c>
      <c r="K800">
        <v>33</v>
      </c>
      <c r="L800">
        <v>80944</v>
      </c>
      <c r="M800">
        <v>3628</v>
      </c>
      <c r="N800">
        <v>2554</v>
      </c>
      <c r="O800">
        <v>74447</v>
      </c>
      <c r="P800">
        <v>316</v>
      </c>
      <c r="Q800">
        <v>23</v>
      </c>
      <c r="R800">
        <v>2</v>
      </c>
      <c r="S800">
        <v>183</v>
      </c>
    </row>
    <row r="801" spans="1:19" x14ac:dyDescent="0.25">
      <c r="A801" s="2">
        <v>39995</v>
      </c>
      <c r="B801">
        <v>139898</v>
      </c>
      <c r="C801">
        <v>133928</v>
      </c>
      <c r="D801">
        <v>2577</v>
      </c>
      <c r="E801">
        <v>3368</v>
      </c>
      <c r="F801">
        <v>25</v>
      </c>
      <c r="G801">
        <v>14607</v>
      </c>
      <c r="H801">
        <v>2471</v>
      </c>
      <c r="I801">
        <v>9346</v>
      </c>
      <c r="J801">
        <v>2772</v>
      </c>
      <c r="K801">
        <v>17</v>
      </c>
      <c r="L801">
        <v>81365</v>
      </c>
      <c r="M801">
        <v>3498</v>
      </c>
      <c r="N801">
        <v>2770</v>
      </c>
      <c r="O801">
        <v>74576</v>
      </c>
      <c r="P801">
        <v>520</v>
      </c>
      <c r="Q801">
        <v>108</v>
      </c>
      <c r="R801">
        <v>11</v>
      </c>
      <c r="S801">
        <v>228</v>
      </c>
    </row>
    <row r="802" spans="1:19" x14ac:dyDescent="0.25">
      <c r="A802" s="2">
        <v>40026</v>
      </c>
      <c r="B802">
        <v>139481</v>
      </c>
      <c r="C802">
        <v>133544</v>
      </c>
      <c r="D802">
        <v>2399</v>
      </c>
      <c r="E802">
        <v>3425</v>
      </c>
      <c r="F802">
        <v>113</v>
      </c>
      <c r="G802">
        <v>14819</v>
      </c>
      <c r="H802">
        <v>2566</v>
      </c>
      <c r="I802">
        <v>9329</v>
      </c>
      <c r="J802">
        <v>2915</v>
      </c>
      <c r="K802">
        <v>9</v>
      </c>
      <c r="L802">
        <v>81787</v>
      </c>
      <c r="M802">
        <v>3765</v>
      </c>
      <c r="N802">
        <v>2877</v>
      </c>
      <c r="O802">
        <v>74841</v>
      </c>
      <c r="P802">
        <v>304</v>
      </c>
      <c r="Q802">
        <v>23</v>
      </c>
      <c r="R802">
        <v>2</v>
      </c>
      <c r="S802">
        <v>184</v>
      </c>
    </row>
    <row r="803" spans="1:19" x14ac:dyDescent="0.25">
      <c r="A803" s="2">
        <v>40057</v>
      </c>
      <c r="B803">
        <v>138810</v>
      </c>
      <c r="C803">
        <v>133000</v>
      </c>
      <c r="D803">
        <v>2581</v>
      </c>
      <c r="E803">
        <v>3155</v>
      </c>
      <c r="F803">
        <v>75</v>
      </c>
      <c r="G803">
        <v>15005</v>
      </c>
      <c r="H803">
        <v>2625</v>
      </c>
      <c r="I803">
        <v>9578</v>
      </c>
      <c r="J803">
        <v>2765</v>
      </c>
      <c r="K803">
        <v>36</v>
      </c>
      <c r="L803">
        <v>82507</v>
      </c>
      <c r="M803">
        <v>3833</v>
      </c>
      <c r="N803">
        <v>2658</v>
      </c>
      <c r="O803">
        <v>75683</v>
      </c>
      <c r="P803">
        <v>334</v>
      </c>
      <c r="Q803">
        <v>23</v>
      </c>
      <c r="R803">
        <v>2</v>
      </c>
      <c r="S803">
        <v>184</v>
      </c>
    </row>
    <row r="804" spans="1:19" x14ac:dyDescent="0.25">
      <c r="A804" s="2">
        <v>40087</v>
      </c>
      <c r="B804">
        <v>138421</v>
      </c>
      <c r="C804">
        <v>132679</v>
      </c>
      <c r="D804">
        <v>2314</v>
      </c>
      <c r="E804">
        <v>3360</v>
      </c>
      <c r="F804">
        <v>68</v>
      </c>
      <c r="G804">
        <v>15382</v>
      </c>
      <c r="H804">
        <v>2521</v>
      </c>
      <c r="I804">
        <v>9911</v>
      </c>
      <c r="J804">
        <v>2939</v>
      </c>
      <c r="K804">
        <v>11</v>
      </c>
      <c r="L804">
        <v>82746</v>
      </c>
      <c r="M804">
        <v>3587</v>
      </c>
      <c r="N804">
        <v>2778</v>
      </c>
      <c r="O804">
        <v>76024</v>
      </c>
      <c r="P804">
        <v>357</v>
      </c>
      <c r="Q804">
        <v>23</v>
      </c>
      <c r="R804">
        <v>2</v>
      </c>
      <c r="S804">
        <v>184</v>
      </c>
    </row>
    <row r="805" spans="1:19" x14ac:dyDescent="0.25">
      <c r="A805" s="2">
        <v>40118</v>
      </c>
      <c r="B805">
        <v>138665</v>
      </c>
      <c r="C805">
        <v>132706</v>
      </c>
      <c r="D805">
        <v>2585</v>
      </c>
      <c r="E805">
        <v>3296</v>
      </c>
      <c r="F805">
        <v>78</v>
      </c>
      <c r="G805">
        <v>15223</v>
      </c>
      <c r="H805">
        <v>2283</v>
      </c>
      <c r="I805">
        <v>10010</v>
      </c>
      <c r="J805">
        <v>2906</v>
      </c>
      <c r="K805">
        <v>23</v>
      </c>
      <c r="L805">
        <v>82855</v>
      </c>
      <c r="M805">
        <v>3409</v>
      </c>
      <c r="N805">
        <v>2785</v>
      </c>
      <c r="O805">
        <v>76361</v>
      </c>
      <c r="P805">
        <v>301</v>
      </c>
      <c r="Q805">
        <v>23</v>
      </c>
      <c r="R805">
        <v>2</v>
      </c>
      <c r="S805">
        <v>184</v>
      </c>
    </row>
    <row r="806" spans="1:19" x14ac:dyDescent="0.25">
      <c r="A806" s="2">
        <v>40148</v>
      </c>
      <c r="B806">
        <v>138025</v>
      </c>
      <c r="C806">
        <v>132405</v>
      </c>
      <c r="D806">
        <v>2354</v>
      </c>
      <c r="E806">
        <v>3228</v>
      </c>
      <c r="F806">
        <v>38</v>
      </c>
      <c r="G806">
        <v>15095</v>
      </c>
      <c r="H806">
        <v>2379</v>
      </c>
      <c r="I806">
        <v>9923</v>
      </c>
      <c r="J806">
        <v>2779</v>
      </c>
      <c r="K806">
        <v>15</v>
      </c>
      <c r="L806">
        <v>83804</v>
      </c>
      <c r="M806">
        <v>3858</v>
      </c>
      <c r="N806">
        <v>2944</v>
      </c>
      <c r="O806">
        <v>76664</v>
      </c>
      <c r="P806">
        <v>338</v>
      </c>
      <c r="Q806">
        <v>23</v>
      </c>
      <c r="R806">
        <v>2</v>
      </c>
      <c r="S806">
        <v>184</v>
      </c>
    </row>
    <row r="807" spans="1:19" x14ac:dyDescent="0.25">
      <c r="A807" s="2" t="s">
        <v>72</v>
      </c>
      <c r="B807" t="e">
        <v>#N/A</v>
      </c>
      <c r="C807" t="e">
        <v>#N/A</v>
      </c>
      <c r="D807" t="e">
        <v>#N/A</v>
      </c>
      <c r="E807" t="e">
        <v>#N/A</v>
      </c>
      <c r="F807" t="e">
        <v>#N/A</v>
      </c>
      <c r="G807" t="e">
        <v>#N/A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</row>
    <row r="808" spans="1:19" x14ac:dyDescent="0.25">
      <c r="A808" s="2">
        <v>40179</v>
      </c>
      <c r="B808">
        <v>138439</v>
      </c>
      <c r="C808">
        <v>132169</v>
      </c>
      <c r="D808">
        <v>2534</v>
      </c>
      <c r="E808">
        <v>3725</v>
      </c>
      <c r="F808">
        <v>10</v>
      </c>
      <c r="G808">
        <v>15016</v>
      </c>
      <c r="H808">
        <v>2240</v>
      </c>
      <c r="I808">
        <v>9699</v>
      </c>
      <c r="J808">
        <v>3060</v>
      </c>
      <c r="K808">
        <v>18</v>
      </c>
      <c r="L808">
        <v>83378</v>
      </c>
      <c r="M808">
        <v>3454</v>
      </c>
      <c r="N808">
        <v>2845</v>
      </c>
      <c r="O808">
        <v>76757</v>
      </c>
      <c r="P808">
        <v>321</v>
      </c>
      <c r="Q808">
        <v>162</v>
      </c>
      <c r="R808">
        <v>17</v>
      </c>
      <c r="S808">
        <v>261</v>
      </c>
    </row>
    <row r="809" spans="1:19" x14ac:dyDescent="0.25">
      <c r="A809" s="2">
        <v>40210</v>
      </c>
      <c r="B809">
        <v>138624</v>
      </c>
      <c r="C809">
        <v>132517</v>
      </c>
      <c r="D809">
        <v>2487</v>
      </c>
      <c r="E809">
        <v>3555</v>
      </c>
      <c r="F809">
        <v>66</v>
      </c>
      <c r="G809">
        <v>15078</v>
      </c>
      <c r="H809">
        <v>2329</v>
      </c>
      <c r="I809">
        <v>9742</v>
      </c>
      <c r="J809">
        <v>2994</v>
      </c>
      <c r="K809">
        <v>13</v>
      </c>
      <c r="L809">
        <v>83296</v>
      </c>
      <c r="M809">
        <v>3569</v>
      </c>
      <c r="N809">
        <v>2786</v>
      </c>
      <c r="O809">
        <v>76644</v>
      </c>
      <c r="P809">
        <v>297</v>
      </c>
      <c r="Q809">
        <v>23</v>
      </c>
      <c r="R809">
        <v>2</v>
      </c>
      <c r="S809">
        <v>184</v>
      </c>
    </row>
    <row r="810" spans="1:19" x14ac:dyDescent="0.25">
      <c r="A810" s="2">
        <v>40238</v>
      </c>
      <c r="B810">
        <v>138767</v>
      </c>
      <c r="C810">
        <v>132543</v>
      </c>
      <c r="D810">
        <v>2600</v>
      </c>
      <c r="E810">
        <v>3542</v>
      </c>
      <c r="F810">
        <v>82</v>
      </c>
      <c r="G810">
        <v>15192</v>
      </c>
      <c r="H810">
        <v>2316</v>
      </c>
      <c r="I810">
        <v>9639</v>
      </c>
      <c r="J810">
        <v>3221</v>
      </c>
      <c r="K810">
        <v>16</v>
      </c>
      <c r="L810">
        <v>83199</v>
      </c>
      <c r="M810">
        <v>3742</v>
      </c>
      <c r="N810">
        <v>2838</v>
      </c>
      <c r="O810">
        <v>76348</v>
      </c>
      <c r="P810">
        <v>272</v>
      </c>
      <c r="Q810">
        <v>23</v>
      </c>
      <c r="R810">
        <v>2</v>
      </c>
      <c r="S810">
        <v>185</v>
      </c>
    </row>
    <row r="811" spans="1:19" x14ac:dyDescent="0.25">
      <c r="A811" s="2">
        <v>40269</v>
      </c>
      <c r="B811">
        <v>139296</v>
      </c>
      <c r="C811">
        <v>132985</v>
      </c>
      <c r="D811">
        <v>2755</v>
      </c>
      <c r="E811">
        <v>3489</v>
      </c>
      <c r="F811">
        <v>67</v>
      </c>
      <c r="G811">
        <v>15281</v>
      </c>
      <c r="H811">
        <v>2277</v>
      </c>
      <c r="I811">
        <v>9696</v>
      </c>
      <c r="J811">
        <v>3290</v>
      </c>
      <c r="K811">
        <v>18</v>
      </c>
      <c r="L811">
        <v>82752</v>
      </c>
      <c r="M811">
        <v>3481</v>
      </c>
      <c r="N811">
        <v>2740</v>
      </c>
      <c r="O811">
        <v>76235</v>
      </c>
      <c r="P811">
        <v>294</v>
      </c>
      <c r="Q811">
        <v>23</v>
      </c>
      <c r="R811">
        <v>2</v>
      </c>
      <c r="S811">
        <v>185</v>
      </c>
    </row>
    <row r="812" spans="1:19" x14ac:dyDescent="0.25">
      <c r="A812" s="2">
        <v>40299</v>
      </c>
      <c r="B812">
        <v>139255</v>
      </c>
      <c r="C812">
        <v>133096</v>
      </c>
      <c r="D812">
        <v>2676</v>
      </c>
      <c r="E812">
        <v>3413</v>
      </c>
      <c r="F812">
        <v>69</v>
      </c>
      <c r="G812">
        <v>14856</v>
      </c>
      <c r="H812">
        <v>2347</v>
      </c>
      <c r="I812">
        <v>9593</v>
      </c>
      <c r="J812">
        <v>2907</v>
      </c>
      <c r="K812">
        <v>9</v>
      </c>
      <c r="L812">
        <v>83389</v>
      </c>
      <c r="M812">
        <v>3830</v>
      </c>
      <c r="N812">
        <v>3010</v>
      </c>
      <c r="O812">
        <v>76247</v>
      </c>
      <c r="P812">
        <v>302</v>
      </c>
      <c r="Q812">
        <v>23</v>
      </c>
      <c r="R812">
        <v>2</v>
      </c>
      <c r="S812">
        <v>185</v>
      </c>
    </row>
    <row r="813" spans="1:19" x14ac:dyDescent="0.25">
      <c r="A813" s="2">
        <v>40330</v>
      </c>
      <c r="B813">
        <v>139148</v>
      </c>
      <c r="C813">
        <v>133448</v>
      </c>
      <c r="D813">
        <v>2391</v>
      </c>
      <c r="E813">
        <v>3281</v>
      </c>
      <c r="F813">
        <v>28</v>
      </c>
      <c r="G813">
        <v>14475</v>
      </c>
      <c r="H813">
        <v>2183</v>
      </c>
      <c r="I813">
        <v>9421</v>
      </c>
      <c r="J813">
        <v>2857</v>
      </c>
      <c r="K813">
        <v>15</v>
      </c>
      <c r="L813">
        <v>84067</v>
      </c>
      <c r="M813">
        <v>3583</v>
      </c>
      <c r="N813">
        <v>3040</v>
      </c>
      <c r="O813">
        <v>77056</v>
      </c>
      <c r="P813">
        <v>388</v>
      </c>
      <c r="Q813">
        <v>41</v>
      </c>
      <c r="R813">
        <v>4</v>
      </c>
      <c r="S813">
        <v>195</v>
      </c>
    </row>
    <row r="814" spans="1:19" x14ac:dyDescent="0.25">
      <c r="A814" s="2">
        <v>40360</v>
      </c>
      <c r="B814">
        <v>139167</v>
      </c>
      <c r="C814">
        <v>133191</v>
      </c>
      <c r="D814">
        <v>2505</v>
      </c>
      <c r="E814">
        <v>3437</v>
      </c>
      <c r="F814">
        <v>34</v>
      </c>
      <c r="G814">
        <v>14542</v>
      </c>
      <c r="H814">
        <v>2319</v>
      </c>
      <c r="I814">
        <v>9113</v>
      </c>
      <c r="J814">
        <v>3098</v>
      </c>
      <c r="K814">
        <v>12</v>
      </c>
      <c r="L814">
        <v>84180</v>
      </c>
      <c r="M814">
        <v>3574</v>
      </c>
      <c r="N814">
        <v>2851</v>
      </c>
      <c r="O814">
        <v>77328</v>
      </c>
      <c r="P814">
        <v>428</v>
      </c>
      <c r="Q814">
        <v>63</v>
      </c>
      <c r="R814">
        <v>6</v>
      </c>
      <c r="S814">
        <v>204</v>
      </c>
    </row>
    <row r="815" spans="1:19" x14ac:dyDescent="0.25">
      <c r="A815" s="2">
        <v>40391</v>
      </c>
      <c r="B815">
        <v>139405</v>
      </c>
      <c r="C815">
        <v>133200</v>
      </c>
      <c r="D815">
        <v>2468</v>
      </c>
      <c r="E815">
        <v>3638</v>
      </c>
      <c r="F815">
        <v>98</v>
      </c>
      <c r="G815">
        <v>14673</v>
      </c>
      <c r="H815">
        <v>2411</v>
      </c>
      <c r="I815">
        <v>9190</v>
      </c>
      <c r="J815">
        <v>3048</v>
      </c>
      <c r="K815">
        <v>23</v>
      </c>
      <c r="L815">
        <v>84022</v>
      </c>
      <c r="M815">
        <v>3532</v>
      </c>
      <c r="N815">
        <v>2882</v>
      </c>
      <c r="O815">
        <v>77309</v>
      </c>
      <c r="P815">
        <v>299</v>
      </c>
      <c r="Q815">
        <v>23</v>
      </c>
      <c r="R815">
        <v>2</v>
      </c>
      <c r="S815">
        <v>185</v>
      </c>
    </row>
    <row r="816" spans="1:19" x14ac:dyDescent="0.25">
      <c r="A816" s="2">
        <v>40422</v>
      </c>
      <c r="B816">
        <v>139388</v>
      </c>
      <c r="C816">
        <v>133602</v>
      </c>
      <c r="D816">
        <v>2358</v>
      </c>
      <c r="E816">
        <v>3387</v>
      </c>
      <c r="F816">
        <v>41</v>
      </c>
      <c r="G816">
        <v>14577</v>
      </c>
      <c r="H816">
        <v>2229</v>
      </c>
      <c r="I816">
        <v>9360</v>
      </c>
      <c r="J816">
        <v>2968</v>
      </c>
      <c r="K816">
        <v>21</v>
      </c>
      <c r="L816">
        <v>84356</v>
      </c>
      <c r="M816">
        <v>3542</v>
      </c>
      <c r="N816">
        <v>2952</v>
      </c>
      <c r="O816">
        <v>77478</v>
      </c>
      <c r="P816">
        <v>384</v>
      </c>
      <c r="Q816">
        <v>31</v>
      </c>
      <c r="R816">
        <v>3</v>
      </c>
      <c r="S816">
        <v>189</v>
      </c>
    </row>
    <row r="817" spans="1:19" x14ac:dyDescent="0.25">
      <c r="A817" s="2">
        <v>40452</v>
      </c>
      <c r="B817">
        <v>139097</v>
      </c>
      <c r="C817">
        <v>133137</v>
      </c>
      <c r="D817">
        <v>2440</v>
      </c>
      <c r="E817">
        <v>3414</v>
      </c>
      <c r="F817">
        <v>106</v>
      </c>
      <c r="G817">
        <v>14584</v>
      </c>
      <c r="H817">
        <v>2245</v>
      </c>
      <c r="I817">
        <v>9269</v>
      </c>
      <c r="J817">
        <v>3042</v>
      </c>
      <c r="K817">
        <v>26</v>
      </c>
      <c r="L817">
        <v>84849</v>
      </c>
      <c r="M817">
        <v>3982</v>
      </c>
      <c r="N817">
        <v>2867</v>
      </c>
      <c r="O817">
        <v>77714</v>
      </c>
      <c r="P817">
        <v>286</v>
      </c>
      <c r="Q817">
        <v>23</v>
      </c>
      <c r="R817">
        <v>2</v>
      </c>
      <c r="S817">
        <v>186</v>
      </c>
    </row>
    <row r="818" spans="1:19" x14ac:dyDescent="0.25">
      <c r="A818" s="2">
        <v>40483</v>
      </c>
      <c r="B818">
        <v>139046</v>
      </c>
      <c r="C818">
        <v>132916</v>
      </c>
      <c r="D818">
        <v>2444</v>
      </c>
      <c r="E818">
        <v>3608</v>
      </c>
      <c r="F818">
        <v>78</v>
      </c>
      <c r="G818">
        <v>15094</v>
      </c>
      <c r="H818">
        <v>2575</v>
      </c>
      <c r="I818">
        <v>9324</v>
      </c>
      <c r="J818">
        <v>3173</v>
      </c>
      <c r="K818">
        <v>21</v>
      </c>
      <c r="L818">
        <v>84575</v>
      </c>
      <c r="M818">
        <v>3582</v>
      </c>
      <c r="N818">
        <v>2814</v>
      </c>
      <c r="O818">
        <v>77883</v>
      </c>
      <c r="P818">
        <v>296</v>
      </c>
      <c r="Q818">
        <v>23</v>
      </c>
      <c r="R818">
        <v>2</v>
      </c>
      <c r="S818">
        <v>186</v>
      </c>
    </row>
    <row r="819" spans="1:19" x14ac:dyDescent="0.25">
      <c r="A819" s="2">
        <v>40513</v>
      </c>
      <c r="B819">
        <v>139295</v>
      </c>
      <c r="C819">
        <v>133123</v>
      </c>
      <c r="D819">
        <v>2613</v>
      </c>
      <c r="E819">
        <v>3525</v>
      </c>
      <c r="F819">
        <v>33</v>
      </c>
      <c r="G819">
        <v>14354</v>
      </c>
      <c r="H819">
        <v>2207</v>
      </c>
      <c r="I819">
        <v>9311</v>
      </c>
      <c r="J819">
        <v>2816</v>
      </c>
      <c r="K819">
        <v>20</v>
      </c>
      <c r="L819">
        <v>85241</v>
      </c>
      <c r="M819">
        <v>3692</v>
      </c>
      <c r="N819">
        <v>3168</v>
      </c>
      <c r="O819">
        <v>78048</v>
      </c>
      <c r="P819">
        <v>332</v>
      </c>
      <c r="Q819">
        <v>23</v>
      </c>
      <c r="R819">
        <v>2</v>
      </c>
      <c r="S819">
        <v>186</v>
      </c>
    </row>
    <row r="820" spans="1:19" x14ac:dyDescent="0.25">
      <c r="A820" s="2" t="s">
        <v>73</v>
      </c>
      <c r="B820" t="e">
        <v>#N/A</v>
      </c>
      <c r="C820" t="e">
        <v>#N/A</v>
      </c>
      <c r="D820" t="e">
        <v>#N/A</v>
      </c>
      <c r="E820" t="e">
        <v>#N/A</v>
      </c>
      <c r="F820" t="e">
        <v>#N/A</v>
      </c>
      <c r="G820" t="e">
        <v>#N/A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</row>
    <row r="821" spans="1:19" x14ac:dyDescent="0.25">
      <c r="A821" s="2">
        <v>40544</v>
      </c>
      <c r="B821">
        <v>139253</v>
      </c>
      <c r="C821">
        <v>133221</v>
      </c>
      <c r="D821">
        <v>2393</v>
      </c>
      <c r="E821">
        <v>3612</v>
      </c>
      <c r="F821">
        <v>27</v>
      </c>
      <c r="G821">
        <v>13992</v>
      </c>
      <c r="H821">
        <v>2163</v>
      </c>
      <c r="I821">
        <v>8892</v>
      </c>
      <c r="J821">
        <v>2926</v>
      </c>
      <c r="K821">
        <v>10</v>
      </c>
      <c r="L821">
        <v>85460</v>
      </c>
      <c r="M821">
        <v>3685</v>
      </c>
      <c r="N821">
        <v>3048</v>
      </c>
      <c r="O821">
        <v>78364</v>
      </c>
      <c r="P821">
        <v>362</v>
      </c>
      <c r="Q821">
        <v>226</v>
      </c>
      <c r="R821">
        <v>21</v>
      </c>
      <c r="S821">
        <v>338</v>
      </c>
    </row>
    <row r="822" spans="1:19" x14ac:dyDescent="0.25">
      <c r="A822" s="2">
        <v>40575</v>
      </c>
      <c r="B822">
        <v>139471</v>
      </c>
      <c r="C822">
        <v>133533</v>
      </c>
      <c r="D822">
        <v>2320</v>
      </c>
      <c r="E822">
        <v>3598</v>
      </c>
      <c r="F822">
        <v>20</v>
      </c>
      <c r="G822">
        <v>13798</v>
      </c>
      <c r="H822">
        <v>2024</v>
      </c>
      <c r="I822">
        <v>8775</v>
      </c>
      <c r="J822">
        <v>2986</v>
      </c>
      <c r="K822">
        <v>13</v>
      </c>
      <c r="L822">
        <v>85582</v>
      </c>
      <c r="M822">
        <v>3672</v>
      </c>
      <c r="N822">
        <v>2895</v>
      </c>
      <c r="O822">
        <v>78689</v>
      </c>
      <c r="P822">
        <v>325</v>
      </c>
      <c r="Q822">
        <v>24</v>
      </c>
      <c r="R822">
        <v>2</v>
      </c>
      <c r="S822">
        <v>186</v>
      </c>
    </row>
    <row r="823" spans="1:19" x14ac:dyDescent="0.25">
      <c r="A823" s="2">
        <v>40603</v>
      </c>
      <c r="B823">
        <v>139643</v>
      </c>
      <c r="C823">
        <v>133769</v>
      </c>
      <c r="D823">
        <v>2344</v>
      </c>
      <c r="E823">
        <v>3481</v>
      </c>
      <c r="F823">
        <v>48</v>
      </c>
      <c r="G823">
        <v>13716</v>
      </c>
      <c r="H823">
        <v>2124</v>
      </c>
      <c r="I823">
        <v>8676</v>
      </c>
      <c r="J823">
        <v>2885</v>
      </c>
      <c r="K823">
        <v>31</v>
      </c>
      <c r="L823">
        <v>85641</v>
      </c>
      <c r="M823">
        <v>3543</v>
      </c>
      <c r="N823">
        <v>2774</v>
      </c>
      <c r="O823">
        <v>79024</v>
      </c>
      <c r="P823">
        <v>300</v>
      </c>
      <c r="Q823">
        <v>35</v>
      </c>
      <c r="R823">
        <v>3</v>
      </c>
      <c r="S823">
        <v>192</v>
      </c>
    </row>
    <row r="824" spans="1:19" x14ac:dyDescent="0.25">
      <c r="A824" s="2">
        <v>40634</v>
      </c>
      <c r="B824">
        <v>139606</v>
      </c>
      <c r="C824">
        <v>133768</v>
      </c>
      <c r="D824">
        <v>2256</v>
      </c>
      <c r="E824">
        <v>3528</v>
      </c>
      <c r="F824">
        <v>53</v>
      </c>
      <c r="G824">
        <v>13872</v>
      </c>
      <c r="H824">
        <v>2276</v>
      </c>
      <c r="I824">
        <v>8617</v>
      </c>
      <c r="J824">
        <v>2966</v>
      </c>
      <c r="K824">
        <v>12</v>
      </c>
      <c r="L824">
        <v>85668</v>
      </c>
      <c r="M824">
        <v>3575</v>
      </c>
      <c r="N824">
        <v>2841</v>
      </c>
      <c r="O824">
        <v>78960</v>
      </c>
      <c r="P824">
        <v>292</v>
      </c>
      <c r="Q824">
        <v>23</v>
      </c>
      <c r="R824">
        <v>2</v>
      </c>
      <c r="S824">
        <v>186</v>
      </c>
    </row>
    <row r="825" spans="1:19" x14ac:dyDescent="0.25">
      <c r="A825" s="2">
        <v>40664</v>
      </c>
      <c r="B825">
        <v>139681</v>
      </c>
      <c r="C825">
        <v>133626</v>
      </c>
      <c r="D825">
        <v>2360</v>
      </c>
      <c r="E825">
        <v>3612</v>
      </c>
      <c r="F825">
        <v>82</v>
      </c>
      <c r="G825">
        <v>13871</v>
      </c>
      <c r="H825">
        <v>2207</v>
      </c>
      <c r="I825">
        <v>8696</v>
      </c>
      <c r="J825">
        <v>2944</v>
      </c>
      <c r="K825">
        <v>24</v>
      </c>
      <c r="L825">
        <v>85761</v>
      </c>
      <c r="M825">
        <v>3749</v>
      </c>
      <c r="N825">
        <v>2814</v>
      </c>
      <c r="O825">
        <v>78926</v>
      </c>
      <c r="P825">
        <v>272</v>
      </c>
      <c r="Q825">
        <v>23</v>
      </c>
      <c r="R825">
        <v>2</v>
      </c>
      <c r="S825">
        <v>186</v>
      </c>
    </row>
    <row r="826" spans="1:19" x14ac:dyDescent="0.25">
      <c r="A826" s="2">
        <v>40695</v>
      </c>
      <c r="B826">
        <v>139405</v>
      </c>
      <c r="C826">
        <v>133627</v>
      </c>
      <c r="D826">
        <v>2422</v>
      </c>
      <c r="E826">
        <v>3307</v>
      </c>
      <c r="F826">
        <v>49</v>
      </c>
      <c r="G826">
        <v>13964</v>
      </c>
      <c r="H826">
        <v>2156</v>
      </c>
      <c r="I826">
        <v>8658</v>
      </c>
      <c r="J826">
        <v>3131</v>
      </c>
      <c r="K826">
        <v>19</v>
      </c>
      <c r="L826">
        <v>86120</v>
      </c>
      <c r="M826">
        <v>3866</v>
      </c>
      <c r="N826">
        <v>2790</v>
      </c>
      <c r="O826">
        <v>79130</v>
      </c>
      <c r="P826">
        <v>335</v>
      </c>
      <c r="Q826">
        <v>32</v>
      </c>
      <c r="R826">
        <v>2</v>
      </c>
      <c r="S826">
        <v>193</v>
      </c>
    </row>
    <row r="827" spans="1:19" x14ac:dyDescent="0.25">
      <c r="A827" s="2">
        <v>40725</v>
      </c>
      <c r="B827">
        <v>139509</v>
      </c>
      <c r="C827">
        <v>133401</v>
      </c>
      <c r="D827">
        <v>2375</v>
      </c>
      <c r="E827">
        <v>3710</v>
      </c>
      <c r="F827">
        <v>23</v>
      </c>
      <c r="G827">
        <v>13817</v>
      </c>
      <c r="H827">
        <v>2135</v>
      </c>
      <c r="I827">
        <v>8630</v>
      </c>
      <c r="J827">
        <v>3038</v>
      </c>
      <c r="K827">
        <v>13</v>
      </c>
      <c r="L827">
        <v>86345</v>
      </c>
      <c r="M827">
        <v>3816</v>
      </c>
      <c r="N827">
        <v>2955</v>
      </c>
      <c r="O827">
        <v>79164</v>
      </c>
      <c r="P827">
        <v>411</v>
      </c>
      <c r="Q827">
        <v>54</v>
      </c>
      <c r="R827">
        <v>4</v>
      </c>
      <c r="S827">
        <v>208</v>
      </c>
    </row>
    <row r="828" spans="1:19" x14ac:dyDescent="0.25">
      <c r="A828" s="2">
        <v>40756</v>
      </c>
      <c r="B828">
        <v>139870</v>
      </c>
      <c r="C828">
        <v>133901</v>
      </c>
      <c r="D828">
        <v>2400</v>
      </c>
      <c r="E828">
        <v>3502</v>
      </c>
      <c r="F828">
        <v>68</v>
      </c>
      <c r="G828">
        <v>13837</v>
      </c>
      <c r="H828">
        <v>2043</v>
      </c>
      <c r="I828">
        <v>8671</v>
      </c>
      <c r="J828">
        <v>3099</v>
      </c>
      <c r="K828">
        <v>23</v>
      </c>
      <c r="L828">
        <v>86165</v>
      </c>
      <c r="M828">
        <v>3541</v>
      </c>
      <c r="N828">
        <v>2744</v>
      </c>
      <c r="O828">
        <v>79558</v>
      </c>
      <c r="P828">
        <v>322</v>
      </c>
      <c r="Q828">
        <v>24</v>
      </c>
      <c r="R828">
        <v>2</v>
      </c>
      <c r="S828">
        <v>187</v>
      </c>
    </row>
    <row r="829" spans="1:19" x14ac:dyDescent="0.25">
      <c r="A829" s="2">
        <v>40787</v>
      </c>
      <c r="B829">
        <v>140164</v>
      </c>
      <c r="C829">
        <v>133978</v>
      </c>
      <c r="D829">
        <v>2396</v>
      </c>
      <c r="E829">
        <v>3752</v>
      </c>
      <c r="F829">
        <v>38</v>
      </c>
      <c r="G829">
        <v>13910</v>
      </c>
      <c r="H829">
        <v>2384</v>
      </c>
      <c r="I829">
        <v>8462</v>
      </c>
      <c r="J829">
        <v>3053</v>
      </c>
      <c r="K829">
        <v>11</v>
      </c>
      <c r="L829">
        <v>85997</v>
      </c>
      <c r="M829">
        <v>3484</v>
      </c>
      <c r="N829">
        <v>2978</v>
      </c>
      <c r="O829">
        <v>79173</v>
      </c>
      <c r="P829">
        <v>362</v>
      </c>
      <c r="Q829">
        <v>24</v>
      </c>
      <c r="R829">
        <v>2</v>
      </c>
      <c r="S829">
        <v>187</v>
      </c>
    </row>
    <row r="830" spans="1:19" x14ac:dyDescent="0.25">
      <c r="A830" s="2">
        <v>40817</v>
      </c>
      <c r="B830">
        <v>140314</v>
      </c>
      <c r="C830">
        <v>134231</v>
      </c>
      <c r="D830">
        <v>2448</v>
      </c>
      <c r="E830">
        <v>3571</v>
      </c>
      <c r="F830">
        <v>64</v>
      </c>
      <c r="G830">
        <v>13696</v>
      </c>
      <c r="H830">
        <v>2170</v>
      </c>
      <c r="I830">
        <v>8778</v>
      </c>
      <c r="J830">
        <v>2728</v>
      </c>
      <c r="K830">
        <v>20</v>
      </c>
      <c r="L830">
        <v>86260</v>
      </c>
      <c r="M830">
        <v>3740</v>
      </c>
      <c r="N830">
        <v>2682</v>
      </c>
      <c r="O830">
        <v>79512</v>
      </c>
      <c r="P830">
        <v>326</v>
      </c>
      <c r="Q830">
        <v>24</v>
      </c>
      <c r="R830">
        <v>2</v>
      </c>
      <c r="S830">
        <v>187</v>
      </c>
    </row>
    <row r="831" spans="1:19" x14ac:dyDescent="0.25">
      <c r="A831" s="2">
        <v>40848</v>
      </c>
      <c r="B831">
        <v>140771</v>
      </c>
      <c r="C831">
        <v>134584</v>
      </c>
      <c r="D831">
        <v>2483</v>
      </c>
      <c r="E831">
        <v>3650</v>
      </c>
      <c r="F831">
        <v>54</v>
      </c>
      <c r="G831">
        <v>13325</v>
      </c>
      <c r="H831">
        <v>2104</v>
      </c>
      <c r="I831">
        <v>8442</v>
      </c>
      <c r="J831">
        <v>2761</v>
      </c>
      <c r="K831">
        <v>18</v>
      </c>
      <c r="L831">
        <v>86345</v>
      </c>
      <c r="M831">
        <v>3601</v>
      </c>
      <c r="N831">
        <v>2769</v>
      </c>
      <c r="O831">
        <v>79662</v>
      </c>
      <c r="P831">
        <v>312</v>
      </c>
      <c r="Q831">
        <v>24</v>
      </c>
      <c r="R831">
        <v>2</v>
      </c>
      <c r="S831">
        <v>187</v>
      </c>
    </row>
    <row r="832" spans="1:19" x14ac:dyDescent="0.25">
      <c r="A832" s="2">
        <v>40878</v>
      </c>
      <c r="B832">
        <v>140896</v>
      </c>
      <c r="C832">
        <v>134779</v>
      </c>
      <c r="D832">
        <v>2503</v>
      </c>
      <c r="E832">
        <v>3516</v>
      </c>
      <c r="F832">
        <v>98</v>
      </c>
      <c r="G832">
        <v>13049</v>
      </c>
      <c r="H832">
        <v>2053</v>
      </c>
      <c r="I832">
        <v>8087</v>
      </c>
      <c r="J832">
        <v>2889</v>
      </c>
      <c r="K832">
        <v>21</v>
      </c>
      <c r="L832">
        <v>86640</v>
      </c>
      <c r="M832">
        <v>3916</v>
      </c>
      <c r="N832">
        <v>2733</v>
      </c>
      <c r="O832">
        <v>79753</v>
      </c>
      <c r="P832">
        <v>238</v>
      </c>
      <c r="Q832">
        <v>24</v>
      </c>
      <c r="R832">
        <v>2</v>
      </c>
      <c r="S832">
        <v>187</v>
      </c>
    </row>
    <row r="833" spans="1:19" x14ac:dyDescent="0.25">
      <c r="A833" s="2" t="s">
        <v>74</v>
      </c>
      <c r="B833" t="e">
        <v>#N/A</v>
      </c>
      <c r="C833" t="e">
        <v>#N/A</v>
      </c>
      <c r="D833" t="e">
        <v>#N/A</v>
      </c>
      <c r="E833" t="e">
        <v>#N/A</v>
      </c>
      <c r="F833" t="e">
        <v>#N/A</v>
      </c>
      <c r="G833" t="e">
        <v>#N/A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</row>
    <row r="834" spans="1:19" x14ac:dyDescent="0.25">
      <c r="A834" s="2">
        <v>40909</v>
      </c>
      <c r="B834">
        <v>141608</v>
      </c>
      <c r="C834">
        <v>134862</v>
      </c>
      <c r="D834">
        <v>2407</v>
      </c>
      <c r="E834">
        <v>3462</v>
      </c>
      <c r="F834">
        <v>877</v>
      </c>
      <c r="G834">
        <v>12748</v>
      </c>
      <c r="H834">
        <v>1983</v>
      </c>
      <c r="I834">
        <v>7793</v>
      </c>
      <c r="J834">
        <v>2885</v>
      </c>
      <c r="K834">
        <v>86</v>
      </c>
      <c r="L834">
        <v>87913</v>
      </c>
      <c r="M834">
        <v>3978</v>
      </c>
      <c r="N834">
        <v>2842</v>
      </c>
      <c r="O834">
        <v>80083</v>
      </c>
      <c r="P834">
        <v>1011</v>
      </c>
      <c r="Q834">
        <v>73</v>
      </c>
      <c r="R834">
        <v>6</v>
      </c>
      <c r="S834">
        <v>210</v>
      </c>
    </row>
    <row r="835" spans="1:19" x14ac:dyDescent="0.25">
      <c r="A835" s="2">
        <v>40940</v>
      </c>
      <c r="B835">
        <v>142019</v>
      </c>
      <c r="C835">
        <v>136101</v>
      </c>
      <c r="D835">
        <v>2355</v>
      </c>
      <c r="E835">
        <v>3544</v>
      </c>
      <c r="F835">
        <v>18</v>
      </c>
      <c r="G835">
        <v>12806</v>
      </c>
      <c r="H835">
        <v>1943</v>
      </c>
      <c r="I835">
        <v>7753</v>
      </c>
      <c r="J835">
        <v>3093</v>
      </c>
      <c r="K835">
        <v>17</v>
      </c>
      <c r="L835">
        <v>87611</v>
      </c>
      <c r="M835">
        <v>3535</v>
      </c>
      <c r="N835">
        <v>2637</v>
      </c>
      <c r="O835">
        <v>81084</v>
      </c>
      <c r="P835">
        <v>355</v>
      </c>
      <c r="Q835">
        <v>30</v>
      </c>
      <c r="R835">
        <v>2</v>
      </c>
      <c r="S835">
        <v>191</v>
      </c>
    </row>
    <row r="836" spans="1:19" x14ac:dyDescent="0.25">
      <c r="A836" s="2">
        <v>40969</v>
      </c>
      <c r="B836">
        <v>142020</v>
      </c>
      <c r="C836">
        <v>136131</v>
      </c>
      <c r="D836">
        <v>2324</v>
      </c>
      <c r="E836">
        <v>3490</v>
      </c>
      <c r="F836">
        <v>75</v>
      </c>
      <c r="G836">
        <v>12686</v>
      </c>
      <c r="H836">
        <v>2091</v>
      </c>
      <c r="I836">
        <v>7737</v>
      </c>
      <c r="J836">
        <v>2852</v>
      </c>
      <c r="K836">
        <v>6</v>
      </c>
      <c r="L836">
        <v>87898</v>
      </c>
      <c r="M836">
        <v>3773</v>
      </c>
      <c r="N836">
        <v>2743</v>
      </c>
      <c r="O836">
        <v>81080</v>
      </c>
      <c r="P836">
        <v>302</v>
      </c>
      <c r="Q836">
        <v>24</v>
      </c>
      <c r="R836">
        <v>2</v>
      </c>
      <c r="S836">
        <v>189</v>
      </c>
    </row>
    <row r="837" spans="1:19" x14ac:dyDescent="0.25">
      <c r="A837" s="2">
        <v>41000</v>
      </c>
      <c r="B837">
        <v>141934</v>
      </c>
      <c r="C837">
        <v>136027</v>
      </c>
      <c r="D837">
        <v>2271</v>
      </c>
      <c r="E837">
        <v>3565</v>
      </c>
      <c r="F837">
        <v>71</v>
      </c>
      <c r="G837">
        <v>12518</v>
      </c>
      <c r="H837">
        <v>2004</v>
      </c>
      <c r="I837">
        <v>7744</v>
      </c>
      <c r="J837">
        <v>2753</v>
      </c>
      <c r="K837">
        <v>17</v>
      </c>
      <c r="L837">
        <v>88332</v>
      </c>
      <c r="M837">
        <v>3966</v>
      </c>
      <c r="N837">
        <v>2669</v>
      </c>
      <c r="O837">
        <v>81391</v>
      </c>
      <c r="P837">
        <v>306</v>
      </c>
      <c r="Q837">
        <v>24</v>
      </c>
      <c r="R837">
        <v>2</v>
      </c>
      <c r="S837">
        <v>189</v>
      </c>
    </row>
    <row r="838" spans="1:19" x14ac:dyDescent="0.25">
      <c r="A838" s="2">
        <v>41030</v>
      </c>
      <c r="B838">
        <v>142302</v>
      </c>
      <c r="C838">
        <v>136289</v>
      </c>
      <c r="D838">
        <v>2263</v>
      </c>
      <c r="E838">
        <v>3693</v>
      </c>
      <c r="F838">
        <v>58</v>
      </c>
      <c r="G838">
        <v>12695</v>
      </c>
      <c r="H838">
        <v>1950</v>
      </c>
      <c r="I838">
        <v>7644</v>
      </c>
      <c r="J838">
        <v>3092</v>
      </c>
      <c r="K838">
        <v>10</v>
      </c>
      <c r="L838">
        <v>87968</v>
      </c>
      <c r="M838">
        <v>3672</v>
      </c>
      <c r="N838">
        <v>2610</v>
      </c>
      <c r="O838">
        <v>81358</v>
      </c>
      <c r="P838">
        <v>328</v>
      </c>
      <c r="Q838">
        <v>24</v>
      </c>
      <c r="R838">
        <v>2</v>
      </c>
      <c r="S838">
        <v>189</v>
      </c>
    </row>
    <row r="839" spans="1:19" x14ac:dyDescent="0.25">
      <c r="A839" s="2">
        <v>41061</v>
      </c>
      <c r="B839">
        <v>142448</v>
      </c>
      <c r="C839">
        <v>136461</v>
      </c>
      <c r="D839">
        <v>2284</v>
      </c>
      <c r="E839">
        <v>3634</v>
      </c>
      <c r="F839">
        <v>69</v>
      </c>
      <c r="G839">
        <v>12701</v>
      </c>
      <c r="H839">
        <v>2068</v>
      </c>
      <c r="I839">
        <v>7742</v>
      </c>
      <c r="J839">
        <v>2862</v>
      </c>
      <c r="K839">
        <v>28</v>
      </c>
      <c r="L839">
        <v>88006</v>
      </c>
      <c r="M839">
        <v>3750</v>
      </c>
      <c r="N839">
        <v>2667</v>
      </c>
      <c r="O839">
        <v>81283</v>
      </c>
      <c r="P839">
        <v>307</v>
      </c>
      <c r="Q839">
        <v>24</v>
      </c>
      <c r="R839">
        <v>2</v>
      </c>
      <c r="S839">
        <v>189</v>
      </c>
    </row>
    <row r="840" spans="1:19" x14ac:dyDescent="0.25">
      <c r="A840" s="2">
        <v>41091</v>
      </c>
      <c r="B840">
        <v>142250</v>
      </c>
      <c r="C840">
        <v>136308</v>
      </c>
      <c r="D840">
        <v>2280</v>
      </c>
      <c r="E840">
        <v>3629</v>
      </c>
      <c r="F840">
        <v>34</v>
      </c>
      <c r="G840">
        <v>12745</v>
      </c>
      <c r="H840">
        <v>2160</v>
      </c>
      <c r="I840">
        <v>7721</v>
      </c>
      <c r="J840">
        <v>2852</v>
      </c>
      <c r="K840">
        <v>11</v>
      </c>
      <c r="L840">
        <v>88359</v>
      </c>
      <c r="M840">
        <v>3896</v>
      </c>
      <c r="N840">
        <v>2693</v>
      </c>
      <c r="O840">
        <v>81300</v>
      </c>
      <c r="P840">
        <v>470</v>
      </c>
      <c r="Q840">
        <v>84</v>
      </c>
      <c r="R840">
        <v>7</v>
      </c>
      <c r="S840">
        <v>225</v>
      </c>
    </row>
    <row r="841" spans="1:19" x14ac:dyDescent="0.25">
      <c r="A841" s="2">
        <v>41122</v>
      </c>
      <c r="B841">
        <v>142164</v>
      </c>
      <c r="C841">
        <v>136017</v>
      </c>
      <c r="D841">
        <v>2291</v>
      </c>
      <c r="E841">
        <v>3802</v>
      </c>
      <c r="F841">
        <v>55</v>
      </c>
      <c r="G841">
        <v>12483</v>
      </c>
      <c r="H841">
        <v>2130</v>
      </c>
      <c r="I841">
        <v>7519</v>
      </c>
      <c r="J841">
        <v>2825</v>
      </c>
      <c r="K841">
        <v>9</v>
      </c>
      <c r="L841">
        <v>88919</v>
      </c>
      <c r="M841">
        <v>4080</v>
      </c>
      <c r="N841">
        <v>2933</v>
      </c>
      <c r="O841">
        <v>81543</v>
      </c>
      <c r="P841">
        <v>363</v>
      </c>
      <c r="Q841">
        <v>24</v>
      </c>
      <c r="R841">
        <v>2</v>
      </c>
      <c r="S841">
        <v>190</v>
      </c>
    </row>
    <row r="842" spans="1:19" x14ac:dyDescent="0.25">
      <c r="A842" s="2">
        <v>41153</v>
      </c>
      <c r="B842">
        <v>142974</v>
      </c>
      <c r="C842">
        <v>136776</v>
      </c>
      <c r="D842">
        <v>2392</v>
      </c>
      <c r="E842">
        <v>3746</v>
      </c>
      <c r="F842">
        <v>59</v>
      </c>
      <c r="G842">
        <v>12082</v>
      </c>
      <c r="H842">
        <v>1897</v>
      </c>
      <c r="I842">
        <v>7306</v>
      </c>
      <c r="J842">
        <v>2865</v>
      </c>
      <c r="K842">
        <v>13</v>
      </c>
      <c r="L842">
        <v>88716</v>
      </c>
      <c r="M842">
        <v>3466</v>
      </c>
      <c r="N842">
        <v>2783</v>
      </c>
      <c r="O842">
        <v>82118</v>
      </c>
      <c r="P842">
        <v>349</v>
      </c>
      <c r="Q842">
        <v>24</v>
      </c>
      <c r="R842">
        <v>2</v>
      </c>
      <c r="S842">
        <v>190</v>
      </c>
    </row>
    <row r="843" spans="1:19" x14ac:dyDescent="0.25">
      <c r="A843" s="2">
        <v>41183</v>
      </c>
      <c r="B843">
        <v>143328</v>
      </c>
      <c r="C843">
        <v>137261</v>
      </c>
      <c r="D843">
        <v>2253</v>
      </c>
      <c r="E843">
        <v>3715</v>
      </c>
      <c r="F843">
        <v>99</v>
      </c>
      <c r="G843">
        <v>12248</v>
      </c>
      <c r="H843">
        <v>2017</v>
      </c>
      <c r="I843">
        <v>7125</v>
      </c>
      <c r="J843">
        <v>3099</v>
      </c>
      <c r="K843">
        <v>8</v>
      </c>
      <c r="L843">
        <v>88407</v>
      </c>
      <c r="M843">
        <v>3673</v>
      </c>
      <c r="N843">
        <v>2702</v>
      </c>
      <c r="O843">
        <v>81713</v>
      </c>
      <c r="P843">
        <v>319</v>
      </c>
      <c r="Q843">
        <v>24</v>
      </c>
      <c r="R843">
        <v>2</v>
      </c>
      <c r="S843">
        <v>190</v>
      </c>
    </row>
    <row r="844" spans="1:19" x14ac:dyDescent="0.25">
      <c r="A844" s="2">
        <v>41214</v>
      </c>
      <c r="B844">
        <v>143277</v>
      </c>
      <c r="C844">
        <v>137457</v>
      </c>
      <c r="D844">
        <v>2157</v>
      </c>
      <c r="E844">
        <v>3628</v>
      </c>
      <c r="F844">
        <v>34</v>
      </c>
      <c r="G844">
        <v>12042</v>
      </c>
      <c r="H844">
        <v>1908</v>
      </c>
      <c r="I844">
        <v>7199</v>
      </c>
      <c r="J844">
        <v>2910</v>
      </c>
      <c r="K844">
        <v>25</v>
      </c>
      <c r="L844">
        <v>88855</v>
      </c>
      <c r="M844">
        <v>3939</v>
      </c>
      <c r="N844">
        <v>2890</v>
      </c>
      <c r="O844">
        <v>81678</v>
      </c>
      <c r="P844">
        <v>348</v>
      </c>
      <c r="Q844">
        <v>24</v>
      </c>
      <c r="R844">
        <v>2</v>
      </c>
      <c r="S844">
        <v>190</v>
      </c>
    </row>
    <row r="845" spans="1:19" x14ac:dyDescent="0.25">
      <c r="A845" s="2">
        <v>41244</v>
      </c>
      <c r="B845">
        <v>143305</v>
      </c>
      <c r="C845">
        <v>137376</v>
      </c>
      <c r="D845">
        <v>2175</v>
      </c>
      <c r="E845">
        <v>3684</v>
      </c>
      <c r="F845">
        <v>69</v>
      </c>
      <c r="G845">
        <v>12206</v>
      </c>
      <c r="H845">
        <v>2123</v>
      </c>
      <c r="I845">
        <v>7131</v>
      </c>
      <c r="J845">
        <v>2945</v>
      </c>
      <c r="K845">
        <v>8</v>
      </c>
      <c r="L845">
        <v>88839</v>
      </c>
      <c r="M845">
        <v>3754</v>
      </c>
      <c r="N845">
        <v>2735</v>
      </c>
      <c r="O845">
        <v>82036</v>
      </c>
      <c r="P845">
        <v>314</v>
      </c>
      <c r="Q845">
        <v>24</v>
      </c>
      <c r="R845">
        <v>2</v>
      </c>
      <c r="S845">
        <v>190</v>
      </c>
    </row>
    <row r="846" spans="1:19" x14ac:dyDescent="0.25">
      <c r="A846" s="2" t="s">
        <v>75</v>
      </c>
      <c r="B846" t="e">
        <v>#N/A</v>
      </c>
      <c r="C846" t="e">
        <v>#N/A</v>
      </c>
      <c r="D846" t="e">
        <v>#N/A</v>
      </c>
      <c r="E846" t="e">
        <v>#N/A</v>
      </c>
      <c r="F846" t="e">
        <v>#N/A</v>
      </c>
      <c r="G846" t="e">
        <v>#N/A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</row>
    <row r="847" spans="1:19" x14ac:dyDescent="0.25">
      <c r="A847" s="2">
        <v>41275</v>
      </c>
      <c r="B847">
        <v>143322</v>
      </c>
      <c r="C847">
        <v>137431</v>
      </c>
      <c r="D847">
        <v>2249</v>
      </c>
      <c r="E847">
        <v>3566</v>
      </c>
      <c r="F847">
        <v>76</v>
      </c>
      <c r="G847">
        <v>12332</v>
      </c>
      <c r="H847">
        <v>2104</v>
      </c>
      <c r="I847">
        <v>7393</v>
      </c>
      <c r="J847">
        <v>2811</v>
      </c>
      <c r="K847">
        <v>24</v>
      </c>
      <c r="L847">
        <v>89008</v>
      </c>
      <c r="M847">
        <v>3745</v>
      </c>
      <c r="N847">
        <v>2563</v>
      </c>
      <c r="O847">
        <v>82271</v>
      </c>
      <c r="P847">
        <v>429</v>
      </c>
      <c r="Q847">
        <v>24</v>
      </c>
      <c r="R847">
        <v>2</v>
      </c>
      <c r="S847">
        <v>190</v>
      </c>
    </row>
    <row r="848" spans="1:19" x14ac:dyDescent="0.25">
      <c r="A848" s="2">
        <v>41306</v>
      </c>
      <c r="B848">
        <v>143492</v>
      </c>
      <c r="C848">
        <v>137400</v>
      </c>
      <c r="D848">
        <v>2311</v>
      </c>
      <c r="E848">
        <v>3716</v>
      </c>
      <c r="F848">
        <v>65</v>
      </c>
      <c r="G848">
        <v>12032</v>
      </c>
      <c r="H848">
        <v>1884</v>
      </c>
      <c r="I848">
        <v>7257</v>
      </c>
      <c r="J848">
        <v>2881</v>
      </c>
      <c r="K848">
        <v>9</v>
      </c>
      <c r="L848">
        <v>89304</v>
      </c>
      <c r="M848">
        <v>4015</v>
      </c>
      <c r="N848">
        <v>2762</v>
      </c>
      <c r="O848">
        <v>82220</v>
      </c>
      <c r="P848">
        <v>307</v>
      </c>
      <c r="Q848">
        <v>24</v>
      </c>
      <c r="R848">
        <v>2</v>
      </c>
      <c r="S848">
        <v>191</v>
      </c>
    </row>
    <row r="849" spans="1:19" x14ac:dyDescent="0.25">
      <c r="A849" s="2">
        <v>41334</v>
      </c>
      <c r="B849">
        <v>143286</v>
      </c>
      <c r="C849">
        <v>137362</v>
      </c>
      <c r="D849">
        <v>2153</v>
      </c>
      <c r="E849">
        <v>3724</v>
      </c>
      <c r="F849">
        <v>47</v>
      </c>
      <c r="G849">
        <v>11742</v>
      </c>
      <c r="H849">
        <v>1902</v>
      </c>
      <c r="I849">
        <v>7133</v>
      </c>
      <c r="J849">
        <v>2685</v>
      </c>
      <c r="K849">
        <v>22</v>
      </c>
      <c r="L849">
        <v>89967</v>
      </c>
      <c r="M849">
        <v>4204</v>
      </c>
      <c r="N849">
        <v>2745</v>
      </c>
      <c r="O849">
        <v>82704</v>
      </c>
      <c r="P849">
        <v>315</v>
      </c>
      <c r="Q849">
        <v>24</v>
      </c>
      <c r="R849">
        <v>2</v>
      </c>
      <c r="S849">
        <v>191</v>
      </c>
    </row>
    <row r="850" spans="1:19" x14ac:dyDescent="0.25">
      <c r="A850" s="2">
        <v>41365</v>
      </c>
      <c r="B850">
        <v>143579</v>
      </c>
      <c r="C850">
        <v>137312</v>
      </c>
      <c r="D850">
        <v>2260</v>
      </c>
      <c r="E850">
        <v>3912</v>
      </c>
      <c r="F850">
        <v>95</v>
      </c>
      <c r="G850">
        <v>11659</v>
      </c>
      <c r="H850">
        <v>2008</v>
      </c>
      <c r="I850">
        <v>7012</v>
      </c>
      <c r="J850">
        <v>2625</v>
      </c>
      <c r="K850">
        <v>14</v>
      </c>
      <c r="L850">
        <v>89936</v>
      </c>
      <c r="M850">
        <v>3941</v>
      </c>
      <c r="N850">
        <v>2469</v>
      </c>
      <c r="O850">
        <v>83240</v>
      </c>
      <c r="P850">
        <v>286</v>
      </c>
      <c r="Q850">
        <v>24</v>
      </c>
      <c r="R850">
        <v>2</v>
      </c>
      <c r="S850">
        <v>191</v>
      </c>
    </row>
    <row r="851" spans="1:19" x14ac:dyDescent="0.25">
      <c r="A851" s="2">
        <v>41395</v>
      </c>
      <c r="B851">
        <v>143898</v>
      </c>
      <c r="C851">
        <v>137769</v>
      </c>
      <c r="D851">
        <v>2251</v>
      </c>
      <c r="E851">
        <v>3806</v>
      </c>
      <c r="F851">
        <v>71</v>
      </c>
      <c r="G851">
        <v>11760</v>
      </c>
      <c r="H851">
        <v>1961</v>
      </c>
      <c r="I851">
        <v>6990</v>
      </c>
      <c r="J851">
        <v>2777</v>
      </c>
      <c r="K851">
        <v>32</v>
      </c>
      <c r="L851">
        <v>89705</v>
      </c>
      <c r="M851">
        <v>3825</v>
      </c>
      <c r="N851">
        <v>2416</v>
      </c>
      <c r="O851">
        <v>83162</v>
      </c>
      <c r="P851">
        <v>302</v>
      </c>
      <c r="Q851">
        <v>24</v>
      </c>
      <c r="R851">
        <v>2</v>
      </c>
      <c r="S851">
        <v>191</v>
      </c>
    </row>
    <row r="852" spans="1:19" x14ac:dyDescent="0.25">
      <c r="A852" s="2">
        <v>41426</v>
      </c>
      <c r="B852">
        <v>144058</v>
      </c>
      <c r="C852">
        <v>137757</v>
      </c>
      <c r="D852">
        <v>2330</v>
      </c>
      <c r="E852">
        <v>3907</v>
      </c>
      <c r="F852">
        <v>64</v>
      </c>
      <c r="G852">
        <v>11777</v>
      </c>
      <c r="H852">
        <v>2114</v>
      </c>
      <c r="I852">
        <v>6947</v>
      </c>
      <c r="J852">
        <v>2686</v>
      </c>
      <c r="K852">
        <v>30</v>
      </c>
      <c r="L852">
        <v>89717</v>
      </c>
      <c r="M852">
        <v>4003</v>
      </c>
      <c r="N852">
        <v>2481</v>
      </c>
      <c r="O852">
        <v>82920</v>
      </c>
      <c r="P852">
        <v>312</v>
      </c>
      <c r="Q852">
        <v>24</v>
      </c>
      <c r="R852">
        <v>2</v>
      </c>
      <c r="S852">
        <v>191</v>
      </c>
    </row>
    <row r="853" spans="1:19" x14ac:dyDescent="0.25">
      <c r="A853" s="2">
        <v>41456</v>
      </c>
      <c r="B853">
        <v>144285</v>
      </c>
      <c r="C853">
        <v>138155</v>
      </c>
      <c r="D853">
        <v>2337</v>
      </c>
      <c r="E853">
        <v>3774</v>
      </c>
      <c r="F853">
        <v>19</v>
      </c>
      <c r="G853">
        <v>11514</v>
      </c>
      <c r="H853">
        <v>1957</v>
      </c>
      <c r="I853">
        <v>6814</v>
      </c>
      <c r="J853">
        <v>2719</v>
      </c>
      <c r="K853">
        <v>23</v>
      </c>
      <c r="L853">
        <v>89957</v>
      </c>
      <c r="M853">
        <v>3854</v>
      </c>
      <c r="N853">
        <v>2619</v>
      </c>
      <c r="O853">
        <v>82996</v>
      </c>
      <c r="P853">
        <v>488</v>
      </c>
      <c r="Q853">
        <v>92</v>
      </c>
      <c r="R853">
        <v>7</v>
      </c>
      <c r="S853">
        <v>228</v>
      </c>
    </row>
    <row r="854" spans="1:19" x14ac:dyDescent="0.25">
      <c r="A854" s="2">
        <v>41487</v>
      </c>
      <c r="B854">
        <v>144170</v>
      </c>
      <c r="C854">
        <v>138185</v>
      </c>
      <c r="D854">
        <v>2243</v>
      </c>
      <c r="E854">
        <v>3711</v>
      </c>
      <c r="F854">
        <v>31</v>
      </c>
      <c r="G854">
        <v>11316</v>
      </c>
      <c r="H854">
        <v>2007</v>
      </c>
      <c r="I854">
        <v>6611</v>
      </c>
      <c r="J854">
        <v>2652</v>
      </c>
      <c r="K854">
        <v>46</v>
      </c>
      <c r="L854">
        <v>90473</v>
      </c>
      <c r="M854">
        <v>4068</v>
      </c>
      <c r="N854">
        <v>2658</v>
      </c>
      <c r="O854">
        <v>83403</v>
      </c>
      <c r="P854">
        <v>344</v>
      </c>
      <c r="Q854">
        <v>24</v>
      </c>
      <c r="R854">
        <v>2</v>
      </c>
      <c r="S854">
        <v>191</v>
      </c>
    </row>
    <row r="855" spans="1:19" x14ac:dyDescent="0.25">
      <c r="A855" s="2">
        <v>41518</v>
      </c>
      <c r="B855">
        <v>144303</v>
      </c>
      <c r="C855">
        <v>138304</v>
      </c>
      <c r="D855">
        <v>2137</v>
      </c>
      <c r="E855">
        <v>3790</v>
      </c>
      <c r="F855">
        <v>72</v>
      </c>
      <c r="G855">
        <v>11255</v>
      </c>
      <c r="H855">
        <v>1887</v>
      </c>
      <c r="I855">
        <v>6753</v>
      </c>
      <c r="J855">
        <v>2596</v>
      </c>
      <c r="K855">
        <v>20</v>
      </c>
      <c r="L855">
        <v>90609</v>
      </c>
      <c r="M855">
        <v>3955</v>
      </c>
      <c r="N855">
        <v>2425</v>
      </c>
      <c r="O855">
        <v>83896</v>
      </c>
      <c r="P855">
        <v>334</v>
      </c>
      <c r="Q855">
        <v>24</v>
      </c>
      <c r="R855">
        <v>2</v>
      </c>
      <c r="S855">
        <v>192</v>
      </c>
    </row>
    <row r="856" spans="1:19" x14ac:dyDescent="0.25">
      <c r="A856" s="2">
        <v>41548</v>
      </c>
      <c r="B856" t="e">
        <v>#N/A</v>
      </c>
      <c r="C856" t="e">
        <v>#N/A</v>
      </c>
      <c r="D856" t="e">
        <v>#N/A</v>
      </c>
      <c r="E856" t="e">
        <v>#N/A</v>
      </c>
      <c r="F856" t="e">
        <v>#N/A</v>
      </c>
      <c r="G856" t="e">
        <v>#N/A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</row>
    <row r="857" spans="1:19" x14ac:dyDescent="0.25">
      <c r="A857" s="2">
        <v>41579</v>
      </c>
      <c r="B857" t="e">
        <v>#N/A</v>
      </c>
      <c r="C857" t="e">
        <v>#N/A</v>
      </c>
      <c r="D857" t="e">
        <v>#N/A</v>
      </c>
      <c r="E857" t="e">
        <v>#N/A</v>
      </c>
      <c r="F857" t="e">
        <v>#N/A</v>
      </c>
      <c r="G857" t="e">
        <v>#N/A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</row>
    <row r="858" spans="1:19" x14ac:dyDescent="0.25">
      <c r="A858" s="2">
        <v>41609</v>
      </c>
      <c r="B858" t="e">
        <v>#N/A</v>
      </c>
      <c r="C858" t="e">
        <v>#N/A</v>
      </c>
      <c r="D858" t="e">
        <v>#N/A</v>
      </c>
      <c r="E858" t="e">
        <v>#N/A</v>
      </c>
      <c r="F858" t="e">
        <v>#N/A</v>
      </c>
      <c r="G858" t="e">
        <v>#N/A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</row>
    <row r="859" spans="1:19" x14ac:dyDescent="0.25">
      <c r="A859" s="2" t="s">
        <v>76</v>
      </c>
      <c r="B859" t="e">
        <v>#N/A</v>
      </c>
      <c r="C859" t="e">
        <v>#N/A</v>
      </c>
      <c r="D859" t="e">
        <v>#N/A</v>
      </c>
      <c r="E859" t="e">
        <v>#N/A</v>
      </c>
      <c r="F859" t="e">
        <v>#N/A</v>
      </c>
      <c r="G859" t="e">
        <v>#N/A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0"/>
  <sheetViews>
    <sheetView workbookViewId="0">
      <pane xSplit="1" ySplit="2" topLeftCell="B3" activePane="bottomRight" state="frozen"/>
      <selection activeCell="A8" sqref="A8:AGA26"/>
      <selection pane="topRight" activeCell="A8" sqref="A8:AGA26"/>
      <selection pane="bottomLeft" activeCell="A8" sqref="A8:AGA26"/>
      <selection pane="bottomRight" activeCell="B3" sqref="B3"/>
    </sheetView>
  </sheetViews>
  <sheetFormatPr defaultColWidth="11" defaultRowHeight="15.75" x14ac:dyDescent="0.25"/>
  <cols>
    <col min="2" max="19" width="9.625" customWidth="1"/>
  </cols>
  <sheetData>
    <row r="1" spans="1:19" x14ac:dyDescent="0.25">
      <c r="A1">
        <v>1</v>
      </c>
      <c r="B1">
        <f>A1+1</f>
        <v>2</v>
      </c>
      <c r="C1">
        <f t="shared" ref="C1:S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f t="shared" si="0"/>
        <v>7</v>
      </c>
      <c r="H1">
        <f t="shared" si="0"/>
        <v>8</v>
      </c>
      <c r="I1">
        <f t="shared" si="0"/>
        <v>9</v>
      </c>
      <c r="J1">
        <f t="shared" si="0"/>
        <v>10</v>
      </c>
      <c r="K1">
        <f t="shared" si="0"/>
        <v>11</v>
      </c>
      <c r="L1">
        <f t="shared" si="0"/>
        <v>12</v>
      </c>
      <c r="M1">
        <f t="shared" si="0"/>
        <v>13</v>
      </c>
      <c r="N1">
        <f t="shared" si="0"/>
        <v>14</v>
      </c>
      <c r="O1">
        <f t="shared" si="0"/>
        <v>15</v>
      </c>
      <c r="P1">
        <f t="shared" si="0"/>
        <v>16</v>
      </c>
      <c r="Q1">
        <f t="shared" si="0"/>
        <v>17</v>
      </c>
      <c r="R1">
        <f t="shared" si="0"/>
        <v>18</v>
      </c>
      <c r="S1">
        <f t="shared" si="0"/>
        <v>19</v>
      </c>
    </row>
    <row r="2" spans="1:19" x14ac:dyDescent="0.25">
      <c r="B2" t="s">
        <v>108</v>
      </c>
      <c r="C2" t="s">
        <v>109</v>
      </c>
      <c r="D2" t="s">
        <v>2</v>
      </c>
      <c r="E2" t="s">
        <v>4</v>
      </c>
      <c r="F2" t="s">
        <v>110</v>
      </c>
      <c r="G2" t="s">
        <v>111</v>
      </c>
      <c r="H2" t="s">
        <v>0</v>
      </c>
      <c r="I2" t="s">
        <v>112</v>
      </c>
      <c r="J2" t="s">
        <v>5</v>
      </c>
      <c r="K2" t="s">
        <v>113</v>
      </c>
      <c r="L2" t="s">
        <v>114</v>
      </c>
      <c r="M2" t="s">
        <v>1</v>
      </c>
      <c r="N2" t="s">
        <v>3</v>
      </c>
      <c r="O2" t="s">
        <v>115</v>
      </c>
      <c r="P2" t="s">
        <v>116</v>
      </c>
      <c r="Q2" t="s">
        <v>117</v>
      </c>
      <c r="R2" t="s">
        <v>118</v>
      </c>
      <c r="S2" t="s">
        <v>119</v>
      </c>
    </row>
    <row r="3" spans="1:19" x14ac:dyDescent="0.25">
      <c r="A3" s="2">
        <v>32874</v>
      </c>
      <c r="B3">
        <f>VLOOKUP($A3,Transpose!$A$1:$S$859,Cleaned!B$1)</f>
        <v>119081</v>
      </c>
      <c r="C3" t="e">
        <f>VLOOKUP($A3,Transpose!$A$1:$S$859,Cleaned!C$1)</f>
        <v>#N/A</v>
      </c>
      <c r="D3" t="e">
        <f>VLOOKUP($A3,Transpose!$A$1:$S$859,Cleaned!D$1)</f>
        <v>#N/A</v>
      </c>
      <c r="E3" t="e">
        <f>VLOOKUP($A3,Transpose!$A$1:$S$859,Cleaned!E$1)</f>
        <v>#N/A</v>
      </c>
      <c r="F3" t="e">
        <f>VLOOKUP($A3,Transpose!$A$1:$S$859,Cleaned!F$1)</f>
        <v>#N/A</v>
      </c>
      <c r="G3">
        <f>VLOOKUP($A3,Transpose!$A$1:$S$859,Cleaned!G$1)</f>
        <v>6752</v>
      </c>
      <c r="H3" t="e">
        <f>VLOOKUP($A3,Transpose!$A$1:$S$859,Cleaned!H$1)</f>
        <v>#N/A</v>
      </c>
      <c r="I3" t="e">
        <f>VLOOKUP($A3,Transpose!$A$1:$S$859,Cleaned!I$1)</f>
        <v>#N/A</v>
      </c>
      <c r="J3" t="e">
        <f>VLOOKUP($A3,Transpose!$A$1:$S$859,Cleaned!J$1)</f>
        <v>#N/A</v>
      </c>
      <c r="K3" t="e">
        <f>VLOOKUP($A3,Transpose!$A$1:$S$859,Cleaned!K$1)</f>
        <v>#N/A</v>
      </c>
      <c r="L3">
        <f>VLOOKUP($A3,Transpose!$A$1:$S$859,Cleaned!L$1)</f>
        <v>62580</v>
      </c>
      <c r="M3" t="e">
        <f>VLOOKUP($A3,Transpose!$A$1:$S$859,Cleaned!M$1)</f>
        <v>#N/A</v>
      </c>
      <c r="N3" t="e">
        <f>VLOOKUP($A3,Transpose!$A$1:$S$859,Cleaned!N$1)</f>
        <v>#N/A</v>
      </c>
      <c r="O3" t="e">
        <f>VLOOKUP($A3,Transpose!$A$1:$S$859,Cleaned!O$1)</f>
        <v>#N/A</v>
      </c>
      <c r="P3" t="e">
        <f>VLOOKUP($A3,Transpose!$A$1:$S$859,Cleaned!P$1)</f>
        <v>#N/A</v>
      </c>
      <c r="Q3" t="e">
        <f>VLOOKUP($A3,Transpose!$A$1:$S$859,Cleaned!Q$1)</f>
        <v>#N/A</v>
      </c>
      <c r="R3" t="e">
        <f>VLOOKUP($A3,Transpose!$A$1:$S$859,Cleaned!R$1)</f>
        <v>#N/A</v>
      </c>
      <c r="S3" t="e">
        <f>VLOOKUP($A3,Transpose!$A$1:$S$859,Cleaned!S$1)</f>
        <v>#N/A</v>
      </c>
    </row>
    <row r="4" spans="1:19" x14ac:dyDescent="0.25">
      <c r="A4" s="2">
        <f>DATE(YEAR(A3),MONTH(A3)+1,1)</f>
        <v>32905</v>
      </c>
      <c r="B4">
        <f>VLOOKUP($A4,Transpose!$A$1:$S$859,Cleaned!B$1)</f>
        <v>119059</v>
      </c>
      <c r="C4">
        <f>VLOOKUP($A4,Transpose!$A$1:$S$859,Cleaned!C$1)</f>
        <v>113650</v>
      </c>
      <c r="D4">
        <f>VLOOKUP($A4,Transpose!$A$1:$S$859,Cleaned!D$1)</f>
        <v>2152</v>
      </c>
      <c r="E4">
        <f>VLOOKUP($A4,Transpose!$A$1:$S$859,Cleaned!E$1)</f>
        <v>3204</v>
      </c>
      <c r="F4">
        <f>VLOOKUP($A4,Transpose!$A$1:$S$859,Cleaned!F$1)</f>
        <v>53</v>
      </c>
      <c r="G4">
        <f>VLOOKUP($A4,Transpose!$A$1:$S$859,Cleaned!G$1)</f>
        <v>6651</v>
      </c>
      <c r="H4">
        <f>VLOOKUP($A4,Transpose!$A$1:$S$859,Cleaned!H$1)</f>
        <v>1823</v>
      </c>
      <c r="I4">
        <f>VLOOKUP($A4,Transpose!$A$1:$S$859,Cleaned!I$1)</f>
        <v>3238</v>
      </c>
      <c r="J4">
        <f>VLOOKUP($A4,Transpose!$A$1:$S$859,Cleaned!J$1)</f>
        <v>1573</v>
      </c>
      <c r="K4">
        <f>VLOOKUP($A4,Transpose!$A$1:$S$859,Cleaned!K$1)</f>
        <v>16</v>
      </c>
      <c r="L4">
        <f>VLOOKUP($A4,Transpose!$A$1:$S$859,Cleaned!L$1)</f>
        <v>62806</v>
      </c>
      <c r="M4">
        <f>VLOOKUP($A4,Transpose!$A$1:$S$859,Cleaned!M$1)</f>
        <v>3583</v>
      </c>
      <c r="N4">
        <f>VLOOKUP($A4,Transpose!$A$1:$S$859,Cleaned!N$1)</f>
        <v>1360</v>
      </c>
      <c r="O4">
        <f>VLOOKUP($A4,Transpose!$A$1:$S$859,Cleaned!O$1)</f>
        <v>57654</v>
      </c>
      <c r="P4">
        <f>VLOOKUP($A4,Transpose!$A$1:$S$859,Cleaned!P$1)</f>
        <v>210</v>
      </c>
      <c r="Q4">
        <f>VLOOKUP($A4,Transpose!$A$1:$S$859,Cleaned!Q$1)</f>
        <v>25</v>
      </c>
      <c r="R4">
        <f>VLOOKUP($A4,Transpose!$A$1:$S$859,Cleaned!R$1)</f>
        <v>2</v>
      </c>
      <c r="S4">
        <f>VLOOKUP($A4,Transpose!$A$1:$S$859,Cleaned!S$1)</f>
        <v>149</v>
      </c>
    </row>
    <row r="5" spans="1:19" x14ac:dyDescent="0.25">
      <c r="A5" s="2">
        <f t="shared" ref="A5:A68" si="1">DATE(YEAR(A4),MONTH(A4)+1,1)</f>
        <v>32933</v>
      </c>
      <c r="B5">
        <f>VLOOKUP($A5,Transpose!$A$1:$S$859,Cleaned!B$1)</f>
        <v>119203</v>
      </c>
      <c r="C5">
        <f>VLOOKUP($A5,Transpose!$A$1:$S$859,Cleaned!C$1)</f>
        <v>113910</v>
      </c>
      <c r="D5">
        <f>VLOOKUP($A5,Transpose!$A$1:$S$859,Cleaned!D$1)</f>
        <v>1964</v>
      </c>
      <c r="E5">
        <f>VLOOKUP($A5,Transpose!$A$1:$S$859,Cleaned!E$1)</f>
        <v>3244</v>
      </c>
      <c r="F5">
        <f>VLOOKUP($A5,Transpose!$A$1:$S$859,Cleaned!F$1)</f>
        <v>85</v>
      </c>
      <c r="G5">
        <f>VLOOKUP($A5,Transpose!$A$1:$S$859,Cleaned!G$1)</f>
        <v>6598</v>
      </c>
      <c r="H5">
        <f>VLOOKUP($A5,Transpose!$A$1:$S$859,Cleaned!H$1)</f>
        <v>1764</v>
      </c>
      <c r="I5">
        <f>VLOOKUP($A5,Transpose!$A$1:$S$859,Cleaned!I$1)</f>
        <v>3219</v>
      </c>
      <c r="J5">
        <f>VLOOKUP($A5,Transpose!$A$1:$S$859,Cleaned!J$1)</f>
        <v>1604</v>
      </c>
      <c r="K5">
        <f>VLOOKUP($A5,Transpose!$A$1:$S$859,Cleaned!K$1)</f>
        <v>11</v>
      </c>
      <c r="L5">
        <f>VLOOKUP($A5,Transpose!$A$1:$S$859,Cleaned!L$1)</f>
        <v>62829</v>
      </c>
      <c r="M5">
        <f>VLOOKUP($A5,Transpose!$A$1:$S$859,Cleaned!M$1)</f>
        <v>3367</v>
      </c>
      <c r="N5">
        <f>VLOOKUP($A5,Transpose!$A$1:$S$859,Cleaned!N$1)</f>
        <v>1466</v>
      </c>
      <c r="O5">
        <f>VLOOKUP($A5,Transpose!$A$1:$S$859,Cleaned!O$1)</f>
        <v>57812</v>
      </c>
      <c r="P5">
        <f>VLOOKUP($A5,Transpose!$A$1:$S$859,Cleaned!P$1)</f>
        <v>184</v>
      </c>
      <c r="Q5">
        <f>VLOOKUP($A5,Transpose!$A$1:$S$859,Cleaned!Q$1)</f>
        <v>18</v>
      </c>
      <c r="R5">
        <f>VLOOKUP($A5,Transpose!$A$1:$S$859,Cleaned!R$1)</f>
        <v>1</v>
      </c>
      <c r="S5">
        <f>VLOOKUP($A5,Transpose!$A$1:$S$859,Cleaned!S$1)</f>
        <v>147</v>
      </c>
    </row>
    <row r="6" spans="1:19" x14ac:dyDescent="0.25">
      <c r="A6" s="2">
        <f t="shared" si="1"/>
        <v>32964</v>
      </c>
      <c r="B6">
        <f>VLOOKUP($A6,Transpose!$A$1:$S$859,Cleaned!B$1)</f>
        <v>118852</v>
      </c>
      <c r="C6">
        <f>VLOOKUP($A6,Transpose!$A$1:$S$859,Cleaned!C$1)</f>
        <v>113817</v>
      </c>
      <c r="D6">
        <f>VLOOKUP($A6,Transpose!$A$1:$S$859,Cleaned!D$1)</f>
        <v>1801</v>
      </c>
      <c r="E6">
        <f>VLOOKUP($A6,Transpose!$A$1:$S$859,Cleaned!E$1)</f>
        <v>3148</v>
      </c>
      <c r="F6">
        <f>VLOOKUP($A6,Transpose!$A$1:$S$859,Cleaned!F$1)</f>
        <v>87</v>
      </c>
      <c r="G6">
        <f>VLOOKUP($A6,Transpose!$A$1:$S$859,Cleaned!G$1)</f>
        <v>6797</v>
      </c>
      <c r="H6">
        <f>VLOOKUP($A6,Transpose!$A$1:$S$859,Cleaned!H$1)</f>
        <v>1873</v>
      </c>
      <c r="I6">
        <f>VLOOKUP($A6,Transpose!$A$1:$S$859,Cleaned!I$1)</f>
        <v>3402</v>
      </c>
      <c r="J6">
        <f>VLOOKUP($A6,Transpose!$A$1:$S$859,Cleaned!J$1)</f>
        <v>1510</v>
      </c>
      <c r="K6">
        <f>VLOOKUP($A6,Transpose!$A$1:$S$859,Cleaned!K$1)</f>
        <v>12</v>
      </c>
      <c r="L6">
        <f>VLOOKUP($A6,Transpose!$A$1:$S$859,Cleaned!L$1)</f>
        <v>63129</v>
      </c>
      <c r="M6">
        <f>VLOOKUP($A6,Transpose!$A$1:$S$859,Cleaned!M$1)</f>
        <v>3495</v>
      </c>
      <c r="N6">
        <f>VLOOKUP($A6,Transpose!$A$1:$S$859,Cleaned!N$1)</f>
        <v>1394</v>
      </c>
      <c r="O6">
        <f>VLOOKUP($A6,Transpose!$A$1:$S$859,Cleaned!O$1)</f>
        <v>58024</v>
      </c>
      <c r="P6">
        <f>VLOOKUP($A6,Transpose!$A$1:$S$859,Cleaned!P$1)</f>
        <v>216</v>
      </c>
      <c r="Q6">
        <f>VLOOKUP($A6,Transpose!$A$1:$S$859,Cleaned!Q$1)</f>
        <v>18</v>
      </c>
      <c r="R6">
        <f>VLOOKUP($A6,Transpose!$A$1:$S$859,Cleaned!R$1)</f>
        <v>1</v>
      </c>
      <c r="S6">
        <f>VLOOKUP($A6,Transpose!$A$1:$S$859,Cleaned!S$1)</f>
        <v>147</v>
      </c>
    </row>
    <row r="7" spans="1:19" x14ac:dyDescent="0.25">
      <c r="A7" s="2">
        <f t="shared" si="1"/>
        <v>32994</v>
      </c>
      <c r="B7">
        <f>VLOOKUP($A7,Transpose!$A$1:$S$859,Cleaned!B$1)</f>
        <v>119151</v>
      </c>
      <c r="C7">
        <f>VLOOKUP($A7,Transpose!$A$1:$S$859,Cleaned!C$1)</f>
        <v>114028</v>
      </c>
      <c r="D7">
        <f>VLOOKUP($A7,Transpose!$A$1:$S$859,Cleaned!D$1)</f>
        <v>1931</v>
      </c>
      <c r="E7">
        <f>VLOOKUP($A7,Transpose!$A$1:$S$859,Cleaned!E$1)</f>
        <v>3119</v>
      </c>
      <c r="F7">
        <f>VLOOKUP($A7,Transpose!$A$1:$S$859,Cleaned!F$1)</f>
        <v>73</v>
      </c>
      <c r="G7">
        <f>VLOOKUP($A7,Transpose!$A$1:$S$859,Cleaned!G$1)</f>
        <v>6742</v>
      </c>
      <c r="H7">
        <f>VLOOKUP($A7,Transpose!$A$1:$S$859,Cleaned!H$1)</f>
        <v>1676</v>
      </c>
      <c r="I7">
        <f>VLOOKUP($A7,Transpose!$A$1:$S$859,Cleaned!I$1)</f>
        <v>3551</v>
      </c>
      <c r="J7">
        <f>VLOOKUP($A7,Transpose!$A$1:$S$859,Cleaned!J$1)</f>
        <v>1496</v>
      </c>
      <c r="K7">
        <f>VLOOKUP($A7,Transpose!$A$1:$S$859,Cleaned!K$1)</f>
        <v>20</v>
      </c>
      <c r="L7">
        <f>VLOOKUP($A7,Transpose!$A$1:$S$859,Cleaned!L$1)</f>
        <v>63020</v>
      </c>
      <c r="M7">
        <f>VLOOKUP($A7,Transpose!$A$1:$S$859,Cleaned!M$1)</f>
        <v>3125</v>
      </c>
      <c r="N7">
        <f>VLOOKUP($A7,Transpose!$A$1:$S$859,Cleaned!N$1)</f>
        <v>1313</v>
      </c>
      <c r="O7">
        <f>VLOOKUP($A7,Transpose!$A$1:$S$859,Cleaned!O$1)</f>
        <v>58364</v>
      </c>
      <c r="P7">
        <f>VLOOKUP($A7,Transpose!$A$1:$S$859,Cleaned!P$1)</f>
        <v>217</v>
      </c>
      <c r="Q7">
        <f>VLOOKUP($A7,Transpose!$A$1:$S$859,Cleaned!Q$1)</f>
        <v>23</v>
      </c>
      <c r="R7">
        <f>VLOOKUP($A7,Transpose!$A$1:$S$859,Cleaned!R$1)</f>
        <v>2</v>
      </c>
      <c r="S7">
        <f>VLOOKUP($A7,Transpose!$A$1:$S$859,Cleaned!S$1)</f>
        <v>151</v>
      </c>
    </row>
    <row r="8" spans="1:19" x14ac:dyDescent="0.25">
      <c r="A8" s="2">
        <f t="shared" si="1"/>
        <v>33025</v>
      </c>
      <c r="B8">
        <f>VLOOKUP($A8,Transpose!$A$1:$S$859,Cleaned!B$1)</f>
        <v>118983</v>
      </c>
      <c r="C8">
        <f>VLOOKUP($A8,Transpose!$A$1:$S$859,Cleaned!C$1)</f>
        <v>113970</v>
      </c>
      <c r="D8">
        <f>VLOOKUP($A8,Transpose!$A$1:$S$859,Cleaned!D$1)</f>
        <v>1945</v>
      </c>
      <c r="E8">
        <f>VLOOKUP($A8,Transpose!$A$1:$S$859,Cleaned!E$1)</f>
        <v>2986</v>
      </c>
      <c r="F8">
        <f>VLOOKUP($A8,Transpose!$A$1:$S$859,Cleaned!F$1)</f>
        <v>81</v>
      </c>
      <c r="G8">
        <f>VLOOKUP($A8,Transpose!$A$1:$S$859,Cleaned!G$1)</f>
        <v>6590</v>
      </c>
      <c r="H8">
        <f>VLOOKUP($A8,Transpose!$A$1:$S$859,Cleaned!H$1)</f>
        <v>1771</v>
      </c>
      <c r="I8">
        <f>VLOOKUP($A8,Transpose!$A$1:$S$859,Cleaned!I$1)</f>
        <v>3402</v>
      </c>
      <c r="J8">
        <f>VLOOKUP($A8,Transpose!$A$1:$S$859,Cleaned!J$1)</f>
        <v>1381</v>
      </c>
      <c r="K8">
        <f>VLOOKUP($A8,Transpose!$A$1:$S$859,Cleaned!K$1)</f>
        <v>36</v>
      </c>
      <c r="L8">
        <f>VLOOKUP($A8,Transpose!$A$1:$S$859,Cleaned!L$1)</f>
        <v>63485</v>
      </c>
      <c r="M8">
        <f>VLOOKUP($A8,Transpose!$A$1:$S$859,Cleaned!M$1)</f>
        <v>3389</v>
      </c>
      <c r="N8">
        <f>VLOOKUP($A8,Transpose!$A$1:$S$859,Cleaned!N$1)</f>
        <v>1393</v>
      </c>
      <c r="O8">
        <f>VLOOKUP($A8,Transpose!$A$1:$S$859,Cleaned!O$1)</f>
        <v>58502</v>
      </c>
      <c r="P8">
        <f>VLOOKUP($A8,Transpose!$A$1:$S$859,Cleaned!P$1)</f>
        <v>201</v>
      </c>
      <c r="Q8">
        <f>VLOOKUP($A8,Transpose!$A$1:$S$859,Cleaned!Q$1)</f>
        <v>21</v>
      </c>
      <c r="R8">
        <f>VLOOKUP($A8,Transpose!$A$1:$S$859,Cleaned!R$1)</f>
        <v>1</v>
      </c>
      <c r="S8">
        <f>VLOOKUP($A8,Transpose!$A$1:$S$859,Cleaned!S$1)</f>
        <v>149</v>
      </c>
    </row>
    <row r="9" spans="1:19" x14ac:dyDescent="0.25">
      <c r="A9" s="2">
        <f t="shared" si="1"/>
        <v>33055</v>
      </c>
      <c r="B9">
        <f>VLOOKUP($A9,Transpose!$A$1:$S$859,Cleaned!B$1)</f>
        <v>118810</v>
      </c>
      <c r="C9">
        <f>VLOOKUP($A9,Transpose!$A$1:$S$859,Cleaned!C$1)</f>
        <v>113702</v>
      </c>
      <c r="D9">
        <f>VLOOKUP($A9,Transpose!$A$1:$S$859,Cleaned!D$1)</f>
        <v>1818</v>
      </c>
      <c r="E9">
        <f>VLOOKUP($A9,Transpose!$A$1:$S$859,Cleaned!E$1)</f>
        <v>3193</v>
      </c>
      <c r="F9">
        <f>VLOOKUP($A9,Transpose!$A$1:$S$859,Cleaned!F$1)</f>
        <v>97</v>
      </c>
      <c r="G9">
        <f>VLOOKUP($A9,Transpose!$A$1:$S$859,Cleaned!G$1)</f>
        <v>6922</v>
      </c>
      <c r="H9">
        <f>VLOOKUP($A9,Transpose!$A$1:$S$859,Cleaned!H$1)</f>
        <v>1941</v>
      </c>
      <c r="I9">
        <f>VLOOKUP($A9,Transpose!$A$1:$S$859,Cleaned!I$1)</f>
        <v>3379</v>
      </c>
      <c r="J9">
        <f>VLOOKUP($A9,Transpose!$A$1:$S$859,Cleaned!J$1)</f>
        <v>1566</v>
      </c>
      <c r="K9">
        <f>VLOOKUP($A9,Transpose!$A$1:$S$859,Cleaned!K$1)</f>
        <v>36</v>
      </c>
      <c r="L9">
        <f>VLOOKUP($A9,Transpose!$A$1:$S$859,Cleaned!L$1)</f>
        <v>63456</v>
      </c>
      <c r="M9">
        <f>VLOOKUP($A9,Transpose!$A$1:$S$859,Cleaned!M$1)</f>
        <v>3297</v>
      </c>
      <c r="N9">
        <f>VLOOKUP($A9,Transpose!$A$1:$S$859,Cleaned!N$1)</f>
        <v>1391</v>
      </c>
      <c r="O9">
        <f>VLOOKUP($A9,Transpose!$A$1:$S$859,Cleaned!O$1)</f>
        <v>58571</v>
      </c>
      <c r="P9">
        <f>VLOOKUP($A9,Transpose!$A$1:$S$859,Cleaned!P$1)</f>
        <v>197</v>
      </c>
      <c r="Q9">
        <f>VLOOKUP($A9,Transpose!$A$1:$S$859,Cleaned!Q$1)</f>
        <v>42</v>
      </c>
      <c r="R9">
        <f>VLOOKUP($A9,Transpose!$A$1:$S$859,Cleaned!R$1)</f>
        <v>3</v>
      </c>
      <c r="S9">
        <f>VLOOKUP($A9,Transpose!$A$1:$S$859,Cleaned!S$1)</f>
        <v>155</v>
      </c>
    </row>
    <row r="10" spans="1:19" x14ac:dyDescent="0.25">
      <c r="A10" s="2">
        <f t="shared" si="1"/>
        <v>33086</v>
      </c>
      <c r="B10">
        <f>VLOOKUP($A10,Transpose!$A$1:$S$859,Cleaned!B$1)</f>
        <v>118802</v>
      </c>
      <c r="C10">
        <f>VLOOKUP($A10,Transpose!$A$1:$S$859,Cleaned!C$1)</f>
        <v>113809</v>
      </c>
      <c r="D10">
        <f>VLOOKUP($A10,Transpose!$A$1:$S$859,Cleaned!D$1)</f>
        <v>1940</v>
      </c>
      <c r="E10">
        <f>VLOOKUP($A10,Transpose!$A$1:$S$859,Cleaned!E$1)</f>
        <v>2961</v>
      </c>
      <c r="F10">
        <f>VLOOKUP($A10,Transpose!$A$1:$S$859,Cleaned!F$1)</f>
        <v>92</v>
      </c>
      <c r="G10">
        <f>VLOOKUP($A10,Transpose!$A$1:$S$859,Cleaned!G$1)</f>
        <v>7188</v>
      </c>
      <c r="H10">
        <f>VLOOKUP($A10,Transpose!$A$1:$S$859,Cleaned!H$1)</f>
        <v>1877</v>
      </c>
      <c r="I10">
        <f>VLOOKUP($A10,Transpose!$A$1:$S$859,Cleaned!I$1)</f>
        <v>3625</v>
      </c>
      <c r="J10">
        <f>VLOOKUP($A10,Transpose!$A$1:$S$859,Cleaned!J$1)</f>
        <v>1658</v>
      </c>
      <c r="K10">
        <f>VLOOKUP($A10,Transpose!$A$1:$S$859,Cleaned!K$1)</f>
        <v>28</v>
      </c>
      <c r="L10">
        <f>VLOOKUP($A10,Transpose!$A$1:$S$859,Cleaned!L$1)</f>
        <v>63352</v>
      </c>
      <c r="M10">
        <f>VLOOKUP($A10,Transpose!$A$1:$S$859,Cleaned!M$1)</f>
        <v>3106</v>
      </c>
      <c r="N10">
        <f>VLOOKUP($A10,Transpose!$A$1:$S$859,Cleaned!N$1)</f>
        <v>1355</v>
      </c>
      <c r="O10">
        <f>VLOOKUP($A10,Transpose!$A$1:$S$859,Cleaned!O$1)</f>
        <v>58690</v>
      </c>
      <c r="P10">
        <f>VLOOKUP($A10,Transpose!$A$1:$S$859,Cleaned!P$1)</f>
        <v>201</v>
      </c>
      <c r="Q10">
        <f>VLOOKUP($A10,Transpose!$A$1:$S$859,Cleaned!Q$1)</f>
        <v>19</v>
      </c>
      <c r="R10">
        <f>VLOOKUP($A10,Transpose!$A$1:$S$859,Cleaned!R$1)</f>
        <v>1</v>
      </c>
      <c r="S10">
        <f>VLOOKUP($A10,Transpose!$A$1:$S$859,Cleaned!S$1)</f>
        <v>147</v>
      </c>
    </row>
    <row r="11" spans="1:19" x14ac:dyDescent="0.25">
      <c r="A11" s="2">
        <f t="shared" si="1"/>
        <v>33117</v>
      </c>
      <c r="B11">
        <f>VLOOKUP($A11,Transpose!$A$1:$S$859,Cleaned!B$1)</f>
        <v>118524</v>
      </c>
      <c r="C11">
        <f>VLOOKUP($A11,Transpose!$A$1:$S$859,Cleaned!C$1)</f>
        <v>113676</v>
      </c>
      <c r="D11">
        <f>VLOOKUP($A11,Transpose!$A$1:$S$859,Cleaned!D$1)</f>
        <v>1764</v>
      </c>
      <c r="E11">
        <f>VLOOKUP($A11,Transpose!$A$1:$S$859,Cleaned!E$1)</f>
        <v>2975</v>
      </c>
      <c r="F11">
        <f>VLOOKUP($A11,Transpose!$A$1:$S$859,Cleaned!F$1)</f>
        <v>110</v>
      </c>
      <c r="G11">
        <f>VLOOKUP($A11,Transpose!$A$1:$S$859,Cleaned!G$1)</f>
        <v>7368</v>
      </c>
      <c r="H11">
        <f>VLOOKUP($A11,Transpose!$A$1:$S$859,Cleaned!H$1)</f>
        <v>1752</v>
      </c>
      <c r="I11">
        <f>VLOOKUP($A11,Transpose!$A$1:$S$859,Cleaned!I$1)</f>
        <v>4045</v>
      </c>
      <c r="J11">
        <f>VLOOKUP($A11,Transpose!$A$1:$S$859,Cleaned!J$1)</f>
        <v>1559</v>
      </c>
      <c r="K11">
        <f>VLOOKUP($A11,Transpose!$A$1:$S$859,Cleaned!K$1)</f>
        <v>12</v>
      </c>
      <c r="L11">
        <f>VLOOKUP($A11,Transpose!$A$1:$S$859,Cleaned!L$1)</f>
        <v>63636</v>
      </c>
      <c r="M11">
        <f>VLOOKUP($A11,Transpose!$A$1:$S$859,Cleaned!M$1)</f>
        <v>3356</v>
      </c>
      <c r="N11">
        <f>VLOOKUP($A11,Transpose!$A$1:$S$859,Cleaned!N$1)</f>
        <v>1378</v>
      </c>
      <c r="O11">
        <f>VLOOKUP($A11,Transpose!$A$1:$S$859,Cleaned!O$1)</f>
        <v>58671</v>
      </c>
      <c r="P11">
        <f>VLOOKUP($A11,Transpose!$A$1:$S$859,Cleaned!P$1)</f>
        <v>232</v>
      </c>
      <c r="Q11">
        <f>VLOOKUP($A11,Transpose!$A$1:$S$859,Cleaned!Q$1)</f>
        <v>19</v>
      </c>
      <c r="R11">
        <f>VLOOKUP($A11,Transpose!$A$1:$S$859,Cleaned!R$1)</f>
        <v>1</v>
      </c>
      <c r="S11">
        <f>VLOOKUP($A11,Transpose!$A$1:$S$859,Cleaned!S$1)</f>
        <v>147</v>
      </c>
    </row>
    <row r="12" spans="1:19" x14ac:dyDescent="0.25">
      <c r="A12" s="2">
        <f t="shared" si="1"/>
        <v>33147</v>
      </c>
      <c r="B12">
        <f>VLOOKUP($A12,Transpose!$A$1:$S$859,Cleaned!B$1)</f>
        <v>118536</v>
      </c>
      <c r="C12">
        <f>VLOOKUP($A12,Transpose!$A$1:$S$859,Cleaned!C$1)</f>
        <v>113367</v>
      </c>
      <c r="D12">
        <f>VLOOKUP($A12,Transpose!$A$1:$S$859,Cleaned!D$1)</f>
        <v>2029</v>
      </c>
      <c r="E12">
        <f>VLOOKUP($A12,Transpose!$A$1:$S$859,Cleaned!E$1)</f>
        <v>3032</v>
      </c>
      <c r="F12">
        <f>VLOOKUP($A12,Transpose!$A$1:$S$859,Cleaned!F$1)</f>
        <v>108</v>
      </c>
      <c r="G12">
        <f>VLOOKUP($A12,Transpose!$A$1:$S$859,Cleaned!G$1)</f>
        <v>7459</v>
      </c>
      <c r="H12">
        <f>VLOOKUP($A12,Transpose!$A$1:$S$859,Cleaned!H$1)</f>
        <v>1902</v>
      </c>
      <c r="I12">
        <f>VLOOKUP($A12,Transpose!$A$1:$S$859,Cleaned!I$1)</f>
        <v>3924</v>
      </c>
      <c r="J12">
        <f>VLOOKUP($A12,Transpose!$A$1:$S$859,Cleaned!J$1)</f>
        <v>1613</v>
      </c>
      <c r="K12">
        <f>VLOOKUP($A12,Transpose!$A$1:$S$859,Cleaned!K$1)</f>
        <v>19</v>
      </c>
      <c r="L12">
        <f>VLOOKUP($A12,Transpose!$A$1:$S$859,Cleaned!L$1)</f>
        <v>63715</v>
      </c>
      <c r="M12">
        <f>VLOOKUP($A12,Transpose!$A$1:$S$859,Cleaned!M$1)</f>
        <v>3236</v>
      </c>
      <c r="N12">
        <f>VLOOKUP($A12,Transpose!$A$1:$S$859,Cleaned!N$1)</f>
        <v>1413</v>
      </c>
      <c r="O12">
        <f>VLOOKUP($A12,Transpose!$A$1:$S$859,Cleaned!O$1)</f>
        <v>58843</v>
      </c>
      <c r="P12">
        <f>VLOOKUP($A12,Transpose!$A$1:$S$859,Cleaned!P$1)</f>
        <v>222</v>
      </c>
      <c r="Q12">
        <f>VLOOKUP($A12,Transpose!$A$1:$S$859,Cleaned!Q$1)</f>
        <v>19</v>
      </c>
      <c r="R12">
        <f>VLOOKUP($A12,Transpose!$A$1:$S$859,Cleaned!R$1)</f>
        <v>1</v>
      </c>
      <c r="S12">
        <f>VLOOKUP($A12,Transpose!$A$1:$S$859,Cleaned!S$1)</f>
        <v>148</v>
      </c>
    </row>
    <row r="13" spans="1:19" x14ac:dyDescent="0.25">
      <c r="A13" s="2">
        <f t="shared" si="1"/>
        <v>33178</v>
      </c>
      <c r="B13">
        <f>VLOOKUP($A13,Transpose!$A$1:$S$859,Cleaned!B$1)</f>
        <v>118306</v>
      </c>
      <c r="C13">
        <f>VLOOKUP($A13,Transpose!$A$1:$S$859,Cleaned!C$1)</f>
        <v>113166</v>
      </c>
      <c r="D13">
        <f>VLOOKUP($A13,Transpose!$A$1:$S$859,Cleaned!D$1)</f>
        <v>1975</v>
      </c>
      <c r="E13">
        <f>VLOOKUP($A13,Transpose!$A$1:$S$859,Cleaned!E$1)</f>
        <v>3092</v>
      </c>
      <c r="F13">
        <f>VLOOKUP($A13,Transpose!$A$1:$S$859,Cleaned!F$1)</f>
        <v>73</v>
      </c>
      <c r="G13">
        <f>VLOOKUP($A13,Transpose!$A$1:$S$859,Cleaned!G$1)</f>
        <v>7764</v>
      </c>
      <c r="H13">
        <f>VLOOKUP($A13,Transpose!$A$1:$S$859,Cleaned!H$1)</f>
        <v>2034</v>
      </c>
      <c r="I13">
        <f>VLOOKUP($A13,Transpose!$A$1:$S$859,Cleaned!I$1)</f>
        <v>4027</v>
      </c>
      <c r="J13">
        <f>VLOOKUP($A13,Transpose!$A$1:$S$859,Cleaned!J$1)</f>
        <v>1668</v>
      </c>
      <c r="K13">
        <f>VLOOKUP($A13,Transpose!$A$1:$S$859,Cleaned!K$1)</f>
        <v>35</v>
      </c>
      <c r="L13">
        <f>VLOOKUP($A13,Transpose!$A$1:$S$859,Cleaned!L$1)</f>
        <v>63802</v>
      </c>
      <c r="M13">
        <f>VLOOKUP($A13,Transpose!$A$1:$S$859,Cleaned!M$1)</f>
        <v>3308</v>
      </c>
      <c r="N13">
        <f>VLOOKUP($A13,Transpose!$A$1:$S$859,Cleaned!N$1)</f>
        <v>1455</v>
      </c>
      <c r="O13">
        <f>VLOOKUP($A13,Transpose!$A$1:$S$859,Cleaned!O$1)</f>
        <v>58804</v>
      </c>
      <c r="P13">
        <f>VLOOKUP($A13,Transpose!$A$1:$S$859,Cleaned!P$1)</f>
        <v>233</v>
      </c>
      <c r="Q13">
        <f>VLOOKUP($A13,Transpose!$A$1:$S$859,Cleaned!Q$1)</f>
        <v>28</v>
      </c>
      <c r="R13">
        <f>VLOOKUP($A13,Transpose!$A$1:$S$859,Cleaned!R$1)</f>
        <v>2</v>
      </c>
      <c r="S13">
        <f>VLOOKUP($A13,Transpose!$A$1:$S$859,Cleaned!S$1)</f>
        <v>151</v>
      </c>
    </row>
    <row r="14" spans="1:19" x14ac:dyDescent="0.25">
      <c r="A14" s="2">
        <f t="shared" si="1"/>
        <v>33208</v>
      </c>
      <c r="B14">
        <f>VLOOKUP($A14,Transpose!$A$1:$S$859,Cleaned!B$1)</f>
        <v>118241</v>
      </c>
      <c r="C14">
        <f>VLOOKUP($A14,Transpose!$A$1:$S$859,Cleaned!C$1)</f>
        <v>113229</v>
      </c>
      <c r="D14">
        <f>VLOOKUP($A14,Transpose!$A$1:$S$859,Cleaned!D$1)</f>
        <v>1963</v>
      </c>
      <c r="E14">
        <f>VLOOKUP($A14,Transpose!$A$1:$S$859,Cleaned!E$1)</f>
        <v>2962</v>
      </c>
      <c r="F14">
        <f>VLOOKUP($A14,Transpose!$A$1:$S$859,Cleaned!F$1)</f>
        <v>87</v>
      </c>
      <c r="G14">
        <f>VLOOKUP($A14,Transpose!$A$1:$S$859,Cleaned!G$1)</f>
        <v>7901</v>
      </c>
      <c r="H14">
        <f>VLOOKUP($A14,Transpose!$A$1:$S$859,Cleaned!H$1)</f>
        <v>1874</v>
      </c>
      <c r="I14">
        <f>VLOOKUP($A14,Transpose!$A$1:$S$859,Cleaned!I$1)</f>
        <v>4310</v>
      </c>
      <c r="J14">
        <f>VLOOKUP($A14,Transpose!$A$1:$S$859,Cleaned!J$1)</f>
        <v>1692</v>
      </c>
      <c r="K14">
        <f>VLOOKUP($A14,Transpose!$A$1:$S$859,Cleaned!K$1)</f>
        <v>26</v>
      </c>
      <c r="L14">
        <f>VLOOKUP($A14,Transpose!$A$1:$S$859,Cleaned!L$1)</f>
        <v>63875</v>
      </c>
      <c r="M14">
        <f>VLOOKUP($A14,Transpose!$A$1:$S$859,Cleaned!M$1)</f>
        <v>3185</v>
      </c>
      <c r="N14">
        <f>VLOOKUP($A14,Transpose!$A$1:$S$859,Cleaned!N$1)</f>
        <v>1490</v>
      </c>
      <c r="O14">
        <f>VLOOKUP($A14,Transpose!$A$1:$S$859,Cleaned!O$1)</f>
        <v>58998</v>
      </c>
      <c r="P14">
        <f>VLOOKUP($A14,Transpose!$A$1:$S$859,Cleaned!P$1)</f>
        <v>201</v>
      </c>
      <c r="Q14">
        <f>VLOOKUP($A14,Transpose!$A$1:$S$859,Cleaned!Q$1)</f>
        <v>19</v>
      </c>
      <c r="R14">
        <f>VLOOKUP($A14,Transpose!$A$1:$S$859,Cleaned!R$1)</f>
        <v>1</v>
      </c>
      <c r="S14">
        <f>VLOOKUP($A14,Transpose!$A$1:$S$859,Cleaned!S$1)</f>
        <v>148</v>
      </c>
    </row>
    <row r="15" spans="1:19" x14ac:dyDescent="0.25">
      <c r="A15" s="2">
        <f t="shared" si="1"/>
        <v>33239</v>
      </c>
      <c r="B15">
        <f>VLOOKUP($A15,Transpose!$A$1:$S$859,Cleaned!B$1)</f>
        <v>117940</v>
      </c>
      <c r="C15">
        <f>VLOOKUP($A15,Transpose!$A$1:$S$859,Cleaned!C$1)</f>
        <v>113007</v>
      </c>
      <c r="D15">
        <f>VLOOKUP($A15,Transpose!$A$1:$S$859,Cleaned!D$1)</f>
        <v>2016</v>
      </c>
      <c r="E15">
        <f>VLOOKUP($A15,Transpose!$A$1:$S$859,Cleaned!E$1)</f>
        <v>2836</v>
      </c>
      <c r="F15">
        <f>VLOOKUP($A15,Transpose!$A$1:$S$859,Cleaned!F$1)</f>
        <v>81</v>
      </c>
      <c r="G15">
        <f>VLOOKUP($A15,Transpose!$A$1:$S$859,Cleaned!G$1)</f>
        <v>8015</v>
      </c>
      <c r="H15">
        <f>VLOOKUP($A15,Transpose!$A$1:$S$859,Cleaned!H$1)</f>
        <v>1978</v>
      </c>
      <c r="I15">
        <f>VLOOKUP($A15,Transpose!$A$1:$S$859,Cleaned!I$1)</f>
        <v>4302</v>
      </c>
      <c r="J15">
        <f>VLOOKUP($A15,Transpose!$A$1:$S$859,Cleaned!J$1)</f>
        <v>1698</v>
      </c>
      <c r="K15">
        <f>VLOOKUP($A15,Transpose!$A$1:$S$859,Cleaned!K$1)</f>
        <v>37</v>
      </c>
      <c r="L15">
        <f>VLOOKUP($A15,Transpose!$A$1:$S$859,Cleaned!L$1)</f>
        <v>64208</v>
      </c>
      <c r="M15">
        <f>VLOOKUP($A15,Transpose!$A$1:$S$859,Cleaned!M$1)</f>
        <v>3237</v>
      </c>
      <c r="N15">
        <f>VLOOKUP($A15,Transpose!$A$1:$S$859,Cleaned!N$1)</f>
        <v>1582</v>
      </c>
      <c r="O15">
        <f>VLOOKUP($A15,Transpose!$A$1:$S$859,Cleaned!O$1)</f>
        <v>59193</v>
      </c>
      <c r="P15">
        <f>VLOOKUP($A15,Transpose!$A$1:$S$859,Cleaned!P$1)</f>
        <v>195</v>
      </c>
      <c r="Q15">
        <f>VLOOKUP($A15,Transpose!$A$1:$S$859,Cleaned!Q$1)</f>
        <v>19</v>
      </c>
      <c r="R15">
        <f>VLOOKUP($A15,Transpose!$A$1:$S$859,Cleaned!R$1)</f>
        <v>1</v>
      </c>
      <c r="S15">
        <f>VLOOKUP($A15,Transpose!$A$1:$S$859,Cleaned!S$1)</f>
        <v>148</v>
      </c>
    </row>
    <row r="16" spans="1:19" x14ac:dyDescent="0.25">
      <c r="A16" s="2">
        <f t="shared" si="1"/>
        <v>33270</v>
      </c>
      <c r="B16">
        <f>VLOOKUP($A16,Transpose!$A$1:$S$859,Cleaned!B$1)</f>
        <v>117755</v>
      </c>
      <c r="C16">
        <f>VLOOKUP($A16,Transpose!$A$1:$S$859,Cleaned!C$1)</f>
        <v>112786</v>
      </c>
      <c r="D16">
        <f>VLOOKUP($A16,Transpose!$A$1:$S$859,Cleaned!D$1)</f>
        <v>2043</v>
      </c>
      <c r="E16">
        <f>VLOOKUP($A16,Transpose!$A$1:$S$859,Cleaned!E$1)</f>
        <v>2857</v>
      </c>
      <c r="F16">
        <f>VLOOKUP($A16,Transpose!$A$1:$S$859,Cleaned!F$1)</f>
        <v>69</v>
      </c>
      <c r="G16">
        <f>VLOOKUP($A16,Transpose!$A$1:$S$859,Cleaned!G$1)</f>
        <v>8265</v>
      </c>
      <c r="H16">
        <f>VLOOKUP($A16,Transpose!$A$1:$S$859,Cleaned!H$1)</f>
        <v>2084</v>
      </c>
      <c r="I16">
        <f>VLOOKUP($A16,Transpose!$A$1:$S$859,Cleaned!I$1)</f>
        <v>4446</v>
      </c>
      <c r="J16">
        <f>VLOOKUP($A16,Transpose!$A$1:$S$859,Cleaned!J$1)</f>
        <v>1718</v>
      </c>
      <c r="K16">
        <f>VLOOKUP($A16,Transpose!$A$1:$S$859,Cleaned!K$1)</f>
        <v>17</v>
      </c>
      <c r="L16">
        <f>VLOOKUP($A16,Transpose!$A$1:$S$859,Cleaned!L$1)</f>
        <v>64251</v>
      </c>
      <c r="M16">
        <f>VLOOKUP($A16,Transpose!$A$1:$S$859,Cleaned!M$1)</f>
        <v>3022</v>
      </c>
      <c r="N16">
        <f>VLOOKUP($A16,Transpose!$A$1:$S$859,Cleaned!N$1)</f>
        <v>1522</v>
      </c>
      <c r="O16">
        <f>VLOOKUP($A16,Transpose!$A$1:$S$859,Cleaned!O$1)</f>
        <v>59474</v>
      </c>
      <c r="P16">
        <f>VLOOKUP($A16,Transpose!$A$1:$S$859,Cleaned!P$1)</f>
        <v>233</v>
      </c>
      <c r="Q16">
        <f>VLOOKUP($A16,Transpose!$A$1:$S$859,Cleaned!Q$1)</f>
        <v>49</v>
      </c>
      <c r="R16">
        <f>VLOOKUP($A16,Transpose!$A$1:$S$859,Cleaned!R$1)</f>
        <v>3</v>
      </c>
      <c r="S16">
        <f>VLOOKUP($A16,Transpose!$A$1:$S$859,Cleaned!S$1)</f>
        <v>158</v>
      </c>
    </row>
    <row r="17" spans="1:19" x14ac:dyDescent="0.25">
      <c r="A17" s="2">
        <f t="shared" si="1"/>
        <v>33298</v>
      </c>
      <c r="B17">
        <f>VLOOKUP($A17,Transpose!$A$1:$S$859,Cleaned!B$1)</f>
        <v>117652</v>
      </c>
      <c r="C17">
        <f>VLOOKUP($A17,Transpose!$A$1:$S$859,Cleaned!C$1)</f>
        <v>112522</v>
      </c>
      <c r="D17">
        <f>VLOOKUP($A17,Transpose!$A$1:$S$859,Cleaned!D$1)</f>
        <v>2091</v>
      </c>
      <c r="E17">
        <f>VLOOKUP($A17,Transpose!$A$1:$S$859,Cleaned!E$1)</f>
        <v>2982</v>
      </c>
      <c r="F17">
        <f>VLOOKUP($A17,Transpose!$A$1:$S$859,Cleaned!F$1)</f>
        <v>56</v>
      </c>
      <c r="G17">
        <f>VLOOKUP($A17,Transpose!$A$1:$S$859,Cleaned!G$1)</f>
        <v>8586</v>
      </c>
      <c r="H17">
        <f>VLOOKUP($A17,Transpose!$A$1:$S$859,Cleaned!H$1)</f>
        <v>2130</v>
      </c>
      <c r="I17">
        <f>VLOOKUP($A17,Transpose!$A$1:$S$859,Cleaned!I$1)</f>
        <v>4662</v>
      </c>
      <c r="J17">
        <f>VLOOKUP($A17,Transpose!$A$1:$S$859,Cleaned!J$1)</f>
        <v>1774</v>
      </c>
      <c r="K17">
        <f>VLOOKUP($A17,Transpose!$A$1:$S$859,Cleaned!K$1)</f>
        <v>21</v>
      </c>
      <c r="L17">
        <f>VLOOKUP($A17,Transpose!$A$1:$S$859,Cleaned!L$1)</f>
        <v>64143</v>
      </c>
      <c r="M17">
        <f>VLOOKUP($A17,Transpose!$A$1:$S$859,Cleaned!M$1)</f>
        <v>3082</v>
      </c>
      <c r="N17">
        <f>VLOOKUP($A17,Transpose!$A$1:$S$859,Cleaned!N$1)</f>
        <v>1510</v>
      </c>
      <c r="O17">
        <f>VLOOKUP($A17,Transpose!$A$1:$S$859,Cleaned!O$1)</f>
        <v>59345</v>
      </c>
      <c r="P17">
        <f>VLOOKUP($A17,Transpose!$A$1:$S$859,Cleaned!P$1)</f>
        <v>206</v>
      </c>
      <c r="Q17">
        <f>VLOOKUP($A17,Transpose!$A$1:$S$859,Cleaned!Q$1)</f>
        <v>22</v>
      </c>
      <c r="R17">
        <f>VLOOKUP($A17,Transpose!$A$1:$S$859,Cleaned!R$1)</f>
        <v>2</v>
      </c>
      <c r="S17">
        <f>VLOOKUP($A17,Transpose!$A$1:$S$859,Cleaned!S$1)</f>
        <v>149</v>
      </c>
    </row>
    <row r="18" spans="1:19" x14ac:dyDescent="0.25">
      <c r="A18" s="2">
        <f t="shared" si="1"/>
        <v>33329</v>
      </c>
      <c r="B18">
        <f>VLOOKUP($A18,Transpose!$A$1:$S$859,Cleaned!B$1)</f>
        <v>118109</v>
      </c>
      <c r="C18">
        <f>VLOOKUP($A18,Transpose!$A$1:$S$859,Cleaned!C$1)</f>
        <v>112720</v>
      </c>
      <c r="D18">
        <f>VLOOKUP($A18,Transpose!$A$1:$S$859,Cleaned!D$1)</f>
        <v>2341</v>
      </c>
      <c r="E18">
        <f>VLOOKUP($A18,Transpose!$A$1:$S$859,Cleaned!E$1)</f>
        <v>2972</v>
      </c>
      <c r="F18">
        <f>VLOOKUP($A18,Transpose!$A$1:$S$859,Cleaned!F$1)</f>
        <v>76</v>
      </c>
      <c r="G18">
        <f>VLOOKUP($A18,Transpose!$A$1:$S$859,Cleaned!G$1)</f>
        <v>8439</v>
      </c>
      <c r="H18">
        <f>VLOOKUP($A18,Transpose!$A$1:$S$859,Cleaned!H$1)</f>
        <v>1956</v>
      </c>
      <c r="I18">
        <f>VLOOKUP($A18,Transpose!$A$1:$S$859,Cleaned!I$1)</f>
        <v>4751</v>
      </c>
      <c r="J18">
        <f>VLOOKUP($A18,Transpose!$A$1:$S$859,Cleaned!J$1)</f>
        <v>1705</v>
      </c>
      <c r="K18">
        <f>VLOOKUP($A18,Transpose!$A$1:$S$859,Cleaned!K$1)</f>
        <v>28</v>
      </c>
      <c r="L18">
        <f>VLOOKUP($A18,Transpose!$A$1:$S$859,Cleaned!L$1)</f>
        <v>63969</v>
      </c>
      <c r="M18">
        <f>VLOOKUP($A18,Transpose!$A$1:$S$859,Cleaned!M$1)</f>
        <v>2958</v>
      </c>
      <c r="N18">
        <f>VLOOKUP($A18,Transpose!$A$1:$S$859,Cleaned!N$1)</f>
        <v>1493</v>
      </c>
      <c r="O18">
        <f>VLOOKUP($A18,Transpose!$A$1:$S$859,Cleaned!O$1)</f>
        <v>59318</v>
      </c>
      <c r="P18">
        <f>VLOOKUP($A18,Transpose!$A$1:$S$859,Cleaned!P$1)</f>
        <v>199</v>
      </c>
      <c r="Q18">
        <f>VLOOKUP($A18,Transpose!$A$1:$S$859,Cleaned!Q$1)</f>
        <v>19</v>
      </c>
      <c r="R18">
        <f>VLOOKUP($A18,Transpose!$A$1:$S$859,Cleaned!R$1)</f>
        <v>1</v>
      </c>
      <c r="S18">
        <f>VLOOKUP($A18,Transpose!$A$1:$S$859,Cleaned!S$1)</f>
        <v>148</v>
      </c>
    </row>
    <row r="19" spans="1:19" x14ac:dyDescent="0.25">
      <c r="A19" s="2">
        <f t="shared" si="1"/>
        <v>33359</v>
      </c>
      <c r="B19">
        <f>VLOOKUP($A19,Transpose!$A$1:$S$859,Cleaned!B$1)</f>
        <v>117440</v>
      </c>
      <c r="C19">
        <f>VLOOKUP($A19,Transpose!$A$1:$S$859,Cleaned!C$1)</f>
        <v>112657</v>
      </c>
      <c r="D19">
        <f>VLOOKUP($A19,Transpose!$A$1:$S$859,Cleaned!D$1)</f>
        <v>1979</v>
      </c>
      <c r="E19">
        <f>VLOOKUP($A19,Transpose!$A$1:$S$859,Cleaned!E$1)</f>
        <v>2736</v>
      </c>
      <c r="F19">
        <f>VLOOKUP($A19,Transpose!$A$1:$S$859,Cleaned!F$1)</f>
        <v>68</v>
      </c>
      <c r="G19">
        <f>VLOOKUP($A19,Transpose!$A$1:$S$859,Cleaned!G$1)</f>
        <v>8736</v>
      </c>
      <c r="H19">
        <f>VLOOKUP($A19,Transpose!$A$1:$S$859,Cleaned!H$1)</f>
        <v>2077</v>
      </c>
      <c r="I19">
        <f>VLOOKUP($A19,Transpose!$A$1:$S$859,Cleaned!I$1)</f>
        <v>4846</v>
      </c>
      <c r="J19">
        <f>VLOOKUP($A19,Transpose!$A$1:$S$859,Cleaned!J$1)</f>
        <v>1789</v>
      </c>
      <c r="K19">
        <f>VLOOKUP($A19,Transpose!$A$1:$S$859,Cleaned!K$1)</f>
        <v>24</v>
      </c>
      <c r="L19">
        <f>VLOOKUP($A19,Transpose!$A$1:$S$859,Cleaned!L$1)</f>
        <v>64474</v>
      </c>
      <c r="M19">
        <f>VLOOKUP($A19,Transpose!$A$1:$S$859,Cleaned!M$1)</f>
        <v>3356</v>
      </c>
      <c r="N19">
        <f>VLOOKUP($A19,Transpose!$A$1:$S$859,Cleaned!N$1)</f>
        <v>1613</v>
      </c>
      <c r="O19">
        <f>VLOOKUP($A19,Transpose!$A$1:$S$859,Cleaned!O$1)</f>
        <v>59294</v>
      </c>
      <c r="P19">
        <f>VLOOKUP($A19,Transpose!$A$1:$S$859,Cleaned!P$1)</f>
        <v>209</v>
      </c>
      <c r="Q19">
        <f>VLOOKUP($A19,Transpose!$A$1:$S$859,Cleaned!Q$1)</f>
        <v>19</v>
      </c>
      <c r="R19">
        <f>VLOOKUP($A19,Transpose!$A$1:$S$859,Cleaned!R$1)</f>
        <v>1</v>
      </c>
      <c r="S19">
        <f>VLOOKUP($A19,Transpose!$A$1:$S$859,Cleaned!S$1)</f>
        <v>148</v>
      </c>
    </row>
    <row r="20" spans="1:19" x14ac:dyDescent="0.25">
      <c r="A20" s="2">
        <f t="shared" si="1"/>
        <v>33390</v>
      </c>
      <c r="B20">
        <f>VLOOKUP($A20,Transpose!$A$1:$S$859,Cleaned!B$1)</f>
        <v>117639</v>
      </c>
      <c r="C20">
        <f>VLOOKUP($A20,Transpose!$A$1:$S$859,Cleaned!C$1)</f>
        <v>112342</v>
      </c>
      <c r="D20">
        <f>VLOOKUP($A20,Transpose!$A$1:$S$859,Cleaned!D$1)</f>
        <v>2199</v>
      </c>
      <c r="E20">
        <f>VLOOKUP($A20,Transpose!$A$1:$S$859,Cleaned!E$1)</f>
        <v>2993</v>
      </c>
      <c r="F20">
        <f>VLOOKUP($A20,Transpose!$A$1:$S$859,Cleaned!F$1)</f>
        <v>105</v>
      </c>
      <c r="G20">
        <f>VLOOKUP($A20,Transpose!$A$1:$S$859,Cleaned!G$1)</f>
        <v>8692</v>
      </c>
      <c r="H20">
        <f>VLOOKUP($A20,Transpose!$A$1:$S$859,Cleaned!H$1)</f>
        <v>1909</v>
      </c>
      <c r="I20">
        <f>VLOOKUP($A20,Transpose!$A$1:$S$859,Cleaned!I$1)</f>
        <v>4924</v>
      </c>
      <c r="J20">
        <f>VLOOKUP($A20,Transpose!$A$1:$S$859,Cleaned!J$1)</f>
        <v>1834</v>
      </c>
      <c r="K20">
        <f>VLOOKUP($A20,Transpose!$A$1:$S$859,Cleaned!K$1)</f>
        <v>25</v>
      </c>
      <c r="L20">
        <f>VLOOKUP($A20,Transpose!$A$1:$S$859,Cleaned!L$1)</f>
        <v>64469</v>
      </c>
      <c r="M20">
        <f>VLOOKUP($A20,Transpose!$A$1:$S$859,Cleaned!M$1)</f>
        <v>3170</v>
      </c>
      <c r="N20">
        <f>VLOOKUP($A20,Transpose!$A$1:$S$859,Cleaned!N$1)</f>
        <v>1612</v>
      </c>
      <c r="O20">
        <f>VLOOKUP($A20,Transpose!$A$1:$S$859,Cleaned!O$1)</f>
        <v>59498</v>
      </c>
      <c r="P20">
        <f>VLOOKUP($A20,Transpose!$A$1:$S$859,Cleaned!P$1)</f>
        <v>190</v>
      </c>
      <c r="Q20">
        <f>VLOOKUP($A20,Transpose!$A$1:$S$859,Cleaned!Q$1)</f>
        <v>19</v>
      </c>
      <c r="R20">
        <f>VLOOKUP($A20,Transpose!$A$1:$S$859,Cleaned!R$1)</f>
        <v>1</v>
      </c>
      <c r="S20">
        <f>VLOOKUP($A20,Transpose!$A$1:$S$859,Cleaned!S$1)</f>
        <v>149</v>
      </c>
    </row>
    <row r="21" spans="1:19" x14ac:dyDescent="0.25">
      <c r="A21" s="2">
        <f t="shared" si="1"/>
        <v>33420</v>
      </c>
      <c r="B21">
        <f>VLOOKUP($A21,Transpose!$A$1:$S$859,Cleaned!B$1)</f>
        <v>117568</v>
      </c>
      <c r="C21">
        <f>VLOOKUP($A21,Transpose!$A$1:$S$859,Cleaned!C$1)</f>
        <v>112517</v>
      </c>
      <c r="D21">
        <f>VLOOKUP($A21,Transpose!$A$1:$S$859,Cleaned!D$1)</f>
        <v>2057</v>
      </c>
      <c r="E21">
        <f>VLOOKUP($A21,Transpose!$A$1:$S$859,Cleaned!E$1)</f>
        <v>2891</v>
      </c>
      <c r="F21">
        <f>VLOOKUP($A21,Transpose!$A$1:$S$859,Cleaned!F$1)</f>
        <v>103</v>
      </c>
      <c r="G21">
        <f>VLOOKUP($A21,Transpose!$A$1:$S$859,Cleaned!G$1)</f>
        <v>8586</v>
      </c>
      <c r="H21">
        <f>VLOOKUP($A21,Transpose!$A$1:$S$859,Cleaned!H$1)</f>
        <v>1947</v>
      </c>
      <c r="I21">
        <f>VLOOKUP($A21,Transpose!$A$1:$S$859,Cleaned!I$1)</f>
        <v>4969</v>
      </c>
      <c r="J21">
        <f>VLOOKUP($A21,Transpose!$A$1:$S$859,Cleaned!J$1)</f>
        <v>1648</v>
      </c>
      <c r="K21">
        <f>VLOOKUP($A21,Transpose!$A$1:$S$859,Cleaned!K$1)</f>
        <v>23</v>
      </c>
      <c r="L21">
        <f>VLOOKUP($A21,Transpose!$A$1:$S$859,Cleaned!L$1)</f>
        <v>64792</v>
      </c>
      <c r="M21">
        <f>VLOOKUP($A21,Transpose!$A$1:$S$859,Cleaned!M$1)</f>
        <v>3156</v>
      </c>
      <c r="N21">
        <f>VLOOKUP($A21,Transpose!$A$1:$S$859,Cleaned!N$1)</f>
        <v>1665</v>
      </c>
      <c r="O21">
        <f>VLOOKUP($A21,Transpose!$A$1:$S$859,Cleaned!O$1)</f>
        <v>59782</v>
      </c>
      <c r="P21">
        <f>VLOOKUP($A21,Transpose!$A$1:$S$859,Cleaned!P$1)</f>
        <v>189</v>
      </c>
      <c r="Q21">
        <f>VLOOKUP($A21,Transpose!$A$1:$S$859,Cleaned!Q$1)</f>
        <v>19</v>
      </c>
      <c r="R21">
        <f>VLOOKUP($A21,Transpose!$A$1:$S$859,Cleaned!R$1)</f>
        <v>1</v>
      </c>
      <c r="S21">
        <f>VLOOKUP($A21,Transpose!$A$1:$S$859,Cleaned!S$1)</f>
        <v>149</v>
      </c>
    </row>
    <row r="22" spans="1:19" x14ac:dyDescent="0.25">
      <c r="A22" s="2">
        <f t="shared" si="1"/>
        <v>33451</v>
      </c>
      <c r="B22">
        <f>VLOOKUP($A22,Transpose!$A$1:$S$859,Cleaned!B$1)</f>
        <v>117484</v>
      </c>
      <c r="C22">
        <f>VLOOKUP($A22,Transpose!$A$1:$S$859,Cleaned!C$1)</f>
        <v>112404</v>
      </c>
      <c r="D22">
        <f>VLOOKUP($A22,Transpose!$A$1:$S$859,Cleaned!D$1)</f>
        <v>2148</v>
      </c>
      <c r="E22">
        <f>VLOOKUP($A22,Transpose!$A$1:$S$859,Cleaned!E$1)</f>
        <v>2868</v>
      </c>
      <c r="F22">
        <f>VLOOKUP($A22,Transpose!$A$1:$S$859,Cleaned!F$1)</f>
        <v>63</v>
      </c>
      <c r="G22">
        <f>VLOOKUP($A22,Transpose!$A$1:$S$859,Cleaned!G$1)</f>
        <v>8666</v>
      </c>
      <c r="H22">
        <f>VLOOKUP($A22,Transpose!$A$1:$S$859,Cleaned!H$1)</f>
        <v>2043</v>
      </c>
      <c r="I22">
        <f>VLOOKUP($A22,Transpose!$A$1:$S$859,Cleaned!I$1)</f>
        <v>4825</v>
      </c>
      <c r="J22">
        <f>VLOOKUP($A22,Transpose!$A$1:$S$859,Cleaned!J$1)</f>
        <v>1773</v>
      </c>
      <c r="K22">
        <f>VLOOKUP($A22,Transpose!$A$1:$S$859,Cleaned!K$1)</f>
        <v>25</v>
      </c>
      <c r="L22">
        <f>VLOOKUP($A22,Transpose!$A$1:$S$859,Cleaned!L$1)</f>
        <v>64966</v>
      </c>
      <c r="M22">
        <f>VLOOKUP($A22,Transpose!$A$1:$S$859,Cleaned!M$1)</f>
        <v>3082</v>
      </c>
      <c r="N22">
        <f>VLOOKUP($A22,Transpose!$A$1:$S$859,Cleaned!N$1)</f>
        <v>1610</v>
      </c>
      <c r="O22">
        <f>VLOOKUP($A22,Transpose!$A$1:$S$859,Cleaned!O$1)</f>
        <v>59992</v>
      </c>
      <c r="P22">
        <f>VLOOKUP($A22,Transpose!$A$1:$S$859,Cleaned!P$1)</f>
        <v>283</v>
      </c>
      <c r="Q22">
        <f>VLOOKUP($A22,Transpose!$A$1:$S$859,Cleaned!Q$1)</f>
        <v>40</v>
      </c>
      <c r="R22">
        <f>VLOOKUP($A22,Transpose!$A$1:$S$859,Cleaned!R$1)</f>
        <v>3</v>
      </c>
      <c r="S22">
        <f>VLOOKUP($A22,Transpose!$A$1:$S$859,Cleaned!S$1)</f>
        <v>159</v>
      </c>
    </row>
    <row r="23" spans="1:19" x14ac:dyDescent="0.25">
      <c r="A23" s="2">
        <f t="shared" si="1"/>
        <v>33482</v>
      </c>
      <c r="B23">
        <f>VLOOKUP($A23,Transpose!$A$1:$S$859,Cleaned!B$1)</f>
        <v>117928</v>
      </c>
      <c r="C23">
        <f>VLOOKUP($A23,Transpose!$A$1:$S$859,Cleaned!C$1)</f>
        <v>112548</v>
      </c>
      <c r="D23">
        <f>VLOOKUP($A23,Transpose!$A$1:$S$859,Cleaned!D$1)</f>
        <v>2247</v>
      </c>
      <c r="E23">
        <f>VLOOKUP($A23,Transpose!$A$1:$S$859,Cleaned!E$1)</f>
        <v>3047</v>
      </c>
      <c r="F23">
        <f>VLOOKUP($A23,Transpose!$A$1:$S$859,Cleaned!F$1)</f>
        <v>85</v>
      </c>
      <c r="G23">
        <f>VLOOKUP($A23,Transpose!$A$1:$S$859,Cleaned!G$1)</f>
        <v>8722</v>
      </c>
      <c r="H23">
        <f>VLOOKUP($A23,Transpose!$A$1:$S$859,Cleaned!H$1)</f>
        <v>1959</v>
      </c>
      <c r="I23">
        <f>VLOOKUP($A23,Transpose!$A$1:$S$859,Cleaned!I$1)</f>
        <v>4829</v>
      </c>
      <c r="J23">
        <f>VLOOKUP($A23,Transpose!$A$1:$S$859,Cleaned!J$1)</f>
        <v>1906</v>
      </c>
      <c r="K23">
        <f>VLOOKUP($A23,Transpose!$A$1:$S$859,Cleaned!K$1)</f>
        <v>27</v>
      </c>
      <c r="L23">
        <f>VLOOKUP($A23,Transpose!$A$1:$S$859,Cleaned!L$1)</f>
        <v>64652</v>
      </c>
      <c r="M23">
        <f>VLOOKUP($A23,Transpose!$A$1:$S$859,Cleaned!M$1)</f>
        <v>2958</v>
      </c>
      <c r="N23">
        <f>VLOOKUP($A23,Transpose!$A$1:$S$859,Cleaned!N$1)</f>
        <v>1588</v>
      </c>
      <c r="O23">
        <f>VLOOKUP($A23,Transpose!$A$1:$S$859,Cleaned!O$1)</f>
        <v>59864</v>
      </c>
      <c r="P23">
        <f>VLOOKUP($A23,Transpose!$A$1:$S$859,Cleaned!P$1)</f>
        <v>243</v>
      </c>
      <c r="Q23">
        <f>VLOOKUP($A23,Transpose!$A$1:$S$859,Cleaned!Q$1)</f>
        <v>19</v>
      </c>
      <c r="R23">
        <f>VLOOKUP($A23,Transpose!$A$1:$S$859,Cleaned!R$1)</f>
        <v>1</v>
      </c>
      <c r="S23">
        <f>VLOOKUP($A23,Transpose!$A$1:$S$859,Cleaned!S$1)</f>
        <v>149</v>
      </c>
    </row>
    <row r="24" spans="1:19" x14ac:dyDescent="0.25">
      <c r="A24" s="2">
        <f t="shared" si="1"/>
        <v>33512</v>
      </c>
      <c r="B24">
        <f>VLOOKUP($A24,Transpose!$A$1:$S$859,Cleaned!B$1)</f>
        <v>117800</v>
      </c>
      <c r="C24">
        <f>VLOOKUP($A24,Transpose!$A$1:$S$859,Cleaned!C$1)</f>
        <v>112804</v>
      </c>
      <c r="D24">
        <f>VLOOKUP($A24,Transpose!$A$1:$S$859,Cleaned!D$1)</f>
        <v>2110</v>
      </c>
      <c r="E24">
        <f>VLOOKUP($A24,Transpose!$A$1:$S$859,Cleaned!E$1)</f>
        <v>2806</v>
      </c>
      <c r="F24">
        <f>VLOOKUP($A24,Transpose!$A$1:$S$859,Cleaned!F$1)</f>
        <v>80</v>
      </c>
      <c r="G24">
        <f>VLOOKUP($A24,Transpose!$A$1:$S$859,Cleaned!G$1)</f>
        <v>8842</v>
      </c>
      <c r="H24">
        <f>VLOOKUP($A24,Transpose!$A$1:$S$859,Cleaned!H$1)</f>
        <v>2019</v>
      </c>
      <c r="I24">
        <f>VLOOKUP($A24,Transpose!$A$1:$S$859,Cleaned!I$1)</f>
        <v>4936</v>
      </c>
      <c r="J24">
        <f>VLOOKUP($A24,Transpose!$A$1:$S$859,Cleaned!J$1)</f>
        <v>1855</v>
      </c>
      <c r="K24">
        <f>VLOOKUP($A24,Transpose!$A$1:$S$859,Cleaned!K$1)</f>
        <v>32</v>
      </c>
      <c r="L24">
        <f>VLOOKUP($A24,Transpose!$A$1:$S$859,Cleaned!L$1)</f>
        <v>64855</v>
      </c>
      <c r="M24">
        <f>VLOOKUP($A24,Transpose!$A$1:$S$859,Cleaned!M$1)</f>
        <v>3086</v>
      </c>
      <c r="N24">
        <f>VLOOKUP($A24,Transpose!$A$1:$S$859,Cleaned!N$1)</f>
        <v>1675</v>
      </c>
      <c r="O24">
        <f>VLOOKUP($A24,Transpose!$A$1:$S$859,Cleaned!O$1)</f>
        <v>59843</v>
      </c>
      <c r="P24">
        <f>VLOOKUP($A24,Transpose!$A$1:$S$859,Cleaned!P$1)</f>
        <v>252</v>
      </c>
      <c r="Q24">
        <f>VLOOKUP($A24,Transpose!$A$1:$S$859,Cleaned!Q$1)</f>
        <v>19</v>
      </c>
      <c r="R24">
        <f>VLOOKUP($A24,Transpose!$A$1:$S$859,Cleaned!R$1)</f>
        <v>1</v>
      </c>
      <c r="S24">
        <f>VLOOKUP($A24,Transpose!$A$1:$S$859,Cleaned!S$1)</f>
        <v>149</v>
      </c>
    </row>
    <row r="25" spans="1:19" x14ac:dyDescent="0.25">
      <c r="A25" s="2">
        <f t="shared" si="1"/>
        <v>33543</v>
      </c>
      <c r="B25">
        <f>VLOOKUP($A25,Transpose!$A$1:$S$859,Cleaned!B$1)</f>
        <v>117770</v>
      </c>
      <c r="C25">
        <f>VLOOKUP($A25,Transpose!$A$1:$S$859,Cleaned!C$1)</f>
        <v>112846</v>
      </c>
      <c r="D25">
        <f>VLOOKUP($A25,Transpose!$A$1:$S$859,Cleaned!D$1)</f>
        <v>2123</v>
      </c>
      <c r="E25">
        <f>VLOOKUP($A25,Transpose!$A$1:$S$859,Cleaned!E$1)</f>
        <v>2722</v>
      </c>
      <c r="F25">
        <f>VLOOKUP($A25,Transpose!$A$1:$S$859,Cleaned!F$1)</f>
        <v>80</v>
      </c>
      <c r="G25">
        <f>VLOOKUP($A25,Transpose!$A$1:$S$859,Cleaned!G$1)</f>
        <v>8931</v>
      </c>
      <c r="H25">
        <f>VLOOKUP($A25,Transpose!$A$1:$S$859,Cleaned!H$1)</f>
        <v>1935</v>
      </c>
      <c r="I25">
        <f>VLOOKUP($A25,Transpose!$A$1:$S$859,Cleaned!I$1)</f>
        <v>5123</v>
      </c>
      <c r="J25">
        <f>VLOOKUP($A25,Transpose!$A$1:$S$859,Cleaned!J$1)</f>
        <v>1849</v>
      </c>
      <c r="K25">
        <f>VLOOKUP($A25,Transpose!$A$1:$S$859,Cleaned!K$1)</f>
        <v>24</v>
      </c>
      <c r="L25">
        <f>VLOOKUP($A25,Transpose!$A$1:$S$859,Cleaned!L$1)</f>
        <v>64956</v>
      </c>
      <c r="M25">
        <f>VLOOKUP($A25,Transpose!$A$1:$S$859,Cleaned!M$1)</f>
        <v>3000</v>
      </c>
      <c r="N25">
        <f>VLOOKUP($A25,Transpose!$A$1:$S$859,Cleaned!N$1)</f>
        <v>1595</v>
      </c>
      <c r="O25">
        <f>VLOOKUP($A25,Transpose!$A$1:$S$859,Cleaned!O$1)</f>
        <v>60135</v>
      </c>
      <c r="P25">
        <f>VLOOKUP($A25,Transpose!$A$1:$S$859,Cleaned!P$1)</f>
        <v>225</v>
      </c>
      <c r="Q25">
        <f>VLOOKUP($A25,Transpose!$A$1:$S$859,Cleaned!Q$1)</f>
        <v>19</v>
      </c>
      <c r="R25">
        <f>VLOOKUP($A25,Transpose!$A$1:$S$859,Cleaned!R$1)</f>
        <v>1</v>
      </c>
      <c r="S25">
        <f>VLOOKUP($A25,Transpose!$A$1:$S$859,Cleaned!S$1)</f>
        <v>149</v>
      </c>
    </row>
    <row r="26" spans="1:19" x14ac:dyDescent="0.25">
      <c r="A26" s="2">
        <f t="shared" si="1"/>
        <v>33573</v>
      </c>
      <c r="B26">
        <f>VLOOKUP($A26,Transpose!$A$1:$S$859,Cleaned!B$1)</f>
        <v>117466</v>
      </c>
      <c r="C26">
        <f>VLOOKUP($A26,Transpose!$A$1:$S$859,Cleaned!C$1)</f>
        <v>112766</v>
      </c>
      <c r="D26">
        <f>VLOOKUP($A26,Transpose!$A$1:$S$859,Cleaned!D$1)</f>
        <v>1936</v>
      </c>
      <c r="E26">
        <f>VLOOKUP($A26,Transpose!$A$1:$S$859,Cleaned!E$1)</f>
        <v>2661</v>
      </c>
      <c r="F26">
        <f>VLOOKUP($A26,Transpose!$A$1:$S$859,Cleaned!F$1)</f>
        <v>103</v>
      </c>
      <c r="G26">
        <f>VLOOKUP($A26,Transpose!$A$1:$S$859,Cleaned!G$1)</f>
        <v>9198</v>
      </c>
      <c r="H26">
        <f>VLOOKUP($A26,Transpose!$A$1:$S$859,Cleaned!H$1)</f>
        <v>1975</v>
      </c>
      <c r="I26">
        <f>VLOOKUP($A26,Transpose!$A$1:$S$859,Cleaned!I$1)</f>
        <v>5321</v>
      </c>
      <c r="J26">
        <f>VLOOKUP($A26,Transpose!$A$1:$S$859,Cleaned!J$1)</f>
        <v>1884</v>
      </c>
      <c r="K26">
        <f>VLOOKUP($A26,Transpose!$A$1:$S$859,Cleaned!K$1)</f>
        <v>19</v>
      </c>
      <c r="L26">
        <f>VLOOKUP($A26,Transpose!$A$1:$S$859,Cleaned!L$1)</f>
        <v>65134</v>
      </c>
      <c r="M26">
        <f>VLOOKUP($A26,Transpose!$A$1:$S$859,Cleaned!M$1)</f>
        <v>3011</v>
      </c>
      <c r="N26">
        <f>VLOOKUP($A26,Transpose!$A$1:$S$859,Cleaned!N$1)</f>
        <v>1673</v>
      </c>
      <c r="O26">
        <f>VLOOKUP($A26,Transpose!$A$1:$S$859,Cleaned!O$1)</f>
        <v>60262</v>
      </c>
      <c r="P26">
        <f>VLOOKUP($A26,Transpose!$A$1:$S$859,Cleaned!P$1)</f>
        <v>190</v>
      </c>
      <c r="Q26">
        <f>VLOOKUP($A26,Transpose!$A$1:$S$859,Cleaned!Q$1)</f>
        <v>19</v>
      </c>
      <c r="R26">
        <f>VLOOKUP($A26,Transpose!$A$1:$S$859,Cleaned!R$1)</f>
        <v>1</v>
      </c>
      <c r="S26">
        <f>VLOOKUP($A26,Transpose!$A$1:$S$859,Cleaned!S$1)</f>
        <v>149</v>
      </c>
    </row>
    <row r="27" spans="1:19" x14ac:dyDescent="0.25">
      <c r="A27" s="2">
        <f t="shared" si="1"/>
        <v>33604</v>
      </c>
      <c r="B27">
        <f>VLOOKUP($A27,Transpose!$A$1:$S$859,Cleaned!B$1)</f>
        <v>117978</v>
      </c>
      <c r="C27">
        <f>VLOOKUP($A27,Transpose!$A$1:$S$859,Cleaned!C$1)</f>
        <v>112354</v>
      </c>
      <c r="D27">
        <f>VLOOKUP($A27,Transpose!$A$1:$S$859,Cleaned!D$1)</f>
        <v>2425</v>
      </c>
      <c r="E27">
        <f>VLOOKUP($A27,Transpose!$A$1:$S$859,Cleaned!E$1)</f>
        <v>3133</v>
      </c>
      <c r="F27">
        <f>VLOOKUP($A27,Transpose!$A$1:$S$859,Cleaned!F$1)</f>
        <v>66</v>
      </c>
      <c r="G27">
        <f>VLOOKUP($A27,Transpose!$A$1:$S$859,Cleaned!G$1)</f>
        <v>9283</v>
      </c>
      <c r="H27">
        <f>VLOOKUP($A27,Transpose!$A$1:$S$859,Cleaned!H$1)</f>
        <v>2150</v>
      </c>
      <c r="I27">
        <f>VLOOKUP($A27,Transpose!$A$1:$S$859,Cleaned!I$1)</f>
        <v>5155</v>
      </c>
      <c r="J27">
        <f>VLOOKUP($A27,Transpose!$A$1:$S$859,Cleaned!J$1)</f>
        <v>1951</v>
      </c>
      <c r="K27">
        <f>VLOOKUP($A27,Transpose!$A$1:$S$859,Cleaned!K$1)</f>
        <v>27</v>
      </c>
      <c r="L27">
        <f>VLOOKUP($A27,Transpose!$A$1:$S$859,Cleaned!L$1)</f>
        <v>64692</v>
      </c>
      <c r="M27">
        <f>VLOOKUP($A27,Transpose!$A$1:$S$859,Cleaned!M$1)</f>
        <v>2934</v>
      </c>
      <c r="N27">
        <f>VLOOKUP($A27,Transpose!$A$1:$S$859,Cleaned!N$1)</f>
        <v>1616</v>
      </c>
      <c r="O27">
        <f>VLOOKUP($A27,Transpose!$A$1:$S$859,Cleaned!O$1)</f>
        <v>59898</v>
      </c>
      <c r="P27">
        <f>VLOOKUP($A27,Transpose!$A$1:$S$859,Cleaned!P$1)</f>
        <v>243</v>
      </c>
      <c r="Q27">
        <f>VLOOKUP($A27,Transpose!$A$1:$S$859,Cleaned!Q$1)</f>
        <v>28</v>
      </c>
      <c r="R27">
        <f>VLOOKUP($A27,Transpose!$A$1:$S$859,Cleaned!R$1)</f>
        <v>2</v>
      </c>
      <c r="S27">
        <f>VLOOKUP($A27,Transpose!$A$1:$S$859,Cleaned!S$1)</f>
        <v>153</v>
      </c>
    </row>
    <row r="28" spans="1:19" x14ac:dyDescent="0.25">
      <c r="A28" s="2">
        <f t="shared" si="1"/>
        <v>33635</v>
      </c>
      <c r="B28">
        <f>VLOOKUP($A28,Transpose!$A$1:$S$859,Cleaned!B$1)</f>
        <v>117753</v>
      </c>
      <c r="C28">
        <f>VLOOKUP($A28,Transpose!$A$1:$S$859,Cleaned!C$1)</f>
        <v>112941</v>
      </c>
      <c r="D28">
        <f>VLOOKUP($A28,Transpose!$A$1:$S$859,Cleaned!D$1)</f>
        <v>2044</v>
      </c>
      <c r="E28">
        <f>VLOOKUP($A28,Transpose!$A$1:$S$859,Cleaned!E$1)</f>
        <v>2708</v>
      </c>
      <c r="F28">
        <f>VLOOKUP($A28,Transpose!$A$1:$S$859,Cleaned!F$1)</f>
        <v>60</v>
      </c>
      <c r="G28">
        <f>VLOOKUP($A28,Transpose!$A$1:$S$859,Cleaned!G$1)</f>
        <v>9454</v>
      </c>
      <c r="H28">
        <f>VLOOKUP($A28,Transpose!$A$1:$S$859,Cleaned!H$1)</f>
        <v>2035</v>
      </c>
      <c r="I28">
        <f>VLOOKUP($A28,Transpose!$A$1:$S$859,Cleaned!I$1)</f>
        <v>5696</v>
      </c>
      <c r="J28">
        <f>VLOOKUP($A28,Transpose!$A$1:$S$859,Cleaned!J$1)</f>
        <v>1698</v>
      </c>
      <c r="K28">
        <f>VLOOKUP($A28,Transpose!$A$1:$S$859,Cleaned!K$1)</f>
        <v>25</v>
      </c>
      <c r="L28">
        <f>VLOOKUP($A28,Transpose!$A$1:$S$859,Cleaned!L$1)</f>
        <v>64860</v>
      </c>
      <c r="M28">
        <f>VLOOKUP($A28,Transpose!$A$1:$S$859,Cleaned!M$1)</f>
        <v>2978</v>
      </c>
      <c r="N28">
        <f>VLOOKUP($A28,Transpose!$A$1:$S$859,Cleaned!N$1)</f>
        <v>1542</v>
      </c>
      <c r="O28">
        <f>VLOOKUP($A28,Transpose!$A$1:$S$859,Cleaned!O$1)</f>
        <v>60135</v>
      </c>
      <c r="P28">
        <f>VLOOKUP($A28,Transpose!$A$1:$S$859,Cleaned!P$1)</f>
        <v>205</v>
      </c>
      <c r="Q28">
        <f>VLOOKUP($A28,Transpose!$A$1:$S$859,Cleaned!Q$1)</f>
        <v>23</v>
      </c>
      <c r="R28">
        <f>VLOOKUP($A28,Transpose!$A$1:$S$859,Cleaned!R$1)</f>
        <v>2</v>
      </c>
      <c r="S28">
        <f>VLOOKUP($A28,Transpose!$A$1:$S$859,Cleaned!S$1)</f>
        <v>151</v>
      </c>
    </row>
    <row r="29" spans="1:19" x14ac:dyDescent="0.25">
      <c r="A29" s="2">
        <f t="shared" si="1"/>
        <v>33664</v>
      </c>
      <c r="B29">
        <f>VLOOKUP($A29,Transpose!$A$1:$S$859,Cleaned!B$1)</f>
        <v>118144</v>
      </c>
      <c r="C29">
        <f>VLOOKUP($A29,Transpose!$A$1:$S$859,Cleaned!C$1)</f>
        <v>113012</v>
      </c>
      <c r="D29">
        <f>VLOOKUP($A29,Transpose!$A$1:$S$859,Cleaned!D$1)</f>
        <v>2117</v>
      </c>
      <c r="E29">
        <f>VLOOKUP($A29,Transpose!$A$1:$S$859,Cleaned!E$1)</f>
        <v>2921</v>
      </c>
      <c r="F29">
        <f>VLOOKUP($A29,Transpose!$A$1:$S$859,Cleaned!F$1)</f>
        <v>94</v>
      </c>
      <c r="G29">
        <f>VLOOKUP($A29,Transpose!$A$1:$S$859,Cleaned!G$1)</f>
        <v>9460</v>
      </c>
      <c r="H29">
        <f>VLOOKUP($A29,Transpose!$A$1:$S$859,Cleaned!H$1)</f>
        <v>1773</v>
      </c>
      <c r="I29">
        <f>VLOOKUP($A29,Transpose!$A$1:$S$859,Cleaned!I$1)</f>
        <v>5713</v>
      </c>
      <c r="J29">
        <f>VLOOKUP($A29,Transpose!$A$1:$S$859,Cleaned!J$1)</f>
        <v>1959</v>
      </c>
      <c r="K29">
        <f>VLOOKUP($A29,Transpose!$A$1:$S$859,Cleaned!K$1)</f>
        <v>15</v>
      </c>
      <c r="L29">
        <f>VLOOKUP($A29,Transpose!$A$1:$S$859,Cleaned!L$1)</f>
        <v>64600</v>
      </c>
      <c r="M29">
        <f>VLOOKUP($A29,Transpose!$A$1:$S$859,Cleaned!M$1)</f>
        <v>2949</v>
      </c>
      <c r="N29">
        <f>VLOOKUP($A29,Transpose!$A$1:$S$859,Cleaned!N$1)</f>
        <v>1623</v>
      </c>
      <c r="O29">
        <f>VLOOKUP($A29,Transpose!$A$1:$S$859,Cleaned!O$1)</f>
        <v>59830</v>
      </c>
      <c r="P29">
        <f>VLOOKUP($A29,Transpose!$A$1:$S$859,Cleaned!P$1)</f>
        <v>197</v>
      </c>
      <c r="Q29">
        <f>VLOOKUP($A29,Transpose!$A$1:$S$859,Cleaned!Q$1)</f>
        <v>19</v>
      </c>
      <c r="R29">
        <f>VLOOKUP($A29,Transpose!$A$1:$S$859,Cleaned!R$1)</f>
        <v>1</v>
      </c>
      <c r="S29">
        <f>VLOOKUP($A29,Transpose!$A$1:$S$859,Cleaned!S$1)</f>
        <v>150</v>
      </c>
    </row>
    <row r="30" spans="1:19" x14ac:dyDescent="0.25">
      <c r="A30" s="2">
        <f t="shared" si="1"/>
        <v>33695</v>
      </c>
      <c r="B30">
        <f>VLOOKUP($A30,Transpose!$A$1:$S$859,Cleaned!B$1)</f>
        <v>118426</v>
      </c>
      <c r="C30">
        <f>VLOOKUP($A30,Transpose!$A$1:$S$859,Cleaned!C$1)</f>
        <v>113342</v>
      </c>
      <c r="D30">
        <f>VLOOKUP($A30,Transpose!$A$1:$S$859,Cleaned!D$1)</f>
        <v>2181</v>
      </c>
      <c r="E30">
        <f>VLOOKUP($A30,Transpose!$A$1:$S$859,Cleaned!E$1)</f>
        <v>2836</v>
      </c>
      <c r="F30">
        <f>VLOOKUP($A30,Transpose!$A$1:$S$859,Cleaned!F$1)</f>
        <v>68</v>
      </c>
      <c r="G30">
        <f>VLOOKUP($A30,Transpose!$A$1:$S$859,Cleaned!G$1)</f>
        <v>9415</v>
      </c>
      <c r="H30">
        <f>VLOOKUP($A30,Transpose!$A$1:$S$859,Cleaned!H$1)</f>
        <v>1915</v>
      </c>
      <c r="I30">
        <f>VLOOKUP($A30,Transpose!$A$1:$S$859,Cleaned!I$1)</f>
        <v>5538</v>
      </c>
      <c r="J30">
        <f>VLOOKUP($A30,Transpose!$A$1:$S$859,Cleaned!J$1)</f>
        <v>1921</v>
      </c>
      <c r="K30">
        <f>VLOOKUP($A30,Transpose!$A$1:$S$859,Cleaned!K$1)</f>
        <v>42</v>
      </c>
      <c r="L30">
        <f>VLOOKUP($A30,Transpose!$A$1:$S$859,Cleaned!L$1)</f>
        <v>64513</v>
      </c>
      <c r="M30">
        <f>VLOOKUP($A30,Transpose!$A$1:$S$859,Cleaned!M$1)</f>
        <v>2869</v>
      </c>
      <c r="N30">
        <f>VLOOKUP($A30,Transpose!$A$1:$S$859,Cleaned!N$1)</f>
        <v>1740</v>
      </c>
      <c r="O30">
        <f>VLOOKUP($A30,Transpose!$A$1:$S$859,Cleaned!O$1)</f>
        <v>59693</v>
      </c>
      <c r="P30">
        <f>VLOOKUP($A30,Transpose!$A$1:$S$859,Cleaned!P$1)</f>
        <v>212</v>
      </c>
      <c r="Q30">
        <f>VLOOKUP($A30,Transpose!$A$1:$S$859,Cleaned!Q$1)</f>
        <v>19</v>
      </c>
      <c r="R30">
        <f>VLOOKUP($A30,Transpose!$A$1:$S$859,Cleaned!R$1)</f>
        <v>1</v>
      </c>
      <c r="S30">
        <f>VLOOKUP($A30,Transpose!$A$1:$S$859,Cleaned!S$1)</f>
        <v>150</v>
      </c>
    </row>
    <row r="31" spans="1:19" x14ac:dyDescent="0.25">
      <c r="A31" s="2">
        <f t="shared" si="1"/>
        <v>33725</v>
      </c>
      <c r="B31">
        <f>VLOOKUP($A31,Transpose!$A$1:$S$859,Cleaned!B$1)</f>
        <v>118375</v>
      </c>
      <c r="C31">
        <f>VLOOKUP($A31,Transpose!$A$1:$S$859,Cleaned!C$1)</f>
        <v>113225</v>
      </c>
      <c r="D31">
        <f>VLOOKUP($A31,Transpose!$A$1:$S$859,Cleaned!D$1)</f>
        <v>2161</v>
      </c>
      <c r="E31">
        <f>VLOOKUP($A31,Transpose!$A$1:$S$859,Cleaned!E$1)</f>
        <v>2912</v>
      </c>
      <c r="F31">
        <f>VLOOKUP($A31,Transpose!$A$1:$S$859,Cleaned!F$1)</f>
        <v>77</v>
      </c>
      <c r="G31">
        <f>VLOOKUP($A31,Transpose!$A$1:$S$859,Cleaned!G$1)</f>
        <v>9744</v>
      </c>
      <c r="H31">
        <f>VLOOKUP($A31,Transpose!$A$1:$S$859,Cleaned!H$1)</f>
        <v>2028</v>
      </c>
      <c r="I31">
        <f>VLOOKUP($A31,Transpose!$A$1:$S$859,Cleaned!I$1)</f>
        <v>5620</v>
      </c>
      <c r="J31">
        <f>VLOOKUP($A31,Transpose!$A$1:$S$859,Cleaned!J$1)</f>
        <v>2067</v>
      </c>
      <c r="K31">
        <f>VLOOKUP($A31,Transpose!$A$1:$S$859,Cleaned!K$1)</f>
        <v>29</v>
      </c>
      <c r="L31">
        <f>VLOOKUP($A31,Transpose!$A$1:$S$859,Cleaned!L$1)</f>
        <v>64384</v>
      </c>
      <c r="M31">
        <f>VLOOKUP($A31,Transpose!$A$1:$S$859,Cleaned!M$1)</f>
        <v>3154</v>
      </c>
      <c r="N31">
        <f>VLOOKUP($A31,Transpose!$A$1:$S$859,Cleaned!N$1)</f>
        <v>1633</v>
      </c>
      <c r="O31">
        <f>VLOOKUP($A31,Transpose!$A$1:$S$859,Cleaned!O$1)</f>
        <v>59384</v>
      </c>
      <c r="P31">
        <f>VLOOKUP($A31,Transpose!$A$1:$S$859,Cleaned!P$1)</f>
        <v>213</v>
      </c>
      <c r="Q31">
        <f>VLOOKUP($A31,Transpose!$A$1:$S$859,Cleaned!Q$1)</f>
        <v>19</v>
      </c>
      <c r="R31">
        <f>VLOOKUP($A31,Transpose!$A$1:$S$859,Cleaned!R$1)</f>
        <v>1</v>
      </c>
      <c r="S31">
        <f>VLOOKUP($A31,Transpose!$A$1:$S$859,Cleaned!S$1)</f>
        <v>150</v>
      </c>
    </row>
    <row r="32" spans="1:19" x14ac:dyDescent="0.25">
      <c r="A32" s="2">
        <f t="shared" si="1"/>
        <v>33756</v>
      </c>
      <c r="B32">
        <f>VLOOKUP($A32,Transpose!$A$1:$S$859,Cleaned!B$1)</f>
        <v>118419</v>
      </c>
      <c r="C32">
        <f>VLOOKUP($A32,Transpose!$A$1:$S$859,Cleaned!C$1)</f>
        <v>113310</v>
      </c>
      <c r="D32">
        <f>VLOOKUP($A32,Transpose!$A$1:$S$859,Cleaned!D$1)</f>
        <v>2217</v>
      </c>
      <c r="E32">
        <f>VLOOKUP($A32,Transpose!$A$1:$S$859,Cleaned!E$1)</f>
        <v>2800</v>
      </c>
      <c r="F32">
        <f>VLOOKUP($A32,Transpose!$A$1:$S$859,Cleaned!F$1)</f>
        <v>93</v>
      </c>
      <c r="G32">
        <f>VLOOKUP($A32,Transpose!$A$1:$S$859,Cleaned!G$1)</f>
        <v>10040</v>
      </c>
      <c r="H32">
        <f>VLOOKUP($A32,Transpose!$A$1:$S$859,Cleaned!H$1)</f>
        <v>2057</v>
      </c>
      <c r="I32">
        <f>VLOOKUP($A32,Transpose!$A$1:$S$859,Cleaned!I$1)</f>
        <v>5899</v>
      </c>
      <c r="J32">
        <f>VLOOKUP($A32,Transpose!$A$1:$S$859,Cleaned!J$1)</f>
        <v>2050</v>
      </c>
      <c r="K32">
        <f>VLOOKUP($A32,Transpose!$A$1:$S$859,Cleaned!K$1)</f>
        <v>35</v>
      </c>
      <c r="L32">
        <f>VLOOKUP($A32,Transpose!$A$1:$S$859,Cleaned!L$1)</f>
        <v>64204</v>
      </c>
      <c r="M32">
        <f>VLOOKUP($A32,Transpose!$A$1:$S$859,Cleaned!M$1)</f>
        <v>2990</v>
      </c>
      <c r="N32">
        <f>VLOOKUP($A32,Transpose!$A$1:$S$859,Cleaned!N$1)</f>
        <v>1627</v>
      </c>
      <c r="O32">
        <f>VLOOKUP($A32,Transpose!$A$1:$S$859,Cleaned!O$1)</f>
        <v>59385</v>
      </c>
      <c r="P32">
        <f>VLOOKUP($A32,Transpose!$A$1:$S$859,Cleaned!P$1)</f>
        <v>203</v>
      </c>
      <c r="Q32">
        <f>VLOOKUP($A32,Transpose!$A$1:$S$859,Cleaned!Q$1)</f>
        <v>19</v>
      </c>
      <c r="R32">
        <f>VLOOKUP($A32,Transpose!$A$1:$S$859,Cleaned!R$1)</f>
        <v>1</v>
      </c>
      <c r="S32">
        <f>VLOOKUP($A32,Transpose!$A$1:$S$859,Cleaned!S$1)</f>
        <v>150</v>
      </c>
    </row>
    <row r="33" spans="1:19" x14ac:dyDescent="0.25">
      <c r="A33" s="2">
        <f t="shared" si="1"/>
        <v>33786</v>
      </c>
      <c r="B33">
        <f>VLOOKUP($A33,Transpose!$A$1:$S$859,Cleaned!B$1)</f>
        <v>118713</v>
      </c>
      <c r="C33">
        <f>VLOOKUP($A33,Transpose!$A$1:$S$859,Cleaned!C$1)</f>
        <v>113440</v>
      </c>
      <c r="D33">
        <f>VLOOKUP($A33,Transpose!$A$1:$S$859,Cleaned!D$1)</f>
        <v>2301</v>
      </c>
      <c r="E33">
        <f>VLOOKUP($A33,Transpose!$A$1:$S$859,Cleaned!E$1)</f>
        <v>2933</v>
      </c>
      <c r="F33">
        <f>VLOOKUP($A33,Transpose!$A$1:$S$859,Cleaned!F$1)</f>
        <v>39</v>
      </c>
      <c r="G33">
        <f>VLOOKUP($A33,Transpose!$A$1:$S$859,Cleaned!G$1)</f>
        <v>9850</v>
      </c>
      <c r="H33">
        <f>VLOOKUP($A33,Transpose!$A$1:$S$859,Cleaned!H$1)</f>
        <v>1940</v>
      </c>
      <c r="I33">
        <f>VLOOKUP($A33,Transpose!$A$1:$S$859,Cleaned!I$1)</f>
        <v>5894</v>
      </c>
      <c r="J33">
        <f>VLOOKUP($A33,Transpose!$A$1:$S$859,Cleaned!J$1)</f>
        <v>1972</v>
      </c>
      <c r="K33">
        <f>VLOOKUP($A33,Transpose!$A$1:$S$859,Cleaned!K$1)</f>
        <v>45</v>
      </c>
      <c r="L33">
        <f>VLOOKUP($A33,Transpose!$A$1:$S$859,Cleaned!L$1)</f>
        <v>64263</v>
      </c>
      <c r="M33">
        <f>VLOOKUP($A33,Transpose!$A$1:$S$859,Cleaned!M$1)</f>
        <v>2970</v>
      </c>
      <c r="N33">
        <f>VLOOKUP($A33,Transpose!$A$1:$S$859,Cleaned!N$1)</f>
        <v>1839</v>
      </c>
      <c r="O33">
        <f>VLOOKUP($A33,Transpose!$A$1:$S$859,Cleaned!O$1)</f>
        <v>59128</v>
      </c>
      <c r="P33">
        <f>VLOOKUP($A33,Transpose!$A$1:$S$859,Cleaned!P$1)</f>
        <v>326</v>
      </c>
      <c r="Q33">
        <f>VLOOKUP($A33,Transpose!$A$1:$S$859,Cleaned!Q$1)</f>
        <v>70</v>
      </c>
      <c r="R33">
        <f>VLOOKUP($A33,Transpose!$A$1:$S$859,Cleaned!R$1)</f>
        <v>6</v>
      </c>
      <c r="S33">
        <f>VLOOKUP($A33,Transpose!$A$1:$S$859,Cleaned!S$1)</f>
        <v>171</v>
      </c>
    </row>
    <row r="34" spans="1:19" x14ac:dyDescent="0.25">
      <c r="A34" s="2">
        <f t="shared" si="1"/>
        <v>33817</v>
      </c>
      <c r="B34">
        <f>VLOOKUP($A34,Transpose!$A$1:$S$859,Cleaned!B$1)</f>
        <v>118826</v>
      </c>
      <c r="C34">
        <f>VLOOKUP($A34,Transpose!$A$1:$S$859,Cleaned!C$1)</f>
        <v>113661</v>
      </c>
      <c r="D34">
        <f>VLOOKUP($A34,Transpose!$A$1:$S$859,Cleaned!D$1)</f>
        <v>2188</v>
      </c>
      <c r="E34">
        <f>VLOOKUP($A34,Transpose!$A$1:$S$859,Cleaned!E$1)</f>
        <v>2848</v>
      </c>
      <c r="F34">
        <f>VLOOKUP($A34,Transpose!$A$1:$S$859,Cleaned!F$1)</f>
        <v>129</v>
      </c>
      <c r="G34">
        <f>VLOOKUP($A34,Transpose!$A$1:$S$859,Cleaned!G$1)</f>
        <v>9787</v>
      </c>
      <c r="H34">
        <f>VLOOKUP($A34,Transpose!$A$1:$S$859,Cleaned!H$1)</f>
        <v>1950</v>
      </c>
      <c r="I34">
        <f>VLOOKUP($A34,Transpose!$A$1:$S$859,Cleaned!I$1)</f>
        <v>5939</v>
      </c>
      <c r="J34">
        <f>VLOOKUP($A34,Transpose!$A$1:$S$859,Cleaned!J$1)</f>
        <v>1867</v>
      </c>
      <c r="K34">
        <f>VLOOKUP($A34,Transpose!$A$1:$S$859,Cleaned!K$1)</f>
        <v>30</v>
      </c>
      <c r="L34">
        <f>VLOOKUP($A34,Transpose!$A$1:$S$859,Cleaned!L$1)</f>
        <v>64405</v>
      </c>
      <c r="M34">
        <f>VLOOKUP($A34,Transpose!$A$1:$S$859,Cleaned!M$1)</f>
        <v>3083</v>
      </c>
      <c r="N34">
        <f>VLOOKUP($A34,Transpose!$A$1:$S$859,Cleaned!N$1)</f>
        <v>1721</v>
      </c>
      <c r="O34">
        <f>VLOOKUP($A34,Transpose!$A$1:$S$859,Cleaned!O$1)</f>
        <v>59398</v>
      </c>
      <c r="P34">
        <f>VLOOKUP($A34,Transpose!$A$1:$S$859,Cleaned!P$1)</f>
        <v>203</v>
      </c>
      <c r="Q34">
        <f>VLOOKUP($A34,Transpose!$A$1:$S$859,Cleaned!Q$1)</f>
        <v>19</v>
      </c>
      <c r="R34">
        <f>VLOOKUP($A34,Transpose!$A$1:$S$859,Cleaned!R$1)</f>
        <v>1</v>
      </c>
      <c r="S34">
        <f>VLOOKUP($A34,Transpose!$A$1:$S$859,Cleaned!S$1)</f>
        <v>150</v>
      </c>
    </row>
    <row r="35" spans="1:19" x14ac:dyDescent="0.25">
      <c r="A35" s="2">
        <f t="shared" si="1"/>
        <v>33848</v>
      </c>
      <c r="B35">
        <f>VLOOKUP($A35,Transpose!$A$1:$S$859,Cleaned!B$1)</f>
        <v>118720</v>
      </c>
      <c r="C35">
        <f>VLOOKUP($A35,Transpose!$A$1:$S$859,Cleaned!C$1)</f>
        <v>113569</v>
      </c>
      <c r="D35">
        <f>VLOOKUP($A35,Transpose!$A$1:$S$859,Cleaned!D$1)</f>
        <v>2241</v>
      </c>
      <c r="E35">
        <f>VLOOKUP($A35,Transpose!$A$1:$S$859,Cleaned!E$1)</f>
        <v>2767</v>
      </c>
      <c r="F35">
        <f>VLOOKUP($A35,Transpose!$A$1:$S$859,Cleaned!F$1)</f>
        <v>143</v>
      </c>
      <c r="G35">
        <f>VLOOKUP($A35,Transpose!$A$1:$S$859,Cleaned!G$1)</f>
        <v>9781</v>
      </c>
      <c r="H35">
        <f>VLOOKUP($A35,Transpose!$A$1:$S$859,Cleaned!H$1)</f>
        <v>2087</v>
      </c>
      <c r="I35">
        <f>VLOOKUP($A35,Transpose!$A$1:$S$859,Cleaned!I$1)</f>
        <v>5741</v>
      </c>
      <c r="J35">
        <f>VLOOKUP($A35,Transpose!$A$1:$S$859,Cleaned!J$1)</f>
        <v>1931</v>
      </c>
      <c r="K35">
        <f>VLOOKUP($A35,Transpose!$A$1:$S$859,Cleaned!K$1)</f>
        <v>22</v>
      </c>
      <c r="L35">
        <f>VLOOKUP($A35,Transpose!$A$1:$S$859,Cleaned!L$1)</f>
        <v>64728</v>
      </c>
      <c r="M35">
        <f>VLOOKUP($A35,Transpose!$A$1:$S$859,Cleaned!M$1)</f>
        <v>3152</v>
      </c>
      <c r="N35">
        <f>VLOOKUP($A35,Transpose!$A$1:$S$859,Cleaned!N$1)</f>
        <v>1803</v>
      </c>
      <c r="O35">
        <f>VLOOKUP($A35,Transpose!$A$1:$S$859,Cleaned!O$1)</f>
        <v>59557</v>
      </c>
      <c r="P35">
        <f>VLOOKUP($A35,Transpose!$A$1:$S$859,Cleaned!P$1)</f>
        <v>215</v>
      </c>
      <c r="Q35">
        <f>VLOOKUP($A35,Transpose!$A$1:$S$859,Cleaned!Q$1)</f>
        <v>19</v>
      </c>
      <c r="R35">
        <f>VLOOKUP($A35,Transpose!$A$1:$S$859,Cleaned!R$1)</f>
        <v>1</v>
      </c>
      <c r="S35">
        <f>VLOOKUP($A35,Transpose!$A$1:$S$859,Cleaned!S$1)</f>
        <v>150</v>
      </c>
    </row>
    <row r="36" spans="1:19" x14ac:dyDescent="0.25">
      <c r="A36" s="2">
        <f t="shared" si="1"/>
        <v>33878</v>
      </c>
      <c r="B36">
        <f>VLOOKUP($A36,Transpose!$A$1:$S$859,Cleaned!B$1)</f>
        <v>118628</v>
      </c>
      <c r="C36">
        <f>VLOOKUP($A36,Transpose!$A$1:$S$859,Cleaned!C$1)</f>
        <v>113468</v>
      </c>
      <c r="D36">
        <f>VLOOKUP($A36,Transpose!$A$1:$S$859,Cleaned!D$1)</f>
        <v>2264</v>
      </c>
      <c r="E36">
        <f>VLOOKUP($A36,Transpose!$A$1:$S$859,Cleaned!E$1)</f>
        <v>2814</v>
      </c>
      <c r="F36">
        <f>VLOOKUP($A36,Transpose!$A$1:$S$859,Cleaned!F$1)</f>
        <v>83</v>
      </c>
      <c r="G36">
        <f>VLOOKUP($A36,Transpose!$A$1:$S$859,Cleaned!G$1)</f>
        <v>9398</v>
      </c>
      <c r="H36">
        <f>VLOOKUP($A36,Transpose!$A$1:$S$859,Cleaned!H$1)</f>
        <v>1923</v>
      </c>
      <c r="I36">
        <f>VLOOKUP($A36,Transpose!$A$1:$S$859,Cleaned!I$1)</f>
        <v>5607</v>
      </c>
      <c r="J36">
        <f>VLOOKUP($A36,Transpose!$A$1:$S$859,Cleaned!J$1)</f>
        <v>1848</v>
      </c>
      <c r="K36">
        <f>VLOOKUP($A36,Transpose!$A$1:$S$859,Cleaned!K$1)</f>
        <v>21</v>
      </c>
      <c r="L36">
        <f>VLOOKUP($A36,Transpose!$A$1:$S$859,Cleaned!L$1)</f>
        <v>65416</v>
      </c>
      <c r="M36">
        <f>VLOOKUP($A36,Transpose!$A$1:$S$859,Cleaned!M$1)</f>
        <v>3311</v>
      </c>
      <c r="N36">
        <f>VLOOKUP($A36,Transpose!$A$1:$S$859,Cleaned!N$1)</f>
        <v>1909</v>
      </c>
      <c r="O36">
        <f>VLOOKUP($A36,Transpose!$A$1:$S$859,Cleaned!O$1)</f>
        <v>59915</v>
      </c>
      <c r="P36">
        <f>VLOOKUP($A36,Transpose!$A$1:$S$859,Cleaned!P$1)</f>
        <v>281</v>
      </c>
      <c r="Q36">
        <f>VLOOKUP($A36,Transpose!$A$1:$S$859,Cleaned!Q$1)</f>
        <v>19</v>
      </c>
      <c r="R36">
        <f>VLOOKUP($A36,Transpose!$A$1:$S$859,Cleaned!R$1)</f>
        <v>1</v>
      </c>
      <c r="S36">
        <f>VLOOKUP($A36,Transpose!$A$1:$S$859,Cleaned!S$1)</f>
        <v>151</v>
      </c>
    </row>
    <row r="37" spans="1:19" x14ac:dyDescent="0.25">
      <c r="A37" s="2">
        <f t="shared" si="1"/>
        <v>33909</v>
      </c>
      <c r="B37">
        <f>VLOOKUP($A37,Transpose!$A$1:$S$859,Cleaned!B$1)</f>
        <v>118876</v>
      </c>
      <c r="C37">
        <f>VLOOKUP($A37,Transpose!$A$1:$S$859,Cleaned!C$1)</f>
        <v>113572</v>
      </c>
      <c r="D37">
        <f>VLOOKUP($A37,Transpose!$A$1:$S$859,Cleaned!D$1)</f>
        <v>2252</v>
      </c>
      <c r="E37">
        <f>VLOOKUP($A37,Transpose!$A$1:$S$859,Cleaned!E$1)</f>
        <v>2964</v>
      </c>
      <c r="F37">
        <f>VLOOKUP($A37,Transpose!$A$1:$S$859,Cleaned!F$1)</f>
        <v>88</v>
      </c>
      <c r="G37">
        <f>VLOOKUP($A37,Transpose!$A$1:$S$859,Cleaned!G$1)</f>
        <v>9565</v>
      </c>
      <c r="H37">
        <f>VLOOKUP($A37,Transpose!$A$1:$S$859,Cleaned!H$1)</f>
        <v>1994</v>
      </c>
      <c r="I37">
        <f>VLOOKUP($A37,Transpose!$A$1:$S$859,Cleaned!I$1)</f>
        <v>5536</v>
      </c>
      <c r="J37">
        <f>VLOOKUP($A37,Transpose!$A$1:$S$859,Cleaned!J$1)</f>
        <v>2010</v>
      </c>
      <c r="K37">
        <f>VLOOKUP($A37,Transpose!$A$1:$S$859,Cleaned!K$1)</f>
        <v>25</v>
      </c>
      <c r="L37">
        <f>VLOOKUP($A37,Transpose!$A$1:$S$859,Cleaned!L$1)</f>
        <v>65180</v>
      </c>
      <c r="M37">
        <f>VLOOKUP($A37,Transpose!$A$1:$S$859,Cleaned!M$1)</f>
        <v>3043</v>
      </c>
      <c r="N37">
        <f>VLOOKUP($A37,Transpose!$A$1:$S$859,Cleaned!N$1)</f>
        <v>1609</v>
      </c>
      <c r="O37">
        <f>VLOOKUP($A37,Transpose!$A$1:$S$859,Cleaned!O$1)</f>
        <v>60291</v>
      </c>
      <c r="P37">
        <f>VLOOKUP($A37,Transpose!$A$1:$S$859,Cleaned!P$1)</f>
        <v>237</v>
      </c>
      <c r="Q37">
        <f>VLOOKUP($A37,Transpose!$A$1:$S$859,Cleaned!Q$1)</f>
        <v>19</v>
      </c>
      <c r="R37">
        <f>VLOOKUP($A37,Transpose!$A$1:$S$859,Cleaned!R$1)</f>
        <v>1</v>
      </c>
      <c r="S37">
        <f>VLOOKUP($A37,Transpose!$A$1:$S$859,Cleaned!S$1)</f>
        <v>151</v>
      </c>
    </row>
    <row r="38" spans="1:19" x14ac:dyDescent="0.25">
      <c r="A38" s="2">
        <f t="shared" si="1"/>
        <v>33939</v>
      </c>
      <c r="B38">
        <f>VLOOKUP($A38,Transpose!$A$1:$S$859,Cleaned!B$1)</f>
        <v>118997</v>
      </c>
      <c r="C38">
        <f>VLOOKUP($A38,Transpose!$A$1:$S$859,Cleaned!C$1)</f>
        <v>113726</v>
      </c>
      <c r="D38">
        <f>VLOOKUP($A38,Transpose!$A$1:$S$859,Cleaned!D$1)</f>
        <v>2247</v>
      </c>
      <c r="E38">
        <f>VLOOKUP($A38,Transpose!$A$1:$S$859,Cleaned!E$1)</f>
        <v>2880</v>
      </c>
      <c r="F38">
        <f>VLOOKUP($A38,Transpose!$A$1:$S$859,Cleaned!F$1)</f>
        <v>144</v>
      </c>
      <c r="G38">
        <f>VLOOKUP($A38,Transpose!$A$1:$S$859,Cleaned!G$1)</f>
        <v>9557</v>
      </c>
      <c r="H38">
        <f>VLOOKUP($A38,Transpose!$A$1:$S$859,Cleaned!H$1)</f>
        <v>2019</v>
      </c>
      <c r="I38">
        <f>VLOOKUP($A38,Transpose!$A$1:$S$859,Cleaned!I$1)</f>
        <v>5504</v>
      </c>
      <c r="J38">
        <f>VLOOKUP($A38,Transpose!$A$1:$S$859,Cleaned!J$1)</f>
        <v>2022</v>
      </c>
      <c r="K38">
        <f>VLOOKUP($A38,Transpose!$A$1:$S$859,Cleaned!K$1)</f>
        <v>12</v>
      </c>
      <c r="L38">
        <f>VLOOKUP($A38,Transpose!$A$1:$S$859,Cleaned!L$1)</f>
        <v>65230</v>
      </c>
      <c r="M38">
        <f>VLOOKUP($A38,Transpose!$A$1:$S$859,Cleaned!M$1)</f>
        <v>3111</v>
      </c>
      <c r="N38">
        <f>VLOOKUP($A38,Transpose!$A$1:$S$859,Cleaned!N$1)</f>
        <v>1813</v>
      </c>
      <c r="O38">
        <f>VLOOKUP($A38,Transpose!$A$1:$S$859,Cleaned!O$1)</f>
        <v>60128</v>
      </c>
      <c r="P38">
        <f>VLOOKUP($A38,Transpose!$A$1:$S$859,Cleaned!P$1)</f>
        <v>178</v>
      </c>
      <c r="Q38">
        <f>VLOOKUP($A38,Transpose!$A$1:$S$859,Cleaned!Q$1)</f>
        <v>19</v>
      </c>
      <c r="R38">
        <f>VLOOKUP($A38,Transpose!$A$1:$S$859,Cleaned!R$1)</f>
        <v>1</v>
      </c>
      <c r="S38">
        <f>VLOOKUP($A38,Transpose!$A$1:$S$859,Cleaned!S$1)</f>
        <v>151</v>
      </c>
    </row>
    <row r="39" spans="1:19" x14ac:dyDescent="0.25">
      <c r="A39" s="2">
        <f t="shared" si="1"/>
        <v>33970</v>
      </c>
      <c r="B39">
        <f>VLOOKUP($A39,Transpose!$A$1:$S$859,Cleaned!B$1)</f>
        <v>119075</v>
      </c>
      <c r="C39">
        <f>VLOOKUP($A39,Transpose!$A$1:$S$859,Cleaned!C$1)</f>
        <v>113968</v>
      </c>
      <c r="D39">
        <f>VLOOKUP($A39,Transpose!$A$1:$S$859,Cleaned!D$1)</f>
        <v>2180</v>
      </c>
      <c r="E39">
        <f>VLOOKUP($A39,Transpose!$A$1:$S$859,Cleaned!E$1)</f>
        <v>2870</v>
      </c>
      <c r="F39">
        <f>VLOOKUP($A39,Transpose!$A$1:$S$859,Cleaned!F$1)</f>
        <v>57</v>
      </c>
      <c r="G39">
        <f>VLOOKUP($A39,Transpose!$A$1:$S$859,Cleaned!G$1)</f>
        <v>9325</v>
      </c>
      <c r="H39">
        <f>VLOOKUP($A39,Transpose!$A$1:$S$859,Cleaned!H$1)</f>
        <v>1818</v>
      </c>
      <c r="I39">
        <f>VLOOKUP($A39,Transpose!$A$1:$S$859,Cleaned!I$1)</f>
        <v>5628</v>
      </c>
      <c r="J39">
        <f>VLOOKUP($A39,Transpose!$A$1:$S$859,Cleaned!J$1)</f>
        <v>1849</v>
      </c>
      <c r="K39">
        <f>VLOOKUP($A39,Transpose!$A$1:$S$859,Cleaned!K$1)</f>
        <v>31</v>
      </c>
      <c r="L39">
        <f>VLOOKUP($A39,Transpose!$A$1:$S$859,Cleaned!L$1)</f>
        <v>65562</v>
      </c>
      <c r="M39">
        <f>VLOOKUP($A39,Transpose!$A$1:$S$859,Cleaned!M$1)</f>
        <v>3187</v>
      </c>
      <c r="N39">
        <f>VLOOKUP($A39,Transpose!$A$1:$S$859,Cleaned!N$1)</f>
        <v>1747</v>
      </c>
      <c r="O39">
        <f>VLOOKUP($A39,Transpose!$A$1:$S$859,Cleaned!O$1)</f>
        <v>60356</v>
      </c>
      <c r="P39">
        <f>VLOOKUP($A39,Transpose!$A$1:$S$859,Cleaned!P$1)</f>
        <v>273</v>
      </c>
      <c r="Q39">
        <f>VLOOKUP($A39,Transpose!$A$1:$S$859,Cleaned!Q$1)</f>
        <v>25</v>
      </c>
      <c r="R39">
        <f>VLOOKUP($A39,Transpose!$A$1:$S$859,Cleaned!R$1)</f>
        <v>2</v>
      </c>
      <c r="S39">
        <f>VLOOKUP($A39,Transpose!$A$1:$S$859,Cleaned!S$1)</f>
        <v>156</v>
      </c>
    </row>
    <row r="40" spans="1:19" x14ac:dyDescent="0.25">
      <c r="A40" s="2">
        <f t="shared" si="1"/>
        <v>34001</v>
      </c>
      <c r="B40">
        <f>VLOOKUP($A40,Transpose!$A$1:$S$859,Cleaned!B$1)</f>
        <v>119275</v>
      </c>
      <c r="C40">
        <f>VLOOKUP($A40,Transpose!$A$1:$S$859,Cleaned!C$1)</f>
        <v>113917</v>
      </c>
      <c r="D40">
        <f>VLOOKUP($A40,Transpose!$A$1:$S$859,Cleaned!D$1)</f>
        <v>2102</v>
      </c>
      <c r="E40">
        <f>VLOOKUP($A40,Transpose!$A$1:$S$859,Cleaned!E$1)</f>
        <v>3167</v>
      </c>
      <c r="F40">
        <f>VLOOKUP($A40,Transpose!$A$1:$S$859,Cleaned!F$1)</f>
        <v>89</v>
      </c>
      <c r="G40">
        <f>VLOOKUP($A40,Transpose!$A$1:$S$859,Cleaned!G$1)</f>
        <v>9183</v>
      </c>
      <c r="H40">
        <f>VLOOKUP($A40,Transpose!$A$1:$S$859,Cleaned!H$1)</f>
        <v>1903</v>
      </c>
      <c r="I40">
        <f>VLOOKUP($A40,Transpose!$A$1:$S$859,Cleaned!I$1)</f>
        <v>5376</v>
      </c>
      <c r="J40">
        <f>VLOOKUP($A40,Transpose!$A$1:$S$859,Cleaned!J$1)</f>
        <v>1896</v>
      </c>
      <c r="K40">
        <f>VLOOKUP($A40,Transpose!$A$1:$S$859,Cleaned!K$1)</f>
        <v>8</v>
      </c>
      <c r="L40">
        <f>VLOOKUP($A40,Transpose!$A$1:$S$859,Cleaned!L$1)</f>
        <v>65650</v>
      </c>
      <c r="M40">
        <f>VLOOKUP($A40,Transpose!$A$1:$S$859,Cleaned!M$1)</f>
        <v>3235</v>
      </c>
      <c r="N40">
        <f>VLOOKUP($A40,Transpose!$A$1:$S$859,Cleaned!N$1)</f>
        <v>1846</v>
      </c>
      <c r="O40">
        <f>VLOOKUP($A40,Transpose!$A$1:$S$859,Cleaned!O$1)</f>
        <v>60348</v>
      </c>
      <c r="P40">
        <f>VLOOKUP($A40,Transpose!$A$1:$S$859,Cleaned!P$1)</f>
        <v>221</v>
      </c>
      <c r="Q40">
        <f>VLOOKUP($A40,Transpose!$A$1:$S$859,Cleaned!Q$1)</f>
        <v>19</v>
      </c>
      <c r="R40">
        <f>VLOOKUP($A40,Transpose!$A$1:$S$859,Cleaned!R$1)</f>
        <v>1</v>
      </c>
      <c r="S40">
        <f>VLOOKUP($A40,Transpose!$A$1:$S$859,Cleaned!S$1)</f>
        <v>151</v>
      </c>
    </row>
    <row r="41" spans="1:19" x14ac:dyDescent="0.25">
      <c r="A41" s="2">
        <f t="shared" si="1"/>
        <v>34029</v>
      </c>
      <c r="B41">
        <f>VLOOKUP($A41,Transpose!$A$1:$S$859,Cleaned!B$1)</f>
        <v>119542</v>
      </c>
      <c r="C41">
        <f>VLOOKUP($A41,Transpose!$A$1:$S$859,Cleaned!C$1)</f>
        <v>114269</v>
      </c>
      <c r="D41">
        <f>VLOOKUP($A41,Transpose!$A$1:$S$859,Cleaned!D$1)</f>
        <v>2181</v>
      </c>
      <c r="E41">
        <f>VLOOKUP($A41,Transpose!$A$1:$S$859,Cleaned!E$1)</f>
        <v>2989</v>
      </c>
      <c r="F41">
        <f>VLOOKUP($A41,Transpose!$A$1:$S$859,Cleaned!F$1)</f>
        <v>104</v>
      </c>
      <c r="G41">
        <f>VLOOKUP($A41,Transpose!$A$1:$S$859,Cleaned!G$1)</f>
        <v>9056</v>
      </c>
      <c r="H41">
        <f>VLOOKUP($A41,Transpose!$A$1:$S$859,Cleaned!H$1)</f>
        <v>1930</v>
      </c>
      <c r="I41">
        <f>VLOOKUP($A41,Transpose!$A$1:$S$859,Cleaned!I$1)</f>
        <v>5269</v>
      </c>
      <c r="J41">
        <f>VLOOKUP($A41,Transpose!$A$1:$S$859,Cleaned!J$1)</f>
        <v>1822</v>
      </c>
      <c r="K41">
        <f>VLOOKUP($A41,Transpose!$A$1:$S$859,Cleaned!K$1)</f>
        <v>35</v>
      </c>
      <c r="L41">
        <f>VLOOKUP($A41,Transpose!$A$1:$S$859,Cleaned!L$1)</f>
        <v>65650</v>
      </c>
      <c r="M41">
        <f>VLOOKUP($A41,Transpose!$A$1:$S$859,Cleaned!M$1)</f>
        <v>3057</v>
      </c>
      <c r="N41">
        <f>VLOOKUP($A41,Transpose!$A$1:$S$859,Cleaned!N$1)</f>
        <v>1732</v>
      </c>
      <c r="O41">
        <f>VLOOKUP($A41,Transpose!$A$1:$S$859,Cleaned!O$1)</f>
        <v>60688</v>
      </c>
      <c r="P41">
        <f>VLOOKUP($A41,Transpose!$A$1:$S$859,Cleaned!P$1)</f>
        <v>173</v>
      </c>
      <c r="Q41">
        <f>VLOOKUP($A41,Transpose!$A$1:$S$859,Cleaned!Q$1)</f>
        <v>19</v>
      </c>
      <c r="R41">
        <f>VLOOKUP($A41,Transpose!$A$1:$S$859,Cleaned!R$1)</f>
        <v>1</v>
      </c>
      <c r="S41">
        <f>VLOOKUP($A41,Transpose!$A$1:$S$859,Cleaned!S$1)</f>
        <v>151</v>
      </c>
    </row>
    <row r="42" spans="1:19" x14ac:dyDescent="0.25">
      <c r="A42" s="2">
        <f t="shared" si="1"/>
        <v>34060</v>
      </c>
      <c r="B42">
        <f>VLOOKUP($A42,Transpose!$A$1:$S$859,Cleaned!B$1)</f>
        <v>119474</v>
      </c>
      <c r="C42">
        <f>VLOOKUP($A42,Transpose!$A$1:$S$859,Cleaned!C$1)</f>
        <v>114401</v>
      </c>
      <c r="D42">
        <f>VLOOKUP($A42,Transpose!$A$1:$S$859,Cleaned!D$1)</f>
        <v>2139</v>
      </c>
      <c r="E42">
        <f>VLOOKUP($A42,Transpose!$A$1:$S$859,Cleaned!E$1)</f>
        <v>2871</v>
      </c>
      <c r="F42">
        <f>VLOOKUP($A42,Transpose!$A$1:$S$859,Cleaned!F$1)</f>
        <v>63</v>
      </c>
      <c r="G42">
        <f>VLOOKUP($A42,Transpose!$A$1:$S$859,Cleaned!G$1)</f>
        <v>9110</v>
      </c>
      <c r="H42">
        <f>VLOOKUP($A42,Transpose!$A$1:$S$859,Cleaned!H$1)</f>
        <v>1894</v>
      </c>
      <c r="I42">
        <f>VLOOKUP($A42,Transpose!$A$1:$S$859,Cleaned!I$1)</f>
        <v>5265</v>
      </c>
      <c r="J42">
        <f>VLOOKUP($A42,Transpose!$A$1:$S$859,Cleaned!J$1)</f>
        <v>1920</v>
      </c>
      <c r="K42">
        <f>VLOOKUP($A42,Transpose!$A$1:$S$859,Cleaned!K$1)</f>
        <v>31</v>
      </c>
      <c r="L42">
        <f>VLOOKUP($A42,Transpose!$A$1:$S$859,Cleaned!L$1)</f>
        <v>65814</v>
      </c>
      <c r="M42">
        <f>VLOOKUP($A42,Transpose!$A$1:$S$859,Cleaned!M$1)</f>
        <v>3228</v>
      </c>
      <c r="N42">
        <f>VLOOKUP($A42,Transpose!$A$1:$S$859,Cleaned!N$1)</f>
        <v>1651</v>
      </c>
      <c r="O42">
        <f>VLOOKUP($A42,Transpose!$A$1:$S$859,Cleaned!O$1)</f>
        <v>60707</v>
      </c>
      <c r="P42">
        <f>VLOOKUP($A42,Transpose!$A$1:$S$859,Cleaned!P$1)</f>
        <v>228</v>
      </c>
      <c r="Q42">
        <f>VLOOKUP($A42,Transpose!$A$1:$S$859,Cleaned!Q$1)</f>
        <v>19</v>
      </c>
      <c r="R42">
        <f>VLOOKUP($A42,Transpose!$A$1:$S$859,Cleaned!R$1)</f>
        <v>1</v>
      </c>
      <c r="S42">
        <f>VLOOKUP($A42,Transpose!$A$1:$S$859,Cleaned!S$1)</f>
        <v>151</v>
      </c>
    </row>
    <row r="43" spans="1:19" x14ac:dyDescent="0.25">
      <c r="A43" s="2">
        <f t="shared" si="1"/>
        <v>34090</v>
      </c>
      <c r="B43">
        <f>VLOOKUP($A43,Transpose!$A$1:$S$859,Cleaned!B$1)</f>
        <v>120115</v>
      </c>
      <c r="C43">
        <f>VLOOKUP($A43,Transpose!$A$1:$S$859,Cleaned!C$1)</f>
        <v>114531</v>
      </c>
      <c r="D43">
        <f>VLOOKUP($A43,Transpose!$A$1:$S$859,Cleaned!D$1)</f>
        <v>2217</v>
      </c>
      <c r="E43">
        <f>VLOOKUP($A43,Transpose!$A$1:$S$859,Cleaned!E$1)</f>
        <v>3271</v>
      </c>
      <c r="F43">
        <f>VLOOKUP($A43,Transpose!$A$1:$S$859,Cleaned!F$1)</f>
        <v>95</v>
      </c>
      <c r="G43">
        <f>VLOOKUP($A43,Transpose!$A$1:$S$859,Cleaned!G$1)</f>
        <v>9149</v>
      </c>
      <c r="H43">
        <f>VLOOKUP($A43,Transpose!$A$1:$S$859,Cleaned!H$1)</f>
        <v>1895</v>
      </c>
      <c r="I43">
        <f>VLOOKUP($A43,Transpose!$A$1:$S$859,Cleaned!I$1)</f>
        <v>5360</v>
      </c>
      <c r="J43">
        <f>VLOOKUP($A43,Transpose!$A$1:$S$859,Cleaned!J$1)</f>
        <v>1869</v>
      </c>
      <c r="K43">
        <f>VLOOKUP($A43,Transpose!$A$1:$S$859,Cleaned!K$1)</f>
        <v>26</v>
      </c>
      <c r="L43">
        <f>VLOOKUP($A43,Transpose!$A$1:$S$859,Cleaned!L$1)</f>
        <v>65285</v>
      </c>
      <c r="M43">
        <f>VLOOKUP($A43,Transpose!$A$1:$S$859,Cleaned!M$1)</f>
        <v>3028</v>
      </c>
      <c r="N43">
        <f>VLOOKUP($A43,Transpose!$A$1:$S$859,Cleaned!N$1)</f>
        <v>1532</v>
      </c>
      <c r="O43">
        <f>VLOOKUP($A43,Transpose!$A$1:$S$859,Cleaned!O$1)</f>
        <v>60523</v>
      </c>
      <c r="P43">
        <f>VLOOKUP($A43,Transpose!$A$1:$S$859,Cleaned!P$1)</f>
        <v>202</v>
      </c>
      <c r="Q43">
        <f>VLOOKUP($A43,Transpose!$A$1:$S$859,Cleaned!Q$1)</f>
        <v>19</v>
      </c>
      <c r="R43">
        <f>VLOOKUP($A43,Transpose!$A$1:$S$859,Cleaned!R$1)</f>
        <v>1</v>
      </c>
      <c r="S43">
        <f>VLOOKUP($A43,Transpose!$A$1:$S$859,Cleaned!S$1)</f>
        <v>151</v>
      </c>
    </row>
    <row r="44" spans="1:19" x14ac:dyDescent="0.25">
      <c r="A44" s="2">
        <f t="shared" si="1"/>
        <v>34121</v>
      </c>
      <c r="B44">
        <f>VLOOKUP($A44,Transpose!$A$1:$S$859,Cleaned!B$1)</f>
        <v>120290</v>
      </c>
      <c r="C44">
        <f>VLOOKUP($A44,Transpose!$A$1:$S$859,Cleaned!C$1)</f>
        <v>115236</v>
      </c>
      <c r="D44">
        <f>VLOOKUP($A44,Transpose!$A$1:$S$859,Cleaned!D$1)</f>
        <v>2119</v>
      </c>
      <c r="E44">
        <f>VLOOKUP($A44,Transpose!$A$1:$S$859,Cleaned!E$1)</f>
        <v>2842</v>
      </c>
      <c r="F44">
        <f>VLOOKUP($A44,Transpose!$A$1:$S$859,Cleaned!F$1)</f>
        <v>94</v>
      </c>
      <c r="G44">
        <f>VLOOKUP($A44,Transpose!$A$1:$S$859,Cleaned!G$1)</f>
        <v>9121</v>
      </c>
      <c r="H44">
        <f>VLOOKUP($A44,Transpose!$A$1:$S$859,Cleaned!H$1)</f>
        <v>1872</v>
      </c>
      <c r="I44">
        <f>VLOOKUP($A44,Transpose!$A$1:$S$859,Cleaned!I$1)</f>
        <v>5451</v>
      </c>
      <c r="J44">
        <f>VLOOKUP($A44,Transpose!$A$1:$S$859,Cleaned!J$1)</f>
        <v>1768</v>
      </c>
      <c r="K44">
        <f>VLOOKUP($A44,Transpose!$A$1:$S$859,Cleaned!K$1)</f>
        <v>29</v>
      </c>
      <c r="L44">
        <f>VLOOKUP($A44,Transpose!$A$1:$S$859,Cleaned!L$1)</f>
        <v>65308</v>
      </c>
      <c r="M44">
        <f>VLOOKUP($A44,Transpose!$A$1:$S$859,Cleaned!M$1)</f>
        <v>2988</v>
      </c>
      <c r="N44">
        <f>VLOOKUP($A44,Transpose!$A$1:$S$859,Cleaned!N$1)</f>
        <v>1578</v>
      </c>
      <c r="O44">
        <f>VLOOKUP($A44,Transpose!$A$1:$S$859,Cleaned!O$1)</f>
        <v>60523</v>
      </c>
      <c r="P44">
        <f>VLOOKUP($A44,Transpose!$A$1:$S$859,Cleaned!P$1)</f>
        <v>219</v>
      </c>
      <c r="Q44">
        <f>VLOOKUP($A44,Transpose!$A$1:$S$859,Cleaned!Q$1)</f>
        <v>19</v>
      </c>
      <c r="R44">
        <f>VLOOKUP($A44,Transpose!$A$1:$S$859,Cleaned!R$1)</f>
        <v>1</v>
      </c>
      <c r="S44">
        <f>VLOOKUP($A44,Transpose!$A$1:$S$859,Cleaned!S$1)</f>
        <v>152</v>
      </c>
    </row>
    <row r="45" spans="1:19" x14ac:dyDescent="0.25">
      <c r="A45" s="2">
        <f t="shared" si="1"/>
        <v>34151</v>
      </c>
      <c r="B45">
        <f>VLOOKUP($A45,Transpose!$A$1:$S$859,Cleaned!B$1)</f>
        <v>120467</v>
      </c>
      <c r="C45">
        <f>VLOOKUP($A45,Transpose!$A$1:$S$859,Cleaned!C$1)</f>
        <v>115319</v>
      </c>
      <c r="D45">
        <f>VLOOKUP($A45,Transpose!$A$1:$S$859,Cleaned!D$1)</f>
        <v>2243</v>
      </c>
      <c r="E45">
        <f>VLOOKUP($A45,Transpose!$A$1:$S$859,Cleaned!E$1)</f>
        <v>2825</v>
      </c>
      <c r="F45">
        <f>VLOOKUP($A45,Transpose!$A$1:$S$859,Cleaned!F$1)</f>
        <v>81</v>
      </c>
      <c r="G45">
        <f>VLOOKUP($A45,Transpose!$A$1:$S$859,Cleaned!G$1)</f>
        <v>8930</v>
      </c>
      <c r="H45">
        <f>VLOOKUP($A45,Transpose!$A$1:$S$859,Cleaned!H$1)</f>
        <v>1925</v>
      </c>
      <c r="I45">
        <f>VLOOKUP($A45,Transpose!$A$1:$S$859,Cleaned!I$1)</f>
        <v>5152</v>
      </c>
      <c r="J45">
        <f>VLOOKUP($A45,Transpose!$A$1:$S$859,Cleaned!J$1)</f>
        <v>1816</v>
      </c>
      <c r="K45">
        <f>VLOOKUP($A45,Transpose!$A$1:$S$859,Cleaned!K$1)</f>
        <v>37</v>
      </c>
      <c r="L45">
        <f>VLOOKUP($A45,Transpose!$A$1:$S$859,Cleaned!L$1)</f>
        <v>65485</v>
      </c>
      <c r="M45">
        <f>VLOOKUP($A45,Transpose!$A$1:$S$859,Cleaned!M$1)</f>
        <v>3027</v>
      </c>
      <c r="N45">
        <f>VLOOKUP($A45,Transpose!$A$1:$S$859,Cleaned!N$1)</f>
        <v>1725</v>
      </c>
      <c r="O45">
        <f>VLOOKUP($A45,Transpose!$A$1:$S$859,Cleaned!O$1)</f>
        <v>60515</v>
      </c>
      <c r="P45">
        <f>VLOOKUP($A45,Transpose!$A$1:$S$859,Cleaned!P$1)</f>
        <v>217</v>
      </c>
      <c r="Q45">
        <f>VLOOKUP($A45,Transpose!$A$1:$S$859,Cleaned!Q$1)</f>
        <v>19</v>
      </c>
      <c r="R45">
        <f>VLOOKUP($A45,Transpose!$A$1:$S$859,Cleaned!R$1)</f>
        <v>1</v>
      </c>
      <c r="S45">
        <f>VLOOKUP($A45,Transpose!$A$1:$S$859,Cleaned!S$1)</f>
        <v>152</v>
      </c>
    </row>
    <row r="46" spans="1:19" x14ac:dyDescent="0.25">
      <c r="A46" s="2">
        <f t="shared" si="1"/>
        <v>34182</v>
      </c>
      <c r="B46">
        <f>VLOOKUP($A46,Transpose!$A$1:$S$859,Cleaned!B$1)</f>
        <v>120856</v>
      </c>
      <c r="C46">
        <f>VLOOKUP($A46,Transpose!$A$1:$S$859,Cleaned!C$1)</f>
        <v>115536</v>
      </c>
      <c r="D46">
        <f>VLOOKUP($A46,Transpose!$A$1:$S$859,Cleaned!D$1)</f>
        <v>2109</v>
      </c>
      <c r="E46">
        <f>VLOOKUP($A46,Transpose!$A$1:$S$859,Cleaned!E$1)</f>
        <v>3099</v>
      </c>
      <c r="F46">
        <f>VLOOKUP($A46,Transpose!$A$1:$S$859,Cleaned!F$1)</f>
        <v>112</v>
      </c>
      <c r="G46">
        <f>VLOOKUP($A46,Transpose!$A$1:$S$859,Cleaned!G$1)</f>
        <v>8763</v>
      </c>
      <c r="H46">
        <f>VLOOKUP($A46,Transpose!$A$1:$S$859,Cleaned!H$1)</f>
        <v>1807</v>
      </c>
      <c r="I46">
        <f>VLOOKUP($A46,Transpose!$A$1:$S$859,Cleaned!I$1)</f>
        <v>5131</v>
      </c>
      <c r="J46">
        <f>VLOOKUP($A46,Transpose!$A$1:$S$859,Cleaned!J$1)</f>
        <v>1801</v>
      </c>
      <c r="K46">
        <f>VLOOKUP($A46,Transpose!$A$1:$S$859,Cleaned!K$1)</f>
        <v>24</v>
      </c>
      <c r="L46">
        <f>VLOOKUP($A46,Transpose!$A$1:$S$859,Cleaned!L$1)</f>
        <v>65444</v>
      </c>
      <c r="M46">
        <f>VLOOKUP($A46,Transpose!$A$1:$S$859,Cleaned!M$1)</f>
        <v>3105</v>
      </c>
      <c r="N46">
        <f>VLOOKUP($A46,Transpose!$A$1:$S$859,Cleaned!N$1)</f>
        <v>1689</v>
      </c>
      <c r="O46">
        <f>VLOOKUP($A46,Transpose!$A$1:$S$859,Cleaned!O$1)</f>
        <v>60433</v>
      </c>
      <c r="P46">
        <f>VLOOKUP($A46,Transpose!$A$1:$S$859,Cleaned!P$1)</f>
        <v>217</v>
      </c>
      <c r="Q46">
        <f>VLOOKUP($A46,Transpose!$A$1:$S$859,Cleaned!Q$1)</f>
        <v>19</v>
      </c>
      <c r="R46">
        <f>VLOOKUP($A46,Transpose!$A$1:$S$859,Cleaned!R$1)</f>
        <v>1</v>
      </c>
      <c r="S46">
        <f>VLOOKUP($A46,Transpose!$A$1:$S$859,Cleaned!S$1)</f>
        <v>152</v>
      </c>
    </row>
    <row r="47" spans="1:19" x14ac:dyDescent="0.25">
      <c r="A47" s="2">
        <f t="shared" si="1"/>
        <v>34213</v>
      </c>
      <c r="B47">
        <f>VLOOKUP($A47,Transpose!$A$1:$S$859,Cleaned!B$1)</f>
        <v>120554</v>
      </c>
      <c r="C47">
        <f>VLOOKUP($A47,Transpose!$A$1:$S$859,Cleaned!C$1)</f>
        <v>115549</v>
      </c>
      <c r="D47">
        <f>VLOOKUP($A47,Transpose!$A$1:$S$859,Cleaned!D$1)</f>
        <v>2023</v>
      </c>
      <c r="E47">
        <f>VLOOKUP($A47,Transpose!$A$1:$S$859,Cleaned!E$1)</f>
        <v>2891</v>
      </c>
      <c r="F47">
        <f>VLOOKUP($A47,Transpose!$A$1:$S$859,Cleaned!F$1)</f>
        <v>90</v>
      </c>
      <c r="G47">
        <f>VLOOKUP($A47,Transpose!$A$1:$S$859,Cleaned!G$1)</f>
        <v>8714</v>
      </c>
      <c r="H47">
        <f>VLOOKUP($A47,Transpose!$A$1:$S$859,Cleaned!H$1)</f>
        <v>1852</v>
      </c>
      <c r="I47">
        <f>VLOOKUP($A47,Transpose!$A$1:$S$859,Cleaned!I$1)</f>
        <v>5021</v>
      </c>
      <c r="J47">
        <f>VLOOKUP($A47,Transpose!$A$1:$S$859,Cleaned!J$1)</f>
        <v>1803</v>
      </c>
      <c r="K47">
        <f>VLOOKUP($A47,Transpose!$A$1:$S$859,Cleaned!K$1)</f>
        <v>38</v>
      </c>
      <c r="L47">
        <f>VLOOKUP($A47,Transpose!$A$1:$S$859,Cleaned!L$1)</f>
        <v>65991</v>
      </c>
      <c r="M47">
        <f>VLOOKUP($A47,Transpose!$A$1:$S$859,Cleaned!M$1)</f>
        <v>3435</v>
      </c>
      <c r="N47">
        <f>VLOOKUP($A47,Transpose!$A$1:$S$859,Cleaned!N$1)</f>
        <v>1718</v>
      </c>
      <c r="O47">
        <f>VLOOKUP($A47,Transpose!$A$1:$S$859,Cleaned!O$1)</f>
        <v>60598</v>
      </c>
      <c r="P47">
        <f>VLOOKUP($A47,Transpose!$A$1:$S$859,Cleaned!P$1)</f>
        <v>241</v>
      </c>
      <c r="Q47">
        <f>VLOOKUP($A47,Transpose!$A$1:$S$859,Cleaned!Q$1)</f>
        <v>19</v>
      </c>
      <c r="R47">
        <f>VLOOKUP($A47,Transpose!$A$1:$S$859,Cleaned!R$1)</f>
        <v>1</v>
      </c>
      <c r="S47">
        <f>VLOOKUP($A47,Transpose!$A$1:$S$859,Cleaned!S$1)</f>
        <v>152</v>
      </c>
    </row>
    <row r="48" spans="1:19" x14ac:dyDescent="0.25">
      <c r="A48" s="2">
        <f t="shared" si="1"/>
        <v>34243</v>
      </c>
      <c r="B48">
        <f>VLOOKUP($A48,Transpose!$A$1:$S$859,Cleaned!B$1)</f>
        <v>120823</v>
      </c>
      <c r="C48">
        <f>VLOOKUP($A48,Transpose!$A$1:$S$859,Cleaned!C$1)</f>
        <v>115671</v>
      </c>
      <c r="D48">
        <f>VLOOKUP($A48,Transpose!$A$1:$S$859,Cleaned!D$1)</f>
        <v>2115</v>
      </c>
      <c r="E48">
        <f>VLOOKUP($A48,Transpose!$A$1:$S$859,Cleaned!E$1)</f>
        <v>2971</v>
      </c>
      <c r="F48">
        <f>VLOOKUP($A48,Transpose!$A$1:$S$859,Cleaned!F$1)</f>
        <v>66</v>
      </c>
      <c r="G48">
        <f>VLOOKUP($A48,Transpose!$A$1:$S$859,Cleaned!G$1)</f>
        <v>8750</v>
      </c>
      <c r="H48">
        <f>VLOOKUP($A48,Transpose!$A$1:$S$859,Cleaned!H$1)</f>
        <v>1852</v>
      </c>
      <c r="I48">
        <f>VLOOKUP($A48,Transpose!$A$1:$S$859,Cleaned!I$1)</f>
        <v>4969</v>
      </c>
      <c r="J48">
        <f>VLOOKUP($A48,Transpose!$A$1:$S$859,Cleaned!J$1)</f>
        <v>1905</v>
      </c>
      <c r="K48">
        <f>VLOOKUP($A48,Transpose!$A$1:$S$859,Cleaned!K$1)</f>
        <v>24</v>
      </c>
      <c r="L48">
        <f>VLOOKUP($A48,Transpose!$A$1:$S$859,Cleaned!L$1)</f>
        <v>65871</v>
      </c>
      <c r="M48">
        <f>VLOOKUP($A48,Transpose!$A$1:$S$859,Cleaned!M$1)</f>
        <v>3011</v>
      </c>
      <c r="N48">
        <f>VLOOKUP($A48,Transpose!$A$1:$S$859,Cleaned!N$1)</f>
        <v>1629</v>
      </c>
      <c r="O48">
        <f>VLOOKUP($A48,Transpose!$A$1:$S$859,Cleaned!O$1)</f>
        <v>60963</v>
      </c>
      <c r="P48">
        <f>VLOOKUP($A48,Transpose!$A$1:$S$859,Cleaned!P$1)</f>
        <v>268</v>
      </c>
      <c r="Q48">
        <f>VLOOKUP($A48,Transpose!$A$1:$S$859,Cleaned!Q$1)</f>
        <v>19</v>
      </c>
      <c r="R48">
        <f>VLOOKUP($A48,Transpose!$A$1:$S$859,Cleaned!R$1)</f>
        <v>1</v>
      </c>
      <c r="S48">
        <f>VLOOKUP($A48,Transpose!$A$1:$S$859,Cleaned!S$1)</f>
        <v>152</v>
      </c>
    </row>
    <row r="49" spans="1:19" x14ac:dyDescent="0.25">
      <c r="A49" s="2">
        <f t="shared" si="1"/>
        <v>34274</v>
      </c>
      <c r="B49">
        <f>VLOOKUP($A49,Transpose!$A$1:$S$859,Cleaned!B$1)</f>
        <v>121169</v>
      </c>
      <c r="C49">
        <f>VLOOKUP($A49,Transpose!$A$1:$S$859,Cleaned!C$1)</f>
        <v>115909</v>
      </c>
      <c r="D49">
        <f>VLOOKUP($A49,Transpose!$A$1:$S$859,Cleaned!D$1)</f>
        <v>2163</v>
      </c>
      <c r="E49">
        <f>VLOOKUP($A49,Transpose!$A$1:$S$859,Cleaned!E$1)</f>
        <v>3011</v>
      </c>
      <c r="F49">
        <f>VLOOKUP($A49,Transpose!$A$1:$S$859,Cleaned!F$1)</f>
        <v>86</v>
      </c>
      <c r="G49">
        <f>VLOOKUP($A49,Transpose!$A$1:$S$859,Cleaned!G$1)</f>
        <v>8542</v>
      </c>
      <c r="H49">
        <f>VLOOKUP($A49,Transpose!$A$1:$S$859,Cleaned!H$1)</f>
        <v>1807</v>
      </c>
      <c r="I49">
        <f>VLOOKUP($A49,Transpose!$A$1:$S$859,Cleaned!I$1)</f>
        <v>4895</v>
      </c>
      <c r="J49">
        <f>VLOOKUP($A49,Transpose!$A$1:$S$859,Cleaned!J$1)</f>
        <v>1815</v>
      </c>
      <c r="K49">
        <f>VLOOKUP($A49,Transpose!$A$1:$S$859,Cleaned!K$1)</f>
        <v>24</v>
      </c>
      <c r="L49">
        <f>VLOOKUP($A49,Transpose!$A$1:$S$859,Cleaned!L$1)</f>
        <v>65914</v>
      </c>
      <c r="M49">
        <f>VLOOKUP($A49,Transpose!$A$1:$S$859,Cleaned!M$1)</f>
        <v>3088</v>
      </c>
      <c r="N49">
        <f>VLOOKUP($A49,Transpose!$A$1:$S$859,Cleaned!N$1)</f>
        <v>1690</v>
      </c>
      <c r="O49">
        <f>VLOOKUP($A49,Transpose!$A$1:$S$859,Cleaned!O$1)</f>
        <v>60892</v>
      </c>
      <c r="P49">
        <f>VLOOKUP($A49,Transpose!$A$1:$S$859,Cleaned!P$1)</f>
        <v>244</v>
      </c>
      <c r="Q49">
        <f>VLOOKUP($A49,Transpose!$A$1:$S$859,Cleaned!Q$1)</f>
        <v>19</v>
      </c>
      <c r="R49">
        <f>VLOOKUP($A49,Transpose!$A$1:$S$859,Cleaned!R$1)</f>
        <v>1</v>
      </c>
      <c r="S49">
        <f>VLOOKUP($A49,Transpose!$A$1:$S$859,Cleaned!S$1)</f>
        <v>152</v>
      </c>
    </row>
    <row r="50" spans="1:19" x14ac:dyDescent="0.25">
      <c r="A50" s="2">
        <f t="shared" si="1"/>
        <v>34304</v>
      </c>
      <c r="B50">
        <f>VLOOKUP($A50,Transpose!$A$1:$S$859,Cleaned!B$1)</f>
        <v>121464</v>
      </c>
      <c r="C50">
        <f>VLOOKUP($A50,Transpose!$A$1:$S$859,Cleaned!C$1)</f>
        <v>116040</v>
      </c>
      <c r="D50">
        <f>VLOOKUP($A50,Transpose!$A$1:$S$859,Cleaned!D$1)</f>
        <v>2212</v>
      </c>
      <c r="E50">
        <f>VLOOKUP($A50,Transpose!$A$1:$S$859,Cleaned!E$1)</f>
        <v>3093</v>
      </c>
      <c r="F50">
        <f>VLOOKUP($A50,Transpose!$A$1:$S$859,Cleaned!F$1)</f>
        <v>119</v>
      </c>
      <c r="G50">
        <f>VLOOKUP($A50,Transpose!$A$1:$S$859,Cleaned!G$1)</f>
        <v>8477</v>
      </c>
      <c r="H50">
        <f>VLOOKUP($A50,Transpose!$A$1:$S$859,Cleaned!H$1)</f>
        <v>1932</v>
      </c>
      <c r="I50">
        <f>VLOOKUP($A50,Transpose!$A$1:$S$859,Cleaned!I$1)</f>
        <v>4644</v>
      </c>
      <c r="J50">
        <f>VLOOKUP($A50,Transpose!$A$1:$S$859,Cleaned!J$1)</f>
        <v>1884</v>
      </c>
      <c r="K50">
        <f>VLOOKUP($A50,Transpose!$A$1:$S$859,Cleaned!K$1)</f>
        <v>16</v>
      </c>
      <c r="L50">
        <f>VLOOKUP($A50,Transpose!$A$1:$S$859,Cleaned!L$1)</f>
        <v>65853</v>
      </c>
      <c r="M50">
        <f>VLOOKUP($A50,Transpose!$A$1:$S$859,Cleaned!M$1)</f>
        <v>3178</v>
      </c>
      <c r="N50">
        <f>VLOOKUP($A50,Transpose!$A$1:$S$859,Cleaned!N$1)</f>
        <v>1684</v>
      </c>
      <c r="O50">
        <f>VLOOKUP($A50,Transpose!$A$1:$S$859,Cleaned!O$1)</f>
        <v>60785</v>
      </c>
      <c r="P50">
        <f>VLOOKUP($A50,Transpose!$A$1:$S$859,Cleaned!P$1)</f>
        <v>207</v>
      </c>
      <c r="Q50">
        <f>VLOOKUP($A50,Transpose!$A$1:$S$859,Cleaned!Q$1)</f>
        <v>19</v>
      </c>
      <c r="R50">
        <f>VLOOKUP($A50,Transpose!$A$1:$S$859,Cleaned!R$1)</f>
        <v>1</v>
      </c>
      <c r="S50">
        <f>VLOOKUP($A50,Transpose!$A$1:$S$859,Cleaned!S$1)</f>
        <v>152</v>
      </c>
    </row>
    <row r="51" spans="1:19" x14ac:dyDescent="0.25">
      <c r="A51" s="2">
        <f t="shared" si="1"/>
        <v>34335</v>
      </c>
      <c r="B51">
        <f>VLOOKUP($A51,Transpose!$A$1:$S$859,Cleaned!B$1)</f>
        <v>121966</v>
      </c>
      <c r="C51">
        <f>VLOOKUP($A51,Transpose!$A$1:$S$859,Cleaned!C$1)</f>
        <v>116484</v>
      </c>
      <c r="D51">
        <f>VLOOKUP($A51,Transpose!$A$1:$S$859,Cleaned!D$1)</f>
        <v>2171</v>
      </c>
      <c r="E51">
        <f>VLOOKUP($A51,Transpose!$A$1:$S$859,Cleaned!E$1)</f>
        <v>3228</v>
      </c>
      <c r="F51">
        <f>VLOOKUP($A51,Transpose!$A$1:$S$859,Cleaned!F$1)</f>
        <v>83</v>
      </c>
      <c r="G51">
        <f>VLOOKUP($A51,Transpose!$A$1:$S$859,Cleaned!G$1)</f>
        <v>8630</v>
      </c>
      <c r="H51">
        <f>VLOOKUP($A51,Transpose!$A$1:$S$859,Cleaned!H$1)</f>
        <v>1884</v>
      </c>
      <c r="I51">
        <f>VLOOKUP($A51,Transpose!$A$1:$S$859,Cleaned!I$1)</f>
        <v>4641</v>
      </c>
      <c r="J51">
        <f>VLOOKUP($A51,Transpose!$A$1:$S$859,Cleaned!J$1)</f>
        <v>2076</v>
      </c>
      <c r="K51">
        <f>VLOOKUP($A51,Transpose!$A$1:$S$859,Cleaned!K$1)</f>
        <v>29</v>
      </c>
      <c r="L51">
        <f>VLOOKUP($A51,Transpose!$A$1:$S$859,Cleaned!L$1)</f>
        <v>65357</v>
      </c>
      <c r="M51">
        <f>VLOOKUP($A51,Transpose!$A$1:$S$859,Cleaned!M$1)</f>
        <v>3077</v>
      </c>
      <c r="N51">
        <f>VLOOKUP($A51,Transpose!$A$1:$S$859,Cleaned!N$1)</f>
        <v>1663</v>
      </c>
      <c r="O51">
        <f>VLOOKUP($A51,Transpose!$A$1:$S$859,Cleaned!O$1)</f>
        <v>60397</v>
      </c>
      <c r="P51">
        <f>VLOOKUP($A51,Transpose!$A$1:$S$859,Cleaned!P$1)</f>
        <v>219</v>
      </c>
      <c r="Q51">
        <f>VLOOKUP($A51,Transpose!$A$1:$S$859,Cleaned!Q$1)</f>
        <v>19</v>
      </c>
      <c r="R51">
        <f>VLOOKUP($A51,Transpose!$A$1:$S$859,Cleaned!R$1)</f>
        <v>1</v>
      </c>
      <c r="S51">
        <f>VLOOKUP($A51,Transpose!$A$1:$S$859,Cleaned!S$1)</f>
        <v>153</v>
      </c>
    </row>
    <row r="52" spans="1:19" x14ac:dyDescent="0.25">
      <c r="A52" s="2">
        <f t="shared" si="1"/>
        <v>34366</v>
      </c>
      <c r="B52">
        <f>VLOOKUP($A52,Transpose!$A$1:$S$859,Cleaned!B$1)</f>
        <v>122086</v>
      </c>
      <c r="C52">
        <f>VLOOKUP($A52,Transpose!$A$1:$S$859,Cleaned!C$1)</f>
        <v>116518</v>
      </c>
      <c r="D52">
        <f>VLOOKUP($A52,Transpose!$A$1:$S$859,Cleaned!D$1)</f>
        <v>2208</v>
      </c>
      <c r="E52">
        <f>VLOOKUP($A52,Transpose!$A$1:$S$859,Cleaned!E$1)</f>
        <v>3260</v>
      </c>
      <c r="F52">
        <f>VLOOKUP($A52,Transpose!$A$1:$S$859,Cleaned!F$1)</f>
        <v>101</v>
      </c>
      <c r="G52">
        <f>VLOOKUP($A52,Transpose!$A$1:$S$859,Cleaned!G$1)</f>
        <v>8583</v>
      </c>
      <c r="H52">
        <f>VLOOKUP($A52,Transpose!$A$1:$S$859,Cleaned!H$1)</f>
        <v>1898</v>
      </c>
      <c r="I52">
        <f>VLOOKUP($A52,Transpose!$A$1:$S$859,Cleaned!I$1)</f>
        <v>4638</v>
      </c>
      <c r="J52">
        <f>VLOOKUP($A52,Transpose!$A$1:$S$859,Cleaned!J$1)</f>
        <v>2029</v>
      </c>
      <c r="K52">
        <f>VLOOKUP($A52,Transpose!$A$1:$S$859,Cleaned!K$1)</f>
        <v>18</v>
      </c>
      <c r="L52">
        <f>VLOOKUP($A52,Transpose!$A$1:$S$859,Cleaned!L$1)</f>
        <v>65421</v>
      </c>
      <c r="M52">
        <f>VLOOKUP($A52,Transpose!$A$1:$S$859,Cleaned!M$1)</f>
        <v>3531</v>
      </c>
      <c r="N52">
        <f>VLOOKUP($A52,Transpose!$A$1:$S$859,Cleaned!N$1)</f>
        <v>1782</v>
      </c>
      <c r="O52">
        <f>VLOOKUP($A52,Transpose!$A$1:$S$859,Cleaned!O$1)</f>
        <v>59916</v>
      </c>
      <c r="P52">
        <f>VLOOKUP($A52,Transpose!$A$1:$S$859,Cleaned!P$1)</f>
        <v>192</v>
      </c>
      <c r="Q52">
        <f>VLOOKUP($A52,Transpose!$A$1:$S$859,Cleaned!Q$1)</f>
        <v>19</v>
      </c>
      <c r="R52">
        <f>VLOOKUP($A52,Transpose!$A$1:$S$859,Cleaned!R$1)</f>
        <v>1</v>
      </c>
      <c r="S52">
        <f>VLOOKUP($A52,Transpose!$A$1:$S$859,Cleaned!S$1)</f>
        <v>153</v>
      </c>
    </row>
    <row r="53" spans="1:19" x14ac:dyDescent="0.25">
      <c r="A53" s="2">
        <f t="shared" si="1"/>
        <v>34394</v>
      </c>
      <c r="B53">
        <f>VLOOKUP($A53,Transpose!$A$1:$S$859,Cleaned!B$1)</f>
        <v>121930</v>
      </c>
      <c r="C53">
        <f>VLOOKUP($A53,Transpose!$A$1:$S$859,Cleaned!C$1)</f>
        <v>116623</v>
      </c>
      <c r="D53">
        <f>VLOOKUP($A53,Transpose!$A$1:$S$859,Cleaned!D$1)</f>
        <v>2194</v>
      </c>
      <c r="E53">
        <f>VLOOKUP($A53,Transpose!$A$1:$S$859,Cleaned!E$1)</f>
        <v>3012</v>
      </c>
      <c r="F53">
        <f>VLOOKUP($A53,Transpose!$A$1:$S$859,Cleaned!F$1)</f>
        <v>101</v>
      </c>
      <c r="G53">
        <f>VLOOKUP($A53,Transpose!$A$1:$S$859,Cleaned!G$1)</f>
        <v>8470</v>
      </c>
      <c r="H53">
        <f>VLOOKUP($A53,Transpose!$A$1:$S$859,Cleaned!H$1)</f>
        <v>1852</v>
      </c>
      <c r="I53">
        <f>VLOOKUP($A53,Transpose!$A$1:$S$859,Cleaned!I$1)</f>
        <v>4477</v>
      </c>
      <c r="J53">
        <f>VLOOKUP($A53,Transpose!$A$1:$S$859,Cleaned!J$1)</f>
        <v>2117</v>
      </c>
      <c r="K53">
        <f>VLOOKUP($A53,Transpose!$A$1:$S$859,Cleaned!K$1)</f>
        <v>23</v>
      </c>
      <c r="L53">
        <f>VLOOKUP($A53,Transpose!$A$1:$S$859,Cleaned!L$1)</f>
        <v>65813</v>
      </c>
      <c r="M53">
        <f>VLOOKUP($A53,Transpose!$A$1:$S$859,Cleaned!M$1)</f>
        <v>3592</v>
      </c>
      <c r="N53">
        <f>VLOOKUP($A53,Transpose!$A$1:$S$859,Cleaned!N$1)</f>
        <v>1911</v>
      </c>
      <c r="O53">
        <f>VLOOKUP($A53,Transpose!$A$1:$S$859,Cleaned!O$1)</f>
        <v>60139</v>
      </c>
      <c r="P53">
        <f>VLOOKUP($A53,Transpose!$A$1:$S$859,Cleaned!P$1)</f>
        <v>172</v>
      </c>
      <c r="Q53">
        <f>VLOOKUP($A53,Transpose!$A$1:$S$859,Cleaned!Q$1)</f>
        <v>19</v>
      </c>
      <c r="R53">
        <f>VLOOKUP($A53,Transpose!$A$1:$S$859,Cleaned!R$1)</f>
        <v>1</v>
      </c>
      <c r="S53">
        <f>VLOOKUP($A53,Transpose!$A$1:$S$859,Cleaned!S$1)</f>
        <v>153</v>
      </c>
    </row>
    <row r="54" spans="1:19" x14ac:dyDescent="0.25">
      <c r="A54" s="2">
        <f t="shared" si="1"/>
        <v>34425</v>
      </c>
      <c r="B54">
        <f>VLOOKUP($A54,Transpose!$A$1:$S$859,Cleaned!B$1)</f>
        <v>122290</v>
      </c>
      <c r="C54">
        <f>VLOOKUP($A54,Transpose!$A$1:$S$859,Cleaned!C$1)</f>
        <v>116882</v>
      </c>
      <c r="D54">
        <f>VLOOKUP($A54,Transpose!$A$1:$S$859,Cleaned!D$1)</f>
        <v>2199</v>
      </c>
      <c r="E54">
        <f>VLOOKUP($A54,Transpose!$A$1:$S$859,Cleaned!E$1)</f>
        <v>3102</v>
      </c>
      <c r="F54">
        <f>VLOOKUP($A54,Transpose!$A$1:$S$859,Cleaned!F$1)</f>
        <v>107</v>
      </c>
      <c r="G54">
        <f>VLOOKUP($A54,Transpose!$A$1:$S$859,Cleaned!G$1)</f>
        <v>8331</v>
      </c>
      <c r="H54">
        <f>VLOOKUP($A54,Transpose!$A$1:$S$859,Cleaned!H$1)</f>
        <v>1898</v>
      </c>
      <c r="I54">
        <f>VLOOKUP($A54,Transpose!$A$1:$S$859,Cleaned!I$1)</f>
        <v>4361</v>
      </c>
      <c r="J54">
        <f>VLOOKUP($A54,Transpose!$A$1:$S$859,Cleaned!J$1)</f>
        <v>2051</v>
      </c>
      <c r="K54">
        <f>VLOOKUP($A54,Transpose!$A$1:$S$859,Cleaned!K$1)</f>
        <v>21</v>
      </c>
      <c r="L54">
        <f>VLOOKUP($A54,Transpose!$A$1:$S$859,Cleaned!L$1)</f>
        <v>65742</v>
      </c>
      <c r="M54">
        <f>VLOOKUP($A54,Transpose!$A$1:$S$859,Cleaned!M$1)</f>
        <v>3131</v>
      </c>
      <c r="N54">
        <f>VLOOKUP($A54,Transpose!$A$1:$S$859,Cleaned!N$1)</f>
        <v>1909</v>
      </c>
      <c r="O54">
        <f>VLOOKUP($A54,Transpose!$A$1:$S$859,Cleaned!O$1)</f>
        <v>60507</v>
      </c>
      <c r="P54">
        <f>VLOOKUP($A54,Transpose!$A$1:$S$859,Cleaned!P$1)</f>
        <v>196</v>
      </c>
      <c r="Q54">
        <f>VLOOKUP($A54,Transpose!$A$1:$S$859,Cleaned!Q$1)</f>
        <v>19</v>
      </c>
      <c r="R54">
        <f>VLOOKUP($A54,Transpose!$A$1:$S$859,Cleaned!R$1)</f>
        <v>1</v>
      </c>
      <c r="S54">
        <f>VLOOKUP($A54,Transpose!$A$1:$S$859,Cleaned!S$1)</f>
        <v>153</v>
      </c>
    </row>
    <row r="55" spans="1:19" x14ac:dyDescent="0.25">
      <c r="A55" s="2">
        <f t="shared" si="1"/>
        <v>34455</v>
      </c>
      <c r="B55">
        <f>VLOOKUP($A55,Transpose!$A$1:$S$859,Cleaned!B$1)</f>
        <v>122864</v>
      </c>
      <c r="C55">
        <f>VLOOKUP($A55,Transpose!$A$1:$S$859,Cleaned!C$1)</f>
        <v>117303</v>
      </c>
      <c r="D55">
        <f>VLOOKUP($A55,Transpose!$A$1:$S$859,Cleaned!D$1)</f>
        <v>2249</v>
      </c>
      <c r="E55">
        <f>VLOOKUP($A55,Transpose!$A$1:$S$859,Cleaned!E$1)</f>
        <v>3179</v>
      </c>
      <c r="F55">
        <f>VLOOKUP($A55,Transpose!$A$1:$S$859,Cleaned!F$1)</f>
        <v>133</v>
      </c>
      <c r="G55">
        <f>VLOOKUP($A55,Transpose!$A$1:$S$859,Cleaned!G$1)</f>
        <v>7915</v>
      </c>
      <c r="H55">
        <f>VLOOKUP($A55,Transpose!$A$1:$S$859,Cleaned!H$1)</f>
        <v>1776</v>
      </c>
      <c r="I55">
        <f>VLOOKUP($A55,Transpose!$A$1:$S$859,Cleaned!I$1)</f>
        <v>4181</v>
      </c>
      <c r="J55">
        <f>VLOOKUP($A55,Transpose!$A$1:$S$859,Cleaned!J$1)</f>
        <v>1937</v>
      </c>
      <c r="K55">
        <f>VLOOKUP($A55,Transpose!$A$1:$S$859,Cleaned!K$1)</f>
        <v>21</v>
      </c>
      <c r="L55">
        <f>VLOOKUP($A55,Transpose!$A$1:$S$859,Cleaned!L$1)</f>
        <v>65731</v>
      </c>
      <c r="M55">
        <f>VLOOKUP($A55,Transpose!$A$1:$S$859,Cleaned!M$1)</f>
        <v>3192</v>
      </c>
      <c r="N55">
        <f>VLOOKUP($A55,Transpose!$A$1:$S$859,Cleaned!N$1)</f>
        <v>1899</v>
      </c>
      <c r="O55">
        <f>VLOOKUP($A55,Transpose!$A$1:$S$859,Cleaned!O$1)</f>
        <v>60473</v>
      </c>
      <c r="P55">
        <f>VLOOKUP($A55,Transpose!$A$1:$S$859,Cleaned!P$1)</f>
        <v>166</v>
      </c>
      <c r="Q55">
        <f>VLOOKUP($A55,Transpose!$A$1:$S$859,Cleaned!Q$1)</f>
        <v>19</v>
      </c>
      <c r="R55">
        <f>VLOOKUP($A55,Transpose!$A$1:$S$859,Cleaned!R$1)</f>
        <v>1</v>
      </c>
      <c r="S55">
        <f>VLOOKUP($A55,Transpose!$A$1:$S$859,Cleaned!S$1)</f>
        <v>153</v>
      </c>
    </row>
    <row r="56" spans="1:19" x14ac:dyDescent="0.25">
      <c r="A56" s="2">
        <f t="shared" si="1"/>
        <v>34486</v>
      </c>
      <c r="B56">
        <f>VLOOKUP($A56,Transpose!$A$1:$S$859,Cleaned!B$1)</f>
        <v>122634</v>
      </c>
      <c r="C56">
        <f>VLOOKUP($A56,Transpose!$A$1:$S$859,Cleaned!C$1)</f>
        <v>117629</v>
      </c>
      <c r="D56">
        <f>VLOOKUP($A56,Transpose!$A$1:$S$859,Cleaned!D$1)</f>
        <v>2039</v>
      </c>
      <c r="E56">
        <f>VLOOKUP($A56,Transpose!$A$1:$S$859,Cleaned!E$1)</f>
        <v>2855</v>
      </c>
      <c r="F56">
        <f>VLOOKUP($A56,Transpose!$A$1:$S$859,Cleaned!F$1)</f>
        <v>110</v>
      </c>
      <c r="G56">
        <f>VLOOKUP($A56,Transpose!$A$1:$S$859,Cleaned!G$1)</f>
        <v>7927</v>
      </c>
      <c r="H56">
        <f>VLOOKUP($A56,Transpose!$A$1:$S$859,Cleaned!H$1)</f>
        <v>1875</v>
      </c>
      <c r="I56">
        <f>VLOOKUP($A56,Transpose!$A$1:$S$859,Cleaned!I$1)</f>
        <v>3913</v>
      </c>
      <c r="J56">
        <f>VLOOKUP($A56,Transpose!$A$1:$S$859,Cleaned!J$1)</f>
        <v>2111</v>
      </c>
      <c r="K56">
        <f>VLOOKUP($A56,Transpose!$A$1:$S$859,Cleaned!K$1)</f>
        <v>28</v>
      </c>
      <c r="L56">
        <f>VLOOKUP($A56,Transpose!$A$1:$S$859,Cleaned!L$1)</f>
        <v>66132</v>
      </c>
      <c r="M56">
        <f>VLOOKUP($A56,Transpose!$A$1:$S$859,Cleaned!M$1)</f>
        <v>3341</v>
      </c>
      <c r="N56">
        <f>VLOOKUP($A56,Transpose!$A$1:$S$859,Cleaned!N$1)</f>
        <v>1961</v>
      </c>
      <c r="O56">
        <f>VLOOKUP($A56,Transpose!$A$1:$S$859,Cleaned!O$1)</f>
        <v>60611</v>
      </c>
      <c r="P56">
        <f>VLOOKUP($A56,Transpose!$A$1:$S$859,Cleaned!P$1)</f>
        <v>219</v>
      </c>
      <c r="Q56">
        <f>VLOOKUP($A56,Transpose!$A$1:$S$859,Cleaned!Q$1)</f>
        <v>19</v>
      </c>
      <c r="R56">
        <f>VLOOKUP($A56,Transpose!$A$1:$S$859,Cleaned!R$1)</f>
        <v>1</v>
      </c>
      <c r="S56">
        <f>VLOOKUP($A56,Transpose!$A$1:$S$859,Cleaned!S$1)</f>
        <v>153</v>
      </c>
    </row>
    <row r="57" spans="1:19" x14ac:dyDescent="0.25">
      <c r="A57" s="2">
        <f t="shared" si="1"/>
        <v>34516</v>
      </c>
      <c r="B57">
        <f>VLOOKUP($A57,Transpose!$A$1:$S$859,Cleaned!B$1)</f>
        <v>122706</v>
      </c>
      <c r="C57">
        <f>VLOOKUP($A57,Transpose!$A$1:$S$859,Cleaned!C$1)</f>
        <v>117389</v>
      </c>
      <c r="D57">
        <f>VLOOKUP($A57,Transpose!$A$1:$S$859,Cleaned!D$1)</f>
        <v>2141</v>
      </c>
      <c r="E57">
        <f>VLOOKUP($A57,Transpose!$A$1:$S$859,Cleaned!E$1)</f>
        <v>3061</v>
      </c>
      <c r="F57">
        <f>VLOOKUP($A57,Transpose!$A$1:$S$859,Cleaned!F$1)</f>
        <v>115</v>
      </c>
      <c r="G57">
        <f>VLOOKUP($A57,Transpose!$A$1:$S$859,Cleaned!G$1)</f>
        <v>7946</v>
      </c>
      <c r="H57">
        <f>VLOOKUP($A57,Transpose!$A$1:$S$859,Cleaned!H$1)</f>
        <v>1910</v>
      </c>
      <c r="I57">
        <f>VLOOKUP($A57,Transpose!$A$1:$S$859,Cleaned!I$1)</f>
        <v>3952</v>
      </c>
      <c r="J57">
        <f>VLOOKUP($A57,Transpose!$A$1:$S$859,Cleaned!J$1)</f>
        <v>2056</v>
      </c>
      <c r="K57">
        <f>VLOOKUP($A57,Transpose!$A$1:$S$859,Cleaned!K$1)</f>
        <v>27</v>
      </c>
      <c r="L57">
        <f>VLOOKUP($A57,Transpose!$A$1:$S$859,Cleaned!L$1)</f>
        <v>66207</v>
      </c>
      <c r="M57">
        <f>VLOOKUP($A57,Transpose!$A$1:$S$859,Cleaned!M$1)</f>
        <v>3315</v>
      </c>
      <c r="N57">
        <f>VLOOKUP($A57,Transpose!$A$1:$S$859,Cleaned!N$1)</f>
        <v>1832</v>
      </c>
      <c r="O57">
        <f>VLOOKUP($A57,Transpose!$A$1:$S$859,Cleaned!O$1)</f>
        <v>60862</v>
      </c>
      <c r="P57">
        <f>VLOOKUP($A57,Transpose!$A$1:$S$859,Cleaned!P$1)</f>
        <v>198</v>
      </c>
      <c r="Q57">
        <f>VLOOKUP($A57,Transpose!$A$1:$S$859,Cleaned!Q$1)</f>
        <v>19</v>
      </c>
      <c r="R57">
        <f>VLOOKUP($A57,Transpose!$A$1:$S$859,Cleaned!R$1)</f>
        <v>1</v>
      </c>
      <c r="S57">
        <f>VLOOKUP($A57,Transpose!$A$1:$S$859,Cleaned!S$1)</f>
        <v>153</v>
      </c>
    </row>
    <row r="58" spans="1:19" x14ac:dyDescent="0.25">
      <c r="A58" s="2">
        <f t="shared" si="1"/>
        <v>34547</v>
      </c>
      <c r="B58">
        <f>VLOOKUP($A58,Transpose!$A$1:$S$859,Cleaned!B$1)</f>
        <v>123342</v>
      </c>
      <c r="C58">
        <f>VLOOKUP($A58,Transpose!$A$1:$S$859,Cleaned!C$1)</f>
        <v>117700</v>
      </c>
      <c r="D58">
        <f>VLOOKUP($A58,Transpose!$A$1:$S$859,Cleaned!D$1)</f>
        <v>2212</v>
      </c>
      <c r="E58">
        <f>VLOOKUP($A58,Transpose!$A$1:$S$859,Cleaned!E$1)</f>
        <v>3308</v>
      </c>
      <c r="F58">
        <f>VLOOKUP($A58,Transpose!$A$1:$S$859,Cleaned!F$1)</f>
        <v>122</v>
      </c>
      <c r="G58">
        <f>VLOOKUP($A58,Transpose!$A$1:$S$859,Cleaned!G$1)</f>
        <v>7933</v>
      </c>
      <c r="H58">
        <f>VLOOKUP($A58,Transpose!$A$1:$S$859,Cleaned!H$1)</f>
        <v>1848</v>
      </c>
      <c r="I58">
        <f>VLOOKUP($A58,Transpose!$A$1:$S$859,Cleaned!I$1)</f>
        <v>3955</v>
      </c>
      <c r="J58">
        <f>VLOOKUP($A58,Transpose!$A$1:$S$859,Cleaned!J$1)</f>
        <v>2099</v>
      </c>
      <c r="K58">
        <f>VLOOKUP($A58,Transpose!$A$1:$S$859,Cleaned!K$1)</f>
        <v>32</v>
      </c>
      <c r="L58">
        <f>VLOOKUP($A58,Transpose!$A$1:$S$859,Cleaned!L$1)</f>
        <v>65768</v>
      </c>
      <c r="M58">
        <f>VLOOKUP($A58,Transpose!$A$1:$S$859,Cleaned!M$1)</f>
        <v>3139</v>
      </c>
      <c r="N58">
        <f>VLOOKUP($A58,Transpose!$A$1:$S$859,Cleaned!N$1)</f>
        <v>1778</v>
      </c>
      <c r="O58">
        <f>VLOOKUP($A58,Transpose!$A$1:$S$859,Cleaned!O$1)</f>
        <v>60648</v>
      </c>
      <c r="P58">
        <f>VLOOKUP($A58,Transpose!$A$1:$S$859,Cleaned!P$1)</f>
        <v>204</v>
      </c>
      <c r="Q58">
        <f>VLOOKUP($A58,Transpose!$A$1:$S$859,Cleaned!Q$1)</f>
        <v>19</v>
      </c>
      <c r="R58">
        <f>VLOOKUP($A58,Transpose!$A$1:$S$859,Cleaned!R$1)</f>
        <v>1</v>
      </c>
      <c r="S58">
        <f>VLOOKUP($A58,Transpose!$A$1:$S$859,Cleaned!S$1)</f>
        <v>153</v>
      </c>
    </row>
    <row r="59" spans="1:19" x14ac:dyDescent="0.25">
      <c r="A59" s="2">
        <f t="shared" si="1"/>
        <v>34578</v>
      </c>
      <c r="B59">
        <f>VLOOKUP($A59,Transpose!$A$1:$S$859,Cleaned!B$1)</f>
        <v>123687</v>
      </c>
      <c r="C59">
        <f>VLOOKUP($A59,Transpose!$A$1:$S$859,Cleaned!C$1)</f>
        <v>118344</v>
      </c>
      <c r="D59">
        <f>VLOOKUP($A59,Transpose!$A$1:$S$859,Cleaned!D$1)</f>
        <v>2166</v>
      </c>
      <c r="E59">
        <f>VLOOKUP($A59,Transpose!$A$1:$S$859,Cleaned!E$1)</f>
        <v>3071</v>
      </c>
      <c r="F59">
        <f>VLOOKUP($A59,Transpose!$A$1:$S$859,Cleaned!F$1)</f>
        <v>107</v>
      </c>
      <c r="G59">
        <f>VLOOKUP($A59,Transpose!$A$1:$S$859,Cleaned!G$1)</f>
        <v>7734</v>
      </c>
      <c r="H59">
        <f>VLOOKUP($A59,Transpose!$A$1:$S$859,Cleaned!H$1)</f>
        <v>1783</v>
      </c>
      <c r="I59">
        <f>VLOOKUP($A59,Transpose!$A$1:$S$859,Cleaned!I$1)</f>
        <v>3994</v>
      </c>
      <c r="J59">
        <f>VLOOKUP($A59,Transpose!$A$1:$S$859,Cleaned!J$1)</f>
        <v>1930</v>
      </c>
      <c r="K59">
        <f>VLOOKUP($A59,Transpose!$A$1:$S$859,Cleaned!K$1)</f>
        <v>26</v>
      </c>
      <c r="L59">
        <f>VLOOKUP($A59,Transpose!$A$1:$S$859,Cleaned!L$1)</f>
        <v>65827</v>
      </c>
      <c r="M59">
        <f>VLOOKUP($A59,Transpose!$A$1:$S$859,Cleaned!M$1)</f>
        <v>3196</v>
      </c>
      <c r="N59">
        <f>VLOOKUP($A59,Transpose!$A$1:$S$859,Cleaned!N$1)</f>
        <v>1772</v>
      </c>
      <c r="O59">
        <f>VLOOKUP($A59,Transpose!$A$1:$S$859,Cleaned!O$1)</f>
        <v>60614</v>
      </c>
      <c r="P59">
        <f>VLOOKUP($A59,Transpose!$A$1:$S$859,Cleaned!P$1)</f>
        <v>246</v>
      </c>
      <c r="Q59">
        <f>VLOOKUP($A59,Transpose!$A$1:$S$859,Cleaned!Q$1)</f>
        <v>19</v>
      </c>
      <c r="R59">
        <f>VLOOKUP($A59,Transpose!$A$1:$S$859,Cleaned!R$1)</f>
        <v>1</v>
      </c>
      <c r="S59">
        <f>VLOOKUP($A59,Transpose!$A$1:$S$859,Cleaned!S$1)</f>
        <v>154</v>
      </c>
    </row>
    <row r="60" spans="1:19" x14ac:dyDescent="0.25">
      <c r="A60" s="2">
        <f t="shared" si="1"/>
        <v>34608</v>
      </c>
      <c r="B60">
        <f>VLOOKUP($A60,Transpose!$A$1:$S$859,Cleaned!B$1)</f>
        <v>124112</v>
      </c>
      <c r="C60">
        <f>VLOOKUP($A60,Transpose!$A$1:$S$859,Cleaned!C$1)</f>
        <v>118833</v>
      </c>
      <c r="D60">
        <f>VLOOKUP($A60,Transpose!$A$1:$S$859,Cleaned!D$1)</f>
        <v>2013</v>
      </c>
      <c r="E60">
        <f>VLOOKUP($A60,Transpose!$A$1:$S$859,Cleaned!E$1)</f>
        <v>3125</v>
      </c>
      <c r="F60">
        <f>VLOOKUP($A60,Transpose!$A$1:$S$859,Cleaned!F$1)</f>
        <v>142</v>
      </c>
      <c r="G60">
        <f>VLOOKUP($A60,Transpose!$A$1:$S$859,Cleaned!G$1)</f>
        <v>7632</v>
      </c>
      <c r="H60">
        <f>VLOOKUP($A60,Transpose!$A$1:$S$859,Cleaned!H$1)</f>
        <v>1606</v>
      </c>
      <c r="I60">
        <f>VLOOKUP($A60,Transpose!$A$1:$S$859,Cleaned!I$1)</f>
        <v>3997</v>
      </c>
      <c r="J60">
        <f>VLOOKUP($A60,Transpose!$A$1:$S$859,Cleaned!J$1)</f>
        <v>2007</v>
      </c>
      <c r="K60">
        <f>VLOOKUP($A60,Transpose!$A$1:$S$859,Cleaned!K$1)</f>
        <v>22</v>
      </c>
      <c r="L60">
        <f>VLOOKUP($A60,Transpose!$A$1:$S$859,Cleaned!L$1)</f>
        <v>65686</v>
      </c>
      <c r="M60">
        <f>VLOOKUP($A60,Transpose!$A$1:$S$859,Cleaned!M$1)</f>
        <v>3229</v>
      </c>
      <c r="N60">
        <f>VLOOKUP($A60,Transpose!$A$1:$S$859,Cleaned!N$1)</f>
        <v>1723</v>
      </c>
      <c r="O60">
        <f>VLOOKUP($A60,Transpose!$A$1:$S$859,Cleaned!O$1)</f>
        <v>60541</v>
      </c>
      <c r="P60">
        <f>VLOOKUP($A60,Transpose!$A$1:$S$859,Cleaned!P$1)</f>
        <v>193</v>
      </c>
      <c r="Q60">
        <f>VLOOKUP($A60,Transpose!$A$1:$S$859,Cleaned!Q$1)</f>
        <v>19</v>
      </c>
      <c r="R60">
        <f>VLOOKUP($A60,Transpose!$A$1:$S$859,Cleaned!R$1)</f>
        <v>1</v>
      </c>
      <c r="S60">
        <f>VLOOKUP($A60,Transpose!$A$1:$S$859,Cleaned!S$1)</f>
        <v>154</v>
      </c>
    </row>
    <row r="61" spans="1:19" x14ac:dyDescent="0.25">
      <c r="A61" s="2">
        <f t="shared" si="1"/>
        <v>34639</v>
      </c>
      <c r="B61">
        <f>VLOOKUP($A61,Transpose!$A$1:$S$859,Cleaned!B$1)</f>
        <v>124516</v>
      </c>
      <c r="C61">
        <f>VLOOKUP($A61,Transpose!$A$1:$S$859,Cleaned!C$1)</f>
        <v>119002</v>
      </c>
      <c r="D61">
        <f>VLOOKUP($A61,Transpose!$A$1:$S$859,Cleaned!D$1)</f>
        <v>2111</v>
      </c>
      <c r="E61">
        <f>VLOOKUP($A61,Transpose!$A$1:$S$859,Cleaned!E$1)</f>
        <v>3274</v>
      </c>
      <c r="F61">
        <f>VLOOKUP($A61,Transpose!$A$1:$S$859,Cleaned!F$1)</f>
        <v>129</v>
      </c>
      <c r="G61">
        <f>VLOOKUP($A61,Transpose!$A$1:$S$859,Cleaned!G$1)</f>
        <v>7375</v>
      </c>
      <c r="H61">
        <f>VLOOKUP($A61,Transpose!$A$1:$S$859,Cleaned!H$1)</f>
        <v>1791</v>
      </c>
      <c r="I61">
        <f>VLOOKUP($A61,Transpose!$A$1:$S$859,Cleaned!I$1)</f>
        <v>3700</v>
      </c>
      <c r="J61">
        <f>VLOOKUP($A61,Transpose!$A$1:$S$859,Cleaned!J$1)</f>
        <v>1858</v>
      </c>
      <c r="K61">
        <f>VLOOKUP($A61,Transpose!$A$1:$S$859,Cleaned!K$1)</f>
        <v>26</v>
      </c>
      <c r="L61">
        <f>VLOOKUP($A61,Transpose!$A$1:$S$859,Cleaned!L$1)</f>
        <v>65716</v>
      </c>
      <c r="M61">
        <f>VLOOKUP($A61,Transpose!$A$1:$S$859,Cleaned!M$1)</f>
        <v>3300</v>
      </c>
      <c r="N61">
        <f>VLOOKUP($A61,Transpose!$A$1:$S$859,Cleaned!N$1)</f>
        <v>1820</v>
      </c>
      <c r="O61">
        <f>VLOOKUP($A61,Transpose!$A$1:$S$859,Cleaned!O$1)</f>
        <v>60400</v>
      </c>
      <c r="P61">
        <f>VLOOKUP($A61,Transpose!$A$1:$S$859,Cleaned!P$1)</f>
        <v>195</v>
      </c>
      <c r="Q61">
        <f>VLOOKUP($A61,Transpose!$A$1:$S$859,Cleaned!Q$1)</f>
        <v>19</v>
      </c>
      <c r="R61">
        <f>VLOOKUP($A61,Transpose!$A$1:$S$859,Cleaned!R$1)</f>
        <v>1</v>
      </c>
      <c r="S61">
        <f>VLOOKUP($A61,Transpose!$A$1:$S$859,Cleaned!S$1)</f>
        <v>154</v>
      </c>
    </row>
    <row r="62" spans="1:19" x14ac:dyDescent="0.25">
      <c r="A62" s="2">
        <f t="shared" si="1"/>
        <v>34669</v>
      </c>
      <c r="B62">
        <f>VLOOKUP($A62,Transpose!$A$1:$S$859,Cleaned!B$1)</f>
        <v>124721</v>
      </c>
      <c r="C62">
        <f>VLOOKUP($A62,Transpose!$A$1:$S$859,Cleaned!C$1)</f>
        <v>119098</v>
      </c>
      <c r="D62">
        <f>VLOOKUP($A62,Transpose!$A$1:$S$859,Cleaned!D$1)</f>
        <v>2235</v>
      </c>
      <c r="E62">
        <f>VLOOKUP($A62,Transpose!$A$1:$S$859,Cleaned!E$1)</f>
        <v>3262</v>
      </c>
      <c r="F62">
        <f>VLOOKUP($A62,Transpose!$A$1:$S$859,Cleaned!F$1)</f>
        <v>126</v>
      </c>
      <c r="G62">
        <f>VLOOKUP($A62,Transpose!$A$1:$S$859,Cleaned!G$1)</f>
        <v>7230</v>
      </c>
      <c r="H62">
        <f>VLOOKUP($A62,Transpose!$A$1:$S$859,Cleaned!H$1)</f>
        <v>1867</v>
      </c>
      <c r="I62">
        <f>VLOOKUP($A62,Transpose!$A$1:$S$859,Cleaned!I$1)</f>
        <v>3431</v>
      </c>
      <c r="J62">
        <f>VLOOKUP($A62,Transpose!$A$1:$S$859,Cleaned!J$1)</f>
        <v>1907</v>
      </c>
      <c r="K62">
        <f>VLOOKUP($A62,Transpose!$A$1:$S$859,Cleaned!K$1)</f>
        <v>26</v>
      </c>
      <c r="L62">
        <f>VLOOKUP($A62,Transpose!$A$1:$S$859,Cleaned!L$1)</f>
        <v>65814</v>
      </c>
      <c r="M62">
        <f>VLOOKUP($A62,Transpose!$A$1:$S$859,Cleaned!M$1)</f>
        <v>3532</v>
      </c>
      <c r="N62">
        <f>VLOOKUP($A62,Transpose!$A$1:$S$859,Cleaned!N$1)</f>
        <v>1708</v>
      </c>
      <c r="O62">
        <f>VLOOKUP($A62,Transpose!$A$1:$S$859,Cleaned!O$1)</f>
        <v>60393</v>
      </c>
      <c r="P62">
        <f>VLOOKUP($A62,Transpose!$A$1:$S$859,Cleaned!P$1)</f>
        <v>181</v>
      </c>
      <c r="Q62">
        <f>VLOOKUP($A62,Transpose!$A$1:$S$859,Cleaned!Q$1)</f>
        <v>19</v>
      </c>
      <c r="R62">
        <f>VLOOKUP($A62,Transpose!$A$1:$S$859,Cleaned!R$1)</f>
        <v>1</v>
      </c>
      <c r="S62">
        <f>VLOOKUP($A62,Transpose!$A$1:$S$859,Cleaned!S$1)</f>
        <v>154</v>
      </c>
    </row>
    <row r="63" spans="1:19" x14ac:dyDescent="0.25">
      <c r="A63" s="2">
        <f t="shared" si="1"/>
        <v>34700</v>
      </c>
      <c r="B63">
        <f>VLOOKUP($A63,Transpose!$A$1:$S$859,Cleaned!B$1)</f>
        <v>124663</v>
      </c>
      <c r="C63">
        <f>VLOOKUP($A63,Transpose!$A$1:$S$859,Cleaned!C$1)</f>
        <v>119303</v>
      </c>
      <c r="D63">
        <f>VLOOKUP($A63,Transpose!$A$1:$S$859,Cleaned!D$1)</f>
        <v>2062</v>
      </c>
      <c r="E63">
        <f>VLOOKUP($A63,Transpose!$A$1:$S$859,Cleaned!E$1)</f>
        <v>3214</v>
      </c>
      <c r="F63">
        <f>VLOOKUP($A63,Transpose!$A$1:$S$859,Cleaned!F$1)</f>
        <v>84</v>
      </c>
      <c r="G63">
        <f>VLOOKUP($A63,Transpose!$A$1:$S$859,Cleaned!G$1)</f>
        <v>7375</v>
      </c>
      <c r="H63">
        <f>VLOOKUP($A63,Transpose!$A$1:$S$859,Cleaned!H$1)</f>
        <v>1969</v>
      </c>
      <c r="I63">
        <f>VLOOKUP($A63,Transpose!$A$1:$S$859,Cleaned!I$1)</f>
        <v>3483</v>
      </c>
      <c r="J63">
        <f>VLOOKUP($A63,Transpose!$A$1:$S$859,Cleaned!J$1)</f>
        <v>1892</v>
      </c>
      <c r="K63">
        <f>VLOOKUP($A63,Transpose!$A$1:$S$859,Cleaned!K$1)</f>
        <v>32</v>
      </c>
      <c r="L63">
        <f>VLOOKUP($A63,Transpose!$A$1:$S$859,Cleaned!L$1)</f>
        <v>65715</v>
      </c>
      <c r="M63">
        <f>VLOOKUP($A63,Transpose!$A$1:$S$859,Cleaned!M$1)</f>
        <v>3317</v>
      </c>
      <c r="N63">
        <f>VLOOKUP($A63,Transpose!$A$1:$S$859,Cleaned!N$1)</f>
        <v>1678</v>
      </c>
      <c r="O63">
        <f>VLOOKUP($A63,Transpose!$A$1:$S$859,Cleaned!O$1)</f>
        <v>60515</v>
      </c>
      <c r="P63">
        <f>VLOOKUP($A63,Transpose!$A$1:$S$859,Cleaned!P$1)</f>
        <v>205</v>
      </c>
      <c r="Q63">
        <f>VLOOKUP($A63,Transpose!$A$1:$S$859,Cleaned!Q$1)</f>
        <v>132</v>
      </c>
      <c r="R63">
        <f>VLOOKUP($A63,Transpose!$A$1:$S$859,Cleaned!R$1)</f>
        <v>8</v>
      </c>
      <c r="S63">
        <f>VLOOKUP($A63,Transpose!$A$1:$S$859,Cleaned!S$1)</f>
        <v>193</v>
      </c>
    </row>
    <row r="64" spans="1:19" x14ac:dyDescent="0.25">
      <c r="A64" s="2">
        <f t="shared" si="1"/>
        <v>34731</v>
      </c>
      <c r="B64">
        <f>VLOOKUP($A64,Transpose!$A$1:$S$859,Cleaned!B$1)</f>
        <v>124928</v>
      </c>
      <c r="C64">
        <f>VLOOKUP($A64,Transpose!$A$1:$S$859,Cleaned!C$1)</f>
        <v>119850</v>
      </c>
      <c r="D64">
        <f>VLOOKUP($A64,Transpose!$A$1:$S$859,Cleaned!D$1)</f>
        <v>2085</v>
      </c>
      <c r="E64">
        <f>VLOOKUP($A64,Transpose!$A$1:$S$859,Cleaned!E$1)</f>
        <v>2919</v>
      </c>
      <c r="F64">
        <f>VLOOKUP($A64,Transpose!$A$1:$S$859,Cleaned!F$1)</f>
        <v>74</v>
      </c>
      <c r="G64">
        <f>VLOOKUP($A64,Transpose!$A$1:$S$859,Cleaned!G$1)</f>
        <v>7187</v>
      </c>
      <c r="H64">
        <f>VLOOKUP($A64,Transpose!$A$1:$S$859,Cleaned!H$1)</f>
        <v>1700</v>
      </c>
      <c r="I64">
        <f>VLOOKUP($A64,Transpose!$A$1:$S$859,Cleaned!I$1)</f>
        <v>3603</v>
      </c>
      <c r="J64">
        <f>VLOOKUP($A64,Transpose!$A$1:$S$859,Cleaned!J$1)</f>
        <v>1851</v>
      </c>
      <c r="K64">
        <f>VLOOKUP($A64,Transpose!$A$1:$S$859,Cleaned!K$1)</f>
        <v>33</v>
      </c>
      <c r="L64">
        <f>VLOOKUP($A64,Transpose!$A$1:$S$859,Cleaned!L$1)</f>
        <v>65770</v>
      </c>
      <c r="M64">
        <f>VLOOKUP($A64,Transpose!$A$1:$S$859,Cleaned!M$1)</f>
        <v>3093</v>
      </c>
      <c r="N64">
        <f>VLOOKUP($A64,Transpose!$A$1:$S$859,Cleaned!N$1)</f>
        <v>1686</v>
      </c>
      <c r="O64">
        <f>VLOOKUP($A64,Transpose!$A$1:$S$859,Cleaned!O$1)</f>
        <v>60791</v>
      </c>
      <c r="P64">
        <f>VLOOKUP($A64,Transpose!$A$1:$S$859,Cleaned!P$1)</f>
        <v>200</v>
      </c>
      <c r="Q64">
        <f>VLOOKUP($A64,Transpose!$A$1:$S$859,Cleaned!Q$1)</f>
        <v>19</v>
      </c>
      <c r="R64">
        <f>VLOOKUP($A64,Transpose!$A$1:$S$859,Cleaned!R$1)</f>
        <v>1</v>
      </c>
      <c r="S64">
        <f>VLOOKUP($A64,Transpose!$A$1:$S$859,Cleaned!S$1)</f>
        <v>154</v>
      </c>
    </row>
    <row r="65" spans="1:19" x14ac:dyDescent="0.25">
      <c r="A65" s="2">
        <f t="shared" si="1"/>
        <v>34759</v>
      </c>
      <c r="B65">
        <f>VLOOKUP($A65,Transpose!$A$1:$S$859,Cleaned!B$1)</f>
        <v>124955</v>
      </c>
      <c r="C65">
        <f>VLOOKUP($A65,Transpose!$A$1:$S$859,Cleaned!C$1)</f>
        <v>119777</v>
      </c>
      <c r="D65">
        <f>VLOOKUP($A65,Transpose!$A$1:$S$859,Cleaned!D$1)</f>
        <v>2044</v>
      </c>
      <c r="E65">
        <f>VLOOKUP($A65,Transpose!$A$1:$S$859,Cleaned!E$1)</f>
        <v>3043</v>
      </c>
      <c r="F65">
        <f>VLOOKUP($A65,Transpose!$A$1:$S$859,Cleaned!F$1)</f>
        <v>92</v>
      </c>
      <c r="G65">
        <f>VLOOKUP($A65,Transpose!$A$1:$S$859,Cleaned!G$1)</f>
        <v>7153</v>
      </c>
      <c r="H65">
        <f>VLOOKUP($A65,Transpose!$A$1:$S$859,Cleaned!H$1)</f>
        <v>1829</v>
      </c>
      <c r="I65">
        <f>VLOOKUP($A65,Transpose!$A$1:$S$859,Cleaned!I$1)</f>
        <v>3566</v>
      </c>
      <c r="J65">
        <f>VLOOKUP($A65,Transpose!$A$1:$S$859,Cleaned!J$1)</f>
        <v>1731</v>
      </c>
      <c r="K65">
        <f>VLOOKUP($A65,Transpose!$A$1:$S$859,Cleaned!K$1)</f>
        <v>27</v>
      </c>
      <c r="L65">
        <f>VLOOKUP($A65,Transpose!$A$1:$S$859,Cleaned!L$1)</f>
        <v>65899</v>
      </c>
      <c r="M65">
        <f>VLOOKUP($A65,Transpose!$A$1:$S$859,Cleaned!M$1)</f>
        <v>3303</v>
      </c>
      <c r="N65">
        <f>VLOOKUP($A65,Transpose!$A$1:$S$859,Cleaned!N$1)</f>
        <v>1576</v>
      </c>
      <c r="O65">
        <f>VLOOKUP($A65,Transpose!$A$1:$S$859,Cleaned!O$1)</f>
        <v>60843</v>
      </c>
      <c r="P65">
        <f>VLOOKUP($A65,Transpose!$A$1:$S$859,Cleaned!P$1)</f>
        <v>178</v>
      </c>
      <c r="Q65">
        <f>VLOOKUP($A65,Transpose!$A$1:$S$859,Cleaned!Q$1)</f>
        <v>19</v>
      </c>
      <c r="R65">
        <f>VLOOKUP($A65,Transpose!$A$1:$S$859,Cleaned!R$1)</f>
        <v>1</v>
      </c>
      <c r="S65">
        <f>VLOOKUP($A65,Transpose!$A$1:$S$859,Cleaned!S$1)</f>
        <v>154</v>
      </c>
    </row>
    <row r="66" spans="1:19" x14ac:dyDescent="0.25">
      <c r="A66" s="2">
        <f t="shared" si="1"/>
        <v>34790</v>
      </c>
      <c r="B66">
        <f>VLOOKUP($A66,Transpose!$A$1:$S$859,Cleaned!B$1)</f>
        <v>124945</v>
      </c>
      <c r="C66">
        <f>VLOOKUP($A66,Transpose!$A$1:$S$859,Cleaned!C$1)</f>
        <v>119671</v>
      </c>
      <c r="D66">
        <f>VLOOKUP($A66,Transpose!$A$1:$S$859,Cleaned!D$1)</f>
        <v>2009</v>
      </c>
      <c r="E66">
        <f>VLOOKUP($A66,Transpose!$A$1:$S$859,Cleaned!E$1)</f>
        <v>3150</v>
      </c>
      <c r="F66">
        <f>VLOOKUP($A66,Transpose!$A$1:$S$859,Cleaned!F$1)</f>
        <v>115</v>
      </c>
      <c r="G66">
        <f>VLOOKUP($A66,Transpose!$A$1:$S$859,Cleaned!G$1)</f>
        <v>7645</v>
      </c>
      <c r="H66">
        <f>VLOOKUP($A66,Transpose!$A$1:$S$859,Cleaned!H$1)</f>
        <v>1873</v>
      </c>
      <c r="I66">
        <f>VLOOKUP($A66,Transpose!$A$1:$S$859,Cleaned!I$1)</f>
        <v>3609</v>
      </c>
      <c r="J66">
        <f>VLOOKUP($A66,Transpose!$A$1:$S$859,Cleaned!J$1)</f>
        <v>2144</v>
      </c>
      <c r="K66">
        <f>VLOOKUP($A66,Transpose!$A$1:$S$859,Cleaned!K$1)</f>
        <v>20</v>
      </c>
      <c r="L66">
        <f>VLOOKUP($A66,Transpose!$A$1:$S$859,Cleaned!L$1)</f>
        <v>65558</v>
      </c>
      <c r="M66">
        <f>VLOOKUP($A66,Transpose!$A$1:$S$859,Cleaned!M$1)</f>
        <v>3392</v>
      </c>
      <c r="N66">
        <f>VLOOKUP($A66,Transpose!$A$1:$S$859,Cleaned!N$1)</f>
        <v>1534</v>
      </c>
      <c r="O66">
        <f>VLOOKUP($A66,Transpose!$A$1:$S$859,Cleaned!O$1)</f>
        <v>60451</v>
      </c>
      <c r="P66">
        <f>VLOOKUP($A66,Transpose!$A$1:$S$859,Cleaned!P$1)</f>
        <v>182</v>
      </c>
      <c r="Q66">
        <f>VLOOKUP($A66,Transpose!$A$1:$S$859,Cleaned!Q$1)</f>
        <v>19</v>
      </c>
      <c r="R66">
        <f>VLOOKUP($A66,Transpose!$A$1:$S$859,Cleaned!R$1)</f>
        <v>1</v>
      </c>
      <c r="S66">
        <f>VLOOKUP($A66,Transpose!$A$1:$S$859,Cleaned!S$1)</f>
        <v>154</v>
      </c>
    </row>
    <row r="67" spans="1:19" x14ac:dyDescent="0.25">
      <c r="A67" s="2">
        <f t="shared" si="1"/>
        <v>34820</v>
      </c>
      <c r="B67">
        <f>VLOOKUP($A67,Transpose!$A$1:$S$859,Cleaned!B$1)</f>
        <v>124421</v>
      </c>
      <c r="C67">
        <f>VLOOKUP($A67,Transpose!$A$1:$S$859,Cleaned!C$1)</f>
        <v>119596</v>
      </c>
      <c r="D67">
        <f>VLOOKUP($A67,Transpose!$A$1:$S$859,Cleaned!D$1)</f>
        <v>2035</v>
      </c>
      <c r="E67">
        <f>VLOOKUP($A67,Transpose!$A$1:$S$859,Cleaned!E$1)</f>
        <v>2675</v>
      </c>
      <c r="F67">
        <f>VLOOKUP($A67,Transpose!$A$1:$S$859,Cleaned!F$1)</f>
        <v>114</v>
      </c>
      <c r="G67">
        <f>VLOOKUP($A67,Transpose!$A$1:$S$859,Cleaned!G$1)</f>
        <v>7430</v>
      </c>
      <c r="H67">
        <f>VLOOKUP($A67,Transpose!$A$1:$S$859,Cleaned!H$1)</f>
        <v>1784</v>
      </c>
      <c r="I67">
        <f>VLOOKUP($A67,Transpose!$A$1:$S$859,Cleaned!I$1)</f>
        <v>3775</v>
      </c>
      <c r="J67">
        <f>VLOOKUP($A67,Transpose!$A$1:$S$859,Cleaned!J$1)</f>
        <v>1849</v>
      </c>
      <c r="K67">
        <f>VLOOKUP($A67,Transpose!$A$1:$S$859,Cleaned!K$1)</f>
        <v>22</v>
      </c>
      <c r="L67">
        <f>VLOOKUP($A67,Transpose!$A$1:$S$859,Cleaned!L$1)</f>
        <v>66435</v>
      </c>
      <c r="M67">
        <f>VLOOKUP($A67,Transpose!$A$1:$S$859,Cleaned!M$1)</f>
        <v>3545</v>
      </c>
      <c r="N67">
        <f>VLOOKUP($A67,Transpose!$A$1:$S$859,Cleaned!N$1)</f>
        <v>1834</v>
      </c>
      <c r="O67">
        <f>VLOOKUP($A67,Transpose!$A$1:$S$859,Cleaned!O$1)</f>
        <v>60880</v>
      </c>
      <c r="P67">
        <f>VLOOKUP($A67,Transpose!$A$1:$S$859,Cleaned!P$1)</f>
        <v>177</v>
      </c>
      <c r="Q67">
        <f>VLOOKUP($A67,Transpose!$A$1:$S$859,Cleaned!Q$1)</f>
        <v>19</v>
      </c>
      <c r="R67">
        <f>VLOOKUP($A67,Transpose!$A$1:$S$859,Cleaned!R$1)</f>
        <v>1</v>
      </c>
      <c r="S67">
        <f>VLOOKUP($A67,Transpose!$A$1:$S$859,Cleaned!S$1)</f>
        <v>154</v>
      </c>
    </row>
    <row r="68" spans="1:19" x14ac:dyDescent="0.25">
      <c r="A68" s="2">
        <f t="shared" si="1"/>
        <v>34851</v>
      </c>
      <c r="B68">
        <f>VLOOKUP($A68,Transpose!$A$1:$S$859,Cleaned!B$1)</f>
        <v>124522</v>
      </c>
      <c r="C68">
        <f>VLOOKUP($A68,Transpose!$A$1:$S$859,Cleaned!C$1)</f>
        <v>119107</v>
      </c>
      <c r="D68">
        <f>VLOOKUP($A68,Transpose!$A$1:$S$859,Cleaned!D$1)</f>
        <v>2075</v>
      </c>
      <c r="E68">
        <f>VLOOKUP($A68,Transpose!$A$1:$S$859,Cleaned!E$1)</f>
        <v>3215</v>
      </c>
      <c r="F68">
        <f>VLOOKUP($A68,Transpose!$A$1:$S$859,Cleaned!F$1)</f>
        <v>125</v>
      </c>
      <c r="G68">
        <f>VLOOKUP($A68,Transpose!$A$1:$S$859,Cleaned!G$1)</f>
        <v>7427</v>
      </c>
      <c r="H68">
        <f>VLOOKUP($A68,Transpose!$A$1:$S$859,Cleaned!H$1)</f>
        <v>1871</v>
      </c>
      <c r="I68">
        <f>VLOOKUP($A68,Transpose!$A$1:$S$859,Cleaned!I$1)</f>
        <v>3658</v>
      </c>
      <c r="J68">
        <f>VLOOKUP($A68,Transpose!$A$1:$S$859,Cleaned!J$1)</f>
        <v>1864</v>
      </c>
      <c r="K68">
        <f>VLOOKUP($A68,Transpose!$A$1:$S$859,Cleaned!K$1)</f>
        <v>34</v>
      </c>
      <c r="L68">
        <f>VLOOKUP($A68,Transpose!$A$1:$S$859,Cleaned!L$1)</f>
        <v>66504</v>
      </c>
      <c r="M68">
        <f>VLOOKUP($A68,Transpose!$A$1:$S$859,Cleaned!M$1)</f>
        <v>3424</v>
      </c>
      <c r="N68">
        <f>VLOOKUP($A68,Transpose!$A$1:$S$859,Cleaned!N$1)</f>
        <v>1695</v>
      </c>
      <c r="O68">
        <f>VLOOKUP($A68,Transpose!$A$1:$S$859,Cleaned!O$1)</f>
        <v>61202</v>
      </c>
      <c r="P68">
        <f>VLOOKUP($A68,Transpose!$A$1:$S$859,Cleaned!P$1)</f>
        <v>182</v>
      </c>
      <c r="Q68">
        <f>VLOOKUP($A68,Transpose!$A$1:$S$859,Cleaned!Q$1)</f>
        <v>19</v>
      </c>
      <c r="R68">
        <f>VLOOKUP($A68,Transpose!$A$1:$S$859,Cleaned!R$1)</f>
        <v>1</v>
      </c>
      <c r="S68">
        <f>VLOOKUP($A68,Transpose!$A$1:$S$859,Cleaned!S$1)</f>
        <v>154</v>
      </c>
    </row>
    <row r="69" spans="1:19" x14ac:dyDescent="0.25">
      <c r="A69" s="2">
        <f t="shared" ref="A69:A132" si="2">DATE(YEAR(A68),MONTH(A68)+1,1)</f>
        <v>34881</v>
      </c>
      <c r="B69">
        <f>VLOOKUP($A69,Transpose!$A$1:$S$859,Cleaned!B$1)</f>
        <v>124816</v>
      </c>
      <c r="C69">
        <f>VLOOKUP($A69,Transpose!$A$1:$S$859,Cleaned!C$1)</f>
        <v>119431</v>
      </c>
      <c r="D69">
        <f>VLOOKUP($A69,Transpose!$A$1:$S$859,Cleaned!D$1)</f>
        <v>2060</v>
      </c>
      <c r="E69">
        <f>VLOOKUP($A69,Transpose!$A$1:$S$859,Cleaned!E$1)</f>
        <v>3211</v>
      </c>
      <c r="F69">
        <f>VLOOKUP($A69,Transpose!$A$1:$S$859,Cleaned!F$1)</f>
        <v>114</v>
      </c>
      <c r="G69">
        <f>VLOOKUP($A69,Transpose!$A$1:$S$859,Cleaned!G$1)</f>
        <v>7527</v>
      </c>
      <c r="H69">
        <f>VLOOKUP($A69,Transpose!$A$1:$S$859,Cleaned!H$1)</f>
        <v>1820</v>
      </c>
      <c r="I69">
        <f>VLOOKUP($A69,Transpose!$A$1:$S$859,Cleaned!I$1)</f>
        <v>3705</v>
      </c>
      <c r="J69">
        <f>VLOOKUP($A69,Transpose!$A$1:$S$859,Cleaned!J$1)</f>
        <v>1976</v>
      </c>
      <c r="K69">
        <f>VLOOKUP($A69,Transpose!$A$1:$S$859,Cleaned!K$1)</f>
        <v>26</v>
      </c>
      <c r="L69">
        <f>VLOOKUP($A69,Transpose!$A$1:$S$859,Cleaned!L$1)</f>
        <v>66272</v>
      </c>
      <c r="M69">
        <f>VLOOKUP($A69,Transpose!$A$1:$S$859,Cleaned!M$1)</f>
        <v>3252</v>
      </c>
      <c r="N69">
        <f>VLOOKUP($A69,Transpose!$A$1:$S$859,Cleaned!N$1)</f>
        <v>1661</v>
      </c>
      <c r="O69">
        <f>VLOOKUP($A69,Transpose!$A$1:$S$859,Cleaned!O$1)</f>
        <v>61161</v>
      </c>
      <c r="P69">
        <f>VLOOKUP($A69,Transpose!$A$1:$S$859,Cleaned!P$1)</f>
        <v>197</v>
      </c>
      <c r="Q69">
        <f>VLOOKUP($A69,Transpose!$A$1:$S$859,Cleaned!Q$1)</f>
        <v>19</v>
      </c>
      <c r="R69">
        <f>VLOOKUP($A69,Transpose!$A$1:$S$859,Cleaned!R$1)</f>
        <v>1</v>
      </c>
      <c r="S69">
        <f>VLOOKUP($A69,Transpose!$A$1:$S$859,Cleaned!S$1)</f>
        <v>155</v>
      </c>
    </row>
    <row r="70" spans="1:19" x14ac:dyDescent="0.25">
      <c r="A70" s="2">
        <f t="shared" si="2"/>
        <v>34912</v>
      </c>
      <c r="B70">
        <f>VLOOKUP($A70,Transpose!$A$1:$S$859,Cleaned!B$1)</f>
        <v>124852</v>
      </c>
      <c r="C70">
        <f>VLOOKUP($A70,Transpose!$A$1:$S$859,Cleaned!C$1)</f>
        <v>119491</v>
      </c>
      <c r="D70">
        <f>VLOOKUP($A70,Transpose!$A$1:$S$859,Cleaned!D$1)</f>
        <v>2182</v>
      </c>
      <c r="E70">
        <f>VLOOKUP($A70,Transpose!$A$1:$S$859,Cleaned!E$1)</f>
        <v>3039</v>
      </c>
      <c r="F70">
        <f>VLOOKUP($A70,Transpose!$A$1:$S$859,Cleaned!F$1)</f>
        <v>140</v>
      </c>
      <c r="G70">
        <f>VLOOKUP($A70,Transpose!$A$1:$S$859,Cleaned!G$1)</f>
        <v>7484</v>
      </c>
      <c r="H70">
        <f>VLOOKUP($A70,Transpose!$A$1:$S$859,Cleaned!H$1)</f>
        <v>1910</v>
      </c>
      <c r="I70">
        <f>VLOOKUP($A70,Transpose!$A$1:$S$859,Cleaned!I$1)</f>
        <v>3650</v>
      </c>
      <c r="J70">
        <f>VLOOKUP($A70,Transpose!$A$1:$S$859,Cleaned!J$1)</f>
        <v>1898</v>
      </c>
      <c r="K70">
        <f>VLOOKUP($A70,Transpose!$A$1:$S$859,Cleaned!K$1)</f>
        <v>26</v>
      </c>
      <c r="L70">
        <f>VLOOKUP($A70,Transpose!$A$1:$S$859,Cleaned!L$1)</f>
        <v>66465</v>
      </c>
      <c r="M70">
        <f>VLOOKUP($A70,Transpose!$A$1:$S$859,Cleaned!M$1)</f>
        <v>3396</v>
      </c>
      <c r="N70">
        <f>VLOOKUP($A70,Transpose!$A$1:$S$859,Cleaned!N$1)</f>
        <v>1693</v>
      </c>
      <c r="O70">
        <f>VLOOKUP($A70,Transpose!$A$1:$S$859,Cleaned!O$1)</f>
        <v>61180</v>
      </c>
      <c r="P70">
        <f>VLOOKUP($A70,Transpose!$A$1:$S$859,Cleaned!P$1)</f>
        <v>196</v>
      </c>
      <c r="Q70">
        <f>VLOOKUP($A70,Transpose!$A$1:$S$859,Cleaned!Q$1)</f>
        <v>19</v>
      </c>
      <c r="R70">
        <f>VLOOKUP($A70,Transpose!$A$1:$S$859,Cleaned!R$1)</f>
        <v>1</v>
      </c>
      <c r="S70">
        <f>VLOOKUP($A70,Transpose!$A$1:$S$859,Cleaned!S$1)</f>
        <v>155</v>
      </c>
    </row>
    <row r="71" spans="1:19" x14ac:dyDescent="0.25">
      <c r="A71" s="2">
        <f t="shared" si="2"/>
        <v>34943</v>
      </c>
      <c r="B71">
        <f>VLOOKUP($A71,Transpose!$A$1:$S$859,Cleaned!B$1)</f>
        <v>125133</v>
      </c>
      <c r="C71">
        <f>VLOOKUP($A71,Transpose!$A$1:$S$859,Cleaned!C$1)</f>
        <v>119646</v>
      </c>
      <c r="D71">
        <f>VLOOKUP($A71,Transpose!$A$1:$S$859,Cleaned!D$1)</f>
        <v>2062</v>
      </c>
      <c r="E71">
        <f>VLOOKUP($A71,Transpose!$A$1:$S$859,Cleaned!E$1)</f>
        <v>3297</v>
      </c>
      <c r="F71">
        <f>VLOOKUP($A71,Transpose!$A$1:$S$859,Cleaned!F$1)</f>
        <v>129</v>
      </c>
      <c r="G71">
        <f>VLOOKUP($A71,Transpose!$A$1:$S$859,Cleaned!G$1)</f>
        <v>7478</v>
      </c>
      <c r="H71">
        <f>VLOOKUP($A71,Transpose!$A$1:$S$859,Cleaned!H$1)</f>
        <v>1895</v>
      </c>
      <c r="I71">
        <f>VLOOKUP($A71,Transpose!$A$1:$S$859,Cleaned!I$1)</f>
        <v>3636</v>
      </c>
      <c r="J71">
        <f>VLOOKUP($A71,Transpose!$A$1:$S$859,Cleaned!J$1)</f>
        <v>1923</v>
      </c>
      <c r="K71">
        <f>VLOOKUP($A71,Transpose!$A$1:$S$859,Cleaned!K$1)</f>
        <v>23</v>
      </c>
      <c r="L71">
        <f>VLOOKUP($A71,Transpose!$A$1:$S$859,Cleaned!L$1)</f>
        <v>66394</v>
      </c>
      <c r="M71">
        <f>VLOOKUP($A71,Transpose!$A$1:$S$859,Cleaned!M$1)</f>
        <v>3292</v>
      </c>
      <c r="N71">
        <f>VLOOKUP($A71,Transpose!$A$1:$S$859,Cleaned!N$1)</f>
        <v>1785</v>
      </c>
      <c r="O71">
        <f>VLOOKUP($A71,Transpose!$A$1:$S$859,Cleaned!O$1)</f>
        <v>61090</v>
      </c>
      <c r="P71">
        <f>VLOOKUP($A71,Transpose!$A$1:$S$859,Cleaned!P$1)</f>
        <v>228</v>
      </c>
      <c r="Q71">
        <f>VLOOKUP($A71,Transpose!$A$1:$S$859,Cleaned!Q$1)</f>
        <v>19</v>
      </c>
      <c r="R71">
        <f>VLOOKUP($A71,Transpose!$A$1:$S$859,Cleaned!R$1)</f>
        <v>1</v>
      </c>
      <c r="S71">
        <f>VLOOKUP($A71,Transpose!$A$1:$S$859,Cleaned!S$1)</f>
        <v>155</v>
      </c>
    </row>
    <row r="72" spans="1:19" x14ac:dyDescent="0.25">
      <c r="A72" s="2">
        <f t="shared" si="2"/>
        <v>34973</v>
      </c>
      <c r="B72">
        <f>VLOOKUP($A72,Transpose!$A$1:$S$859,Cleaned!B$1)</f>
        <v>125388</v>
      </c>
      <c r="C72">
        <f>VLOOKUP($A72,Transpose!$A$1:$S$859,Cleaned!C$1)</f>
        <v>119880</v>
      </c>
      <c r="D72">
        <f>VLOOKUP($A72,Transpose!$A$1:$S$859,Cleaned!D$1)</f>
        <v>2158</v>
      </c>
      <c r="E72">
        <f>VLOOKUP($A72,Transpose!$A$1:$S$859,Cleaned!E$1)</f>
        <v>3215</v>
      </c>
      <c r="F72">
        <f>VLOOKUP($A72,Transpose!$A$1:$S$859,Cleaned!F$1)</f>
        <v>135</v>
      </c>
      <c r="G72">
        <f>VLOOKUP($A72,Transpose!$A$1:$S$859,Cleaned!G$1)</f>
        <v>7328</v>
      </c>
      <c r="H72">
        <f>VLOOKUP($A72,Transpose!$A$1:$S$859,Cleaned!H$1)</f>
        <v>1857</v>
      </c>
      <c r="I72">
        <f>VLOOKUP($A72,Transpose!$A$1:$S$859,Cleaned!I$1)</f>
        <v>3508</v>
      </c>
      <c r="J72">
        <f>VLOOKUP($A72,Transpose!$A$1:$S$859,Cleaned!J$1)</f>
        <v>1907</v>
      </c>
      <c r="K72">
        <f>VLOOKUP($A72,Transpose!$A$1:$S$859,Cleaned!K$1)</f>
        <v>56</v>
      </c>
      <c r="L72">
        <f>VLOOKUP($A72,Transpose!$A$1:$S$859,Cleaned!L$1)</f>
        <v>66476</v>
      </c>
      <c r="M72">
        <f>VLOOKUP($A72,Transpose!$A$1:$S$859,Cleaned!M$1)</f>
        <v>3376</v>
      </c>
      <c r="N72">
        <f>VLOOKUP($A72,Transpose!$A$1:$S$859,Cleaned!N$1)</f>
        <v>1811</v>
      </c>
      <c r="O72">
        <f>VLOOKUP($A72,Transpose!$A$1:$S$859,Cleaned!O$1)</f>
        <v>61117</v>
      </c>
      <c r="P72">
        <f>VLOOKUP($A72,Transpose!$A$1:$S$859,Cleaned!P$1)</f>
        <v>172</v>
      </c>
      <c r="Q72">
        <f>VLOOKUP($A72,Transpose!$A$1:$S$859,Cleaned!Q$1)</f>
        <v>20</v>
      </c>
      <c r="R72">
        <f>VLOOKUP($A72,Transpose!$A$1:$S$859,Cleaned!R$1)</f>
        <v>1</v>
      </c>
      <c r="S72">
        <f>VLOOKUP($A72,Transpose!$A$1:$S$859,Cleaned!S$1)</f>
        <v>155</v>
      </c>
    </row>
    <row r="73" spans="1:19" x14ac:dyDescent="0.25">
      <c r="A73" s="2">
        <f t="shared" si="2"/>
        <v>35004</v>
      </c>
      <c r="B73">
        <f>VLOOKUP($A73,Transpose!$A$1:$S$859,Cleaned!B$1)</f>
        <v>125188</v>
      </c>
      <c r="C73">
        <f>VLOOKUP($A73,Transpose!$A$1:$S$859,Cleaned!C$1)</f>
        <v>120119</v>
      </c>
      <c r="D73">
        <f>VLOOKUP($A73,Transpose!$A$1:$S$859,Cleaned!D$1)</f>
        <v>1969</v>
      </c>
      <c r="E73">
        <f>VLOOKUP($A73,Transpose!$A$1:$S$859,Cleaned!E$1)</f>
        <v>3012</v>
      </c>
      <c r="F73">
        <f>VLOOKUP($A73,Transpose!$A$1:$S$859,Cleaned!F$1)</f>
        <v>87</v>
      </c>
      <c r="G73">
        <f>VLOOKUP($A73,Transpose!$A$1:$S$859,Cleaned!G$1)</f>
        <v>7426</v>
      </c>
      <c r="H73">
        <f>VLOOKUP($A73,Transpose!$A$1:$S$859,Cleaned!H$1)</f>
        <v>1798</v>
      </c>
      <c r="I73">
        <f>VLOOKUP($A73,Transpose!$A$1:$S$859,Cleaned!I$1)</f>
        <v>3663</v>
      </c>
      <c r="J73">
        <f>VLOOKUP($A73,Transpose!$A$1:$S$859,Cleaned!J$1)</f>
        <v>1940</v>
      </c>
      <c r="K73">
        <f>VLOOKUP($A73,Transpose!$A$1:$S$859,Cleaned!K$1)</f>
        <v>24</v>
      </c>
      <c r="L73">
        <f>VLOOKUP($A73,Transpose!$A$1:$S$859,Cleaned!L$1)</f>
        <v>66741</v>
      </c>
      <c r="M73">
        <f>VLOOKUP($A73,Transpose!$A$1:$S$859,Cleaned!M$1)</f>
        <v>3452</v>
      </c>
      <c r="N73">
        <f>VLOOKUP($A73,Transpose!$A$1:$S$859,Cleaned!N$1)</f>
        <v>1694</v>
      </c>
      <c r="O73">
        <f>VLOOKUP($A73,Transpose!$A$1:$S$859,Cleaned!O$1)</f>
        <v>61368</v>
      </c>
      <c r="P73">
        <f>VLOOKUP($A73,Transpose!$A$1:$S$859,Cleaned!P$1)</f>
        <v>227</v>
      </c>
      <c r="Q73">
        <f>VLOOKUP($A73,Transpose!$A$1:$S$859,Cleaned!Q$1)</f>
        <v>20</v>
      </c>
      <c r="R73">
        <f>VLOOKUP($A73,Transpose!$A$1:$S$859,Cleaned!R$1)</f>
        <v>1</v>
      </c>
      <c r="S73">
        <f>VLOOKUP($A73,Transpose!$A$1:$S$859,Cleaned!S$1)</f>
        <v>155</v>
      </c>
    </row>
    <row r="74" spans="1:19" x14ac:dyDescent="0.25">
      <c r="A74" s="2">
        <f t="shared" si="2"/>
        <v>35034</v>
      </c>
      <c r="B74">
        <f>VLOOKUP($A74,Transpose!$A$1:$S$859,Cleaned!B$1)</f>
        <v>125088</v>
      </c>
      <c r="C74">
        <f>VLOOKUP($A74,Transpose!$A$1:$S$859,Cleaned!C$1)</f>
        <v>120269</v>
      </c>
      <c r="D74">
        <f>VLOOKUP($A74,Transpose!$A$1:$S$859,Cleaned!D$1)</f>
        <v>1899</v>
      </c>
      <c r="E74">
        <f>VLOOKUP($A74,Transpose!$A$1:$S$859,Cleaned!E$1)</f>
        <v>2777</v>
      </c>
      <c r="F74">
        <f>VLOOKUP($A74,Transpose!$A$1:$S$859,Cleaned!F$1)</f>
        <v>144</v>
      </c>
      <c r="G74">
        <f>VLOOKUP($A74,Transpose!$A$1:$S$859,Cleaned!G$1)</f>
        <v>7423</v>
      </c>
      <c r="H74">
        <f>VLOOKUP($A74,Transpose!$A$1:$S$859,Cleaned!H$1)</f>
        <v>1657</v>
      </c>
      <c r="I74">
        <f>VLOOKUP($A74,Transpose!$A$1:$S$859,Cleaned!I$1)</f>
        <v>3808</v>
      </c>
      <c r="J74">
        <f>VLOOKUP($A74,Transpose!$A$1:$S$859,Cleaned!J$1)</f>
        <v>1947</v>
      </c>
      <c r="K74">
        <f>VLOOKUP($A74,Transpose!$A$1:$S$859,Cleaned!K$1)</f>
        <v>11</v>
      </c>
      <c r="L74">
        <f>VLOOKUP($A74,Transpose!$A$1:$S$859,Cleaned!L$1)</f>
        <v>66997</v>
      </c>
      <c r="M74">
        <f>VLOOKUP($A74,Transpose!$A$1:$S$859,Cleaned!M$1)</f>
        <v>3243</v>
      </c>
      <c r="N74">
        <f>VLOOKUP($A74,Transpose!$A$1:$S$859,Cleaned!N$1)</f>
        <v>1718</v>
      </c>
      <c r="O74">
        <f>VLOOKUP($A74,Transpose!$A$1:$S$859,Cleaned!O$1)</f>
        <v>61861</v>
      </c>
      <c r="P74">
        <f>VLOOKUP($A74,Transpose!$A$1:$S$859,Cleaned!P$1)</f>
        <v>175</v>
      </c>
      <c r="Q74">
        <f>VLOOKUP($A74,Transpose!$A$1:$S$859,Cleaned!Q$1)</f>
        <v>20</v>
      </c>
      <c r="R74">
        <f>VLOOKUP($A74,Transpose!$A$1:$S$859,Cleaned!R$1)</f>
        <v>1</v>
      </c>
      <c r="S74">
        <f>VLOOKUP($A74,Transpose!$A$1:$S$859,Cleaned!S$1)</f>
        <v>155</v>
      </c>
    </row>
    <row r="75" spans="1:19" x14ac:dyDescent="0.25">
      <c r="A75" s="2">
        <f t="shared" si="2"/>
        <v>35065</v>
      </c>
      <c r="B75">
        <f>VLOOKUP($A75,Transpose!$A$1:$S$859,Cleaned!B$1)</f>
        <v>125125</v>
      </c>
      <c r="C75">
        <f>VLOOKUP($A75,Transpose!$A$1:$S$859,Cleaned!C$1)</f>
        <v>120022</v>
      </c>
      <c r="D75">
        <f>VLOOKUP($A75,Transpose!$A$1:$S$859,Cleaned!D$1)</f>
        <v>2035</v>
      </c>
      <c r="E75">
        <f>VLOOKUP($A75,Transpose!$A$1:$S$859,Cleaned!E$1)</f>
        <v>2989</v>
      </c>
      <c r="F75">
        <f>VLOOKUP($A75,Transpose!$A$1:$S$859,Cleaned!F$1)</f>
        <v>78</v>
      </c>
      <c r="G75">
        <f>VLOOKUP($A75,Transpose!$A$1:$S$859,Cleaned!G$1)</f>
        <v>7491</v>
      </c>
      <c r="H75">
        <f>VLOOKUP($A75,Transpose!$A$1:$S$859,Cleaned!H$1)</f>
        <v>1867</v>
      </c>
      <c r="I75">
        <f>VLOOKUP($A75,Transpose!$A$1:$S$859,Cleaned!I$1)</f>
        <v>3704</v>
      </c>
      <c r="J75">
        <f>VLOOKUP($A75,Transpose!$A$1:$S$859,Cleaned!J$1)</f>
        <v>1890</v>
      </c>
      <c r="K75">
        <f>VLOOKUP($A75,Transpose!$A$1:$S$859,Cleaned!K$1)</f>
        <v>30</v>
      </c>
      <c r="L75">
        <f>VLOOKUP($A75,Transpose!$A$1:$S$859,Cleaned!L$1)</f>
        <v>67018</v>
      </c>
      <c r="M75">
        <f>VLOOKUP($A75,Transpose!$A$1:$S$859,Cleaned!M$1)</f>
        <v>3174</v>
      </c>
      <c r="N75">
        <f>VLOOKUP($A75,Transpose!$A$1:$S$859,Cleaned!N$1)</f>
        <v>1682</v>
      </c>
      <c r="O75">
        <f>VLOOKUP($A75,Transpose!$A$1:$S$859,Cleaned!O$1)</f>
        <v>61960</v>
      </c>
      <c r="P75">
        <f>VLOOKUP($A75,Transpose!$A$1:$S$859,Cleaned!P$1)</f>
        <v>202</v>
      </c>
      <c r="Q75">
        <f>VLOOKUP($A75,Transpose!$A$1:$S$859,Cleaned!Q$1)</f>
        <v>25</v>
      </c>
      <c r="R75">
        <f>VLOOKUP($A75,Transpose!$A$1:$S$859,Cleaned!R$1)</f>
        <v>2</v>
      </c>
      <c r="S75">
        <f>VLOOKUP($A75,Transpose!$A$1:$S$859,Cleaned!S$1)</f>
        <v>157</v>
      </c>
    </row>
    <row r="76" spans="1:19" x14ac:dyDescent="0.25">
      <c r="A76" s="2">
        <f t="shared" si="2"/>
        <v>35096</v>
      </c>
      <c r="B76">
        <f>VLOOKUP($A76,Transpose!$A$1:$S$859,Cleaned!B$1)</f>
        <v>125639</v>
      </c>
      <c r="C76">
        <f>VLOOKUP($A76,Transpose!$A$1:$S$859,Cleaned!C$1)</f>
        <v>120194</v>
      </c>
      <c r="D76">
        <f>VLOOKUP($A76,Transpose!$A$1:$S$859,Cleaned!D$1)</f>
        <v>2044</v>
      </c>
      <c r="E76">
        <f>VLOOKUP($A76,Transpose!$A$1:$S$859,Cleaned!E$1)</f>
        <v>3329</v>
      </c>
      <c r="F76">
        <f>VLOOKUP($A76,Transpose!$A$1:$S$859,Cleaned!F$1)</f>
        <v>72</v>
      </c>
      <c r="G76">
        <f>VLOOKUP($A76,Transpose!$A$1:$S$859,Cleaned!G$1)</f>
        <v>7313</v>
      </c>
      <c r="H76">
        <f>VLOOKUP($A76,Transpose!$A$1:$S$859,Cleaned!H$1)</f>
        <v>1677</v>
      </c>
      <c r="I76">
        <f>VLOOKUP($A76,Transpose!$A$1:$S$859,Cleaned!I$1)</f>
        <v>3687</v>
      </c>
      <c r="J76">
        <f>VLOOKUP($A76,Transpose!$A$1:$S$859,Cleaned!J$1)</f>
        <v>1939</v>
      </c>
      <c r="K76">
        <f>VLOOKUP($A76,Transpose!$A$1:$S$859,Cleaned!K$1)</f>
        <v>10</v>
      </c>
      <c r="L76">
        <f>VLOOKUP($A76,Transpose!$A$1:$S$859,Cleaned!L$1)</f>
        <v>66820</v>
      </c>
      <c r="M76">
        <f>VLOOKUP($A76,Transpose!$A$1:$S$859,Cleaned!M$1)</f>
        <v>3234</v>
      </c>
      <c r="N76">
        <f>VLOOKUP($A76,Transpose!$A$1:$S$859,Cleaned!N$1)</f>
        <v>1759</v>
      </c>
      <c r="O76">
        <f>VLOOKUP($A76,Transpose!$A$1:$S$859,Cleaned!O$1)</f>
        <v>61594</v>
      </c>
      <c r="P76">
        <f>VLOOKUP($A76,Transpose!$A$1:$S$859,Cleaned!P$1)</f>
        <v>233</v>
      </c>
      <c r="Q76">
        <f>VLOOKUP($A76,Transpose!$A$1:$S$859,Cleaned!Q$1)</f>
        <v>20</v>
      </c>
      <c r="R76">
        <f>VLOOKUP($A76,Transpose!$A$1:$S$859,Cleaned!R$1)</f>
        <v>1</v>
      </c>
      <c r="S76">
        <f>VLOOKUP($A76,Transpose!$A$1:$S$859,Cleaned!S$1)</f>
        <v>156</v>
      </c>
    </row>
    <row r="77" spans="1:19" x14ac:dyDescent="0.25">
      <c r="A77" s="2">
        <f t="shared" si="2"/>
        <v>35125</v>
      </c>
      <c r="B77">
        <f>VLOOKUP($A77,Transpose!$A$1:$S$859,Cleaned!B$1)</f>
        <v>125862</v>
      </c>
      <c r="C77">
        <f>VLOOKUP($A77,Transpose!$A$1:$S$859,Cleaned!C$1)</f>
        <v>120616</v>
      </c>
      <c r="D77">
        <f>VLOOKUP($A77,Transpose!$A$1:$S$859,Cleaned!D$1)</f>
        <v>2022</v>
      </c>
      <c r="E77">
        <f>VLOOKUP($A77,Transpose!$A$1:$S$859,Cleaned!E$1)</f>
        <v>3111</v>
      </c>
      <c r="F77">
        <f>VLOOKUP($A77,Transpose!$A$1:$S$859,Cleaned!F$1)</f>
        <v>113</v>
      </c>
      <c r="G77">
        <f>VLOOKUP($A77,Transpose!$A$1:$S$859,Cleaned!G$1)</f>
        <v>7318</v>
      </c>
      <c r="H77">
        <f>VLOOKUP($A77,Transpose!$A$1:$S$859,Cleaned!H$1)</f>
        <v>1752</v>
      </c>
      <c r="I77">
        <f>VLOOKUP($A77,Transpose!$A$1:$S$859,Cleaned!I$1)</f>
        <v>3601</v>
      </c>
      <c r="J77">
        <f>VLOOKUP($A77,Transpose!$A$1:$S$859,Cleaned!J$1)</f>
        <v>1944</v>
      </c>
      <c r="K77">
        <f>VLOOKUP($A77,Transpose!$A$1:$S$859,Cleaned!K$1)</f>
        <v>21</v>
      </c>
      <c r="L77">
        <f>VLOOKUP($A77,Transpose!$A$1:$S$859,Cleaned!L$1)</f>
        <v>66741</v>
      </c>
      <c r="M77">
        <f>VLOOKUP($A77,Transpose!$A$1:$S$859,Cleaned!M$1)</f>
        <v>3251</v>
      </c>
      <c r="N77">
        <f>VLOOKUP($A77,Transpose!$A$1:$S$859,Cleaned!N$1)</f>
        <v>1689</v>
      </c>
      <c r="O77">
        <f>VLOOKUP($A77,Transpose!$A$1:$S$859,Cleaned!O$1)</f>
        <v>61610</v>
      </c>
      <c r="P77">
        <f>VLOOKUP($A77,Transpose!$A$1:$S$859,Cleaned!P$1)</f>
        <v>191</v>
      </c>
      <c r="Q77">
        <f>VLOOKUP($A77,Transpose!$A$1:$S$859,Cleaned!Q$1)</f>
        <v>20</v>
      </c>
      <c r="R77">
        <f>VLOOKUP($A77,Transpose!$A$1:$S$859,Cleaned!R$1)</f>
        <v>1</v>
      </c>
      <c r="S77">
        <f>VLOOKUP($A77,Transpose!$A$1:$S$859,Cleaned!S$1)</f>
        <v>156</v>
      </c>
    </row>
    <row r="78" spans="1:19" x14ac:dyDescent="0.25">
      <c r="A78" s="2">
        <f t="shared" si="2"/>
        <v>35156</v>
      </c>
      <c r="B78">
        <f>VLOOKUP($A78,Transpose!$A$1:$S$859,Cleaned!B$1)</f>
        <v>125994</v>
      </c>
      <c r="C78">
        <f>VLOOKUP($A78,Transpose!$A$1:$S$859,Cleaned!C$1)</f>
        <v>120930</v>
      </c>
      <c r="D78">
        <f>VLOOKUP($A78,Transpose!$A$1:$S$859,Cleaned!D$1)</f>
        <v>1963</v>
      </c>
      <c r="E78">
        <f>VLOOKUP($A78,Transpose!$A$1:$S$859,Cleaned!E$1)</f>
        <v>2996</v>
      </c>
      <c r="F78">
        <f>VLOOKUP($A78,Transpose!$A$1:$S$859,Cleaned!F$1)</f>
        <v>105</v>
      </c>
      <c r="G78">
        <f>VLOOKUP($A78,Transpose!$A$1:$S$859,Cleaned!G$1)</f>
        <v>7415</v>
      </c>
      <c r="H78">
        <f>VLOOKUP($A78,Transpose!$A$1:$S$859,Cleaned!H$1)</f>
        <v>1750</v>
      </c>
      <c r="I78">
        <f>VLOOKUP($A78,Transpose!$A$1:$S$859,Cleaned!I$1)</f>
        <v>3713</v>
      </c>
      <c r="J78">
        <f>VLOOKUP($A78,Transpose!$A$1:$S$859,Cleaned!J$1)</f>
        <v>1935</v>
      </c>
      <c r="K78">
        <f>VLOOKUP($A78,Transpose!$A$1:$S$859,Cleaned!K$1)</f>
        <v>18</v>
      </c>
      <c r="L78">
        <f>VLOOKUP($A78,Transpose!$A$1:$S$859,Cleaned!L$1)</f>
        <v>66692</v>
      </c>
      <c r="M78">
        <f>VLOOKUP($A78,Transpose!$A$1:$S$859,Cleaned!M$1)</f>
        <v>3162</v>
      </c>
      <c r="N78">
        <f>VLOOKUP($A78,Transpose!$A$1:$S$859,Cleaned!N$1)</f>
        <v>1641</v>
      </c>
      <c r="O78">
        <f>VLOOKUP($A78,Transpose!$A$1:$S$859,Cleaned!O$1)</f>
        <v>61655</v>
      </c>
      <c r="P78">
        <f>VLOOKUP($A78,Transpose!$A$1:$S$859,Cleaned!P$1)</f>
        <v>234</v>
      </c>
      <c r="Q78">
        <f>VLOOKUP($A78,Transpose!$A$1:$S$859,Cleaned!Q$1)</f>
        <v>20</v>
      </c>
      <c r="R78">
        <f>VLOOKUP($A78,Transpose!$A$1:$S$859,Cleaned!R$1)</f>
        <v>1</v>
      </c>
      <c r="S78">
        <f>VLOOKUP($A78,Transpose!$A$1:$S$859,Cleaned!S$1)</f>
        <v>156</v>
      </c>
    </row>
    <row r="79" spans="1:19" x14ac:dyDescent="0.25">
      <c r="A79" s="2">
        <f t="shared" si="2"/>
        <v>35186</v>
      </c>
      <c r="B79">
        <f>VLOOKUP($A79,Transpose!$A$1:$S$859,Cleaned!B$1)</f>
        <v>126244</v>
      </c>
      <c r="C79">
        <f>VLOOKUP($A79,Transpose!$A$1:$S$859,Cleaned!C$1)</f>
        <v>120990</v>
      </c>
      <c r="D79">
        <f>VLOOKUP($A79,Transpose!$A$1:$S$859,Cleaned!D$1)</f>
        <v>1994</v>
      </c>
      <c r="E79">
        <f>VLOOKUP($A79,Transpose!$A$1:$S$859,Cleaned!E$1)</f>
        <v>3131</v>
      </c>
      <c r="F79">
        <f>VLOOKUP($A79,Transpose!$A$1:$S$859,Cleaned!F$1)</f>
        <v>128</v>
      </c>
      <c r="G79">
        <f>VLOOKUP($A79,Transpose!$A$1:$S$859,Cleaned!G$1)</f>
        <v>7423</v>
      </c>
      <c r="H79">
        <f>VLOOKUP($A79,Transpose!$A$1:$S$859,Cleaned!H$1)</f>
        <v>1787</v>
      </c>
      <c r="I79">
        <f>VLOOKUP($A79,Transpose!$A$1:$S$859,Cleaned!I$1)</f>
        <v>3666</v>
      </c>
      <c r="J79">
        <f>VLOOKUP($A79,Transpose!$A$1:$S$859,Cleaned!J$1)</f>
        <v>1950</v>
      </c>
      <c r="K79">
        <f>VLOOKUP($A79,Transpose!$A$1:$S$859,Cleaned!K$1)</f>
        <v>21</v>
      </c>
      <c r="L79">
        <f>VLOOKUP($A79,Transpose!$A$1:$S$859,Cleaned!L$1)</f>
        <v>66611</v>
      </c>
      <c r="M79">
        <f>VLOOKUP($A79,Transpose!$A$1:$S$859,Cleaned!M$1)</f>
        <v>3198</v>
      </c>
      <c r="N79">
        <f>VLOOKUP($A79,Transpose!$A$1:$S$859,Cleaned!N$1)</f>
        <v>1754</v>
      </c>
      <c r="O79">
        <f>VLOOKUP($A79,Transpose!$A$1:$S$859,Cleaned!O$1)</f>
        <v>61455</v>
      </c>
      <c r="P79">
        <f>VLOOKUP($A79,Transpose!$A$1:$S$859,Cleaned!P$1)</f>
        <v>205</v>
      </c>
      <c r="Q79">
        <f>VLOOKUP($A79,Transpose!$A$1:$S$859,Cleaned!Q$1)</f>
        <v>20</v>
      </c>
      <c r="R79">
        <f>VLOOKUP($A79,Transpose!$A$1:$S$859,Cleaned!R$1)</f>
        <v>1</v>
      </c>
      <c r="S79">
        <f>VLOOKUP($A79,Transpose!$A$1:$S$859,Cleaned!S$1)</f>
        <v>156</v>
      </c>
    </row>
    <row r="80" spans="1:19" x14ac:dyDescent="0.25">
      <c r="A80" s="2">
        <f t="shared" si="2"/>
        <v>35217</v>
      </c>
      <c r="B80">
        <f>VLOOKUP($A80,Transpose!$A$1:$S$859,Cleaned!B$1)</f>
        <v>126602</v>
      </c>
      <c r="C80">
        <f>VLOOKUP($A80,Transpose!$A$1:$S$859,Cleaned!C$1)</f>
        <v>121245</v>
      </c>
      <c r="D80">
        <f>VLOOKUP($A80,Transpose!$A$1:$S$859,Cleaned!D$1)</f>
        <v>2039</v>
      </c>
      <c r="E80">
        <f>VLOOKUP($A80,Transpose!$A$1:$S$859,Cleaned!E$1)</f>
        <v>3194</v>
      </c>
      <c r="F80">
        <f>VLOOKUP($A80,Transpose!$A$1:$S$859,Cleaned!F$1)</f>
        <v>124</v>
      </c>
      <c r="G80">
        <f>VLOOKUP($A80,Transpose!$A$1:$S$859,Cleaned!G$1)</f>
        <v>7095</v>
      </c>
      <c r="H80">
        <f>VLOOKUP($A80,Transpose!$A$1:$S$859,Cleaned!H$1)</f>
        <v>1754</v>
      </c>
      <c r="I80">
        <f>VLOOKUP($A80,Transpose!$A$1:$S$859,Cleaned!I$1)</f>
        <v>3544</v>
      </c>
      <c r="J80">
        <f>VLOOKUP($A80,Transpose!$A$1:$S$859,Cleaned!J$1)</f>
        <v>1766</v>
      </c>
      <c r="K80">
        <f>VLOOKUP($A80,Transpose!$A$1:$S$859,Cleaned!K$1)</f>
        <v>31</v>
      </c>
      <c r="L80">
        <f>VLOOKUP($A80,Transpose!$A$1:$S$859,Cleaned!L$1)</f>
        <v>66762</v>
      </c>
      <c r="M80">
        <f>VLOOKUP($A80,Transpose!$A$1:$S$859,Cleaned!M$1)</f>
        <v>3225</v>
      </c>
      <c r="N80">
        <f>VLOOKUP($A80,Transpose!$A$1:$S$859,Cleaned!N$1)</f>
        <v>1839</v>
      </c>
      <c r="O80">
        <f>VLOOKUP($A80,Transpose!$A$1:$S$859,Cleaned!O$1)</f>
        <v>61495</v>
      </c>
      <c r="P80">
        <f>VLOOKUP($A80,Transpose!$A$1:$S$859,Cleaned!P$1)</f>
        <v>202</v>
      </c>
      <c r="Q80">
        <f>VLOOKUP($A80,Transpose!$A$1:$S$859,Cleaned!Q$1)</f>
        <v>20</v>
      </c>
      <c r="R80">
        <f>VLOOKUP($A80,Transpose!$A$1:$S$859,Cleaned!R$1)</f>
        <v>1</v>
      </c>
      <c r="S80">
        <f>VLOOKUP($A80,Transpose!$A$1:$S$859,Cleaned!S$1)</f>
        <v>156</v>
      </c>
    </row>
    <row r="81" spans="1:19" x14ac:dyDescent="0.25">
      <c r="A81" s="2">
        <f t="shared" si="2"/>
        <v>35247</v>
      </c>
      <c r="B81">
        <f>VLOOKUP($A81,Transpose!$A$1:$S$859,Cleaned!B$1)</f>
        <v>126947</v>
      </c>
      <c r="C81">
        <f>VLOOKUP($A81,Transpose!$A$1:$S$859,Cleaned!C$1)</f>
        <v>121504</v>
      </c>
      <c r="D81">
        <f>VLOOKUP($A81,Transpose!$A$1:$S$859,Cleaned!D$1)</f>
        <v>2007</v>
      </c>
      <c r="E81">
        <f>VLOOKUP($A81,Transpose!$A$1:$S$859,Cleaned!E$1)</f>
        <v>3310</v>
      </c>
      <c r="F81">
        <f>VLOOKUP($A81,Transpose!$A$1:$S$859,Cleaned!F$1)</f>
        <v>127</v>
      </c>
      <c r="G81">
        <f>VLOOKUP($A81,Transpose!$A$1:$S$859,Cleaned!G$1)</f>
        <v>7337</v>
      </c>
      <c r="H81">
        <f>VLOOKUP($A81,Transpose!$A$1:$S$859,Cleaned!H$1)</f>
        <v>1765</v>
      </c>
      <c r="I81">
        <f>VLOOKUP($A81,Transpose!$A$1:$S$859,Cleaned!I$1)</f>
        <v>3486</v>
      </c>
      <c r="J81">
        <f>VLOOKUP($A81,Transpose!$A$1:$S$859,Cleaned!J$1)</f>
        <v>2061</v>
      </c>
      <c r="K81">
        <f>VLOOKUP($A81,Transpose!$A$1:$S$859,Cleaned!K$1)</f>
        <v>25</v>
      </c>
      <c r="L81">
        <f>VLOOKUP($A81,Transpose!$A$1:$S$859,Cleaned!L$1)</f>
        <v>66357</v>
      </c>
      <c r="M81">
        <f>VLOOKUP($A81,Transpose!$A$1:$S$859,Cleaned!M$1)</f>
        <v>3314</v>
      </c>
      <c r="N81">
        <f>VLOOKUP($A81,Transpose!$A$1:$S$859,Cleaned!N$1)</f>
        <v>1601</v>
      </c>
      <c r="O81">
        <f>VLOOKUP($A81,Transpose!$A$1:$S$859,Cleaned!O$1)</f>
        <v>61235</v>
      </c>
      <c r="P81">
        <f>VLOOKUP($A81,Transpose!$A$1:$S$859,Cleaned!P$1)</f>
        <v>208</v>
      </c>
      <c r="Q81">
        <f>VLOOKUP($A81,Transpose!$A$1:$S$859,Cleaned!Q$1)</f>
        <v>20</v>
      </c>
      <c r="R81">
        <f>VLOOKUP($A81,Transpose!$A$1:$S$859,Cleaned!R$1)</f>
        <v>1</v>
      </c>
      <c r="S81">
        <f>VLOOKUP($A81,Transpose!$A$1:$S$859,Cleaned!S$1)</f>
        <v>156</v>
      </c>
    </row>
    <row r="82" spans="1:19" x14ac:dyDescent="0.25">
      <c r="A82" s="2">
        <f t="shared" si="2"/>
        <v>35278</v>
      </c>
      <c r="B82">
        <f>VLOOKUP($A82,Transpose!$A$1:$S$859,Cleaned!B$1)</f>
        <v>127172</v>
      </c>
      <c r="C82">
        <f>VLOOKUP($A82,Transpose!$A$1:$S$859,Cleaned!C$1)</f>
        <v>121885</v>
      </c>
      <c r="D82">
        <f>VLOOKUP($A82,Transpose!$A$1:$S$859,Cleaned!D$1)</f>
        <v>2123</v>
      </c>
      <c r="E82">
        <f>VLOOKUP($A82,Transpose!$A$1:$S$859,Cleaned!E$1)</f>
        <v>3063</v>
      </c>
      <c r="F82">
        <f>VLOOKUP($A82,Transpose!$A$1:$S$859,Cleaned!F$1)</f>
        <v>100</v>
      </c>
      <c r="G82">
        <f>VLOOKUP($A82,Transpose!$A$1:$S$859,Cleaned!G$1)</f>
        <v>6882</v>
      </c>
      <c r="H82">
        <f>VLOOKUP($A82,Transpose!$A$1:$S$859,Cleaned!H$1)</f>
        <v>1634</v>
      </c>
      <c r="I82">
        <f>VLOOKUP($A82,Transpose!$A$1:$S$859,Cleaned!I$1)</f>
        <v>3541</v>
      </c>
      <c r="J82">
        <f>VLOOKUP($A82,Transpose!$A$1:$S$859,Cleaned!J$1)</f>
        <v>1689</v>
      </c>
      <c r="K82">
        <f>VLOOKUP($A82,Transpose!$A$1:$S$859,Cleaned!K$1)</f>
        <v>18</v>
      </c>
      <c r="L82">
        <f>VLOOKUP($A82,Transpose!$A$1:$S$859,Cleaned!L$1)</f>
        <v>66793</v>
      </c>
      <c r="M82">
        <f>VLOOKUP($A82,Transpose!$A$1:$S$859,Cleaned!M$1)</f>
        <v>3408</v>
      </c>
      <c r="N82">
        <f>VLOOKUP($A82,Transpose!$A$1:$S$859,Cleaned!N$1)</f>
        <v>1671</v>
      </c>
      <c r="O82">
        <f>VLOOKUP($A82,Transpose!$A$1:$S$859,Cleaned!O$1)</f>
        <v>61449</v>
      </c>
      <c r="P82">
        <f>VLOOKUP($A82,Transpose!$A$1:$S$859,Cleaned!P$1)</f>
        <v>265</v>
      </c>
      <c r="Q82">
        <f>VLOOKUP($A82,Transpose!$A$1:$S$859,Cleaned!Q$1)</f>
        <v>20</v>
      </c>
      <c r="R82">
        <f>VLOOKUP($A82,Transpose!$A$1:$S$859,Cleaned!R$1)</f>
        <v>1</v>
      </c>
      <c r="S82">
        <f>VLOOKUP($A82,Transpose!$A$1:$S$859,Cleaned!S$1)</f>
        <v>156</v>
      </c>
    </row>
    <row r="83" spans="1:19" x14ac:dyDescent="0.25">
      <c r="A83" s="2">
        <f t="shared" si="2"/>
        <v>35309</v>
      </c>
      <c r="B83">
        <f>VLOOKUP($A83,Transpose!$A$1:$S$859,Cleaned!B$1)</f>
        <v>127536</v>
      </c>
      <c r="C83">
        <f>VLOOKUP($A83,Transpose!$A$1:$S$859,Cleaned!C$1)</f>
        <v>122245</v>
      </c>
      <c r="D83">
        <f>VLOOKUP($A83,Transpose!$A$1:$S$859,Cleaned!D$1)</f>
        <v>1976</v>
      </c>
      <c r="E83">
        <f>VLOOKUP($A83,Transpose!$A$1:$S$859,Cleaned!E$1)</f>
        <v>3149</v>
      </c>
      <c r="F83">
        <f>VLOOKUP($A83,Transpose!$A$1:$S$859,Cleaned!F$1)</f>
        <v>165</v>
      </c>
      <c r="G83">
        <f>VLOOKUP($A83,Transpose!$A$1:$S$859,Cleaned!G$1)</f>
        <v>6979</v>
      </c>
      <c r="H83">
        <f>VLOOKUP($A83,Transpose!$A$1:$S$859,Cleaned!H$1)</f>
        <v>1792</v>
      </c>
      <c r="I83">
        <f>VLOOKUP($A83,Transpose!$A$1:$S$859,Cleaned!I$1)</f>
        <v>3264</v>
      </c>
      <c r="J83">
        <f>VLOOKUP($A83,Transpose!$A$1:$S$859,Cleaned!J$1)</f>
        <v>1896</v>
      </c>
      <c r="K83">
        <f>VLOOKUP($A83,Transpose!$A$1:$S$859,Cleaned!K$1)</f>
        <v>27</v>
      </c>
      <c r="L83">
        <f>VLOOKUP($A83,Transpose!$A$1:$S$859,Cleaned!L$1)</f>
        <v>66546</v>
      </c>
      <c r="M83">
        <f>VLOOKUP($A83,Transpose!$A$1:$S$859,Cleaned!M$1)</f>
        <v>3115</v>
      </c>
      <c r="N83">
        <f>VLOOKUP($A83,Transpose!$A$1:$S$859,Cleaned!N$1)</f>
        <v>1640</v>
      </c>
      <c r="O83">
        <f>VLOOKUP($A83,Transpose!$A$1:$S$859,Cleaned!O$1)</f>
        <v>61591</v>
      </c>
      <c r="P83">
        <f>VLOOKUP($A83,Transpose!$A$1:$S$859,Cleaned!P$1)</f>
        <v>198</v>
      </c>
      <c r="Q83">
        <f>VLOOKUP($A83,Transpose!$A$1:$S$859,Cleaned!Q$1)</f>
        <v>20</v>
      </c>
      <c r="R83">
        <f>VLOOKUP($A83,Transpose!$A$1:$S$859,Cleaned!R$1)</f>
        <v>1</v>
      </c>
      <c r="S83">
        <f>VLOOKUP($A83,Transpose!$A$1:$S$859,Cleaned!S$1)</f>
        <v>156</v>
      </c>
    </row>
    <row r="84" spans="1:19" x14ac:dyDescent="0.25">
      <c r="A84" s="2">
        <f t="shared" si="2"/>
        <v>35339</v>
      </c>
      <c r="B84">
        <f>VLOOKUP($A84,Transpose!$A$1:$S$859,Cleaned!B$1)</f>
        <v>127890</v>
      </c>
      <c r="C84">
        <f>VLOOKUP($A84,Transpose!$A$1:$S$859,Cleaned!C$1)</f>
        <v>122621</v>
      </c>
      <c r="D84">
        <f>VLOOKUP($A84,Transpose!$A$1:$S$859,Cleaned!D$1)</f>
        <v>2034</v>
      </c>
      <c r="E84">
        <f>VLOOKUP($A84,Transpose!$A$1:$S$859,Cleaned!E$1)</f>
        <v>3080</v>
      </c>
      <c r="F84">
        <f>VLOOKUP($A84,Transpose!$A$1:$S$859,Cleaned!F$1)</f>
        <v>155</v>
      </c>
      <c r="G84">
        <f>VLOOKUP($A84,Transpose!$A$1:$S$859,Cleaned!G$1)</f>
        <v>7031</v>
      </c>
      <c r="H84">
        <f>VLOOKUP($A84,Transpose!$A$1:$S$859,Cleaned!H$1)</f>
        <v>1666</v>
      </c>
      <c r="I84">
        <f>VLOOKUP($A84,Transpose!$A$1:$S$859,Cleaned!I$1)</f>
        <v>3479</v>
      </c>
      <c r="J84">
        <f>VLOOKUP($A84,Transpose!$A$1:$S$859,Cleaned!J$1)</f>
        <v>1867</v>
      </c>
      <c r="K84">
        <f>VLOOKUP($A84,Transpose!$A$1:$S$859,Cleaned!K$1)</f>
        <v>19</v>
      </c>
      <c r="L84">
        <f>VLOOKUP($A84,Transpose!$A$1:$S$859,Cleaned!L$1)</f>
        <v>66352</v>
      </c>
      <c r="M84">
        <f>VLOOKUP($A84,Transpose!$A$1:$S$859,Cleaned!M$1)</f>
        <v>3229</v>
      </c>
      <c r="N84">
        <f>VLOOKUP($A84,Transpose!$A$1:$S$859,Cleaned!N$1)</f>
        <v>1464</v>
      </c>
      <c r="O84">
        <f>VLOOKUP($A84,Transpose!$A$1:$S$859,Cleaned!O$1)</f>
        <v>61443</v>
      </c>
      <c r="P84">
        <f>VLOOKUP($A84,Transpose!$A$1:$S$859,Cleaned!P$1)</f>
        <v>217</v>
      </c>
      <c r="Q84">
        <f>VLOOKUP($A84,Transpose!$A$1:$S$859,Cleaned!Q$1)</f>
        <v>20</v>
      </c>
      <c r="R84">
        <f>VLOOKUP($A84,Transpose!$A$1:$S$859,Cleaned!R$1)</f>
        <v>1</v>
      </c>
      <c r="S84">
        <f>VLOOKUP($A84,Transpose!$A$1:$S$859,Cleaned!S$1)</f>
        <v>157</v>
      </c>
    </row>
    <row r="85" spans="1:19" x14ac:dyDescent="0.25">
      <c r="A85" s="2">
        <f t="shared" si="2"/>
        <v>35370</v>
      </c>
      <c r="B85">
        <f>VLOOKUP($A85,Transpose!$A$1:$S$859,Cleaned!B$1)</f>
        <v>127771</v>
      </c>
      <c r="C85">
        <f>VLOOKUP($A85,Transpose!$A$1:$S$859,Cleaned!C$1)</f>
        <v>122794</v>
      </c>
      <c r="D85">
        <f>VLOOKUP($A85,Transpose!$A$1:$S$859,Cleaned!D$1)</f>
        <v>1947</v>
      </c>
      <c r="E85">
        <f>VLOOKUP($A85,Transpose!$A$1:$S$859,Cleaned!E$1)</f>
        <v>2923</v>
      </c>
      <c r="F85">
        <f>VLOOKUP($A85,Transpose!$A$1:$S$859,Cleaned!F$1)</f>
        <v>107</v>
      </c>
      <c r="G85">
        <f>VLOOKUP($A85,Transpose!$A$1:$S$859,Cleaned!G$1)</f>
        <v>7236</v>
      </c>
      <c r="H85">
        <f>VLOOKUP($A85,Transpose!$A$1:$S$859,Cleaned!H$1)</f>
        <v>1849</v>
      </c>
      <c r="I85">
        <f>VLOOKUP($A85,Transpose!$A$1:$S$859,Cleaned!I$1)</f>
        <v>3466</v>
      </c>
      <c r="J85">
        <f>VLOOKUP($A85,Transpose!$A$1:$S$859,Cleaned!J$1)</f>
        <v>1890</v>
      </c>
      <c r="K85">
        <f>VLOOKUP($A85,Transpose!$A$1:$S$859,Cleaned!K$1)</f>
        <v>31</v>
      </c>
      <c r="L85">
        <f>VLOOKUP($A85,Transpose!$A$1:$S$859,Cleaned!L$1)</f>
        <v>66456</v>
      </c>
      <c r="M85">
        <f>VLOOKUP($A85,Transpose!$A$1:$S$859,Cleaned!M$1)</f>
        <v>3227</v>
      </c>
      <c r="N85">
        <f>VLOOKUP($A85,Transpose!$A$1:$S$859,Cleaned!N$1)</f>
        <v>1617</v>
      </c>
      <c r="O85">
        <f>VLOOKUP($A85,Transpose!$A$1:$S$859,Cleaned!O$1)</f>
        <v>61382</v>
      </c>
      <c r="P85">
        <f>VLOOKUP($A85,Transpose!$A$1:$S$859,Cleaned!P$1)</f>
        <v>229</v>
      </c>
      <c r="Q85">
        <f>VLOOKUP($A85,Transpose!$A$1:$S$859,Cleaned!Q$1)</f>
        <v>20</v>
      </c>
      <c r="R85">
        <f>VLOOKUP($A85,Transpose!$A$1:$S$859,Cleaned!R$1)</f>
        <v>1</v>
      </c>
      <c r="S85">
        <f>VLOOKUP($A85,Transpose!$A$1:$S$859,Cleaned!S$1)</f>
        <v>157</v>
      </c>
    </row>
    <row r="86" spans="1:19" x14ac:dyDescent="0.25">
      <c r="A86" s="2">
        <f t="shared" si="2"/>
        <v>35400</v>
      </c>
      <c r="B86">
        <f>VLOOKUP($A86,Transpose!$A$1:$S$859,Cleaned!B$1)</f>
        <v>127860</v>
      </c>
      <c r="C86">
        <f>VLOOKUP($A86,Transpose!$A$1:$S$859,Cleaned!C$1)</f>
        <v>123041</v>
      </c>
      <c r="D86">
        <f>VLOOKUP($A86,Transpose!$A$1:$S$859,Cleaned!D$1)</f>
        <v>1935</v>
      </c>
      <c r="E86">
        <f>VLOOKUP($A86,Transpose!$A$1:$S$859,Cleaned!E$1)</f>
        <v>2741</v>
      </c>
      <c r="F86">
        <f>VLOOKUP($A86,Transpose!$A$1:$S$859,Cleaned!F$1)</f>
        <v>144</v>
      </c>
      <c r="G86">
        <f>VLOOKUP($A86,Transpose!$A$1:$S$859,Cleaned!G$1)</f>
        <v>7253</v>
      </c>
      <c r="H86">
        <f>VLOOKUP($A86,Transpose!$A$1:$S$859,Cleaned!H$1)</f>
        <v>1604</v>
      </c>
      <c r="I86">
        <f>VLOOKUP($A86,Transpose!$A$1:$S$859,Cleaned!I$1)</f>
        <v>3707</v>
      </c>
      <c r="J86">
        <f>VLOOKUP($A86,Transpose!$A$1:$S$859,Cleaned!J$1)</f>
        <v>1922</v>
      </c>
      <c r="K86">
        <f>VLOOKUP($A86,Transpose!$A$1:$S$859,Cleaned!K$1)</f>
        <v>19</v>
      </c>
      <c r="L86">
        <f>VLOOKUP($A86,Transpose!$A$1:$S$859,Cleaned!L$1)</f>
        <v>66523</v>
      </c>
      <c r="M86">
        <f>VLOOKUP($A86,Transpose!$A$1:$S$859,Cleaned!M$1)</f>
        <v>3106</v>
      </c>
      <c r="N86">
        <f>VLOOKUP($A86,Transpose!$A$1:$S$859,Cleaned!N$1)</f>
        <v>1593</v>
      </c>
      <c r="O86">
        <f>VLOOKUP($A86,Transpose!$A$1:$S$859,Cleaned!O$1)</f>
        <v>61636</v>
      </c>
      <c r="P86">
        <f>VLOOKUP($A86,Transpose!$A$1:$S$859,Cleaned!P$1)</f>
        <v>188</v>
      </c>
      <c r="Q86">
        <f>VLOOKUP($A86,Transpose!$A$1:$S$859,Cleaned!Q$1)</f>
        <v>20</v>
      </c>
      <c r="R86">
        <f>VLOOKUP($A86,Transpose!$A$1:$S$859,Cleaned!R$1)</f>
        <v>1</v>
      </c>
      <c r="S86">
        <f>VLOOKUP($A86,Transpose!$A$1:$S$859,Cleaned!S$1)</f>
        <v>157</v>
      </c>
    </row>
    <row r="87" spans="1:19" x14ac:dyDescent="0.25">
      <c r="A87" s="2">
        <f t="shared" si="2"/>
        <v>35431</v>
      </c>
      <c r="B87">
        <f>VLOOKUP($A87,Transpose!$A$1:$S$859,Cleaned!B$1)</f>
        <v>128298</v>
      </c>
      <c r="C87">
        <f>VLOOKUP($A87,Transpose!$A$1:$S$859,Cleaned!C$1)</f>
        <v>122620</v>
      </c>
      <c r="D87">
        <f>VLOOKUP($A87,Transpose!$A$1:$S$859,Cleaned!D$1)</f>
        <v>2187</v>
      </c>
      <c r="E87">
        <f>VLOOKUP($A87,Transpose!$A$1:$S$859,Cleaned!E$1)</f>
        <v>3094</v>
      </c>
      <c r="F87">
        <f>VLOOKUP($A87,Transpose!$A$1:$S$859,Cleaned!F$1)</f>
        <v>397</v>
      </c>
      <c r="G87">
        <f>VLOOKUP($A87,Transpose!$A$1:$S$859,Cleaned!G$1)</f>
        <v>7158</v>
      </c>
      <c r="H87">
        <f>VLOOKUP($A87,Transpose!$A$1:$S$859,Cleaned!H$1)</f>
        <v>1863</v>
      </c>
      <c r="I87">
        <f>VLOOKUP($A87,Transpose!$A$1:$S$859,Cleaned!I$1)</f>
        <v>3418</v>
      </c>
      <c r="J87">
        <f>VLOOKUP($A87,Transpose!$A$1:$S$859,Cleaned!J$1)</f>
        <v>1841</v>
      </c>
      <c r="K87">
        <f>VLOOKUP($A87,Transpose!$A$1:$S$859,Cleaned!K$1)</f>
        <v>36</v>
      </c>
      <c r="L87">
        <f>VLOOKUP($A87,Transpose!$A$1:$S$859,Cleaned!L$1)</f>
        <v>66829</v>
      </c>
      <c r="M87">
        <f>VLOOKUP($A87,Transpose!$A$1:$S$859,Cleaned!M$1)</f>
        <v>3357</v>
      </c>
      <c r="N87">
        <f>VLOOKUP($A87,Transpose!$A$1:$S$859,Cleaned!N$1)</f>
        <v>1647</v>
      </c>
      <c r="O87">
        <f>VLOOKUP($A87,Transpose!$A$1:$S$859,Cleaned!O$1)</f>
        <v>61431</v>
      </c>
      <c r="P87">
        <f>VLOOKUP($A87,Transpose!$A$1:$S$859,Cleaned!P$1)</f>
        <v>394</v>
      </c>
      <c r="Q87">
        <f>VLOOKUP($A87,Transpose!$A$1:$S$859,Cleaned!Q$1)</f>
        <v>20</v>
      </c>
      <c r="R87">
        <f>VLOOKUP($A87,Transpose!$A$1:$S$859,Cleaned!R$1)</f>
        <v>1</v>
      </c>
      <c r="S87">
        <f>VLOOKUP($A87,Transpose!$A$1:$S$859,Cleaned!S$1)</f>
        <v>157</v>
      </c>
    </row>
    <row r="88" spans="1:19" x14ac:dyDescent="0.25">
      <c r="A88" s="2">
        <f t="shared" si="2"/>
        <v>35462</v>
      </c>
      <c r="B88">
        <f>VLOOKUP($A88,Transpose!$A$1:$S$859,Cleaned!B$1)</f>
        <v>128298</v>
      </c>
      <c r="C88">
        <f>VLOOKUP($A88,Transpose!$A$1:$S$859,Cleaned!C$1)</f>
        <v>123094</v>
      </c>
      <c r="D88">
        <f>VLOOKUP($A88,Transpose!$A$1:$S$859,Cleaned!D$1)</f>
        <v>2074</v>
      </c>
      <c r="E88">
        <f>VLOOKUP($A88,Transpose!$A$1:$S$859,Cleaned!E$1)</f>
        <v>3059</v>
      </c>
      <c r="F88">
        <f>VLOOKUP($A88,Transpose!$A$1:$S$859,Cleaned!F$1)</f>
        <v>72</v>
      </c>
      <c r="G88">
        <f>VLOOKUP($A88,Transpose!$A$1:$S$859,Cleaned!G$1)</f>
        <v>7102</v>
      </c>
      <c r="H88">
        <f>VLOOKUP($A88,Transpose!$A$1:$S$859,Cleaned!H$1)</f>
        <v>1789</v>
      </c>
      <c r="I88">
        <f>VLOOKUP($A88,Transpose!$A$1:$S$859,Cleaned!I$1)</f>
        <v>3474</v>
      </c>
      <c r="J88">
        <f>VLOOKUP($A88,Transpose!$A$1:$S$859,Cleaned!J$1)</f>
        <v>1810</v>
      </c>
      <c r="K88">
        <f>VLOOKUP($A88,Transpose!$A$1:$S$859,Cleaned!K$1)</f>
        <v>30</v>
      </c>
      <c r="L88">
        <f>VLOOKUP($A88,Transpose!$A$1:$S$859,Cleaned!L$1)</f>
        <v>66988</v>
      </c>
      <c r="M88">
        <f>VLOOKUP($A88,Transpose!$A$1:$S$859,Cleaned!M$1)</f>
        <v>3396</v>
      </c>
      <c r="N88">
        <f>VLOOKUP($A88,Transpose!$A$1:$S$859,Cleaned!N$1)</f>
        <v>1609</v>
      </c>
      <c r="O88">
        <f>VLOOKUP($A88,Transpose!$A$1:$S$859,Cleaned!O$1)</f>
        <v>61803</v>
      </c>
      <c r="P88">
        <f>VLOOKUP($A88,Transpose!$A$1:$S$859,Cleaned!P$1)</f>
        <v>180</v>
      </c>
      <c r="Q88">
        <f>VLOOKUP($A88,Transpose!$A$1:$S$859,Cleaned!Q$1)</f>
        <v>20</v>
      </c>
      <c r="R88">
        <f>VLOOKUP($A88,Transpose!$A$1:$S$859,Cleaned!R$1)</f>
        <v>1</v>
      </c>
      <c r="S88">
        <f>VLOOKUP($A88,Transpose!$A$1:$S$859,Cleaned!S$1)</f>
        <v>157</v>
      </c>
    </row>
    <row r="89" spans="1:19" x14ac:dyDescent="0.25">
      <c r="A89" s="2">
        <f t="shared" si="2"/>
        <v>35490</v>
      </c>
      <c r="B89">
        <f>VLOOKUP($A89,Transpose!$A$1:$S$859,Cleaned!B$1)</f>
        <v>128891</v>
      </c>
      <c r="C89">
        <f>VLOOKUP($A89,Transpose!$A$1:$S$859,Cleaned!C$1)</f>
        <v>123292</v>
      </c>
      <c r="D89">
        <f>VLOOKUP($A89,Transpose!$A$1:$S$859,Cleaned!D$1)</f>
        <v>2056</v>
      </c>
      <c r="E89">
        <f>VLOOKUP($A89,Transpose!$A$1:$S$859,Cleaned!E$1)</f>
        <v>3450</v>
      </c>
      <c r="F89">
        <f>VLOOKUP($A89,Transpose!$A$1:$S$859,Cleaned!F$1)</f>
        <v>92</v>
      </c>
      <c r="G89">
        <f>VLOOKUP($A89,Transpose!$A$1:$S$859,Cleaned!G$1)</f>
        <v>7000</v>
      </c>
      <c r="H89">
        <f>VLOOKUP($A89,Transpose!$A$1:$S$859,Cleaned!H$1)</f>
        <v>1650</v>
      </c>
      <c r="I89">
        <f>VLOOKUP($A89,Transpose!$A$1:$S$859,Cleaned!I$1)</f>
        <v>3475</v>
      </c>
      <c r="J89">
        <f>VLOOKUP($A89,Transpose!$A$1:$S$859,Cleaned!J$1)</f>
        <v>1855</v>
      </c>
      <c r="K89">
        <f>VLOOKUP($A89,Transpose!$A$1:$S$859,Cleaned!K$1)</f>
        <v>20</v>
      </c>
      <c r="L89">
        <f>VLOOKUP($A89,Transpose!$A$1:$S$859,Cleaned!L$1)</f>
        <v>66622</v>
      </c>
      <c r="M89">
        <f>VLOOKUP($A89,Transpose!$A$1:$S$859,Cleaned!M$1)</f>
        <v>3336</v>
      </c>
      <c r="N89">
        <f>VLOOKUP($A89,Transpose!$A$1:$S$859,Cleaned!N$1)</f>
        <v>1569</v>
      </c>
      <c r="O89">
        <f>VLOOKUP($A89,Transpose!$A$1:$S$859,Cleaned!O$1)</f>
        <v>61525</v>
      </c>
      <c r="P89">
        <f>VLOOKUP($A89,Transpose!$A$1:$S$859,Cleaned!P$1)</f>
        <v>192</v>
      </c>
      <c r="Q89">
        <f>VLOOKUP($A89,Transpose!$A$1:$S$859,Cleaned!Q$1)</f>
        <v>20</v>
      </c>
      <c r="R89">
        <f>VLOOKUP($A89,Transpose!$A$1:$S$859,Cleaned!R$1)</f>
        <v>1</v>
      </c>
      <c r="S89">
        <f>VLOOKUP($A89,Transpose!$A$1:$S$859,Cleaned!S$1)</f>
        <v>158</v>
      </c>
    </row>
    <row r="90" spans="1:19" x14ac:dyDescent="0.25">
      <c r="A90" s="2">
        <f t="shared" si="2"/>
        <v>35521</v>
      </c>
      <c r="B90">
        <f>VLOOKUP($A90,Transpose!$A$1:$S$859,Cleaned!B$1)</f>
        <v>129143</v>
      </c>
      <c r="C90">
        <f>VLOOKUP($A90,Transpose!$A$1:$S$859,Cleaned!C$1)</f>
        <v>123816</v>
      </c>
      <c r="D90">
        <f>VLOOKUP($A90,Transpose!$A$1:$S$859,Cleaned!D$1)</f>
        <v>1976</v>
      </c>
      <c r="E90">
        <f>VLOOKUP($A90,Transpose!$A$1:$S$859,Cleaned!E$1)</f>
        <v>3215</v>
      </c>
      <c r="F90">
        <f>VLOOKUP($A90,Transpose!$A$1:$S$859,Cleaned!F$1)</f>
        <v>136</v>
      </c>
      <c r="G90">
        <f>VLOOKUP($A90,Transpose!$A$1:$S$859,Cleaned!G$1)</f>
        <v>6873</v>
      </c>
      <c r="H90">
        <f>VLOOKUP($A90,Transpose!$A$1:$S$859,Cleaned!H$1)</f>
        <v>1724</v>
      </c>
      <c r="I90">
        <f>VLOOKUP($A90,Transpose!$A$1:$S$859,Cleaned!I$1)</f>
        <v>3379</v>
      </c>
      <c r="J90">
        <f>VLOOKUP($A90,Transpose!$A$1:$S$859,Cleaned!J$1)</f>
        <v>1753</v>
      </c>
      <c r="K90">
        <f>VLOOKUP($A90,Transpose!$A$1:$S$859,Cleaned!K$1)</f>
        <v>17</v>
      </c>
      <c r="L90">
        <f>VLOOKUP($A90,Transpose!$A$1:$S$859,Cleaned!L$1)</f>
        <v>66658</v>
      </c>
      <c r="M90">
        <f>VLOOKUP($A90,Transpose!$A$1:$S$859,Cleaned!M$1)</f>
        <v>3332</v>
      </c>
      <c r="N90">
        <f>VLOOKUP($A90,Transpose!$A$1:$S$859,Cleaned!N$1)</f>
        <v>1644</v>
      </c>
      <c r="O90">
        <f>VLOOKUP($A90,Transpose!$A$1:$S$859,Cleaned!O$1)</f>
        <v>61497</v>
      </c>
      <c r="P90">
        <f>VLOOKUP($A90,Transpose!$A$1:$S$859,Cleaned!P$1)</f>
        <v>186</v>
      </c>
      <c r="Q90">
        <f>VLOOKUP($A90,Transpose!$A$1:$S$859,Cleaned!Q$1)</f>
        <v>20</v>
      </c>
      <c r="R90">
        <f>VLOOKUP($A90,Transpose!$A$1:$S$859,Cleaned!R$1)</f>
        <v>1</v>
      </c>
      <c r="S90">
        <f>VLOOKUP($A90,Transpose!$A$1:$S$859,Cleaned!S$1)</f>
        <v>158</v>
      </c>
    </row>
    <row r="91" spans="1:19" x14ac:dyDescent="0.25">
      <c r="A91" s="2">
        <f t="shared" si="2"/>
        <v>35551</v>
      </c>
      <c r="B91">
        <f>VLOOKUP($A91,Transpose!$A$1:$S$859,Cleaned!B$1)</f>
        <v>129464</v>
      </c>
      <c r="C91">
        <f>VLOOKUP($A91,Transpose!$A$1:$S$859,Cleaned!C$1)</f>
        <v>124156</v>
      </c>
      <c r="D91">
        <f>VLOOKUP($A91,Transpose!$A$1:$S$859,Cleaned!D$1)</f>
        <v>2051</v>
      </c>
      <c r="E91">
        <f>VLOOKUP($A91,Transpose!$A$1:$S$859,Cleaned!E$1)</f>
        <v>3172</v>
      </c>
      <c r="F91">
        <f>VLOOKUP($A91,Transpose!$A$1:$S$859,Cleaned!F$1)</f>
        <v>86</v>
      </c>
      <c r="G91">
        <f>VLOOKUP($A91,Transpose!$A$1:$S$859,Cleaned!G$1)</f>
        <v>6655</v>
      </c>
      <c r="H91">
        <f>VLOOKUP($A91,Transpose!$A$1:$S$859,Cleaned!H$1)</f>
        <v>1639</v>
      </c>
      <c r="I91">
        <f>VLOOKUP($A91,Transpose!$A$1:$S$859,Cleaned!I$1)</f>
        <v>3228</v>
      </c>
      <c r="J91">
        <f>VLOOKUP($A91,Transpose!$A$1:$S$859,Cleaned!J$1)</f>
        <v>1764</v>
      </c>
      <c r="K91">
        <f>VLOOKUP($A91,Transpose!$A$1:$S$859,Cleaned!K$1)</f>
        <v>24</v>
      </c>
      <c r="L91">
        <f>VLOOKUP($A91,Transpose!$A$1:$S$859,Cleaned!L$1)</f>
        <v>66713</v>
      </c>
      <c r="M91">
        <f>VLOOKUP($A91,Transpose!$A$1:$S$859,Cleaned!M$1)</f>
        <v>3328</v>
      </c>
      <c r="N91">
        <f>VLOOKUP($A91,Transpose!$A$1:$S$859,Cleaned!N$1)</f>
        <v>1593</v>
      </c>
      <c r="O91">
        <f>VLOOKUP($A91,Transpose!$A$1:$S$859,Cleaned!O$1)</f>
        <v>61564</v>
      </c>
      <c r="P91">
        <f>VLOOKUP($A91,Transpose!$A$1:$S$859,Cleaned!P$1)</f>
        <v>227</v>
      </c>
      <c r="Q91">
        <f>VLOOKUP($A91,Transpose!$A$1:$S$859,Cleaned!Q$1)</f>
        <v>20</v>
      </c>
      <c r="R91">
        <f>VLOOKUP($A91,Transpose!$A$1:$S$859,Cleaned!R$1)</f>
        <v>1</v>
      </c>
      <c r="S91">
        <f>VLOOKUP($A91,Transpose!$A$1:$S$859,Cleaned!S$1)</f>
        <v>158</v>
      </c>
    </row>
    <row r="92" spans="1:19" x14ac:dyDescent="0.25">
      <c r="A92" s="2">
        <f t="shared" si="2"/>
        <v>35582</v>
      </c>
      <c r="B92">
        <f>VLOOKUP($A92,Transpose!$A$1:$S$859,Cleaned!B$1)</f>
        <v>129412</v>
      </c>
      <c r="C92">
        <f>VLOOKUP($A92,Transpose!$A$1:$S$859,Cleaned!C$1)</f>
        <v>124226</v>
      </c>
      <c r="D92">
        <f>VLOOKUP($A92,Transpose!$A$1:$S$859,Cleaned!D$1)</f>
        <v>1990</v>
      </c>
      <c r="E92">
        <f>VLOOKUP($A92,Transpose!$A$1:$S$859,Cleaned!E$1)</f>
        <v>3075</v>
      </c>
      <c r="F92">
        <f>VLOOKUP($A92,Transpose!$A$1:$S$859,Cleaned!F$1)</f>
        <v>121</v>
      </c>
      <c r="G92">
        <f>VLOOKUP($A92,Transpose!$A$1:$S$859,Cleaned!G$1)</f>
        <v>6799</v>
      </c>
      <c r="H92">
        <f>VLOOKUP($A92,Transpose!$A$1:$S$859,Cleaned!H$1)</f>
        <v>1865</v>
      </c>
      <c r="I92">
        <f>VLOOKUP($A92,Transpose!$A$1:$S$859,Cleaned!I$1)</f>
        <v>3126</v>
      </c>
      <c r="J92">
        <f>VLOOKUP($A92,Transpose!$A$1:$S$859,Cleaned!J$1)</f>
        <v>1781</v>
      </c>
      <c r="K92">
        <f>VLOOKUP($A92,Transpose!$A$1:$S$859,Cleaned!K$1)</f>
        <v>26</v>
      </c>
      <c r="L92">
        <f>VLOOKUP($A92,Transpose!$A$1:$S$859,Cleaned!L$1)</f>
        <v>66789</v>
      </c>
      <c r="M92">
        <f>VLOOKUP($A92,Transpose!$A$1:$S$859,Cleaned!M$1)</f>
        <v>3353</v>
      </c>
      <c r="N92">
        <f>VLOOKUP($A92,Transpose!$A$1:$S$859,Cleaned!N$1)</f>
        <v>1538</v>
      </c>
      <c r="O92">
        <f>VLOOKUP($A92,Transpose!$A$1:$S$859,Cleaned!O$1)</f>
        <v>61699</v>
      </c>
      <c r="P92">
        <f>VLOOKUP($A92,Transpose!$A$1:$S$859,Cleaned!P$1)</f>
        <v>199</v>
      </c>
      <c r="Q92">
        <f>VLOOKUP($A92,Transpose!$A$1:$S$859,Cleaned!Q$1)</f>
        <v>20</v>
      </c>
      <c r="R92">
        <f>VLOOKUP($A92,Transpose!$A$1:$S$859,Cleaned!R$1)</f>
        <v>1</v>
      </c>
      <c r="S92">
        <f>VLOOKUP($A92,Transpose!$A$1:$S$859,Cleaned!S$1)</f>
        <v>158</v>
      </c>
    </row>
    <row r="93" spans="1:19" x14ac:dyDescent="0.25">
      <c r="A93" s="2">
        <f t="shared" si="2"/>
        <v>35612</v>
      </c>
      <c r="B93">
        <f>VLOOKUP($A93,Transpose!$A$1:$S$859,Cleaned!B$1)</f>
        <v>129822</v>
      </c>
      <c r="C93">
        <f>VLOOKUP($A93,Transpose!$A$1:$S$859,Cleaned!C$1)</f>
        <v>124551</v>
      </c>
      <c r="D93">
        <f>VLOOKUP($A93,Transpose!$A$1:$S$859,Cleaned!D$1)</f>
        <v>2097</v>
      </c>
      <c r="E93">
        <f>VLOOKUP($A93,Transpose!$A$1:$S$859,Cleaned!E$1)</f>
        <v>3096</v>
      </c>
      <c r="F93">
        <f>VLOOKUP($A93,Transpose!$A$1:$S$859,Cleaned!F$1)</f>
        <v>78</v>
      </c>
      <c r="G93">
        <f>VLOOKUP($A93,Transpose!$A$1:$S$859,Cleaned!G$1)</f>
        <v>6655</v>
      </c>
      <c r="H93">
        <f>VLOOKUP($A93,Transpose!$A$1:$S$859,Cleaned!H$1)</f>
        <v>1685</v>
      </c>
      <c r="I93">
        <f>VLOOKUP($A93,Transpose!$A$1:$S$859,Cleaned!I$1)</f>
        <v>3162</v>
      </c>
      <c r="J93">
        <f>VLOOKUP($A93,Transpose!$A$1:$S$859,Cleaned!J$1)</f>
        <v>1788</v>
      </c>
      <c r="K93">
        <f>VLOOKUP($A93,Transpose!$A$1:$S$859,Cleaned!K$1)</f>
        <v>21</v>
      </c>
      <c r="L93">
        <f>VLOOKUP($A93,Transpose!$A$1:$S$859,Cleaned!L$1)</f>
        <v>66689</v>
      </c>
      <c r="M93">
        <f>VLOOKUP($A93,Transpose!$A$1:$S$859,Cleaned!M$1)</f>
        <v>3157</v>
      </c>
      <c r="N93">
        <f>VLOOKUP($A93,Transpose!$A$1:$S$859,Cleaned!N$1)</f>
        <v>1539</v>
      </c>
      <c r="O93">
        <f>VLOOKUP($A93,Transpose!$A$1:$S$859,Cleaned!O$1)</f>
        <v>61747</v>
      </c>
      <c r="P93">
        <f>VLOOKUP($A93,Transpose!$A$1:$S$859,Cleaned!P$1)</f>
        <v>247</v>
      </c>
      <c r="Q93">
        <f>VLOOKUP($A93,Transpose!$A$1:$S$859,Cleaned!Q$1)</f>
        <v>20</v>
      </c>
      <c r="R93">
        <f>VLOOKUP($A93,Transpose!$A$1:$S$859,Cleaned!R$1)</f>
        <v>1</v>
      </c>
      <c r="S93">
        <f>VLOOKUP($A93,Transpose!$A$1:$S$859,Cleaned!S$1)</f>
        <v>158</v>
      </c>
    </row>
    <row r="94" spans="1:19" x14ac:dyDescent="0.25">
      <c r="A94" s="2">
        <f t="shared" si="2"/>
        <v>35643</v>
      </c>
      <c r="B94">
        <f>VLOOKUP($A94,Transpose!$A$1:$S$859,Cleaned!B$1)</f>
        <v>130010</v>
      </c>
      <c r="C94">
        <f>VLOOKUP($A94,Transpose!$A$1:$S$859,Cleaned!C$1)</f>
        <v>124942</v>
      </c>
      <c r="D94">
        <f>VLOOKUP($A94,Transpose!$A$1:$S$859,Cleaned!D$1)</f>
        <v>1811</v>
      </c>
      <c r="E94">
        <f>VLOOKUP($A94,Transpose!$A$1:$S$859,Cleaned!E$1)</f>
        <v>3142</v>
      </c>
      <c r="F94">
        <f>VLOOKUP($A94,Transpose!$A$1:$S$859,Cleaned!F$1)</f>
        <v>115</v>
      </c>
      <c r="G94">
        <f>VLOOKUP($A94,Transpose!$A$1:$S$859,Cleaned!G$1)</f>
        <v>6608</v>
      </c>
      <c r="H94">
        <f>VLOOKUP($A94,Transpose!$A$1:$S$859,Cleaned!H$1)</f>
        <v>1578</v>
      </c>
      <c r="I94">
        <f>VLOOKUP($A94,Transpose!$A$1:$S$859,Cleaned!I$1)</f>
        <v>3165</v>
      </c>
      <c r="J94">
        <f>VLOOKUP($A94,Transpose!$A$1:$S$859,Cleaned!J$1)</f>
        <v>1836</v>
      </c>
      <c r="K94">
        <f>VLOOKUP($A94,Transpose!$A$1:$S$859,Cleaned!K$1)</f>
        <v>29</v>
      </c>
      <c r="L94">
        <f>VLOOKUP($A94,Transpose!$A$1:$S$859,Cleaned!L$1)</f>
        <v>66746</v>
      </c>
      <c r="M94">
        <f>VLOOKUP($A94,Transpose!$A$1:$S$859,Cleaned!M$1)</f>
        <v>3282</v>
      </c>
      <c r="N94">
        <f>VLOOKUP($A94,Transpose!$A$1:$S$859,Cleaned!N$1)</f>
        <v>1677</v>
      </c>
      <c r="O94">
        <f>VLOOKUP($A94,Transpose!$A$1:$S$859,Cleaned!O$1)</f>
        <v>61553</v>
      </c>
      <c r="P94">
        <f>VLOOKUP($A94,Transpose!$A$1:$S$859,Cleaned!P$1)</f>
        <v>234</v>
      </c>
      <c r="Q94">
        <f>VLOOKUP($A94,Transpose!$A$1:$S$859,Cleaned!Q$1)</f>
        <v>20</v>
      </c>
      <c r="R94">
        <f>VLOOKUP($A94,Transpose!$A$1:$S$859,Cleaned!R$1)</f>
        <v>1</v>
      </c>
      <c r="S94">
        <f>VLOOKUP($A94,Transpose!$A$1:$S$859,Cleaned!S$1)</f>
        <v>158</v>
      </c>
    </row>
    <row r="95" spans="1:19" x14ac:dyDescent="0.25">
      <c r="A95" s="2">
        <f t="shared" si="2"/>
        <v>35674</v>
      </c>
      <c r="B95">
        <f>VLOOKUP($A95,Transpose!$A$1:$S$859,Cleaned!B$1)</f>
        <v>130019</v>
      </c>
      <c r="C95">
        <f>VLOOKUP($A95,Transpose!$A$1:$S$859,Cleaned!C$1)</f>
        <v>124955</v>
      </c>
      <c r="D95">
        <f>VLOOKUP($A95,Transpose!$A$1:$S$859,Cleaned!D$1)</f>
        <v>1836</v>
      </c>
      <c r="E95">
        <f>VLOOKUP($A95,Transpose!$A$1:$S$859,Cleaned!E$1)</f>
        <v>3074</v>
      </c>
      <c r="F95">
        <f>VLOOKUP($A95,Transpose!$A$1:$S$859,Cleaned!F$1)</f>
        <v>154</v>
      </c>
      <c r="G95">
        <f>VLOOKUP($A95,Transpose!$A$1:$S$859,Cleaned!G$1)</f>
        <v>6656</v>
      </c>
      <c r="H95">
        <f>VLOOKUP($A95,Transpose!$A$1:$S$859,Cleaned!H$1)</f>
        <v>1667</v>
      </c>
      <c r="I95">
        <f>VLOOKUP($A95,Transpose!$A$1:$S$859,Cleaned!I$1)</f>
        <v>3237</v>
      </c>
      <c r="J95">
        <f>VLOOKUP($A95,Transpose!$A$1:$S$859,Cleaned!J$1)</f>
        <v>1741</v>
      </c>
      <c r="K95">
        <f>VLOOKUP($A95,Transpose!$A$1:$S$859,Cleaned!K$1)</f>
        <v>11</v>
      </c>
      <c r="L95">
        <f>VLOOKUP($A95,Transpose!$A$1:$S$859,Cleaned!L$1)</f>
        <v>66895</v>
      </c>
      <c r="M95">
        <f>VLOOKUP($A95,Transpose!$A$1:$S$859,Cleaned!M$1)</f>
        <v>3369</v>
      </c>
      <c r="N95">
        <f>VLOOKUP($A95,Transpose!$A$1:$S$859,Cleaned!N$1)</f>
        <v>1534</v>
      </c>
      <c r="O95">
        <f>VLOOKUP($A95,Transpose!$A$1:$S$859,Cleaned!O$1)</f>
        <v>61773</v>
      </c>
      <c r="P95">
        <f>VLOOKUP($A95,Transpose!$A$1:$S$859,Cleaned!P$1)</f>
        <v>219</v>
      </c>
      <c r="Q95">
        <f>VLOOKUP($A95,Transpose!$A$1:$S$859,Cleaned!Q$1)</f>
        <v>20</v>
      </c>
      <c r="R95">
        <f>VLOOKUP($A95,Transpose!$A$1:$S$859,Cleaned!R$1)</f>
        <v>1</v>
      </c>
      <c r="S95">
        <f>VLOOKUP($A95,Transpose!$A$1:$S$859,Cleaned!S$1)</f>
        <v>158</v>
      </c>
    </row>
    <row r="96" spans="1:19" x14ac:dyDescent="0.25">
      <c r="A96" s="2">
        <f t="shared" si="2"/>
        <v>35704</v>
      </c>
      <c r="B96">
        <f>VLOOKUP($A96,Transpose!$A$1:$S$859,Cleaned!B$1)</f>
        <v>130179</v>
      </c>
      <c r="C96">
        <f>VLOOKUP($A96,Transpose!$A$1:$S$859,Cleaned!C$1)</f>
        <v>125004</v>
      </c>
      <c r="D96">
        <f>VLOOKUP($A96,Transpose!$A$1:$S$859,Cleaned!D$1)</f>
        <v>1953</v>
      </c>
      <c r="E96">
        <f>VLOOKUP($A96,Transpose!$A$1:$S$859,Cleaned!E$1)</f>
        <v>3113</v>
      </c>
      <c r="F96">
        <f>VLOOKUP($A96,Transpose!$A$1:$S$859,Cleaned!F$1)</f>
        <v>110</v>
      </c>
      <c r="G96">
        <f>VLOOKUP($A96,Transpose!$A$1:$S$859,Cleaned!G$1)</f>
        <v>6454</v>
      </c>
      <c r="H96">
        <f>VLOOKUP($A96,Transpose!$A$1:$S$859,Cleaned!H$1)</f>
        <v>1691</v>
      </c>
      <c r="I96">
        <f>VLOOKUP($A96,Transpose!$A$1:$S$859,Cleaned!I$1)</f>
        <v>3115</v>
      </c>
      <c r="J96">
        <f>VLOOKUP($A96,Transpose!$A$1:$S$859,Cleaned!J$1)</f>
        <v>1622</v>
      </c>
      <c r="K96">
        <f>VLOOKUP($A96,Transpose!$A$1:$S$859,Cleaned!K$1)</f>
        <v>25</v>
      </c>
      <c r="L96">
        <f>VLOOKUP($A96,Transpose!$A$1:$S$859,Cleaned!L$1)</f>
        <v>67134</v>
      </c>
      <c r="M96">
        <f>VLOOKUP($A96,Transpose!$A$1:$S$859,Cleaned!M$1)</f>
        <v>3303</v>
      </c>
      <c r="N96">
        <f>VLOOKUP($A96,Transpose!$A$1:$S$859,Cleaned!N$1)</f>
        <v>1587</v>
      </c>
      <c r="O96">
        <f>VLOOKUP($A96,Transpose!$A$1:$S$859,Cleaned!O$1)</f>
        <v>62001</v>
      </c>
      <c r="P96">
        <f>VLOOKUP($A96,Transpose!$A$1:$S$859,Cleaned!P$1)</f>
        <v>243</v>
      </c>
      <c r="Q96">
        <f>VLOOKUP($A96,Transpose!$A$1:$S$859,Cleaned!Q$1)</f>
        <v>20</v>
      </c>
      <c r="R96">
        <f>VLOOKUP($A96,Transpose!$A$1:$S$859,Cleaned!R$1)</f>
        <v>1</v>
      </c>
      <c r="S96">
        <f>VLOOKUP($A96,Transpose!$A$1:$S$859,Cleaned!S$1)</f>
        <v>159</v>
      </c>
    </row>
    <row r="97" spans="1:19" x14ac:dyDescent="0.25">
      <c r="A97" s="2">
        <f t="shared" si="2"/>
        <v>35735</v>
      </c>
      <c r="B97">
        <f>VLOOKUP($A97,Transpose!$A$1:$S$859,Cleaned!B$1)</f>
        <v>130653</v>
      </c>
      <c r="C97">
        <f>VLOOKUP($A97,Transpose!$A$1:$S$859,Cleaned!C$1)</f>
        <v>125254</v>
      </c>
      <c r="D97">
        <f>VLOOKUP($A97,Transpose!$A$1:$S$859,Cleaned!D$1)</f>
        <v>1900</v>
      </c>
      <c r="E97">
        <f>VLOOKUP($A97,Transpose!$A$1:$S$859,Cleaned!E$1)</f>
        <v>3381</v>
      </c>
      <c r="F97">
        <f>VLOOKUP($A97,Transpose!$A$1:$S$859,Cleaned!F$1)</f>
        <v>118</v>
      </c>
      <c r="G97">
        <f>VLOOKUP($A97,Transpose!$A$1:$S$859,Cleaned!G$1)</f>
        <v>6308</v>
      </c>
      <c r="H97">
        <f>VLOOKUP($A97,Transpose!$A$1:$S$859,Cleaned!H$1)</f>
        <v>1596</v>
      </c>
      <c r="I97">
        <f>VLOOKUP($A97,Transpose!$A$1:$S$859,Cleaned!I$1)</f>
        <v>3041</v>
      </c>
      <c r="J97">
        <f>VLOOKUP($A97,Transpose!$A$1:$S$859,Cleaned!J$1)</f>
        <v>1649</v>
      </c>
      <c r="K97">
        <f>VLOOKUP($A97,Transpose!$A$1:$S$859,Cleaned!K$1)</f>
        <v>21</v>
      </c>
      <c r="L97">
        <f>VLOOKUP($A97,Transpose!$A$1:$S$859,Cleaned!L$1)</f>
        <v>66980</v>
      </c>
      <c r="M97">
        <f>VLOOKUP($A97,Transpose!$A$1:$S$859,Cleaned!M$1)</f>
        <v>3309</v>
      </c>
      <c r="N97">
        <f>VLOOKUP($A97,Transpose!$A$1:$S$859,Cleaned!N$1)</f>
        <v>1511</v>
      </c>
      <c r="O97">
        <f>VLOOKUP($A97,Transpose!$A$1:$S$859,Cleaned!O$1)</f>
        <v>61945</v>
      </c>
      <c r="P97">
        <f>VLOOKUP($A97,Transpose!$A$1:$S$859,Cleaned!P$1)</f>
        <v>214</v>
      </c>
      <c r="Q97">
        <f>VLOOKUP($A97,Transpose!$A$1:$S$859,Cleaned!Q$1)</f>
        <v>20</v>
      </c>
      <c r="R97">
        <f>VLOOKUP($A97,Transpose!$A$1:$S$859,Cleaned!R$1)</f>
        <v>1</v>
      </c>
      <c r="S97">
        <f>VLOOKUP($A97,Transpose!$A$1:$S$859,Cleaned!S$1)</f>
        <v>159</v>
      </c>
    </row>
    <row r="98" spans="1:19" x14ac:dyDescent="0.25">
      <c r="A98" s="2">
        <f t="shared" si="2"/>
        <v>35765</v>
      </c>
      <c r="B98">
        <f>VLOOKUP($A98,Transpose!$A$1:$S$859,Cleaned!B$1)</f>
        <v>130679</v>
      </c>
      <c r="C98">
        <f>VLOOKUP($A98,Transpose!$A$1:$S$859,Cleaned!C$1)</f>
        <v>125186</v>
      </c>
      <c r="D98">
        <f>VLOOKUP($A98,Transpose!$A$1:$S$859,Cleaned!D$1)</f>
        <v>1997</v>
      </c>
      <c r="E98">
        <f>VLOOKUP($A98,Transpose!$A$1:$S$859,Cleaned!E$1)</f>
        <v>3402</v>
      </c>
      <c r="F98">
        <f>VLOOKUP($A98,Transpose!$A$1:$S$859,Cleaned!F$1)</f>
        <v>94</v>
      </c>
      <c r="G98">
        <f>VLOOKUP($A98,Transpose!$A$1:$S$859,Cleaned!G$1)</f>
        <v>6476</v>
      </c>
      <c r="H98">
        <f>VLOOKUP($A98,Transpose!$A$1:$S$859,Cleaned!H$1)</f>
        <v>1880</v>
      </c>
      <c r="I98">
        <f>VLOOKUP($A98,Transpose!$A$1:$S$859,Cleaned!I$1)</f>
        <v>2831</v>
      </c>
      <c r="J98">
        <f>VLOOKUP($A98,Transpose!$A$1:$S$859,Cleaned!J$1)</f>
        <v>1747</v>
      </c>
      <c r="K98">
        <f>VLOOKUP($A98,Transpose!$A$1:$S$859,Cleaned!K$1)</f>
        <v>17</v>
      </c>
      <c r="L98">
        <f>VLOOKUP($A98,Transpose!$A$1:$S$859,Cleaned!L$1)</f>
        <v>66943</v>
      </c>
      <c r="M98">
        <f>VLOOKUP($A98,Transpose!$A$1:$S$859,Cleaned!M$1)</f>
        <v>3567</v>
      </c>
      <c r="N98">
        <f>VLOOKUP($A98,Transpose!$A$1:$S$859,Cleaned!N$1)</f>
        <v>1478</v>
      </c>
      <c r="O98">
        <f>VLOOKUP($A98,Transpose!$A$1:$S$859,Cleaned!O$1)</f>
        <v>61672</v>
      </c>
      <c r="P98">
        <f>VLOOKUP($A98,Transpose!$A$1:$S$859,Cleaned!P$1)</f>
        <v>226</v>
      </c>
      <c r="Q98">
        <f>VLOOKUP($A98,Transpose!$A$1:$S$859,Cleaned!Q$1)</f>
        <v>20</v>
      </c>
      <c r="R98">
        <f>VLOOKUP($A98,Transpose!$A$1:$S$859,Cleaned!R$1)</f>
        <v>1</v>
      </c>
      <c r="S98">
        <f>VLOOKUP($A98,Transpose!$A$1:$S$859,Cleaned!S$1)</f>
        <v>159</v>
      </c>
    </row>
    <row r="99" spans="1:19" x14ac:dyDescent="0.25">
      <c r="A99" s="2">
        <f t="shared" si="2"/>
        <v>35796</v>
      </c>
      <c r="B99">
        <f>VLOOKUP($A99,Transpose!$A$1:$S$859,Cleaned!B$1)</f>
        <v>130726</v>
      </c>
      <c r="C99">
        <f>VLOOKUP($A99,Transpose!$A$1:$S$859,Cleaned!C$1)</f>
        <v>125499</v>
      </c>
      <c r="D99">
        <f>VLOOKUP($A99,Transpose!$A$1:$S$859,Cleaned!D$1)</f>
        <v>1896</v>
      </c>
      <c r="E99">
        <f>VLOOKUP($A99,Transpose!$A$1:$S$859,Cleaned!E$1)</f>
        <v>3226</v>
      </c>
      <c r="F99">
        <f>VLOOKUP($A99,Transpose!$A$1:$S$859,Cleaned!F$1)</f>
        <v>105</v>
      </c>
      <c r="G99">
        <f>VLOOKUP($A99,Transpose!$A$1:$S$859,Cleaned!G$1)</f>
        <v>6368</v>
      </c>
      <c r="H99">
        <f>VLOOKUP($A99,Transpose!$A$1:$S$859,Cleaned!H$1)</f>
        <v>1685</v>
      </c>
      <c r="I99">
        <f>VLOOKUP($A99,Transpose!$A$1:$S$859,Cleaned!I$1)</f>
        <v>3026</v>
      </c>
      <c r="J99">
        <f>VLOOKUP($A99,Transpose!$A$1:$S$859,Cleaned!J$1)</f>
        <v>1641</v>
      </c>
      <c r="K99">
        <f>VLOOKUP($A99,Transpose!$A$1:$S$859,Cleaned!K$1)</f>
        <v>17</v>
      </c>
      <c r="L99">
        <f>VLOOKUP($A99,Transpose!$A$1:$S$859,Cleaned!L$1)</f>
        <v>67143</v>
      </c>
      <c r="M99">
        <f>VLOOKUP($A99,Transpose!$A$1:$S$859,Cleaned!M$1)</f>
        <v>3453</v>
      </c>
      <c r="N99">
        <f>VLOOKUP($A99,Transpose!$A$1:$S$859,Cleaned!N$1)</f>
        <v>1552</v>
      </c>
      <c r="O99">
        <f>VLOOKUP($A99,Transpose!$A$1:$S$859,Cleaned!O$1)</f>
        <v>61910</v>
      </c>
      <c r="P99">
        <f>VLOOKUP($A99,Transpose!$A$1:$S$859,Cleaned!P$1)</f>
        <v>229</v>
      </c>
      <c r="Q99">
        <f>VLOOKUP($A99,Transpose!$A$1:$S$859,Cleaned!Q$1)</f>
        <v>42</v>
      </c>
      <c r="R99">
        <f>VLOOKUP($A99,Transpose!$A$1:$S$859,Cleaned!R$1)</f>
        <v>2</v>
      </c>
      <c r="S99">
        <f>VLOOKUP($A99,Transpose!$A$1:$S$859,Cleaned!S$1)</f>
        <v>167</v>
      </c>
    </row>
    <row r="100" spans="1:19" x14ac:dyDescent="0.25">
      <c r="A100" s="2">
        <f t="shared" si="2"/>
        <v>35827</v>
      </c>
      <c r="B100">
        <f>VLOOKUP($A100,Transpose!$A$1:$S$859,Cleaned!B$1)</f>
        <v>130807</v>
      </c>
      <c r="C100">
        <f>VLOOKUP($A100,Transpose!$A$1:$S$859,Cleaned!C$1)</f>
        <v>125579</v>
      </c>
      <c r="D100">
        <f>VLOOKUP($A100,Transpose!$A$1:$S$859,Cleaned!D$1)</f>
        <v>1954</v>
      </c>
      <c r="E100">
        <f>VLOOKUP($A100,Transpose!$A$1:$S$859,Cleaned!E$1)</f>
        <v>3202</v>
      </c>
      <c r="F100">
        <f>VLOOKUP($A100,Transpose!$A$1:$S$859,Cleaned!F$1)</f>
        <v>73</v>
      </c>
      <c r="G100">
        <f>VLOOKUP($A100,Transpose!$A$1:$S$859,Cleaned!G$1)</f>
        <v>6306</v>
      </c>
      <c r="H100">
        <f>VLOOKUP($A100,Transpose!$A$1:$S$859,Cleaned!H$1)</f>
        <v>1750</v>
      </c>
      <c r="I100">
        <f>VLOOKUP($A100,Transpose!$A$1:$S$859,Cleaned!I$1)</f>
        <v>2807</v>
      </c>
      <c r="J100">
        <f>VLOOKUP($A100,Transpose!$A$1:$S$859,Cleaned!J$1)</f>
        <v>1723</v>
      </c>
      <c r="K100">
        <f>VLOOKUP($A100,Transpose!$A$1:$S$859,Cleaned!K$1)</f>
        <v>25</v>
      </c>
      <c r="L100">
        <f>VLOOKUP($A100,Transpose!$A$1:$S$859,Cleaned!L$1)</f>
        <v>67288</v>
      </c>
      <c r="M100">
        <f>VLOOKUP($A100,Transpose!$A$1:$S$859,Cleaned!M$1)</f>
        <v>3377</v>
      </c>
      <c r="N100">
        <f>VLOOKUP($A100,Transpose!$A$1:$S$859,Cleaned!N$1)</f>
        <v>1606</v>
      </c>
      <c r="O100">
        <f>VLOOKUP($A100,Transpose!$A$1:$S$859,Cleaned!O$1)</f>
        <v>62059</v>
      </c>
      <c r="P100">
        <f>VLOOKUP($A100,Transpose!$A$1:$S$859,Cleaned!P$1)</f>
        <v>245</v>
      </c>
      <c r="Q100">
        <f>VLOOKUP($A100,Transpose!$A$1:$S$859,Cleaned!Q$1)</f>
        <v>20</v>
      </c>
      <c r="R100">
        <f>VLOOKUP($A100,Transpose!$A$1:$S$859,Cleaned!R$1)</f>
        <v>1</v>
      </c>
      <c r="S100">
        <f>VLOOKUP($A100,Transpose!$A$1:$S$859,Cleaned!S$1)</f>
        <v>159</v>
      </c>
    </row>
    <row r="101" spans="1:19" x14ac:dyDescent="0.25">
      <c r="A101" s="2">
        <f t="shared" si="2"/>
        <v>35855</v>
      </c>
      <c r="B101">
        <f>VLOOKUP($A101,Transpose!$A$1:$S$859,Cleaned!B$1)</f>
        <v>130814</v>
      </c>
      <c r="C101">
        <f>VLOOKUP($A101,Transpose!$A$1:$S$859,Cleaned!C$1)</f>
        <v>125574</v>
      </c>
      <c r="D101">
        <f>VLOOKUP($A101,Transpose!$A$1:$S$859,Cleaned!D$1)</f>
        <v>1876</v>
      </c>
      <c r="E101">
        <f>VLOOKUP($A101,Transpose!$A$1:$S$859,Cleaned!E$1)</f>
        <v>3272</v>
      </c>
      <c r="F101">
        <f>VLOOKUP($A101,Transpose!$A$1:$S$859,Cleaned!F$1)</f>
        <v>93</v>
      </c>
      <c r="G101">
        <f>VLOOKUP($A101,Transpose!$A$1:$S$859,Cleaned!G$1)</f>
        <v>6422</v>
      </c>
      <c r="H101">
        <f>VLOOKUP($A101,Transpose!$A$1:$S$859,Cleaned!H$1)</f>
        <v>1781</v>
      </c>
      <c r="I101">
        <f>VLOOKUP($A101,Transpose!$A$1:$S$859,Cleaned!I$1)</f>
        <v>2842</v>
      </c>
      <c r="J101">
        <f>VLOOKUP($A101,Transpose!$A$1:$S$859,Cleaned!J$1)</f>
        <v>1780</v>
      </c>
      <c r="K101">
        <f>VLOOKUP($A101,Transpose!$A$1:$S$859,Cleaned!K$1)</f>
        <v>20</v>
      </c>
      <c r="L101">
        <f>VLOOKUP($A101,Transpose!$A$1:$S$859,Cleaned!L$1)</f>
        <v>67311</v>
      </c>
      <c r="M101">
        <f>VLOOKUP($A101,Transpose!$A$1:$S$859,Cleaned!M$1)</f>
        <v>3432</v>
      </c>
      <c r="N101">
        <f>VLOOKUP($A101,Transpose!$A$1:$S$859,Cleaned!N$1)</f>
        <v>1587</v>
      </c>
      <c r="O101">
        <f>VLOOKUP($A101,Transpose!$A$1:$S$859,Cleaned!O$1)</f>
        <v>62077</v>
      </c>
      <c r="P101">
        <f>VLOOKUP($A101,Transpose!$A$1:$S$859,Cleaned!P$1)</f>
        <v>214</v>
      </c>
      <c r="Q101">
        <f>VLOOKUP($A101,Transpose!$A$1:$S$859,Cleaned!Q$1)</f>
        <v>20</v>
      </c>
      <c r="R101">
        <f>VLOOKUP($A101,Transpose!$A$1:$S$859,Cleaned!R$1)</f>
        <v>1</v>
      </c>
      <c r="S101">
        <f>VLOOKUP($A101,Transpose!$A$1:$S$859,Cleaned!S$1)</f>
        <v>159</v>
      </c>
    </row>
    <row r="102" spans="1:19" x14ac:dyDescent="0.25">
      <c r="A102" s="2">
        <f t="shared" si="2"/>
        <v>35886</v>
      </c>
      <c r="B102">
        <f>VLOOKUP($A102,Transpose!$A$1:$S$859,Cleaned!B$1)</f>
        <v>131209</v>
      </c>
      <c r="C102">
        <f>VLOOKUP($A102,Transpose!$A$1:$S$859,Cleaned!C$1)</f>
        <v>125746</v>
      </c>
      <c r="D102">
        <f>VLOOKUP($A102,Transpose!$A$1:$S$859,Cleaned!D$1)</f>
        <v>2060</v>
      </c>
      <c r="E102">
        <f>VLOOKUP($A102,Transpose!$A$1:$S$859,Cleaned!E$1)</f>
        <v>3288</v>
      </c>
      <c r="F102">
        <f>VLOOKUP($A102,Transpose!$A$1:$S$859,Cleaned!F$1)</f>
        <v>116</v>
      </c>
      <c r="G102">
        <f>VLOOKUP($A102,Transpose!$A$1:$S$859,Cleaned!G$1)</f>
        <v>5941</v>
      </c>
      <c r="H102">
        <f>VLOOKUP($A102,Transpose!$A$1:$S$859,Cleaned!H$1)</f>
        <v>1586</v>
      </c>
      <c r="I102">
        <f>VLOOKUP($A102,Transpose!$A$1:$S$859,Cleaned!I$1)</f>
        <v>2778</v>
      </c>
      <c r="J102">
        <f>VLOOKUP($A102,Transpose!$A$1:$S$859,Cleaned!J$1)</f>
        <v>1557</v>
      </c>
      <c r="K102">
        <f>VLOOKUP($A102,Transpose!$A$1:$S$859,Cleaned!K$1)</f>
        <v>21</v>
      </c>
      <c r="L102">
        <f>VLOOKUP($A102,Transpose!$A$1:$S$859,Cleaned!L$1)</f>
        <v>67581</v>
      </c>
      <c r="M102">
        <f>VLOOKUP($A102,Transpose!$A$1:$S$859,Cleaned!M$1)</f>
        <v>3463</v>
      </c>
      <c r="N102">
        <f>VLOOKUP($A102,Transpose!$A$1:$S$859,Cleaned!N$1)</f>
        <v>1582</v>
      </c>
      <c r="O102">
        <f>VLOOKUP($A102,Transpose!$A$1:$S$859,Cleaned!O$1)</f>
        <v>62306</v>
      </c>
      <c r="P102">
        <f>VLOOKUP($A102,Transpose!$A$1:$S$859,Cleaned!P$1)</f>
        <v>229</v>
      </c>
      <c r="Q102">
        <f>VLOOKUP($A102,Transpose!$A$1:$S$859,Cleaned!Q$1)</f>
        <v>20</v>
      </c>
      <c r="R102">
        <f>VLOOKUP($A102,Transpose!$A$1:$S$859,Cleaned!R$1)</f>
        <v>1</v>
      </c>
      <c r="S102">
        <f>VLOOKUP($A102,Transpose!$A$1:$S$859,Cleaned!S$1)</f>
        <v>159</v>
      </c>
    </row>
    <row r="103" spans="1:19" x14ac:dyDescent="0.25">
      <c r="A103" s="2">
        <f t="shared" si="2"/>
        <v>35916</v>
      </c>
      <c r="B103">
        <f>VLOOKUP($A103,Transpose!$A$1:$S$859,Cleaned!B$1)</f>
        <v>131325</v>
      </c>
      <c r="C103">
        <f>VLOOKUP($A103,Transpose!$A$1:$S$859,Cleaned!C$1)</f>
        <v>126116</v>
      </c>
      <c r="D103">
        <f>VLOOKUP($A103,Transpose!$A$1:$S$859,Cleaned!D$1)</f>
        <v>1759</v>
      </c>
      <c r="E103">
        <f>VLOOKUP($A103,Transpose!$A$1:$S$859,Cleaned!E$1)</f>
        <v>3331</v>
      </c>
      <c r="F103">
        <f>VLOOKUP($A103,Transpose!$A$1:$S$859,Cleaned!F$1)</f>
        <v>119</v>
      </c>
      <c r="G103">
        <f>VLOOKUP($A103,Transpose!$A$1:$S$859,Cleaned!G$1)</f>
        <v>6047</v>
      </c>
      <c r="H103">
        <f>VLOOKUP($A103,Transpose!$A$1:$S$859,Cleaned!H$1)</f>
        <v>1656</v>
      </c>
      <c r="I103">
        <f>VLOOKUP($A103,Transpose!$A$1:$S$859,Cleaned!I$1)</f>
        <v>2748</v>
      </c>
      <c r="J103">
        <f>VLOOKUP($A103,Transpose!$A$1:$S$859,Cleaned!J$1)</f>
        <v>1627</v>
      </c>
      <c r="K103">
        <f>VLOOKUP($A103,Transpose!$A$1:$S$859,Cleaned!K$1)</f>
        <v>16</v>
      </c>
      <c r="L103">
        <f>VLOOKUP($A103,Transpose!$A$1:$S$859,Cleaned!L$1)</f>
        <v>67527</v>
      </c>
      <c r="M103">
        <f>VLOOKUP($A103,Transpose!$A$1:$S$859,Cleaned!M$1)</f>
        <v>3417</v>
      </c>
      <c r="N103">
        <f>VLOOKUP($A103,Transpose!$A$1:$S$859,Cleaned!N$1)</f>
        <v>1432</v>
      </c>
      <c r="O103">
        <f>VLOOKUP($A103,Transpose!$A$1:$S$859,Cleaned!O$1)</f>
        <v>62464</v>
      </c>
      <c r="P103">
        <f>VLOOKUP($A103,Transpose!$A$1:$S$859,Cleaned!P$1)</f>
        <v>213</v>
      </c>
      <c r="Q103">
        <f>VLOOKUP($A103,Transpose!$A$1:$S$859,Cleaned!Q$1)</f>
        <v>20</v>
      </c>
      <c r="R103">
        <f>VLOOKUP($A103,Transpose!$A$1:$S$859,Cleaned!R$1)</f>
        <v>1</v>
      </c>
      <c r="S103">
        <f>VLOOKUP($A103,Transpose!$A$1:$S$859,Cleaned!S$1)</f>
        <v>159</v>
      </c>
    </row>
    <row r="104" spans="1:19" x14ac:dyDescent="0.25">
      <c r="A104" s="2">
        <f t="shared" si="2"/>
        <v>35947</v>
      </c>
      <c r="B104">
        <f>VLOOKUP($A104,Transpose!$A$1:$S$859,Cleaned!B$1)</f>
        <v>131244</v>
      </c>
      <c r="C104">
        <f>VLOOKUP($A104,Transpose!$A$1:$S$859,Cleaned!C$1)</f>
        <v>126025</v>
      </c>
      <c r="D104">
        <f>VLOOKUP($A104,Transpose!$A$1:$S$859,Cleaned!D$1)</f>
        <v>1892</v>
      </c>
      <c r="E104">
        <f>VLOOKUP($A104,Transpose!$A$1:$S$859,Cleaned!E$1)</f>
        <v>3196</v>
      </c>
      <c r="F104">
        <f>VLOOKUP($A104,Transpose!$A$1:$S$859,Cleaned!F$1)</f>
        <v>131</v>
      </c>
      <c r="G104">
        <f>VLOOKUP($A104,Transpose!$A$1:$S$859,Cleaned!G$1)</f>
        <v>6212</v>
      </c>
      <c r="H104">
        <f>VLOOKUP($A104,Transpose!$A$1:$S$859,Cleaned!H$1)</f>
        <v>1661</v>
      </c>
      <c r="I104">
        <f>VLOOKUP($A104,Transpose!$A$1:$S$859,Cleaned!I$1)</f>
        <v>2823</v>
      </c>
      <c r="J104">
        <f>VLOOKUP($A104,Transpose!$A$1:$S$859,Cleaned!J$1)</f>
        <v>1704</v>
      </c>
      <c r="K104">
        <f>VLOOKUP($A104,Transpose!$A$1:$S$859,Cleaned!K$1)</f>
        <v>24</v>
      </c>
      <c r="L104">
        <f>VLOOKUP($A104,Transpose!$A$1:$S$859,Cleaned!L$1)</f>
        <v>67630</v>
      </c>
      <c r="M104">
        <f>VLOOKUP($A104,Transpose!$A$1:$S$859,Cleaned!M$1)</f>
        <v>3620</v>
      </c>
      <c r="N104">
        <f>VLOOKUP($A104,Transpose!$A$1:$S$859,Cleaned!N$1)</f>
        <v>1331</v>
      </c>
      <c r="O104">
        <f>VLOOKUP($A104,Transpose!$A$1:$S$859,Cleaned!O$1)</f>
        <v>62467</v>
      </c>
      <c r="P104">
        <f>VLOOKUP($A104,Transpose!$A$1:$S$859,Cleaned!P$1)</f>
        <v>213</v>
      </c>
      <c r="Q104">
        <f>VLOOKUP($A104,Transpose!$A$1:$S$859,Cleaned!Q$1)</f>
        <v>20</v>
      </c>
      <c r="R104">
        <f>VLOOKUP($A104,Transpose!$A$1:$S$859,Cleaned!R$1)</f>
        <v>1</v>
      </c>
      <c r="S104">
        <f>VLOOKUP($A104,Transpose!$A$1:$S$859,Cleaned!S$1)</f>
        <v>160</v>
      </c>
    </row>
    <row r="105" spans="1:19" x14ac:dyDescent="0.25">
      <c r="A105" s="2">
        <f t="shared" si="2"/>
        <v>35977</v>
      </c>
      <c r="B105">
        <f>VLOOKUP($A105,Transpose!$A$1:$S$859,Cleaned!B$1)</f>
        <v>131329</v>
      </c>
      <c r="C105">
        <f>VLOOKUP($A105,Transpose!$A$1:$S$859,Cleaned!C$1)</f>
        <v>125954</v>
      </c>
      <c r="D105">
        <f>VLOOKUP($A105,Transpose!$A$1:$S$859,Cleaned!D$1)</f>
        <v>1883</v>
      </c>
      <c r="E105">
        <f>VLOOKUP($A105,Transpose!$A$1:$S$859,Cleaned!E$1)</f>
        <v>3391</v>
      </c>
      <c r="F105">
        <f>VLOOKUP($A105,Transpose!$A$1:$S$859,Cleaned!F$1)</f>
        <v>101</v>
      </c>
      <c r="G105">
        <f>VLOOKUP($A105,Transpose!$A$1:$S$859,Cleaned!G$1)</f>
        <v>6259</v>
      </c>
      <c r="H105">
        <f>VLOOKUP($A105,Transpose!$A$1:$S$859,Cleaned!H$1)</f>
        <v>1739</v>
      </c>
      <c r="I105">
        <f>VLOOKUP($A105,Transpose!$A$1:$S$859,Cleaned!I$1)</f>
        <v>2854</v>
      </c>
      <c r="J105">
        <f>VLOOKUP($A105,Transpose!$A$1:$S$859,Cleaned!J$1)</f>
        <v>1654</v>
      </c>
      <c r="K105">
        <f>VLOOKUP($A105,Transpose!$A$1:$S$859,Cleaned!K$1)</f>
        <v>12</v>
      </c>
      <c r="L105">
        <f>VLOOKUP($A105,Transpose!$A$1:$S$859,Cleaned!L$1)</f>
        <v>67682</v>
      </c>
      <c r="M105">
        <f>VLOOKUP($A105,Transpose!$A$1:$S$859,Cleaned!M$1)</f>
        <v>3531</v>
      </c>
      <c r="N105">
        <f>VLOOKUP($A105,Transpose!$A$1:$S$859,Cleaned!N$1)</f>
        <v>1473</v>
      </c>
      <c r="O105">
        <f>VLOOKUP($A105,Transpose!$A$1:$S$859,Cleaned!O$1)</f>
        <v>62426</v>
      </c>
      <c r="P105">
        <f>VLOOKUP($A105,Transpose!$A$1:$S$859,Cleaned!P$1)</f>
        <v>252</v>
      </c>
      <c r="Q105">
        <f>VLOOKUP($A105,Transpose!$A$1:$S$859,Cleaned!Q$1)</f>
        <v>20</v>
      </c>
      <c r="R105">
        <f>VLOOKUP($A105,Transpose!$A$1:$S$859,Cleaned!R$1)</f>
        <v>1</v>
      </c>
      <c r="S105">
        <f>VLOOKUP($A105,Transpose!$A$1:$S$859,Cleaned!S$1)</f>
        <v>160</v>
      </c>
    </row>
    <row r="106" spans="1:19" x14ac:dyDescent="0.25">
      <c r="A106" s="2">
        <f t="shared" si="2"/>
        <v>36008</v>
      </c>
      <c r="B106">
        <f>VLOOKUP($A106,Transpose!$A$1:$S$859,Cleaned!B$1)</f>
        <v>131390</v>
      </c>
      <c r="C106">
        <f>VLOOKUP($A106,Transpose!$A$1:$S$859,Cleaned!C$1)</f>
        <v>125738</v>
      </c>
      <c r="D106">
        <f>VLOOKUP($A106,Transpose!$A$1:$S$859,Cleaned!D$1)</f>
        <v>1941</v>
      </c>
      <c r="E106">
        <f>VLOOKUP($A106,Transpose!$A$1:$S$859,Cleaned!E$1)</f>
        <v>3576</v>
      </c>
      <c r="F106">
        <f>VLOOKUP($A106,Transpose!$A$1:$S$859,Cleaned!F$1)</f>
        <v>136</v>
      </c>
      <c r="G106">
        <f>VLOOKUP($A106,Transpose!$A$1:$S$859,Cleaned!G$1)</f>
        <v>6179</v>
      </c>
      <c r="H106">
        <f>VLOOKUP($A106,Transpose!$A$1:$S$859,Cleaned!H$1)</f>
        <v>1684</v>
      </c>
      <c r="I106">
        <f>VLOOKUP($A106,Transpose!$A$1:$S$859,Cleaned!I$1)</f>
        <v>2856</v>
      </c>
      <c r="J106">
        <f>VLOOKUP($A106,Transpose!$A$1:$S$859,Cleaned!J$1)</f>
        <v>1621</v>
      </c>
      <c r="K106">
        <f>VLOOKUP($A106,Transpose!$A$1:$S$859,Cleaned!K$1)</f>
        <v>18</v>
      </c>
      <c r="L106">
        <f>VLOOKUP($A106,Transpose!$A$1:$S$859,Cleaned!L$1)</f>
        <v>67910</v>
      </c>
      <c r="M106">
        <f>VLOOKUP($A106,Transpose!$A$1:$S$859,Cleaned!M$1)</f>
        <v>3887</v>
      </c>
      <c r="N106">
        <f>VLOOKUP($A106,Transpose!$A$1:$S$859,Cleaned!N$1)</f>
        <v>1461</v>
      </c>
      <c r="O106">
        <f>VLOOKUP($A106,Transpose!$A$1:$S$859,Cleaned!O$1)</f>
        <v>62325</v>
      </c>
      <c r="P106">
        <f>VLOOKUP($A106,Transpose!$A$1:$S$859,Cleaned!P$1)</f>
        <v>237</v>
      </c>
      <c r="Q106">
        <f>VLOOKUP($A106,Transpose!$A$1:$S$859,Cleaned!Q$1)</f>
        <v>20</v>
      </c>
      <c r="R106">
        <f>VLOOKUP($A106,Transpose!$A$1:$S$859,Cleaned!R$1)</f>
        <v>1</v>
      </c>
      <c r="S106">
        <f>VLOOKUP($A106,Transpose!$A$1:$S$859,Cleaned!S$1)</f>
        <v>160</v>
      </c>
    </row>
    <row r="107" spans="1:19" x14ac:dyDescent="0.25">
      <c r="A107" s="2">
        <f t="shared" si="2"/>
        <v>36039</v>
      </c>
      <c r="B107">
        <f>VLOOKUP($A107,Transpose!$A$1:$S$859,Cleaned!B$1)</f>
        <v>131986</v>
      </c>
      <c r="C107">
        <f>VLOOKUP($A107,Transpose!$A$1:$S$859,Cleaned!C$1)</f>
        <v>126022</v>
      </c>
      <c r="D107">
        <f>VLOOKUP($A107,Transpose!$A$1:$S$859,Cleaned!D$1)</f>
        <v>1942</v>
      </c>
      <c r="E107">
        <f>VLOOKUP($A107,Transpose!$A$1:$S$859,Cleaned!E$1)</f>
        <v>3871</v>
      </c>
      <c r="F107">
        <f>VLOOKUP($A107,Transpose!$A$1:$S$859,Cleaned!F$1)</f>
        <v>150</v>
      </c>
      <c r="G107">
        <f>VLOOKUP($A107,Transpose!$A$1:$S$859,Cleaned!G$1)</f>
        <v>6300</v>
      </c>
      <c r="H107">
        <f>VLOOKUP($A107,Transpose!$A$1:$S$859,Cleaned!H$1)</f>
        <v>1758</v>
      </c>
      <c r="I107">
        <f>VLOOKUP($A107,Transpose!$A$1:$S$859,Cleaned!I$1)</f>
        <v>2788</v>
      </c>
      <c r="J107">
        <f>VLOOKUP($A107,Transpose!$A$1:$S$859,Cleaned!J$1)</f>
        <v>1737</v>
      </c>
      <c r="K107">
        <f>VLOOKUP($A107,Transpose!$A$1:$S$859,Cleaned!K$1)</f>
        <v>17</v>
      </c>
      <c r="L107">
        <f>VLOOKUP($A107,Transpose!$A$1:$S$859,Cleaned!L$1)</f>
        <v>67413</v>
      </c>
      <c r="M107">
        <f>VLOOKUP($A107,Transpose!$A$1:$S$859,Cleaned!M$1)</f>
        <v>3590</v>
      </c>
      <c r="N107">
        <f>VLOOKUP($A107,Transpose!$A$1:$S$859,Cleaned!N$1)</f>
        <v>1447</v>
      </c>
      <c r="O107">
        <f>VLOOKUP($A107,Transpose!$A$1:$S$859,Cleaned!O$1)</f>
        <v>62141</v>
      </c>
      <c r="P107">
        <f>VLOOKUP($A107,Transpose!$A$1:$S$859,Cleaned!P$1)</f>
        <v>234</v>
      </c>
      <c r="Q107">
        <f>VLOOKUP($A107,Transpose!$A$1:$S$859,Cleaned!Q$1)</f>
        <v>20</v>
      </c>
      <c r="R107">
        <f>VLOOKUP($A107,Transpose!$A$1:$S$859,Cleaned!R$1)</f>
        <v>1</v>
      </c>
      <c r="S107">
        <f>VLOOKUP($A107,Transpose!$A$1:$S$859,Cleaned!S$1)</f>
        <v>160</v>
      </c>
    </row>
    <row r="108" spans="1:19" x14ac:dyDescent="0.25">
      <c r="A108" s="2">
        <f t="shared" si="2"/>
        <v>36069</v>
      </c>
      <c r="B108">
        <f>VLOOKUP($A108,Transpose!$A$1:$S$859,Cleaned!B$1)</f>
        <v>131999</v>
      </c>
      <c r="C108">
        <f>VLOOKUP($A108,Transpose!$A$1:$S$859,Cleaned!C$1)</f>
        <v>126522</v>
      </c>
      <c r="D108">
        <f>VLOOKUP($A108,Transpose!$A$1:$S$859,Cleaned!D$1)</f>
        <v>1918</v>
      </c>
      <c r="E108">
        <f>VLOOKUP($A108,Transpose!$A$1:$S$859,Cleaned!E$1)</f>
        <v>3413</v>
      </c>
      <c r="F108">
        <f>VLOOKUP($A108,Transpose!$A$1:$S$859,Cleaned!F$1)</f>
        <v>146</v>
      </c>
      <c r="G108">
        <f>VLOOKUP($A108,Transpose!$A$1:$S$859,Cleaned!G$1)</f>
        <v>6280</v>
      </c>
      <c r="H108">
        <f>VLOOKUP($A108,Transpose!$A$1:$S$859,Cleaned!H$1)</f>
        <v>1684</v>
      </c>
      <c r="I108">
        <f>VLOOKUP($A108,Transpose!$A$1:$S$859,Cleaned!I$1)</f>
        <v>2870</v>
      </c>
      <c r="J108">
        <f>VLOOKUP($A108,Transpose!$A$1:$S$859,Cleaned!J$1)</f>
        <v>1703</v>
      </c>
      <c r="K108">
        <f>VLOOKUP($A108,Transpose!$A$1:$S$859,Cleaned!K$1)</f>
        <v>24</v>
      </c>
      <c r="L108">
        <f>VLOOKUP($A108,Transpose!$A$1:$S$859,Cleaned!L$1)</f>
        <v>67640</v>
      </c>
      <c r="M108">
        <f>VLOOKUP($A108,Transpose!$A$1:$S$859,Cleaned!M$1)</f>
        <v>3760</v>
      </c>
      <c r="N108">
        <f>VLOOKUP($A108,Transpose!$A$1:$S$859,Cleaned!N$1)</f>
        <v>1511</v>
      </c>
      <c r="O108">
        <f>VLOOKUP($A108,Transpose!$A$1:$S$859,Cleaned!O$1)</f>
        <v>62137</v>
      </c>
      <c r="P108">
        <f>VLOOKUP($A108,Transpose!$A$1:$S$859,Cleaned!P$1)</f>
        <v>233</v>
      </c>
      <c r="Q108">
        <f>VLOOKUP($A108,Transpose!$A$1:$S$859,Cleaned!Q$1)</f>
        <v>20</v>
      </c>
      <c r="R108">
        <f>VLOOKUP($A108,Transpose!$A$1:$S$859,Cleaned!R$1)</f>
        <v>1</v>
      </c>
      <c r="S108">
        <f>VLOOKUP($A108,Transpose!$A$1:$S$859,Cleaned!S$1)</f>
        <v>160</v>
      </c>
    </row>
    <row r="109" spans="1:19" x14ac:dyDescent="0.25">
      <c r="A109" s="2">
        <f t="shared" si="2"/>
        <v>36100</v>
      </c>
      <c r="B109">
        <f>VLOOKUP($A109,Transpose!$A$1:$S$859,Cleaned!B$1)</f>
        <v>132280</v>
      </c>
      <c r="C109">
        <f>VLOOKUP($A109,Transpose!$A$1:$S$859,Cleaned!C$1)</f>
        <v>126659</v>
      </c>
      <c r="D109">
        <f>VLOOKUP($A109,Transpose!$A$1:$S$859,Cleaned!D$1)</f>
        <v>1941</v>
      </c>
      <c r="E109">
        <f>VLOOKUP($A109,Transpose!$A$1:$S$859,Cleaned!E$1)</f>
        <v>3539</v>
      </c>
      <c r="F109">
        <f>VLOOKUP($A109,Transpose!$A$1:$S$859,Cleaned!F$1)</f>
        <v>142</v>
      </c>
      <c r="G109">
        <f>VLOOKUP($A109,Transpose!$A$1:$S$859,Cleaned!G$1)</f>
        <v>6100</v>
      </c>
      <c r="H109">
        <f>VLOOKUP($A109,Transpose!$A$1:$S$859,Cleaned!H$1)</f>
        <v>1643</v>
      </c>
      <c r="I109">
        <f>VLOOKUP($A109,Transpose!$A$1:$S$859,Cleaned!I$1)</f>
        <v>2742</v>
      </c>
      <c r="J109">
        <f>VLOOKUP($A109,Transpose!$A$1:$S$859,Cleaned!J$1)</f>
        <v>1691</v>
      </c>
      <c r="K109">
        <f>VLOOKUP($A109,Transpose!$A$1:$S$859,Cleaned!K$1)</f>
        <v>24</v>
      </c>
      <c r="L109">
        <f>VLOOKUP($A109,Transpose!$A$1:$S$859,Cleaned!L$1)</f>
        <v>67723</v>
      </c>
      <c r="M109">
        <f>VLOOKUP($A109,Transpose!$A$1:$S$859,Cleaned!M$1)</f>
        <v>3677</v>
      </c>
      <c r="N109">
        <f>VLOOKUP($A109,Transpose!$A$1:$S$859,Cleaned!N$1)</f>
        <v>1595</v>
      </c>
      <c r="O109">
        <f>VLOOKUP($A109,Transpose!$A$1:$S$859,Cleaned!O$1)</f>
        <v>62250</v>
      </c>
      <c r="P109">
        <f>VLOOKUP($A109,Transpose!$A$1:$S$859,Cleaned!P$1)</f>
        <v>201</v>
      </c>
      <c r="Q109">
        <f>VLOOKUP($A109,Transpose!$A$1:$S$859,Cleaned!Q$1)</f>
        <v>20</v>
      </c>
      <c r="R109">
        <f>VLOOKUP($A109,Transpose!$A$1:$S$859,Cleaned!R$1)</f>
        <v>1</v>
      </c>
      <c r="S109">
        <f>VLOOKUP($A109,Transpose!$A$1:$S$859,Cleaned!S$1)</f>
        <v>160</v>
      </c>
    </row>
    <row r="110" spans="1:19" x14ac:dyDescent="0.25">
      <c r="A110" s="2">
        <f t="shared" si="2"/>
        <v>36130</v>
      </c>
      <c r="B110">
        <f>VLOOKUP($A110,Transpose!$A$1:$S$859,Cleaned!B$1)</f>
        <v>132602</v>
      </c>
      <c r="C110">
        <f>VLOOKUP($A110,Transpose!$A$1:$S$859,Cleaned!C$1)</f>
        <v>126880</v>
      </c>
      <c r="D110">
        <f>VLOOKUP($A110,Transpose!$A$1:$S$859,Cleaned!D$1)</f>
        <v>1882</v>
      </c>
      <c r="E110">
        <f>VLOOKUP($A110,Transpose!$A$1:$S$859,Cleaned!E$1)</f>
        <v>3683</v>
      </c>
      <c r="F110">
        <f>VLOOKUP($A110,Transpose!$A$1:$S$859,Cleaned!F$1)</f>
        <v>157</v>
      </c>
      <c r="G110">
        <f>VLOOKUP($A110,Transpose!$A$1:$S$859,Cleaned!G$1)</f>
        <v>6032</v>
      </c>
      <c r="H110">
        <f>VLOOKUP($A110,Transpose!$A$1:$S$859,Cleaned!H$1)</f>
        <v>1751</v>
      </c>
      <c r="I110">
        <f>VLOOKUP($A110,Transpose!$A$1:$S$859,Cleaned!I$1)</f>
        <v>2641</v>
      </c>
      <c r="J110">
        <f>VLOOKUP($A110,Transpose!$A$1:$S$859,Cleaned!J$1)</f>
        <v>1624</v>
      </c>
      <c r="K110">
        <f>VLOOKUP($A110,Transpose!$A$1:$S$859,Cleaned!K$1)</f>
        <v>16</v>
      </c>
      <c r="L110">
        <f>VLOOKUP($A110,Transpose!$A$1:$S$859,Cleaned!L$1)</f>
        <v>67635</v>
      </c>
      <c r="M110">
        <f>VLOOKUP($A110,Transpose!$A$1:$S$859,Cleaned!M$1)</f>
        <v>3629</v>
      </c>
      <c r="N110">
        <f>VLOOKUP($A110,Transpose!$A$1:$S$859,Cleaned!N$1)</f>
        <v>1576</v>
      </c>
      <c r="O110">
        <f>VLOOKUP($A110,Transpose!$A$1:$S$859,Cleaned!O$1)</f>
        <v>62256</v>
      </c>
      <c r="P110">
        <f>VLOOKUP($A110,Transpose!$A$1:$S$859,Cleaned!P$1)</f>
        <v>175</v>
      </c>
      <c r="Q110">
        <f>VLOOKUP($A110,Transpose!$A$1:$S$859,Cleaned!Q$1)</f>
        <v>20</v>
      </c>
      <c r="R110">
        <f>VLOOKUP($A110,Transpose!$A$1:$S$859,Cleaned!R$1)</f>
        <v>1</v>
      </c>
      <c r="S110">
        <f>VLOOKUP($A110,Transpose!$A$1:$S$859,Cleaned!S$1)</f>
        <v>160</v>
      </c>
    </row>
    <row r="111" spans="1:19" x14ac:dyDescent="0.25">
      <c r="A111" s="2">
        <f t="shared" si="2"/>
        <v>36161</v>
      </c>
      <c r="B111">
        <f>VLOOKUP($A111,Transpose!$A$1:$S$859,Cleaned!B$1)</f>
        <v>133027</v>
      </c>
      <c r="C111">
        <f>VLOOKUP($A111,Transpose!$A$1:$S$859,Cleaned!C$1)</f>
        <v>127216</v>
      </c>
      <c r="D111">
        <f>VLOOKUP($A111,Transpose!$A$1:$S$859,Cleaned!D$1)</f>
        <v>1864</v>
      </c>
      <c r="E111">
        <f>VLOOKUP($A111,Transpose!$A$1:$S$859,Cleaned!E$1)</f>
        <v>3621</v>
      </c>
      <c r="F111">
        <f>VLOOKUP($A111,Transpose!$A$1:$S$859,Cleaned!F$1)</f>
        <v>326</v>
      </c>
      <c r="G111">
        <f>VLOOKUP($A111,Transpose!$A$1:$S$859,Cleaned!G$1)</f>
        <v>5976</v>
      </c>
      <c r="H111">
        <f>VLOOKUP($A111,Transpose!$A$1:$S$859,Cleaned!H$1)</f>
        <v>1576</v>
      </c>
      <c r="I111">
        <f>VLOOKUP($A111,Transpose!$A$1:$S$859,Cleaned!I$1)</f>
        <v>2674</v>
      </c>
      <c r="J111">
        <f>VLOOKUP($A111,Transpose!$A$1:$S$859,Cleaned!J$1)</f>
        <v>1679</v>
      </c>
      <c r="K111">
        <f>VLOOKUP($A111,Transpose!$A$1:$S$859,Cleaned!K$1)</f>
        <v>48</v>
      </c>
      <c r="L111">
        <f>VLOOKUP($A111,Transpose!$A$1:$S$859,Cleaned!L$1)</f>
        <v>67715</v>
      </c>
      <c r="M111">
        <f>VLOOKUP($A111,Transpose!$A$1:$S$859,Cleaned!M$1)</f>
        <v>3665</v>
      </c>
      <c r="N111">
        <f>VLOOKUP($A111,Transpose!$A$1:$S$859,Cleaned!N$1)</f>
        <v>1488</v>
      </c>
      <c r="O111">
        <f>VLOOKUP($A111,Transpose!$A$1:$S$859,Cleaned!O$1)</f>
        <v>62132</v>
      </c>
      <c r="P111">
        <f>VLOOKUP($A111,Transpose!$A$1:$S$859,Cleaned!P$1)</f>
        <v>431</v>
      </c>
      <c r="Q111">
        <f>VLOOKUP($A111,Transpose!$A$1:$S$859,Cleaned!Q$1)</f>
        <v>145</v>
      </c>
      <c r="R111">
        <f>VLOOKUP($A111,Transpose!$A$1:$S$859,Cleaned!R$1)</f>
        <v>7</v>
      </c>
      <c r="S111">
        <f>VLOOKUP($A111,Transpose!$A$1:$S$859,Cleaned!S$1)</f>
        <v>204</v>
      </c>
    </row>
    <row r="112" spans="1:19" x14ac:dyDescent="0.25">
      <c r="A112" s="2">
        <f t="shared" si="2"/>
        <v>36192</v>
      </c>
      <c r="B112">
        <f>VLOOKUP($A112,Transpose!$A$1:$S$859,Cleaned!B$1)</f>
        <v>132856</v>
      </c>
      <c r="C112">
        <f>VLOOKUP($A112,Transpose!$A$1:$S$859,Cleaned!C$1)</f>
        <v>127525</v>
      </c>
      <c r="D112">
        <f>VLOOKUP($A112,Transpose!$A$1:$S$859,Cleaned!D$1)</f>
        <v>1873</v>
      </c>
      <c r="E112">
        <f>VLOOKUP($A112,Transpose!$A$1:$S$859,Cleaned!E$1)</f>
        <v>3393</v>
      </c>
      <c r="F112">
        <f>VLOOKUP($A112,Transpose!$A$1:$S$859,Cleaned!F$1)</f>
        <v>65</v>
      </c>
      <c r="G112">
        <f>VLOOKUP($A112,Transpose!$A$1:$S$859,Cleaned!G$1)</f>
        <v>6111</v>
      </c>
      <c r="H112">
        <f>VLOOKUP($A112,Transpose!$A$1:$S$859,Cleaned!H$1)</f>
        <v>1736</v>
      </c>
      <c r="I112">
        <f>VLOOKUP($A112,Transpose!$A$1:$S$859,Cleaned!I$1)</f>
        <v>2660</v>
      </c>
      <c r="J112">
        <f>VLOOKUP($A112,Transpose!$A$1:$S$859,Cleaned!J$1)</f>
        <v>1691</v>
      </c>
      <c r="K112">
        <f>VLOOKUP($A112,Transpose!$A$1:$S$859,Cleaned!K$1)</f>
        <v>23</v>
      </c>
      <c r="L112">
        <f>VLOOKUP($A112,Transpose!$A$1:$S$859,Cleaned!L$1)</f>
        <v>67906</v>
      </c>
      <c r="M112">
        <f>VLOOKUP($A112,Transpose!$A$1:$S$859,Cleaned!M$1)</f>
        <v>3740</v>
      </c>
      <c r="N112">
        <f>VLOOKUP($A112,Transpose!$A$1:$S$859,Cleaned!N$1)</f>
        <v>1442</v>
      </c>
      <c r="O112">
        <f>VLOOKUP($A112,Transpose!$A$1:$S$859,Cleaned!O$1)</f>
        <v>62466</v>
      </c>
      <c r="P112">
        <f>VLOOKUP($A112,Transpose!$A$1:$S$859,Cleaned!P$1)</f>
        <v>258</v>
      </c>
      <c r="Q112">
        <f>VLOOKUP($A112,Transpose!$A$1:$S$859,Cleaned!Q$1)</f>
        <v>26</v>
      </c>
      <c r="R112">
        <f>VLOOKUP($A112,Transpose!$A$1:$S$859,Cleaned!R$1)</f>
        <v>2</v>
      </c>
      <c r="S112">
        <f>VLOOKUP($A112,Transpose!$A$1:$S$859,Cleaned!S$1)</f>
        <v>165</v>
      </c>
    </row>
    <row r="113" spans="1:19" x14ac:dyDescent="0.25">
      <c r="A113" s="2">
        <f t="shared" si="2"/>
        <v>36220</v>
      </c>
      <c r="B113">
        <f>VLOOKUP($A113,Transpose!$A$1:$S$859,Cleaned!B$1)</f>
        <v>132947</v>
      </c>
      <c r="C113">
        <f>VLOOKUP($A113,Transpose!$A$1:$S$859,Cleaned!C$1)</f>
        <v>127503</v>
      </c>
      <c r="D113">
        <f>VLOOKUP($A113,Transpose!$A$1:$S$859,Cleaned!D$1)</f>
        <v>2039</v>
      </c>
      <c r="E113">
        <f>VLOOKUP($A113,Transpose!$A$1:$S$859,Cleaned!E$1)</f>
        <v>3349</v>
      </c>
      <c r="F113">
        <f>VLOOKUP($A113,Transpose!$A$1:$S$859,Cleaned!F$1)</f>
        <v>56</v>
      </c>
      <c r="G113">
        <f>VLOOKUP($A113,Transpose!$A$1:$S$859,Cleaned!G$1)</f>
        <v>5783</v>
      </c>
      <c r="H113">
        <f>VLOOKUP($A113,Transpose!$A$1:$S$859,Cleaned!H$1)</f>
        <v>1591</v>
      </c>
      <c r="I113">
        <f>VLOOKUP($A113,Transpose!$A$1:$S$859,Cleaned!I$1)</f>
        <v>2599</v>
      </c>
      <c r="J113">
        <f>VLOOKUP($A113,Transpose!$A$1:$S$859,Cleaned!J$1)</f>
        <v>1581</v>
      </c>
      <c r="K113">
        <f>VLOOKUP($A113,Transpose!$A$1:$S$859,Cleaned!K$1)</f>
        <v>12</v>
      </c>
      <c r="L113">
        <f>VLOOKUP($A113,Transpose!$A$1:$S$859,Cleaned!L$1)</f>
        <v>68306</v>
      </c>
      <c r="M113">
        <f>VLOOKUP($A113,Transpose!$A$1:$S$859,Cleaned!M$1)</f>
        <v>3722</v>
      </c>
      <c r="N113">
        <f>VLOOKUP($A113,Transpose!$A$1:$S$859,Cleaned!N$1)</f>
        <v>1471</v>
      </c>
      <c r="O113">
        <f>VLOOKUP($A113,Transpose!$A$1:$S$859,Cleaned!O$1)</f>
        <v>62808</v>
      </c>
      <c r="P113">
        <f>VLOOKUP($A113,Transpose!$A$1:$S$859,Cleaned!P$1)</f>
        <v>305</v>
      </c>
      <c r="Q113">
        <f>VLOOKUP($A113,Transpose!$A$1:$S$859,Cleaned!Q$1)</f>
        <v>40</v>
      </c>
      <c r="R113">
        <f>VLOOKUP($A113,Transpose!$A$1:$S$859,Cleaned!R$1)</f>
        <v>2</v>
      </c>
      <c r="S113">
        <f>VLOOKUP($A113,Transpose!$A$1:$S$859,Cleaned!S$1)</f>
        <v>168</v>
      </c>
    </row>
    <row r="114" spans="1:19" x14ac:dyDescent="0.25">
      <c r="A114" s="2">
        <f t="shared" si="2"/>
        <v>36251</v>
      </c>
      <c r="B114">
        <f>VLOOKUP($A114,Transpose!$A$1:$S$859,Cleaned!B$1)</f>
        <v>132955</v>
      </c>
      <c r="C114">
        <f>VLOOKUP($A114,Transpose!$A$1:$S$859,Cleaned!C$1)</f>
        <v>127485</v>
      </c>
      <c r="D114">
        <f>VLOOKUP($A114,Transpose!$A$1:$S$859,Cleaned!D$1)</f>
        <v>1658</v>
      </c>
      <c r="E114">
        <f>VLOOKUP($A114,Transpose!$A$1:$S$859,Cleaned!E$1)</f>
        <v>3736</v>
      </c>
      <c r="F114">
        <f>VLOOKUP($A114,Transpose!$A$1:$S$859,Cleaned!F$1)</f>
        <v>75</v>
      </c>
      <c r="G114">
        <f>VLOOKUP($A114,Transpose!$A$1:$S$859,Cleaned!G$1)</f>
        <v>6004</v>
      </c>
      <c r="H114">
        <f>VLOOKUP($A114,Transpose!$A$1:$S$859,Cleaned!H$1)</f>
        <v>1682</v>
      </c>
      <c r="I114">
        <f>VLOOKUP($A114,Transpose!$A$1:$S$859,Cleaned!I$1)</f>
        <v>2684</v>
      </c>
      <c r="J114">
        <f>VLOOKUP($A114,Transpose!$A$1:$S$859,Cleaned!J$1)</f>
        <v>1603</v>
      </c>
      <c r="K114">
        <f>VLOOKUP($A114,Transpose!$A$1:$S$859,Cleaned!K$1)</f>
        <v>35</v>
      </c>
      <c r="L114">
        <f>VLOOKUP($A114,Transpose!$A$1:$S$859,Cleaned!L$1)</f>
        <v>68277</v>
      </c>
      <c r="M114">
        <f>VLOOKUP($A114,Transpose!$A$1:$S$859,Cleaned!M$1)</f>
        <v>3736</v>
      </c>
      <c r="N114">
        <f>VLOOKUP($A114,Transpose!$A$1:$S$859,Cleaned!N$1)</f>
        <v>1438</v>
      </c>
      <c r="O114">
        <f>VLOOKUP($A114,Transpose!$A$1:$S$859,Cleaned!O$1)</f>
        <v>62792</v>
      </c>
      <c r="P114">
        <f>VLOOKUP($A114,Transpose!$A$1:$S$859,Cleaned!P$1)</f>
        <v>311</v>
      </c>
      <c r="Q114">
        <f>VLOOKUP($A114,Transpose!$A$1:$S$859,Cleaned!Q$1)</f>
        <v>44</v>
      </c>
      <c r="R114">
        <f>VLOOKUP($A114,Transpose!$A$1:$S$859,Cleaned!R$1)</f>
        <v>2</v>
      </c>
      <c r="S114">
        <f>VLOOKUP($A114,Transpose!$A$1:$S$859,Cleaned!S$1)</f>
        <v>175</v>
      </c>
    </row>
    <row r="115" spans="1:19" x14ac:dyDescent="0.25">
      <c r="A115" s="2">
        <f t="shared" si="2"/>
        <v>36281</v>
      </c>
      <c r="B115">
        <f>VLOOKUP($A115,Transpose!$A$1:$S$859,Cleaned!B$1)</f>
        <v>133311</v>
      </c>
      <c r="C115">
        <f>VLOOKUP($A115,Transpose!$A$1:$S$859,Cleaned!C$1)</f>
        <v>127556</v>
      </c>
      <c r="D115">
        <f>VLOOKUP($A115,Transpose!$A$1:$S$859,Cleaned!D$1)</f>
        <v>1867</v>
      </c>
      <c r="E115">
        <f>VLOOKUP($A115,Transpose!$A$1:$S$859,Cleaned!E$1)</f>
        <v>3779</v>
      </c>
      <c r="F115">
        <f>VLOOKUP($A115,Transpose!$A$1:$S$859,Cleaned!F$1)</f>
        <v>108</v>
      </c>
      <c r="G115">
        <f>VLOOKUP($A115,Transpose!$A$1:$S$859,Cleaned!G$1)</f>
        <v>5796</v>
      </c>
      <c r="H115">
        <f>VLOOKUP($A115,Transpose!$A$1:$S$859,Cleaned!H$1)</f>
        <v>1685</v>
      </c>
      <c r="I115">
        <f>VLOOKUP($A115,Transpose!$A$1:$S$859,Cleaned!I$1)</f>
        <v>2607</v>
      </c>
      <c r="J115">
        <f>VLOOKUP($A115,Transpose!$A$1:$S$859,Cleaned!J$1)</f>
        <v>1489</v>
      </c>
      <c r="K115">
        <f>VLOOKUP($A115,Transpose!$A$1:$S$859,Cleaned!K$1)</f>
        <v>15</v>
      </c>
      <c r="L115">
        <f>VLOOKUP($A115,Transpose!$A$1:$S$859,Cleaned!L$1)</f>
        <v>68320</v>
      </c>
      <c r="M115">
        <f>VLOOKUP($A115,Transpose!$A$1:$S$859,Cleaned!M$1)</f>
        <v>3693</v>
      </c>
      <c r="N115">
        <f>VLOOKUP($A115,Transpose!$A$1:$S$859,Cleaned!N$1)</f>
        <v>1528</v>
      </c>
      <c r="O115">
        <f>VLOOKUP($A115,Transpose!$A$1:$S$859,Cleaned!O$1)</f>
        <v>62847</v>
      </c>
      <c r="P115">
        <f>VLOOKUP($A115,Transpose!$A$1:$S$859,Cleaned!P$1)</f>
        <v>251</v>
      </c>
      <c r="Q115">
        <f>VLOOKUP($A115,Transpose!$A$1:$S$859,Cleaned!Q$1)</f>
        <v>20</v>
      </c>
      <c r="R115">
        <f>VLOOKUP($A115,Transpose!$A$1:$S$859,Cleaned!R$1)</f>
        <v>1</v>
      </c>
      <c r="S115">
        <f>VLOOKUP($A115,Transpose!$A$1:$S$859,Cleaned!S$1)</f>
        <v>161</v>
      </c>
    </row>
    <row r="116" spans="1:19" x14ac:dyDescent="0.25">
      <c r="A116" s="2">
        <f t="shared" si="2"/>
        <v>36312</v>
      </c>
      <c r="B116">
        <f>VLOOKUP($A116,Transpose!$A$1:$S$859,Cleaned!B$1)</f>
        <v>133378</v>
      </c>
      <c r="C116">
        <f>VLOOKUP($A116,Transpose!$A$1:$S$859,Cleaned!C$1)</f>
        <v>127897</v>
      </c>
      <c r="D116">
        <f>VLOOKUP($A116,Transpose!$A$1:$S$859,Cleaned!D$1)</f>
        <v>1827</v>
      </c>
      <c r="E116">
        <f>VLOOKUP($A116,Transpose!$A$1:$S$859,Cleaned!E$1)</f>
        <v>3556</v>
      </c>
      <c r="F116">
        <f>VLOOKUP($A116,Transpose!$A$1:$S$859,Cleaned!F$1)</f>
        <v>98</v>
      </c>
      <c r="G116">
        <f>VLOOKUP($A116,Transpose!$A$1:$S$859,Cleaned!G$1)</f>
        <v>5951</v>
      </c>
      <c r="H116">
        <f>VLOOKUP($A116,Transpose!$A$1:$S$859,Cleaned!H$1)</f>
        <v>1662</v>
      </c>
      <c r="I116">
        <f>VLOOKUP($A116,Transpose!$A$1:$S$859,Cleaned!I$1)</f>
        <v>2653</v>
      </c>
      <c r="J116">
        <f>VLOOKUP($A116,Transpose!$A$1:$S$859,Cleaned!J$1)</f>
        <v>1606</v>
      </c>
      <c r="K116">
        <f>VLOOKUP($A116,Transpose!$A$1:$S$859,Cleaned!K$1)</f>
        <v>30</v>
      </c>
      <c r="L116">
        <f>VLOOKUP($A116,Transpose!$A$1:$S$859,Cleaned!L$1)</f>
        <v>68304</v>
      </c>
      <c r="M116">
        <f>VLOOKUP($A116,Transpose!$A$1:$S$859,Cleaned!M$1)</f>
        <v>3730</v>
      </c>
      <c r="N116">
        <f>VLOOKUP($A116,Transpose!$A$1:$S$859,Cleaned!N$1)</f>
        <v>1316</v>
      </c>
      <c r="O116">
        <f>VLOOKUP($A116,Transpose!$A$1:$S$859,Cleaned!O$1)</f>
        <v>62994</v>
      </c>
      <c r="P116">
        <f>VLOOKUP($A116,Transpose!$A$1:$S$859,Cleaned!P$1)</f>
        <v>263</v>
      </c>
      <c r="Q116">
        <f>VLOOKUP($A116,Transpose!$A$1:$S$859,Cleaned!Q$1)</f>
        <v>22</v>
      </c>
      <c r="R116">
        <f>VLOOKUP($A116,Transpose!$A$1:$S$859,Cleaned!R$1)</f>
        <v>1</v>
      </c>
      <c r="S116">
        <f>VLOOKUP($A116,Transpose!$A$1:$S$859,Cleaned!S$1)</f>
        <v>163</v>
      </c>
    </row>
    <row r="117" spans="1:19" x14ac:dyDescent="0.25">
      <c r="A117" s="2">
        <f t="shared" si="2"/>
        <v>36342</v>
      </c>
      <c r="B117">
        <f>VLOOKUP($A117,Transpose!$A$1:$S$859,Cleaned!B$1)</f>
        <v>133414</v>
      </c>
      <c r="C117">
        <f>VLOOKUP($A117,Transpose!$A$1:$S$859,Cleaned!C$1)</f>
        <v>127876</v>
      </c>
      <c r="D117">
        <f>VLOOKUP($A117,Transpose!$A$1:$S$859,Cleaned!D$1)</f>
        <v>1848</v>
      </c>
      <c r="E117">
        <f>VLOOKUP($A117,Transpose!$A$1:$S$859,Cleaned!E$1)</f>
        <v>3610</v>
      </c>
      <c r="F117">
        <f>VLOOKUP($A117,Transpose!$A$1:$S$859,Cleaned!F$1)</f>
        <v>80</v>
      </c>
      <c r="G117">
        <f>VLOOKUP($A117,Transpose!$A$1:$S$859,Cleaned!G$1)</f>
        <v>6025</v>
      </c>
      <c r="H117">
        <f>VLOOKUP($A117,Transpose!$A$1:$S$859,Cleaned!H$1)</f>
        <v>1611</v>
      </c>
      <c r="I117">
        <f>VLOOKUP($A117,Transpose!$A$1:$S$859,Cleaned!I$1)</f>
        <v>2741</v>
      </c>
      <c r="J117">
        <f>VLOOKUP($A117,Transpose!$A$1:$S$859,Cleaned!J$1)</f>
        <v>1647</v>
      </c>
      <c r="K117">
        <f>VLOOKUP($A117,Transpose!$A$1:$S$859,Cleaned!K$1)</f>
        <v>26</v>
      </c>
      <c r="L117">
        <f>VLOOKUP($A117,Transpose!$A$1:$S$859,Cleaned!L$1)</f>
        <v>68390</v>
      </c>
      <c r="M117">
        <f>VLOOKUP($A117,Transpose!$A$1:$S$859,Cleaned!M$1)</f>
        <v>3851</v>
      </c>
      <c r="N117">
        <f>VLOOKUP($A117,Transpose!$A$1:$S$859,Cleaned!N$1)</f>
        <v>1360</v>
      </c>
      <c r="O117">
        <f>VLOOKUP($A117,Transpose!$A$1:$S$859,Cleaned!O$1)</f>
        <v>62877</v>
      </c>
      <c r="P117">
        <f>VLOOKUP($A117,Transpose!$A$1:$S$859,Cleaned!P$1)</f>
        <v>301</v>
      </c>
      <c r="Q117">
        <f>VLOOKUP($A117,Transpose!$A$1:$S$859,Cleaned!Q$1)</f>
        <v>40</v>
      </c>
      <c r="R117">
        <f>VLOOKUP($A117,Transpose!$A$1:$S$859,Cleaned!R$1)</f>
        <v>2</v>
      </c>
      <c r="S117">
        <f>VLOOKUP($A117,Transpose!$A$1:$S$859,Cleaned!S$1)</f>
        <v>169</v>
      </c>
    </row>
    <row r="118" spans="1:19" x14ac:dyDescent="0.25">
      <c r="A118" s="2">
        <f t="shared" si="2"/>
        <v>36373</v>
      </c>
      <c r="B118">
        <f>VLOOKUP($A118,Transpose!$A$1:$S$859,Cleaned!B$1)</f>
        <v>133591</v>
      </c>
      <c r="C118">
        <f>VLOOKUP($A118,Transpose!$A$1:$S$859,Cleaned!C$1)</f>
        <v>127976</v>
      </c>
      <c r="D118">
        <f>VLOOKUP($A118,Transpose!$A$1:$S$859,Cleaned!D$1)</f>
        <v>1944</v>
      </c>
      <c r="E118">
        <f>VLOOKUP($A118,Transpose!$A$1:$S$859,Cleaned!E$1)</f>
        <v>3572</v>
      </c>
      <c r="F118">
        <f>VLOOKUP($A118,Transpose!$A$1:$S$859,Cleaned!F$1)</f>
        <v>99</v>
      </c>
      <c r="G118">
        <f>VLOOKUP($A118,Transpose!$A$1:$S$859,Cleaned!G$1)</f>
        <v>5838</v>
      </c>
      <c r="H118">
        <f>VLOOKUP($A118,Transpose!$A$1:$S$859,Cleaned!H$1)</f>
        <v>1603</v>
      </c>
      <c r="I118">
        <f>VLOOKUP($A118,Transpose!$A$1:$S$859,Cleaned!I$1)</f>
        <v>2666</v>
      </c>
      <c r="J118">
        <f>VLOOKUP($A118,Transpose!$A$1:$S$859,Cleaned!J$1)</f>
        <v>1552</v>
      </c>
      <c r="K118">
        <f>VLOOKUP($A118,Transpose!$A$1:$S$859,Cleaned!K$1)</f>
        <v>18</v>
      </c>
      <c r="L118">
        <f>VLOOKUP($A118,Transpose!$A$1:$S$859,Cleaned!L$1)</f>
        <v>68609</v>
      </c>
      <c r="M118">
        <f>VLOOKUP($A118,Transpose!$A$1:$S$859,Cleaned!M$1)</f>
        <v>3811</v>
      </c>
      <c r="N118">
        <f>VLOOKUP($A118,Transpose!$A$1:$S$859,Cleaned!N$1)</f>
        <v>1413</v>
      </c>
      <c r="O118">
        <f>VLOOKUP($A118,Transpose!$A$1:$S$859,Cleaned!O$1)</f>
        <v>63103</v>
      </c>
      <c r="P118">
        <f>VLOOKUP($A118,Transpose!$A$1:$S$859,Cleaned!P$1)</f>
        <v>282</v>
      </c>
      <c r="Q118">
        <f>VLOOKUP($A118,Transpose!$A$1:$S$859,Cleaned!Q$1)</f>
        <v>24</v>
      </c>
      <c r="R118">
        <f>VLOOKUP($A118,Transpose!$A$1:$S$859,Cleaned!R$1)</f>
        <v>2</v>
      </c>
      <c r="S118">
        <f>VLOOKUP($A118,Transpose!$A$1:$S$859,Cleaned!S$1)</f>
        <v>163</v>
      </c>
    </row>
    <row r="119" spans="1:19" x14ac:dyDescent="0.25">
      <c r="A119" s="2">
        <f t="shared" si="2"/>
        <v>36404</v>
      </c>
      <c r="B119">
        <f>VLOOKUP($A119,Transpose!$A$1:$S$859,Cleaned!B$1)</f>
        <v>133707</v>
      </c>
      <c r="C119">
        <f>VLOOKUP($A119,Transpose!$A$1:$S$859,Cleaned!C$1)</f>
        <v>128243</v>
      </c>
      <c r="D119">
        <f>VLOOKUP($A119,Transpose!$A$1:$S$859,Cleaned!D$1)</f>
        <v>1871</v>
      </c>
      <c r="E119">
        <f>VLOOKUP($A119,Transpose!$A$1:$S$859,Cleaned!E$1)</f>
        <v>3497</v>
      </c>
      <c r="F119">
        <f>VLOOKUP($A119,Transpose!$A$1:$S$859,Cleaned!F$1)</f>
        <v>96</v>
      </c>
      <c r="G119">
        <f>VLOOKUP($A119,Transpose!$A$1:$S$859,Cleaned!G$1)</f>
        <v>5915</v>
      </c>
      <c r="H119">
        <f>VLOOKUP($A119,Transpose!$A$1:$S$859,Cleaned!H$1)</f>
        <v>1527</v>
      </c>
      <c r="I119">
        <f>VLOOKUP($A119,Transpose!$A$1:$S$859,Cleaned!I$1)</f>
        <v>2673</v>
      </c>
      <c r="J119">
        <f>VLOOKUP($A119,Transpose!$A$1:$S$859,Cleaned!J$1)</f>
        <v>1696</v>
      </c>
      <c r="K119">
        <f>VLOOKUP($A119,Transpose!$A$1:$S$859,Cleaned!K$1)</f>
        <v>20</v>
      </c>
      <c r="L119">
        <f>VLOOKUP($A119,Transpose!$A$1:$S$859,Cleaned!L$1)</f>
        <v>68642</v>
      </c>
      <c r="M119">
        <f>VLOOKUP($A119,Transpose!$A$1:$S$859,Cleaned!M$1)</f>
        <v>3779</v>
      </c>
      <c r="N119">
        <f>VLOOKUP($A119,Transpose!$A$1:$S$859,Cleaned!N$1)</f>
        <v>1292</v>
      </c>
      <c r="O119">
        <f>VLOOKUP($A119,Transpose!$A$1:$S$859,Cleaned!O$1)</f>
        <v>63246</v>
      </c>
      <c r="P119">
        <f>VLOOKUP($A119,Transpose!$A$1:$S$859,Cleaned!P$1)</f>
        <v>325</v>
      </c>
      <c r="Q119">
        <f>VLOOKUP($A119,Transpose!$A$1:$S$859,Cleaned!Q$1)</f>
        <v>42</v>
      </c>
      <c r="R119">
        <f>VLOOKUP($A119,Transpose!$A$1:$S$859,Cleaned!R$1)</f>
        <v>2</v>
      </c>
      <c r="S119">
        <f>VLOOKUP($A119,Transpose!$A$1:$S$859,Cleaned!S$1)</f>
        <v>170</v>
      </c>
    </row>
    <row r="120" spans="1:19" x14ac:dyDescent="0.25">
      <c r="A120" s="2">
        <f t="shared" si="2"/>
        <v>36434</v>
      </c>
      <c r="B120">
        <f>VLOOKUP($A120,Transpose!$A$1:$S$859,Cleaned!B$1)</f>
        <v>133993</v>
      </c>
      <c r="C120">
        <f>VLOOKUP($A120,Transpose!$A$1:$S$859,Cleaned!C$1)</f>
        <v>128418</v>
      </c>
      <c r="D120">
        <f>VLOOKUP($A120,Transpose!$A$1:$S$859,Cleaned!D$1)</f>
        <v>1827</v>
      </c>
      <c r="E120">
        <f>VLOOKUP($A120,Transpose!$A$1:$S$859,Cleaned!E$1)</f>
        <v>3644</v>
      </c>
      <c r="F120">
        <f>VLOOKUP($A120,Transpose!$A$1:$S$859,Cleaned!F$1)</f>
        <v>103</v>
      </c>
      <c r="G120">
        <f>VLOOKUP($A120,Transpose!$A$1:$S$859,Cleaned!G$1)</f>
        <v>5778</v>
      </c>
      <c r="H120">
        <f>VLOOKUP($A120,Transpose!$A$1:$S$859,Cleaned!H$1)</f>
        <v>1613</v>
      </c>
      <c r="I120">
        <f>VLOOKUP($A120,Transpose!$A$1:$S$859,Cleaned!I$1)</f>
        <v>2630</v>
      </c>
      <c r="J120">
        <f>VLOOKUP($A120,Transpose!$A$1:$S$859,Cleaned!J$1)</f>
        <v>1525</v>
      </c>
      <c r="K120">
        <f>VLOOKUP($A120,Transpose!$A$1:$S$859,Cleaned!K$1)</f>
        <v>11</v>
      </c>
      <c r="L120">
        <f>VLOOKUP($A120,Transpose!$A$1:$S$859,Cleaned!L$1)</f>
        <v>68712</v>
      </c>
      <c r="M120">
        <f>VLOOKUP($A120,Transpose!$A$1:$S$859,Cleaned!M$1)</f>
        <v>3656</v>
      </c>
      <c r="N120">
        <f>VLOOKUP($A120,Transpose!$A$1:$S$859,Cleaned!N$1)</f>
        <v>1457</v>
      </c>
      <c r="O120">
        <f>VLOOKUP($A120,Transpose!$A$1:$S$859,Cleaned!O$1)</f>
        <v>63311</v>
      </c>
      <c r="P120">
        <f>VLOOKUP($A120,Transpose!$A$1:$S$859,Cleaned!P$1)</f>
        <v>288</v>
      </c>
      <c r="Q120">
        <f>VLOOKUP($A120,Transpose!$A$1:$S$859,Cleaned!Q$1)</f>
        <v>20</v>
      </c>
      <c r="R120">
        <f>VLOOKUP($A120,Transpose!$A$1:$S$859,Cleaned!R$1)</f>
        <v>1</v>
      </c>
      <c r="S120">
        <f>VLOOKUP($A120,Transpose!$A$1:$S$859,Cleaned!S$1)</f>
        <v>162</v>
      </c>
    </row>
    <row r="121" spans="1:19" x14ac:dyDescent="0.25">
      <c r="A121" s="2">
        <f t="shared" si="2"/>
        <v>36465</v>
      </c>
      <c r="B121">
        <f>VLOOKUP($A121,Transpose!$A$1:$S$859,Cleaned!B$1)</f>
        <v>134309</v>
      </c>
      <c r="C121">
        <f>VLOOKUP($A121,Transpose!$A$1:$S$859,Cleaned!C$1)</f>
        <v>128693</v>
      </c>
      <c r="D121">
        <f>VLOOKUP($A121,Transpose!$A$1:$S$859,Cleaned!D$1)</f>
        <v>1993</v>
      </c>
      <c r="E121">
        <f>VLOOKUP($A121,Transpose!$A$1:$S$859,Cleaned!E$1)</f>
        <v>3547</v>
      </c>
      <c r="F121">
        <f>VLOOKUP($A121,Transpose!$A$1:$S$859,Cleaned!F$1)</f>
        <v>76</v>
      </c>
      <c r="G121">
        <f>VLOOKUP($A121,Transpose!$A$1:$S$859,Cleaned!G$1)</f>
        <v>5716</v>
      </c>
      <c r="H121">
        <f>VLOOKUP($A121,Transpose!$A$1:$S$859,Cleaned!H$1)</f>
        <v>1613</v>
      </c>
      <c r="I121">
        <f>VLOOKUP($A121,Transpose!$A$1:$S$859,Cleaned!I$1)</f>
        <v>2380</v>
      </c>
      <c r="J121">
        <f>VLOOKUP($A121,Transpose!$A$1:$S$859,Cleaned!J$1)</f>
        <v>1688</v>
      </c>
      <c r="K121">
        <f>VLOOKUP($A121,Transpose!$A$1:$S$859,Cleaned!K$1)</f>
        <v>35</v>
      </c>
      <c r="L121">
        <f>VLOOKUP($A121,Transpose!$A$1:$S$859,Cleaned!L$1)</f>
        <v>68641</v>
      </c>
      <c r="M121">
        <f>VLOOKUP($A121,Transpose!$A$1:$S$859,Cleaned!M$1)</f>
        <v>3666</v>
      </c>
      <c r="N121">
        <f>VLOOKUP($A121,Transpose!$A$1:$S$859,Cleaned!N$1)</f>
        <v>1404</v>
      </c>
      <c r="O121">
        <f>VLOOKUP($A121,Transpose!$A$1:$S$859,Cleaned!O$1)</f>
        <v>63315</v>
      </c>
      <c r="P121">
        <f>VLOOKUP($A121,Transpose!$A$1:$S$859,Cleaned!P$1)</f>
        <v>256</v>
      </c>
      <c r="Q121">
        <f>VLOOKUP($A121,Transpose!$A$1:$S$859,Cleaned!Q$1)</f>
        <v>20</v>
      </c>
      <c r="R121">
        <f>VLOOKUP($A121,Transpose!$A$1:$S$859,Cleaned!R$1)</f>
        <v>1</v>
      </c>
      <c r="S121">
        <f>VLOOKUP($A121,Transpose!$A$1:$S$859,Cleaned!S$1)</f>
        <v>162</v>
      </c>
    </row>
    <row r="122" spans="1:19" x14ac:dyDescent="0.25">
      <c r="A122" s="2">
        <f t="shared" si="2"/>
        <v>36495</v>
      </c>
      <c r="B122">
        <f>VLOOKUP($A122,Transpose!$A$1:$S$859,Cleaned!B$1)</f>
        <v>134523</v>
      </c>
      <c r="C122">
        <f>VLOOKUP($A122,Transpose!$A$1:$S$859,Cleaned!C$1)</f>
        <v>128956</v>
      </c>
      <c r="D122">
        <f>VLOOKUP($A122,Transpose!$A$1:$S$859,Cleaned!D$1)</f>
        <v>1944</v>
      </c>
      <c r="E122">
        <f>VLOOKUP($A122,Transpose!$A$1:$S$859,Cleaned!E$1)</f>
        <v>3561</v>
      </c>
      <c r="F122">
        <f>VLOOKUP($A122,Transpose!$A$1:$S$859,Cleaned!F$1)</f>
        <v>63</v>
      </c>
      <c r="G122">
        <f>VLOOKUP($A122,Transpose!$A$1:$S$859,Cleaned!G$1)</f>
        <v>5653</v>
      </c>
      <c r="H122">
        <f>VLOOKUP($A122,Transpose!$A$1:$S$859,Cleaned!H$1)</f>
        <v>1620</v>
      </c>
      <c r="I122">
        <f>VLOOKUP($A122,Transpose!$A$1:$S$859,Cleaned!I$1)</f>
        <v>2370</v>
      </c>
      <c r="J122">
        <f>VLOOKUP($A122,Transpose!$A$1:$S$859,Cleaned!J$1)</f>
        <v>1643</v>
      </c>
      <c r="K122">
        <f>VLOOKUP($A122,Transpose!$A$1:$S$859,Cleaned!K$1)</f>
        <v>20</v>
      </c>
      <c r="L122">
        <f>VLOOKUP($A122,Transpose!$A$1:$S$859,Cleaned!L$1)</f>
        <v>68655</v>
      </c>
      <c r="M122">
        <f>VLOOKUP($A122,Transpose!$A$1:$S$859,Cleaned!M$1)</f>
        <v>3707</v>
      </c>
      <c r="N122">
        <f>VLOOKUP($A122,Transpose!$A$1:$S$859,Cleaned!N$1)</f>
        <v>1401</v>
      </c>
      <c r="O122">
        <f>VLOOKUP($A122,Transpose!$A$1:$S$859,Cleaned!O$1)</f>
        <v>63270</v>
      </c>
      <c r="P122">
        <f>VLOOKUP($A122,Transpose!$A$1:$S$859,Cleaned!P$1)</f>
        <v>277</v>
      </c>
      <c r="Q122">
        <f>VLOOKUP($A122,Transpose!$A$1:$S$859,Cleaned!Q$1)</f>
        <v>27</v>
      </c>
      <c r="R122">
        <f>VLOOKUP($A122,Transpose!$A$1:$S$859,Cleaned!R$1)</f>
        <v>2</v>
      </c>
      <c r="S122">
        <f>VLOOKUP($A122,Transpose!$A$1:$S$859,Cleaned!S$1)</f>
        <v>167</v>
      </c>
    </row>
    <row r="123" spans="1:19" x14ac:dyDescent="0.25">
      <c r="A123" s="2">
        <f t="shared" si="2"/>
        <v>36526</v>
      </c>
      <c r="B123">
        <f>VLOOKUP($A123,Transpose!$A$1:$S$859,Cleaned!B$1)</f>
        <v>136559</v>
      </c>
      <c r="C123">
        <f>VLOOKUP($A123,Transpose!$A$1:$S$859,Cleaned!C$1)</f>
        <v>129298</v>
      </c>
      <c r="D123">
        <f>VLOOKUP($A123,Transpose!$A$1:$S$859,Cleaned!D$1)</f>
        <v>2005</v>
      </c>
      <c r="E123">
        <f>VLOOKUP($A123,Transpose!$A$1:$S$859,Cleaned!E$1)</f>
        <v>3629</v>
      </c>
      <c r="F123">
        <f>VLOOKUP($A123,Transpose!$A$1:$S$859,Cleaned!F$1)</f>
        <v>1627</v>
      </c>
      <c r="G123">
        <f>VLOOKUP($A123,Transpose!$A$1:$S$859,Cleaned!G$1)</f>
        <v>5708</v>
      </c>
      <c r="H123">
        <f>VLOOKUP($A123,Transpose!$A$1:$S$859,Cleaned!H$1)</f>
        <v>1614</v>
      </c>
      <c r="I123">
        <f>VLOOKUP($A123,Transpose!$A$1:$S$859,Cleaned!I$1)</f>
        <v>2391</v>
      </c>
      <c r="J123">
        <f>VLOOKUP($A123,Transpose!$A$1:$S$859,Cleaned!J$1)</f>
        <v>1628</v>
      </c>
      <c r="K123">
        <f>VLOOKUP($A123,Transpose!$A$1:$S$859,Cleaned!K$1)</f>
        <v>75</v>
      </c>
      <c r="L123">
        <f>VLOOKUP($A123,Transpose!$A$1:$S$859,Cleaned!L$1)</f>
        <v>69142</v>
      </c>
      <c r="M123">
        <f>VLOOKUP($A123,Transpose!$A$1:$S$859,Cleaned!M$1)</f>
        <v>3591</v>
      </c>
      <c r="N123">
        <f>VLOOKUP($A123,Transpose!$A$1:$S$859,Cleaned!N$1)</f>
        <v>1256</v>
      </c>
      <c r="O123">
        <f>VLOOKUP($A123,Transpose!$A$1:$S$859,Cleaned!O$1)</f>
        <v>63235</v>
      </c>
      <c r="P123">
        <f>VLOOKUP($A123,Transpose!$A$1:$S$859,Cleaned!P$1)</f>
        <v>1060</v>
      </c>
      <c r="Q123">
        <f>VLOOKUP($A123,Transpose!$A$1:$S$859,Cleaned!Q$1)</f>
        <v>20</v>
      </c>
      <c r="R123">
        <f>VLOOKUP($A123,Transpose!$A$1:$S$859,Cleaned!R$1)</f>
        <v>1</v>
      </c>
      <c r="S123">
        <f>VLOOKUP($A123,Transpose!$A$1:$S$859,Cleaned!S$1)</f>
        <v>163</v>
      </c>
    </row>
    <row r="124" spans="1:19" x14ac:dyDescent="0.25">
      <c r="A124" s="2">
        <f t="shared" si="2"/>
        <v>36557</v>
      </c>
      <c r="B124">
        <f>VLOOKUP($A124,Transpose!$A$1:$S$859,Cleaned!B$1)</f>
        <v>136598</v>
      </c>
      <c r="C124">
        <f>VLOOKUP($A124,Transpose!$A$1:$S$859,Cleaned!C$1)</f>
        <v>131110</v>
      </c>
      <c r="D124">
        <f>VLOOKUP($A124,Transpose!$A$1:$S$859,Cleaned!D$1)</f>
        <v>1784</v>
      </c>
      <c r="E124">
        <f>VLOOKUP($A124,Transpose!$A$1:$S$859,Cleaned!E$1)</f>
        <v>3640</v>
      </c>
      <c r="F124">
        <f>VLOOKUP($A124,Transpose!$A$1:$S$859,Cleaned!F$1)</f>
        <v>65</v>
      </c>
      <c r="G124">
        <f>VLOOKUP($A124,Transpose!$A$1:$S$859,Cleaned!G$1)</f>
        <v>5858</v>
      </c>
      <c r="H124">
        <f>VLOOKUP($A124,Transpose!$A$1:$S$859,Cleaned!H$1)</f>
        <v>1678</v>
      </c>
      <c r="I124">
        <f>VLOOKUP($A124,Transpose!$A$1:$S$859,Cleaned!I$1)</f>
        <v>2527</v>
      </c>
      <c r="J124">
        <f>VLOOKUP($A124,Transpose!$A$1:$S$859,Cleaned!J$1)</f>
        <v>1628</v>
      </c>
      <c r="K124">
        <f>VLOOKUP($A124,Transpose!$A$1:$S$859,Cleaned!K$1)</f>
        <v>24</v>
      </c>
      <c r="L124">
        <f>VLOOKUP($A124,Transpose!$A$1:$S$859,Cleaned!L$1)</f>
        <v>69120</v>
      </c>
      <c r="M124">
        <f>VLOOKUP($A124,Transpose!$A$1:$S$859,Cleaned!M$1)</f>
        <v>3739</v>
      </c>
      <c r="N124">
        <f>VLOOKUP($A124,Transpose!$A$1:$S$859,Cleaned!N$1)</f>
        <v>1395</v>
      </c>
      <c r="O124">
        <f>VLOOKUP($A124,Transpose!$A$1:$S$859,Cleaned!O$1)</f>
        <v>63702</v>
      </c>
      <c r="P124">
        <f>VLOOKUP($A124,Transpose!$A$1:$S$859,Cleaned!P$1)</f>
        <v>285</v>
      </c>
      <c r="Q124">
        <f>VLOOKUP($A124,Transpose!$A$1:$S$859,Cleaned!Q$1)</f>
        <v>32</v>
      </c>
      <c r="R124">
        <f>VLOOKUP($A124,Transpose!$A$1:$S$859,Cleaned!R$1)</f>
        <v>2</v>
      </c>
      <c r="S124">
        <f>VLOOKUP($A124,Transpose!$A$1:$S$859,Cleaned!S$1)</f>
        <v>173</v>
      </c>
    </row>
    <row r="125" spans="1:19" x14ac:dyDescent="0.25">
      <c r="A125" s="2">
        <f t="shared" si="2"/>
        <v>36586</v>
      </c>
      <c r="B125">
        <f>VLOOKUP($A125,Transpose!$A$1:$S$859,Cleaned!B$1)</f>
        <v>136701</v>
      </c>
      <c r="C125">
        <f>VLOOKUP($A125,Transpose!$A$1:$S$859,Cleaned!C$1)</f>
        <v>131134</v>
      </c>
      <c r="D125">
        <f>VLOOKUP($A125,Transpose!$A$1:$S$859,Cleaned!D$1)</f>
        <v>1893</v>
      </c>
      <c r="E125">
        <f>VLOOKUP($A125,Transpose!$A$1:$S$859,Cleaned!E$1)</f>
        <v>3585</v>
      </c>
      <c r="F125">
        <f>VLOOKUP($A125,Transpose!$A$1:$S$859,Cleaned!F$1)</f>
        <v>89</v>
      </c>
      <c r="G125">
        <f>VLOOKUP($A125,Transpose!$A$1:$S$859,Cleaned!G$1)</f>
        <v>5733</v>
      </c>
      <c r="H125">
        <f>VLOOKUP($A125,Transpose!$A$1:$S$859,Cleaned!H$1)</f>
        <v>1646</v>
      </c>
      <c r="I125">
        <f>VLOOKUP($A125,Transpose!$A$1:$S$859,Cleaned!I$1)</f>
        <v>2513</v>
      </c>
      <c r="J125">
        <f>VLOOKUP($A125,Transpose!$A$1:$S$859,Cleaned!J$1)</f>
        <v>1541</v>
      </c>
      <c r="K125">
        <f>VLOOKUP($A125,Transpose!$A$1:$S$859,Cleaned!K$1)</f>
        <v>32</v>
      </c>
      <c r="L125">
        <f>VLOOKUP($A125,Transpose!$A$1:$S$859,Cleaned!L$1)</f>
        <v>69338</v>
      </c>
      <c r="M125">
        <f>VLOOKUP($A125,Transpose!$A$1:$S$859,Cleaned!M$1)</f>
        <v>3798</v>
      </c>
      <c r="N125">
        <f>VLOOKUP($A125,Transpose!$A$1:$S$859,Cleaned!N$1)</f>
        <v>1451</v>
      </c>
      <c r="O125">
        <f>VLOOKUP($A125,Transpose!$A$1:$S$859,Cleaned!O$1)</f>
        <v>63829</v>
      </c>
      <c r="P125">
        <f>VLOOKUP($A125,Transpose!$A$1:$S$859,Cleaned!P$1)</f>
        <v>262</v>
      </c>
      <c r="Q125">
        <f>VLOOKUP($A125,Transpose!$A$1:$S$859,Cleaned!Q$1)</f>
        <v>21</v>
      </c>
      <c r="R125">
        <f>VLOOKUP($A125,Transpose!$A$1:$S$859,Cleaned!R$1)</f>
        <v>1</v>
      </c>
      <c r="S125">
        <f>VLOOKUP($A125,Transpose!$A$1:$S$859,Cleaned!S$1)</f>
        <v>165</v>
      </c>
    </row>
    <row r="126" spans="1:19" x14ac:dyDescent="0.25">
      <c r="A126" s="2">
        <f t="shared" si="2"/>
        <v>36617</v>
      </c>
      <c r="B126">
        <f>VLOOKUP($A126,Transpose!$A$1:$S$859,Cleaned!B$1)</f>
        <v>137270</v>
      </c>
      <c r="C126">
        <f>VLOOKUP($A126,Transpose!$A$1:$S$859,Cleaned!C$1)</f>
        <v>131601</v>
      </c>
      <c r="D126">
        <f>VLOOKUP($A126,Transpose!$A$1:$S$859,Cleaned!D$1)</f>
        <v>1940</v>
      </c>
      <c r="E126">
        <f>VLOOKUP($A126,Transpose!$A$1:$S$859,Cleaned!E$1)</f>
        <v>3611</v>
      </c>
      <c r="F126">
        <f>VLOOKUP($A126,Transpose!$A$1:$S$859,Cleaned!F$1)</f>
        <v>118</v>
      </c>
      <c r="G126">
        <f>VLOOKUP($A126,Transpose!$A$1:$S$859,Cleaned!G$1)</f>
        <v>5481</v>
      </c>
      <c r="H126">
        <f>VLOOKUP($A126,Transpose!$A$1:$S$859,Cleaned!H$1)</f>
        <v>1532</v>
      </c>
      <c r="I126">
        <f>VLOOKUP($A126,Transpose!$A$1:$S$859,Cleaned!I$1)</f>
        <v>2393</v>
      </c>
      <c r="J126">
        <f>VLOOKUP($A126,Transpose!$A$1:$S$859,Cleaned!J$1)</f>
        <v>1533</v>
      </c>
      <c r="K126">
        <f>VLOOKUP($A126,Transpose!$A$1:$S$859,Cleaned!K$1)</f>
        <v>23</v>
      </c>
      <c r="L126">
        <f>VLOOKUP($A126,Transpose!$A$1:$S$859,Cleaned!L$1)</f>
        <v>69267</v>
      </c>
      <c r="M126">
        <f>VLOOKUP($A126,Transpose!$A$1:$S$859,Cleaned!M$1)</f>
        <v>3547</v>
      </c>
      <c r="N126">
        <f>VLOOKUP($A126,Transpose!$A$1:$S$859,Cleaned!N$1)</f>
        <v>1398</v>
      </c>
      <c r="O126">
        <f>VLOOKUP($A126,Transpose!$A$1:$S$859,Cleaned!O$1)</f>
        <v>64029</v>
      </c>
      <c r="P126">
        <f>VLOOKUP($A126,Transpose!$A$1:$S$859,Cleaned!P$1)</f>
        <v>293</v>
      </c>
      <c r="Q126">
        <f>VLOOKUP($A126,Transpose!$A$1:$S$859,Cleaned!Q$1)</f>
        <v>21</v>
      </c>
      <c r="R126">
        <f>VLOOKUP($A126,Transpose!$A$1:$S$859,Cleaned!R$1)</f>
        <v>1</v>
      </c>
      <c r="S126">
        <f>VLOOKUP($A126,Transpose!$A$1:$S$859,Cleaned!S$1)</f>
        <v>165</v>
      </c>
    </row>
    <row r="127" spans="1:19" x14ac:dyDescent="0.25">
      <c r="A127" s="2">
        <f t="shared" si="2"/>
        <v>36647</v>
      </c>
      <c r="B127">
        <f>VLOOKUP($A127,Transpose!$A$1:$S$859,Cleaned!B$1)</f>
        <v>136630</v>
      </c>
      <c r="C127">
        <f>VLOOKUP($A127,Transpose!$A$1:$S$859,Cleaned!C$1)</f>
        <v>131570</v>
      </c>
      <c r="D127">
        <f>VLOOKUP($A127,Transpose!$A$1:$S$859,Cleaned!D$1)</f>
        <v>1660</v>
      </c>
      <c r="E127">
        <f>VLOOKUP($A127,Transpose!$A$1:$S$859,Cleaned!E$1)</f>
        <v>3265</v>
      </c>
      <c r="F127">
        <f>VLOOKUP($A127,Transpose!$A$1:$S$859,Cleaned!F$1)</f>
        <v>135</v>
      </c>
      <c r="G127">
        <f>VLOOKUP($A127,Transpose!$A$1:$S$859,Cleaned!G$1)</f>
        <v>5758</v>
      </c>
      <c r="H127">
        <f>VLOOKUP($A127,Transpose!$A$1:$S$859,Cleaned!H$1)</f>
        <v>1688</v>
      </c>
      <c r="I127">
        <f>VLOOKUP($A127,Transpose!$A$1:$S$859,Cleaned!I$1)</f>
        <v>2440</v>
      </c>
      <c r="J127">
        <f>VLOOKUP($A127,Transpose!$A$1:$S$859,Cleaned!J$1)</f>
        <v>1619</v>
      </c>
      <c r="K127">
        <f>VLOOKUP($A127,Transpose!$A$1:$S$859,Cleaned!K$1)</f>
        <v>11</v>
      </c>
      <c r="L127">
        <f>VLOOKUP($A127,Transpose!$A$1:$S$859,Cleaned!L$1)</f>
        <v>69853</v>
      </c>
      <c r="M127">
        <f>VLOOKUP($A127,Transpose!$A$1:$S$859,Cleaned!M$1)</f>
        <v>3992</v>
      </c>
      <c r="N127">
        <f>VLOOKUP($A127,Transpose!$A$1:$S$859,Cleaned!N$1)</f>
        <v>1379</v>
      </c>
      <c r="O127">
        <f>VLOOKUP($A127,Transpose!$A$1:$S$859,Cleaned!O$1)</f>
        <v>64218</v>
      </c>
      <c r="P127">
        <f>VLOOKUP($A127,Transpose!$A$1:$S$859,Cleaned!P$1)</f>
        <v>265</v>
      </c>
      <c r="Q127">
        <f>VLOOKUP($A127,Transpose!$A$1:$S$859,Cleaned!Q$1)</f>
        <v>21</v>
      </c>
      <c r="R127">
        <f>VLOOKUP($A127,Transpose!$A$1:$S$859,Cleaned!R$1)</f>
        <v>1</v>
      </c>
      <c r="S127">
        <f>VLOOKUP($A127,Transpose!$A$1:$S$859,Cleaned!S$1)</f>
        <v>165</v>
      </c>
    </row>
    <row r="128" spans="1:19" x14ac:dyDescent="0.25">
      <c r="A128" s="2">
        <f t="shared" si="2"/>
        <v>36678</v>
      </c>
      <c r="B128">
        <f>VLOOKUP($A128,Transpose!$A$1:$S$859,Cleaned!B$1)</f>
        <v>136940</v>
      </c>
      <c r="C128">
        <f>VLOOKUP($A128,Transpose!$A$1:$S$859,Cleaned!C$1)</f>
        <v>131306</v>
      </c>
      <c r="D128">
        <f>VLOOKUP($A128,Transpose!$A$1:$S$859,Cleaned!D$1)</f>
        <v>1850</v>
      </c>
      <c r="E128">
        <f>VLOOKUP($A128,Transpose!$A$1:$S$859,Cleaned!E$1)</f>
        <v>3660</v>
      </c>
      <c r="F128">
        <f>VLOOKUP($A128,Transpose!$A$1:$S$859,Cleaned!F$1)</f>
        <v>124</v>
      </c>
      <c r="G128">
        <f>VLOOKUP($A128,Transpose!$A$1:$S$859,Cleaned!G$1)</f>
        <v>5651</v>
      </c>
      <c r="H128">
        <f>VLOOKUP($A128,Transpose!$A$1:$S$859,Cleaned!H$1)</f>
        <v>1597</v>
      </c>
      <c r="I128">
        <f>VLOOKUP($A128,Transpose!$A$1:$S$859,Cleaned!I$1)</f>
        <v>2415</v>
      </c>
      <c r="J128">
        <f>VLOOKUP($A128,Transpose!$A$1:$S$859,Cleaned!J$1)</f>
        <v>1610</v>
      </c>
      <c r="K128">
        <f>VLOOKUP($A128,Transpose!$A$1:$S$859,Cleaned!K$1)</f>
        <v>28</v>
      </c>
      <c r="L128">
        <f>VLOOKUP($A128,Transpose!$A$1:$S$859,Cleaned!L$1)</f>
        <v>69876</v>
      </c>
      <c r="M128">
        <f>VLOOKUP($A128,Transpose!$A$1:$S$859,Cleaned!M$1)</f>
        <v>3696</v>
      </c>
      <c r="N128">
        <f>VLOOKUP($A128,Transpose!$A$1:$S$859,Cleaned!N$1)</f>
        <v>1491</v>
      </c>
      <c r="O128">
        <f>VLOOKUP($A128,Transpose!$A$1:$S$859,Cleaned!O$1)</f>
        <v>64415</v>
      </c>
      <c r="P128">
        <f>VLOOKUP($A128,Transpose!$A$1:$S$859,Cleaned!P$1)</f>
        <v>274</v>
      </c>
      <c r="Q128">
        <f>VLOOKUP($A128,Transpose!$A$1:$S$859,Cleaned!Q$1)</f>
        <v>31</v>
      </c>
      <c r="R128">
        <f>VLOOKUP($A128,Transpose!$A$1:$S$859,Cleaned!R$1)</f>
        <v>2</v>
      </c>
      <c r="S128">
        <f>VLOOKUP($A128,Transpose!$A$1:$S$859,Cleaned!S$1)</f>
        <v>169</v>
      </c>
    </row>
    <row r="129" spans="1:19" x14ac:dyDescent="0.25">
      <c r="A129" s="2">
        <f t="shared" si="2"/>
        <v>36708</v>
      </c>
      <c r="B129">
        <f>VLOOKUP($A129,Transpose!$A$1:$S$859,Cleaned!B$1)</f>
        <v>136531</v>
      </c>
      <c r="C129">
        <f>VLOOKUP($A129,Transpose!$A$1:$S$859,Cleaned!C$1)</f>
        <v>131248</v>
      </c>
      <c r="D129">
        <f>VLOOKUP($A129,Transpose!$A$1:$S$859,Cleaned!D$1)</f>
        <v>1887</v>
      </c>
      <c r="E129">
        <f>VLOOKUP($A129,Transpose!$A$1:$S$859,Cleaned!E$1)</f>
        <v>3276</v>
      </c>
      <c r="F129">
        <f>VLOOKUP($A129,Transpose!$A$1:$S$859,Cleaned!F$1)</f>
        <v>121</v>
      </c>
      <c r="G129">
        <f>VLOOKUP($A129,Transpose!$A$1:$S$859,Cleaned!G$1)</f>
        <v>5747</v>
      </c>
      <c r="H129">
        <f>VLOOKUP($A129,Transpose!$A$1:$S$859,Cleaned!H$1)</f>
        <v>1751</v>
      </c>
      <c r="I129">
        <f>VLOOKUP($A129,Transpose!$A$1:$S$859,Cleaned!I$1)</f>
        <v>2473</v>
      </c>
      <c r="J129">
        <f>VLOOKUP($A129,Transpose!$A$1:$S$859,Cleaned!J$1)</f>
        <v>1499</v>
      </c>
      <c r="K129">
        <f>VLOOKUP($A129,Transpose!$A$1:$S$859,Cleaned!K$1)</f>
        <v>24</v>
      </c>
      <c r="L129">
        <f>VLOOKUP($A129,Transpose!$A$1:$S$859,Cleaned!L$1)</f>
        <v>70398</v>
      </c>
      <c r="M129">
        <f>VLOOKUP($A129,Transpose!$A$1:$S$859,Cleaned!M$1)</f>
        <v>3921</v>
      </c>
      <c r="N129">
        <f>VLOOKUP($A129,Transpose!$A$1:$S$859,Cleaned!N$1)</f>
        <v>1289</v>
      </c>
      <c r="O129">
        <f>VLOOKUP($A129,Transpose!$A$1:$S$859,Cleaned!O$1)</f>
        <v>64936</v>
      </c>
      <c r="P129">
        <f>VLOOKUP($A129,Transpose!$A$1:$S$859,Cleaned!P$1)</f>
        <v>253</v>
      </c>
      <c r="Q129">
        <f>VLOOKUP($A129,Transpose!$A$1:$S$859,Cleaned!Q$1)</f>
        <v>21</v>
      </c>
      <c r="R129">
        <f>VLOOKUP($A129,Transpose!$A$1:$S$859,Cleaned!R$1)</f>
        <v>1</v>
      </c>
      <c r="S129">
        <f>VLOOKUP($A129,Transpose!$A$1:$S$859,Cleaned!S$1)</f>
        <v>166</v>
      </c>
    </row>
    <row r="130" spans="1:19" x14ac:dyDescent="0.25">
      <c r="A130" s="2">
        <f t="shared" si="2"/>
        <v>36739</v>
      </c>
      <c r="B130">
        <f>VLOOKUP($A130,Transpose!$A$1:$S$859,Cleaned!B$1)</f>
        <v>136662</v>
      </c>
      <c r="C130">
        <f>VLOOKUP($A130,Transpose!$A$1:$S$859,Cleaned!C$1)</f>
        <v>131097</v>
      </c>
      <c r="D130">
        <f>VLOOKUP($A130,Transpose!$A$1:$S$859,Cleaned!D$1)</f>
        <v>1831</v>
      </c>
      <c r="E130">
        <f>VLOOKUP($A130,Transpose!$A$1:$S$859,Cleaned!E$1)</f>
        <v>3639</v>
      </c>
      <c r="F130">
        <f>VLOOKUP($A130,Transpose!$A$1:$S$859,Cleaned!F$1)</f>
        <v>95</v>
      </c>
      <c r="G130">
        <f>VLOOKUP($A130,Transpose!$A$1:$S$859,Cleaned!G$1)</f>
        <v>5853</v>
      </c>
      <c r="H130">
        <f>VLOOKUP($A130,Transpose!$A$1:$S$859,Cleaned!H$1)</f>
        <v>1718</v>
      </c>
      <c r="I130">
        <f>VLOOKUP($A130,Transpose!$A$1:$S$859,Cleaned!I$1)</f>
        <v>2492</v>
      </c>
      <c r="J130">
        <f>VLOOKUP($A130,Transpose!$A$1:$S$859,Cleaned!J$1)</f>
        <v>1596</v>
      </c>
      <c r="K130">
        <f>VLOOKUP($A130,Transpose!$A$1:$S$859,Cleaned!K$1)</f>
        <v>47</v>
      </c>
      <c r="L130">
        <f>VLOOKUP($A130,Transpose!$A$1:$S$859,Cleaned!L$1)</f>
        <v>70401</v>
      </c>
      <c r="M130">
        <f>VLOOKUP($A130,Transpose!$A$1:$S$859,Cleaned!M$1)</f>
        <v>3684</v>
      </c>
      <c r="N130">
        <f>VLOOKUP($A130,Transpose!$A$1:$S$859,Cleaned!N$1)</f>
        <v>1422</v>
      </c>
      <c r="O130">
        <f>VLOOKUP($A130,Transpose!$A$1:$S$859,Cleaned!O$1)</f>
        <v>64993</v>
      </c>
      <c r="P130">
        <f>VLOOKUP($A130,Transpose!$A$1:$S$859,Cleaned!P$1)</f>
        <v>301</v>
      </c>
      <c r="Q130">
        <f>VLOOKUP($A130,Transpose!$A$1:$S$859,Cleaned!Q$1)</f>
        <v>32</v>
      </c>
      <c r="R130">
        <f>VLOOKUP($A130,Transpose!$A$1:$S$859,Cleaned!R$1)</f>
        <v>2</v>
      </c>
      <c r="S130">
        <f>VLOOKUP($A130,Transpose!$A$1:$S$859,Cleaned!S$1)</f>
        <v>170</v>
      </c>
    </row>
    <row r="131" spans="1:19" x14ac:dyDescent="0.25">
      <c r="A131" s="2">
        <f t="shared" si="2"/>
        <v>36770</v>
      </c>
      <c r="B131">
        <f>VLOOKUP($A131,Transpose!$A$1:$S$859,Cleaned!B$1)</f>
        <v>136893</v>
      </c>
      <c r="C131">
        <f>VLOOKUP($A131,Transpose!$A$1:$S$859,Cleaned!C$1)</f>
        <v>131097</v>
      </c>
      <c r="D131">
        <f>VLOOKUP($A131,Transpose!$A$1:$S$859,Cleaned!D$1)</f>
        <v>1875</v>
      </c>
      <c r="E131">
        <f>VLOOKUP($A131,Transpose!$A$1:$S$859,Cleaned!E$1)</f>
        <v>3775</v>
      </c>
      <c r="F131">
        <f>VLOOKUP($A131,Transpose!$A$1:$S$859,Cleaned!F$1)</f>
        <v>145</v>
      </c>
      <c r="G131">
        <f>VLOOKUP($A131,Transpose!$A$1:$S$859,Cleaned!G$1)</f>
        <v>5625</v>
      </c>
      <c r="H131">
        <f>VLOOKUP($A131,Transpose!$A$1:$S$859,Cleaned!H$1)</f>
        <v>1643</v>
      </c>
      <c r="I131">
        <f>VLOOKUP($A131,Transpose!$A$1:$S$859,Cleaned!I$1)</f>
        <v>2479</v>
      </c>
      <c r="J131">
        <f>VLOOKUP($A131,Transpose!$A$1:$S$859,Cleaned!J$1)</f>
        <v>1471</v>
      </c>
      <c r="K131">
        <f>VLOOKUP($A131,Transpose!$A$1:$S$859,Cleaned!K$1)</f>
        <v>32</v>
      </c>
      <c r="L131">
        <f>VLOOKUP($A131,Transpose!$A$1:$S$859,Cleaned!L$1)</f>
        <v>70645</v>
      </c>
      <c r="M131">
        <f>VLOOKUP($A131,Transpose!$A$1:$S$859,Cleaned!M$1)</f>
        <v>3901</v>
      </c>
      <c r="N131">
        <f>VLOOKUP($A131,Transpose!$A$1:$S$859,Cleaned!N$1)</f>
        <v>1497</v>
      </c>
      <c r="O131">
        <f>VLOOKUP($A131,Transpose!$A$1:$S$859,Cleaned!O$1)</f>
        <v>64989</v>
      </c>
      <c r="P131">
        <f>VLOOKUP($A131,Transpose!$A$1:$S$859,Cleaned!P$1)</f>
        <v>259</v>
      </c>
      <c r="Q131">
        <f>VLOOKUP($A131,Transpose!$A$1:$S$859,Cleaned!Q$1)</f>
        <v>21</v>
      </c>
      <c r="R131">
        <f>VLOOKUP($A131,Transpose!$A$1:$S$859,Cleaned!R$1)</f>
        <v>1</v>
      </c>
      <c r="S131">
        <f>VLOOKUP($A131,Transpose!$A$1:$S$859,Cleaned!S$1)</f>
        <v>166</v>
      </c>
    </row>
    <row r="132" spans="1:19" x14ac:dyDescent="0.25">
      <c r="A132" s="2">
        <f t="shared" si="2"/>
        <v>36800</v>
      </c>
      <c r="B132">
        <f>VLOOKUP($A132,Transpose!$A$1:$S$859,Cleaned!B$1)</f>
        <v>137088</v>
      </c>
      <c r="C132">
        <f>VLOOKUP($A132,Transpose!$A$1:$S$859,Cleaned!C$1)</f>
        <v>131395</v>
      </c>
      <c r="D132">
        <f>VLOOKUP($A132,Transpose!$A$1:$S$859,Cleaned!D$1)</f>
        <v>1885</v>
      </c>
      <c r="E132">
        <f>VLOOKUP($A132,Transpose!$A$1:$S$859,Cleaned!E$1)</f>
        <v>3691</v>
      </c>
      <c r="F132">
        <f>VLOOKUP($A132,Transpose!$A$1:$S$859,Cleaned!F$1)</f>
        <v>117</v>
      </c>
      <c r="G132">
        <f>VLOOKUP($A132,Transpose!$A$1:$S$859,Cleaned!G$1)</f>
        <v>5534</v>
      </c>
      <c r="H132">
        <f>VLOOKUP($A132,Transpose!$A$1:$S$859,Cleaned!H$1)</f>
        <v>1549</v>
      </c>
      <c r="I132">
        <f>VLOOKUP($A132,Transpose!$A$1:$S$859,Cleaned!I$1)</f>
        <v>2466</v>
      </c>
      <c r="J132">
        <f>VLOOKUP($A132,Transpose!$A$1:$S$859,Cleaned!J$1)</f>
        <v>1498</v>
      </c>
      <c r="K132">
        <f>VLOOKUP($A132,Transpose!$A$1:$S$859,Cleaned!K$1)</f>
        <v>22</v>
      </c>
      <c r="L132">
        <f>VLOOKUP($A132,Transpose!$A$1:$S$859,Cleaned!L$1)</f>
        <v>70782</v>
      </c>
      <c r="M132">
        <f>VLOOKUP($A132,Transpose!$A$1:$S$859,Cleaned!M$1)</f>
        <v>3929</v>
      </c>
      <c r="N132">
        <f>VLOOKUP($A132,Transpose!$A$1:$S$859,Cleaned!N$1)</f>
        <v>1273</v>
      </c>
      <c r="O132">
        <f>VLOOKUP($A132,Transpose!$A$1:$S$859,Cleaned!O$1)</f>
        <v>65290</v>
      </c>
      <c r="P132">
        <f>VLOOKUP($A132,Transpose!$A$1:$S$859,Cleaned!P$1)</f>
        <v>291</v>
      </c>
      <c r="Q132">
        <f>VLOOKUP($A132,Transpose!$A$1:$S$859,Cleaned!Q$1)</f>
        <v>21</v>
      </c>
      <c r="R132">
        <f>VLOOKUP($A132,Transpose!$A$1:$S$859,Cleaned!R$1)</f>
        <v>1</v>
      </c>
      <c r="S132">
        <f>VLOOKUP($A132,Transpose!$A$1:$S$859,Cleaned!S$1)</f>
        <v>166</v>
      </c>
    </row>
    <row r="133" spans="1:19" x14ac:dyDescent="0.25">
      <c r="A133" s="2">
        <f t="shared" ref="A133:A196" si="3">DATE(YEAR(A132),MONTH(A132)+1,1)</f>
        <v>36831</v>
      </c>
      <c r="B133">
        <f>VLOOKUP($A133,Transpose!$A$1:$S$859,Cleaned!B$1)</f>
        <v>137322</v>
      </c>
      <c r="C133">
        <f>VLOOKUP($A133,Transpose!$A$1:$S$859,Cleaned!C$1)</f>
        <v>131664</v>
      </c>
      <c r="D133">
        <f>VLOOKUP($A133,Transpose!$A$1:$S$859,Cleaned!D$1)</f>
        <v>1709</v>
      </c>
      <c r="E133">
        <f>VLOOKUP($A133,Transpose!$A$1:$S$859,Cleaned!E$1)</f>
        <v>3831</v>
      </c>
      <c r="F133">
        <f>VLOOKUP($A133,Transpose!$A$1:$S$859,Cleaned!F$1)</f>
        <v>118</v>
      </c>
      <c r="G133">
        <f>VLOOKUP($A133,Transpose!$A$1:$S$859,Cleaned!G$1)</f>
        <v>5639</v>
      </c>
      <c r="H133">
        <f>VLOOKUP($A133,Transpose!$A$1:$S$859,Cleaned!H$1)</f>
        <v>1444</v>
      </c>
      <c r="I133">
        <f>VLOOKUP($A133,Transpose!$A$1:$S$859,Cleaned!I$1)</f>
        <v>2578</v>
      </c>
      <c r="J133">
        <f>VLOOKUP($A133,Transpose!$A$1:$S$859,Cleaned!J$1)</f>
        <v>1596</v>
      </c>
      <c r="K133">
        <f>VLOOKUP($A133,Transpose!$A$1:$S$859,Cleaned!K$1)</f>
        <v>22</v>
      </c>
      <c r="L133">
        <f>VLOOKUP($A133,Transpose!$A$1:$S$859,Cleaned!L$1)</f>
        <v>70579</v>
      </c>
      <c r="M133">
        <f>VLOOKUP($A133,Transpose!$A$1:$S$859,Cleaned!M$1)</f>
        <v>3894</v>
      </c>
      <c r="N133">
        <f>VLOOKUP($A133,Transpose!$A$1:$S$859,Cleaned!N$1)</f>
        <v>1244</v>
      </c>
      <c r="O133">
        <f>VLOOKUP($A133,Transpose!$A$1:$S$859,Cleaned!O$1)</f>
        <v>65145</v>
      </c>
      <c r="P133">
        <f>VLOOKUP($A133,Transpose!$A$1:$S$859,Cleaned!P$1)</f>
        <v>297</v>
      </c>
      <c r="Q133">
        <f>VLOOKUP($A133,Transpose!$A$1:$S$859,Cleaned!Q$1)</f>
        <v>86</v>
      </c>
      <c r="R133">
        <f>VLOOKUP($A133,Transpose!$A$1:$S$859,Cleaned!R$1)</f>
        <v>4</v>
      </c>
      <c r="S133">
        <f>VLOOKUP($A133,Transpose!$A$1:$S$859,Cleaned!S$1)</f>
        <v>212</v>
      </c>
    </row>
    <row r="134" spans="1:19" x14ac:dyDescent="0.25">
      <c r="A134" s="2">
        <f t="shared" si="3"/>
        <v>36861</v>
      </c>
      <c r="B134">
        <f>VLOOKUP($A134,Transpose!$A$1:$S$859,Cleaned!B$1)</f>
        <v>137614</v>
      </c>
      <c r="C134">
        <f>VLOOKUP($A134,Transpose!$A$1:$S$859,Cleaned!C$1)</f>
        <v>132007</v>
      </c>
      <c r="D134">
        <f>VLOOKUP($A134,Transpose!$A$1:$S$859,Cleaned!D$1)</f>
        <v>1699</v>
      </c>
      <c r="E134">
        <f>VLOOKUP($A134,Transpose!$A$1:$S$859,Cleaned!E$1)</f>
        <v>3768</v>
      </c>
      <c r="F134">
        <f>VLOOKUP($A134,Transpose!$A$1:$S$859,Cleaned!F$1)</f>
        <v>140</v>
      </c>
      <c r="G134">
        <f>VLOOKUP($A134,Transpose!$A$1:$S$859,Cleaned!G$1)</f>
        <v>5634</v>
      </c>
      <c r="H134">
        <f>VLOOKUP($A134,Transpose!$A$1:$S$859,Cleaned!H$1)</f>
        <v>1472</v>
      </c>
      <c r="I134">
        <f>VLOOKUP($A134,Transpose!$A$1:$S$859,Cleaned!I$1)</f>
        <v>2643</v>
      </c>
      <c r="J134">
        <f>VLOOKUP($A134,Transpose!$A$1:$S$859,Cleaned!J$1)</f>
        <v>1487</v>
      </c>
      <c r="K134">
        <f>VLOOKUP($A134,Transpose!$A$1:$S$859,Cleaned!K$1)</f>
        <v>32</v>
      </c>
      <c r="L134">
        <f>VLOOKUP($A134,Transpose!$A$1:$S$859,Cleaned!L$1)</f>
        <v>70488</v>
      </c>
      <c r="M134">
        <f>VLOOKUP($A134,Transpose!$A$1:$S$859,Cleaned!M$1)</f>
        <v>3748</v>
      </c>
      <c r="N134">
        <f>VLOOKUP($A134,Transpose!$A$1:$S$859,Cleaned!N$1)</f>
        <v>1293</v>
      </c>
      <c r="O134">
        <f>VLOOKUP($A134,Transpose!$A$1:$S$859,Cleaned!O$1)</f>
        <v>65132</v>
      </c>
      <c r="P134">
        <f>VLOOKUP($A134,Transpose!$A$1:$S$859,Cleaned!P$1)</f>
        <v>315</v>
      </c>
      <c r="Q134">
        <f>VLOOKUP($A134,Transpose!$A$1:$S$859,Cleaned!Q$1)</f>
        <v>94</v>
      </c>
      <c r="R134">
        <f>VLOOKUP($A134,Transpose!$A$1:$S$859,Cleaned!R$1)</f>
        <v>4</v>
      </c>
      <c r="S134">
        <f>VLOOKUP($A134,Transpose!$A$1:$S$859,Cleaned!S$1)</f>
        <v>192</v>
      </c>
    </row>
    <row r="135" spans="1:19" x14ac:dyDescent="0.25">
      <c r="A135" s="2">
        <f t="shared" si="3"/>
        <v>36892</v>
      </c>
      <c r="B135">
        <f>VLOOKUP($A135,Transpose!$A$1:$S$859,Cleaned!B$1)</f>
        <v>137778</v>
      </c>
      <c r="C135">
        <f>VLOOKUP($A135,Transpose!$A$1:$S$859,Cleaned!C$1)</f>
        <v>131941</v>
      </c>
      <c r="D135">
        <f>VLOOKUP($A135,Transpose!$A$1:$S$859,Cleaned!D$1)</f>
        <v>1784</v>
      </c>
      <c r="E135">
        <f>VLOOKUP($A135,Transpose!$A$1:$S$859,Cleaned!E$1)</f>
        <v>3972</v>
      </c>
      <c r="F135">
        <f>VLOOKUP($A135,Transpose!$A$1:$S$859,Cleaned!F$1)</f>
        <v>81</v>
      </c>
      <c r="G135">
        <f>VLOOKUP($A135,Transpose!$A$1:$S$859,Cleaned!G$1)</f>
        <v>6023</v>
      </c>
      <c r="H135">
        <f>VLOOKUP($A135,Transpose!$A$1:$S$859,Cleaned!H$1)</f>
        <v>1758</v>
      </c>
      <c r="I135">
        <f>VLOOKUP($A135,Transpose!$A$1:$S$859,Cleaned!I$1)</f>
        <v>2591</v>
      </c>
      <c r="J135">
        <f>VLOOKUP($A135,Transpose!$A$1:$S$859,Cleaned!J$1)</f>
        <v>1660</v>
      </c>
      <c r="K135">
        <f>VLOOKUP($A135,Transpose!$A$1:$S$859,Cleaned!K$1)</f>
        <v>13</v>
      </c>
      <c r="L135">
        <f>VLOOKUP($A135,Transpose!$A$1:$S$859,Cleaned!L$1)</f>
        <v>70088</v>
      </c>
      <c r="M135">
        <f>VLOOKUP($A135,Transpose!$A$1:$S$859,Cleaned!M$1)</f>
        <v>3894</v>
      </c>
      <c r="N135">
        <f>VLOOKUP($A135,Transpose!$A$1:$S$859,Cleaned!N$1)</f>
        <v>1258</v>
      </c>
      <c r="O135">
        <f>VLOOKUP($A135,Transpose!$A$1:$S$859,Cleaned!O$1)</f>
        <v>64689</v>
      </c>
      <c r="P135">
        <f>VLOOKUP($A135,Transpose!$A$1:$S$859,Cleaned!P$1)</f>
        <v>247</v>
      </c>
      <c r="Q135">
        <f>VLOOKUP($A135,Transpose!$A$1:$S$859,Cleaned!Q$1)</f>
        <v>21</v>
      </c>
      <c r="R135">
        <f>VLOOKUP($A135,Transpose!$A$1:$S$859,Cleaned!R$1)</f>
        <v>1</v>
      </c>
      <c r="S135">
        <f>VLOOKUP($A135,Transpose!$A$1:$S$859,Cleaned!S$1)</f>
        <v>166</v>
      </c>
    </row>
    <row r="136" spans="1:19" x14ac:dyDescent="0.25">
      <c r="A136" s="2">
        <f t="shared" si="3"/>
        <v>36923</v>
      </c>
      <c r="B136">
        <f>VLOOKUP($A136,Transpose!$A$1:$S$859,Cleaned!B$1)</f>
        <v>137612</v>
      </c>
      <c r="C136">
        <f>VLOOKUP($A136,Transpose!$A$1:$S$859,Cleaned!C$1)</f>
        <v>131858</v>
      </c>
      <c r="D136">
        <f>VLOOKUP($A136,Transpose!$A$1:$S$859,Cleaned!D$1)</f>
        <v>1831</v>
      </c>
      <c r="E136">
        <f>VLOOKUP($A136,Transpose!$A$1:$S$859,Cleaned!E$1)</f>
        <v>3843</v>
      </c>
      <c r="F136">
        <f>VLOOKUP($A136,Transpose!$A$1:$S$859,Cleaned!F$1)</f>
        <v>79</v>
      </c>
      <c r="G136">
        <f>VLOOKUP($A136,Transpose!$A$1:$S$859,Cleaned!G$1)</f>
        <v>6089</v>
      </c>
      <c r="H136">
        <f>VLOOKUP($A136,Transpose!$A$1:$S$859,Cleaned!H$1)</f>
        <v>1729</v>
      </c>
      <c r="I136">
        <f>VLOOKUP($A136,Transpose!$A$1:$S$859,Cleaned!I$1)</f>
        <v>2754</v>
      </c>
      <c r="J136">
        <f>VLOOKUP($A136,Transpose!$A$1:$S$859,Cleaned!J$1)</f>
        <v>1573</v>
      </c>
      <c r="K136">
        <f>VLOOKUP($A136,Transpose!$A$1:$S$859,Cleaned!K$1)</f>
        <v>34</v>
      </c>
      <c r="L136">
        <f>VLOOKUP($A136,Transpose!$A$1:$S$859,Cleaned!L$1)</f>
        <v>70409</v>
      </c>
      <c r="M136">
        <f>VLOOKUP($A136,Transpose!$A$1:$S$859,Cleaned!M$1)</f>
        <v>4170</v>
      </c>
      <c r="N136">
        <f>VLOOKUP($A136,Transpose!$A$1:$S$859,Cleaned!N$1)</f>
        <v>1436</v>
      </c>
      <c r="O136">
        <f>VLOOKUP($A136,Transpose!$A$1:$S$859,Cleaned!O$1)</f>
        <v>64506</v>
      </c>
      <c r="P136">
        <f>VLOOKUP($A136,Transpose!$A$1:$S$859,Cleaned!P$1)</f>
        <v>298</v>
      </c>
      <c r="Q136">
        <f>VLOOKUP($A136,Transpose!$A$1:$S$859,Cleaned!Q$1)</f>
        <v>21</v>
      </c>
      <c r="R136">
        <f>VLOOKUP($A136,Transpose!$A$1:$S$859,Cleaned!R$1)</f>
        <v>1</v>
      </c>
      <c r="S136">
        <f>VLOOKUP($A136,Transpose!$A$1:$S$859,Cleaned!S$1)</f>
        <v>167</v>
      </c>
    </row>
    <row r="137" spans="1:19" x14ac:dyDescent="0.25">
      <c r="A137" s="2">
        <f t="shared" si="3"/>
        <v>36951</v>
      </c>
      <c r="B137">
        <f>VLOOKUP($A137,Transpose!$A$1:$S$859,Cleaned!B$1)</f>
        <v>137783</v>
      </c>
      <c r="C137">
        <f>VLOOKUP($A137,Transpose!$A$1:$S$859,Cleaned!C$1)</f>
        <v>131973</v>
      </c>
      <c r="D137">
        <f>VLOOKUP($A137,Transpose!$A$1:$S$859,Cleaned!D$1)</f>
        <v>1892</v>
      </c>
      <c r="E137">
        <f>VLOOKUP($A137,Transpose!$A$1:$S$859,Cleaned!E$1)</f>
        <v>3840</v>
      </c>
      <c r="F137">
        <f>VLOOKUP($A137,Transpose!$A$1:$S$859,Cleaned!F$1)</f>
        <v>78</v>
      </c>
      <c r="G137">
        <f>VLOOKUP($A137,Transpose!$A$1:$S$859,Cleaned!G$1)</f>
        <v>6141</v>
      </c>
      <c r="H137">
        <f>VLOOKUP($A137,Transpose!$A$1:$S$859,Cleaned!H$1)</f>
        <v>1782</v>
      </c>
      <c r="I137">
        <f>VLOOKUP($A137,Transpose!$A$1:$S$859,Cleaned!I$1)</f>
        <v>2717</v>
      </c>
      <c r="J137">
        <f>VLOOKUP($A137,Transpose!$A$1:$S$859,Cleaned!J$1)</f>
        <v>1626</v>
      </c>
      <c r="K137">
        <f>VLOOKUP($A137,Transpose!$A$1:$S$859,Cleaned!K$1)</f>
        <v>16</v>
      </c>
      <c r="L137">
        <f>VLOOKUP($A137,Transpose!$A$1:$S$859,Cleaned!L$1)</f>
        <v>70381</v>
      </c>
      <c r="M137">
        <f>VLOOKUP($A137,Transpose!$A$1:$S$859,Cleaned!M$1)</f>
        <v>3836</v>
      </c>
      <c r="N137">
        <f>VLOOKUP($A137,Transpose!$A$1:$S$859,Cleaned!N$1)</f>
        <v>1478</v>
      </c>
      <c r="O137">
        <f>VLOOKUP($A137,Transpose!$A$1:$S$859,Cleaned!O$1)</f>
        <v>64777</v>
      </c>
      <c r="P137">
        <f>VLOOKUP($A137,Transpose!$A$1:$S$859,Cleaned!P$1)</f>
        <v>290</v>
      </c>
      <c r="Q137">
        <f>VLOOKUP($A137,Transpose!$A$1:$S$859,Cleaned!Q$1)</f>
        <v>21</v>
      </c>
      <c r="R137">
        <f>VLOOKUP($A137,Transpose!$A$1:$S$859,Cleaned!R$1)</f>
        <v>1</v>
      </c>
      <c r="S137">
        <f>VLOOKUP($A137,Transpose!$A$1:$S$859,Cleaned!S$1)</f>
        <v>167</v>
      </c>
    </row>
    <row r="138" spans="1:19" x14ac:dyDescent="0.25">
      <c r="A138" s="2">
        <f t="shared" si="3"/>
        <v>36982</v>
      </c>
      <c r="B138">
        <f>VLOOKUP($A138,Transpose!$A$1:$S$859,Cleaned!B$1)</f>
        <v>137299</v>
      </c>
      <c r="C138">
        <f>VLOOKUP($A138,Transpose!$A$1:$S$859,Cleaned!C$1)</f>
        <v>131739</v>
      </c>
      <c r="D138">
        <f>VLOOKUP($A138,Transpose!$A$1:$S$859,Cleaned!D$1)</f>
        <v>1859</v>
      </c>
      <c r="E138">
        <f>VLOOKUP($A138,Transpose!$A$1:$S$859,Cleaned!E$1)</f>
        <v>3594</v>
      </c>
      <c r="F138">
        <f>VLOOKUP($A138,Transpose!$A$1:$S$859,Cleaned!F$1)</f>
        <v>107</v>
      </c>
      <c r="G138">
        <f>VLOOKUP($A138,Transpose!$A$1:$S$859,Cleaned!G$1)</f>
        <v>6271</v>
      </c>
      <c r="H138">
        <f>VLOOKUP($A138,Transpose!$A$1:$S$859,Cleaned!H$1)</f>
        <v>1827</v>
      </c>
      <c r="I138">
        <f>VLOOKUP($A138,Transpose!$A$1:$S$859,Cleaned!I$1)</f>
        <v>2745</v>
      </c>
      <c r="J138">
        <f>VLOOKUP($A138,Transpose!$A$1:$S$859,Cleaned!J$1)</f>
        <v>1672</v>
      </c>
      <c r="K138">
        <f>VLOOKUP($A138,Transpose!$A$1:$S$859,Cleaned!K$1)</f>
        <v>27</v>
      </c>
      <c r="L138">
        <f>VLOOKUP($A138,Transpose!$A$1:$S$859,Cleaned!L$1)</f>
        <v>70956</v>
      </c>
      <c r="M138">
        <f>VLOOKUP($A138,Transpose!$A$1:$S$859,Cleaned!M$1)</f>
        <v>4193</v>
      </c>
      <c r="N138">
        <f>VLOOKUP($A138,Transpose!$A$1:$S$859,Cleaned!N$1)</f>
        <v>1536</v>
      </c>
      <c r="O138">
        <f>VLOOKUP($A138,Transpose!$A$1:$S$859,Cleaned!O$1)</f>
        <v>64947</v>
      </c>
      <c r="P138">
        <f>VLOOKUP($A138,Transpose!$A$1:$S$859,Cleaned!P$1)</f>
        <v>281</v>
      </c>
      <c r="Q138">
        <f>VLOOKUP($A138,Transpose!$A$1:$S$859,Cleaned!Q$1)</f>
        <v>24</v>
      </c>
      <c r="R138">
        <f>VLOOKUP($A138,Transpose!$A$1:$S$859,Cleaned!R$1)</f>
        <v>2</v>
      </c>
      <c r="S138">
        <f>VLOOKUP($A138,Transpose!$A$1:$S$859,Cleaned!S$1)</f>
        <v>169</v>
      </c>
    </row>
    <row r="139" spans="1:19" x14ac:dyDescent="0.25">
      <c r="A139" s="2">
        <f t="shared" si="3"/>
        <v>37012</v>
      </c>
      <c r="B139">
        <f>VLOOKUP($A139,Transpose!$A$1:$S$859,Cleaned!B$1)</f>
        <v>137092</v>
      </c>
      <c r="C139">
        <f>VLOOKUP($A139,Transpose!$A$1:$S$859,Cleaned!C$1)</f>
        <v>131305</v>
      </c>
      <c r="D139">
        <f>VLOOKUP($A139,Transpose!$A$1:$S$859,Cleaned!D$1)</f>
        <v>2034</v>
      </c>
      <c r="E139">
        <f>VLOOKUP($A139,Transpose!$A$1:$S$859,Cleaned!E$1)</f>
        <v>3677</v>
      </c>
      <c r="F139">
        <f>VLOOKUP($A139,Transpose!$A$1:$S$859,Cleaned!F$1)</f>
        <v>76</v>
      </c>
      <c r="G139">
        <f>VLOOKUP($A139,Transpose!$A$1:$S$859,Cleaned!G$1)</f>
        <v>6226</v>
      </c>
      <c r="H139">
        <f>VLOOKUP($A139,Transpose!$A$1:$S$859,Cleaned!H$1)</f>
        <v>1810</v>
      </c>
      <c r="I139">
        <f>VLOOKUP($A139,Transpose!$A$1:$S$859,Cleaned!I$1)</f>
        <v>2773</v>
      </c>
      <c r="J139">
        <f>VLOOKUP($A139,Transpose!$A$1:$S$859,Cleaned!J$1)</f>
        <v>1618</v>
      </c>
      <c r="K139">
        <f>VLOOKUP($A139,Transpose!$A$1:$S$859,Cleaned!K$1)</f>
        <v>25</v>
      </c>
      <c r="L139">
        <f>VLOOKUP($A139,Transpose!$A$1:$S$859,Cleaned!L$1)</f>
        <v>71414</v>
      </c>
      <c r="M139">
        <f>VLOOKUP($A139,Transpose!$A$1:$S$859,Cleaned!M$1)</f>
        <v>4163</v>
      </c>
      <c r="N139">
        <f>VLOOKUP($A139,Transpose!$A$1:$S$859,Cleaned!N$1)</f>
        <v>1462</v>
      </c>
      <c r="O139">
        <f>VLOOKUP($A139,Transpose!$A$1:$S$859,Cleaned!O$1)</f>
        <v>65494</v>
      </c>
      <c r="P139">
        <f>VLOOKUP($A139,Transpose!$A$1:$S$859,Cleaned!P$1)</f>
        <v>295</v>
      </c>
      <c r="Q139">
        <f>VLOOKUP($A139,Transpose!$A$1:$S$859,Cleaned!Q$1)</f>
        <v>21</v>
      </c>
      <c r="R139">
        <f>VLOOKUP($A139,Transpose!$A$1:$S$859,Cleaned!R$1)</f>
        <v>1</v>
      </c>
      <c r="S139">
        <f>VLOOKUP($A139,Transpose!$A$1:$S$859,Cleaned!S$1)</f>
        <v>167</v>
      </c>
    </row>
    <row r="140" spans="1:19" x14ac:dyDescent="0.25">
      <c r="A140" s="2">
        <f t="shared" si="3"/>
        <v>37043</v>
      </c>
      <c r="B140">
        <f>VLOOKUP($A140,Transpose!$A$1:$S$859,Cleaned!B$1)</f>
        <v>136873</v>
      </c>
      <c r="C140">
        <f>VLOOKUP($A140,Transpose!$A$1:$S$859,Cleaned!C$1)</f>
        <v>131227</v>
      </c>
      <c r="D140">
        <f>VLOOKUP($A140,Transpose!$A$1:$S$859,Cleaned!D$1)</f>
        <v>1910</v>
      </c>
      <c r="E140">
        <f>VLOOKUP($A140,Transpose!$A$1:$S$859,Cleaned!E$1)</f>
        <v>3655</v>
      </c>
      <c r="F140">
        <f>VLOOKUP($A140,Transpose!$A$1:$S$859,Cleaned!F$1)</f>
        <v>81</v>
      </c>
      <c r="G140">
        <f>VLOOKUP($A140,Transpose!$A$1:$S$859,Cleaned!G$1)</f>
        <v>6484</v>
      </c>
      <c r="H140">
        <f>VLOOKUP($A140,Transpose!$A$1:$S$859,Cleaned!H$1)</f>
        <v>1877</v>
      </c>
      <c r="I140">
        <f>VLOOKUP($A140,Transpose!$A$1:$S$859,Cleaned!I$1)</f>
        <v>2877</v>
      </c>
      <c r="J140">
        <f>VLOOKUP($A140,Transpose!$A$1:$S$859,Cleaned!J$1)</f>
        <v>1689</v>
      </c>
      <c r="K140">
        <f>VLOOKUP($A140,Transpose!$A$1:$S$859,Cleaned!K$1)</f>
        <v>41</v>
      </c>
      <c r="L140">
        <f>VLOOKUP($A140,Transpose!$A$1:$S$859,Cleaned!L$1)</f>
        <v>71592</v>
      </c>
      <c r="M140">
        <f>VLOOKUP($A140,Transpose!$A$1:$S$859,Cleaned!M$1)</f>
        <v>3958</v>
      </c>
      <c r="N140">
        <f>VLOOKUP($A140,Transpose!$A$1:$S$859,Cleaned!N$1)</f>
        <v>1437</v>
      </c>
      <c r="O140">
        <f>VLOOKUP($A140,Transpose!$A$1:$S$859,Cleaned!O$1)</f>
        <v>65896</v>
      </c>
      <c r="P140">
        <f>VLOOKUP($A140,Transpose!$A$1:$S$859,Cleaned!P$1)</f>
        <v>301</v>
      </c>
      <c r="Q140">
        <f>VLOOKUP($A140,Transpose!$A$1:$S$859,Cleaned!Q$1)</f>
        <v>30</v>
      </c>
      <c r="R140">
        <f>VLOOKUP($A140,Transpose!$A$1:$S$859,Cleaned!R$1)</f>
        <v>2</v>
      </c>
      <c r="S140">
        <f>VLOOKUP($A140,Transpose!$A$1:$S$859,Cleaned!S$1)</f>
        <v>174</v>
      </c>
    </row>
    <row r="141" spans="1:19" x14ac:dyDescent="0.25">
      <c r="A141" s="2">
        <f t="shared" si="3"/>
        <v>37073</v>
      </c>
      <c r="B141">
        <f>VLOOKUP($A141,Transpose!$A$1:$S$859,Cleaned!B$1)</f>
        <v>137071</v>
      </c>
      <c r="C141">
        <f>VLOOKUP($A141,Transpose!$A$1:$S$859,Cleaned!C$1)</f>
        <v>130991</v>
      </c>
      <c r="D141">
        <f>VLOOKUP($A141,Transpose!$A$1:$S$859,Cleaned!D$1)</f>
        <v>1956</v>
      </c>
      <c r="E141">
        <f>VLOOKUP($A141,Transpose!$A$1:$S$859,Cleaned!E$1)</f>
        <v>4003</v>
      </c>
      <c r="F141">
        <f>VLOOKUP($A141,Transpose!$A$1:$S$859,Cleaned!F$1)</f>
        <v>121</v>
      </c>
      <c r="G141">
        <f>VLOOKUP($A141,Transpose!$A$1:$S$859,Cleaned!G$1)</f>
        <v>6583</v>
      </c>
      <c r="H141">
        <f>VLOOKUP($A141,Transpose!$A$1:$S$859,Cleaned!H$1)</f>
        <v>1833</v>
      </c>
      <c r="I141">
        <f>VLOOKUP($A141,Transpose!$A$1:$S$859,Cleaned!I$1)</f>
        <v>3071</v>
      </c>
      <c r="J141">
        <f>VLOOKUP($A141,Transpose!$A$1:$S$859,Cleaned!J$1)</f>
        <v>1661</v>
      </c>
      <c r="K141">
        <f>VLOOKUP($A141,Transpose!$A$1:$S$859,Cleaned!K$1)</f>
        <v>17</v>
      </c>
      <c r="L141">
        <f>VLOOKUP($A141,Transpose!$A$1:$S$859,Cleaned!L$1)</f>
        <v>71526</v>
      </c>
      <c r="M141">
        <f>VLOOKUP($A141,Transpose!$A$1:$S$859,Cleaned!M$1)</f>
        <v>4028</v>
      </c>
      <c r="N141">
        <f>VLOOKUP($A141,Transpose!$A$1:$S$859,Cleaned!N$1)</f>
        <v>1456</v>
      </c>
      <c r="O141">
        <f>VLOOKUP($A141,Transpose!$A$1:$S$859,Cleaned!O$1)</f>
        <v>65761</v>
      </c>
      <c r="P141">
        <f>VLOOKUP($A141,Transpose!$A$1:$S$859,Cleaned!P$1)</f>
        <v>282</v>
      </c>
      <c r="Q141">
        <f>VLOOKUP($A141,Transpose!$A$1:$S$859,Cleaned!Q$1)</f>
        <v>21</v>
      </c>
      <c r="R141">
        <f>VLOOKUP($A141,Transpose!$A$1:$S$859,Cleaned!R$1)</f>
        <v>1</v>
      </c>
      <c r="S141">
        <f>VLOOKUP($A141,Transpose!$A$1:$S$859,Cleaned!S$1)</f>
        <v>167</v>
      </c>
    </row>
    <row r="142" spans="1:19" x14ac:dyDescent="0.25">
      <c r="A142" s="2">
        <f t="shared" si="3"/>
        <v>37104</v>
      </c>
      <c r="B142">
        <f>VLOOKUP($A142,Transpose!$A$1:$S$859,Cleaned!B$1)</f>
        <v>136241</v>
      </c>
      <c r="C142">
        <f>VLOOKUP($A142,Transpose!$A$1:$S$859,Cleaned!C$1)</f>
        <v>130580</v>
      </c>
      <c r="D142">
        <f>VLOOKUP($A142,Transpose!$A$1:$S$859,Cleaned!D$1)</f>
        <v>1914</v>
      </c>
      <c r="E142">
        <f>VLOOKUP($A142,Transpose!$A$1:$S$859,Cleaned!E$1)</f>
        <v>3663</v>
      </c>
      <c r="F142">
        <f>VLOOKUP($A142,Transpose!$A$1:$S$859,Cleaned!F$1)</f>
        <v>85</v>
      </c>
      <c r="G142">
        <f>VLOOKUP($A142,Transpose!$A$1:$S$859,Cleaned!G$1)</f>
        <v>7042</v>
      </c>
      <c r="H142">
        <f>VLOOKUP($A142,Transpose!$A$1:$S$859,Cleaned!H$1)</f>
        <v>1946</v>
      </c>
      <c r="I142">
        <f>VLOOKUP($A142,Transpose!$A$1:$S$859,Cleaned!I$1)</f>
        <v>3214</v>
      </c>
      <c r="J142">
        <f>VLOOKUP($A142,Transpose!$A$1:$S$859,Cleaned!J$1)</f>
        <v>1861</v>
      </c>
      <c r="K142">
        <f>VLOOKUP($A142,Transpose!$A$1:$S$859,Cleaned!K$1)</f>
        <v>21</v>
      </c>
      <c r="L142">
        <f>VLOOKUP($A142,Transpose!$A$1:$S$859,Cleaned!L$1)</f>
        <v>72136</v>
      </c>
      <c r="M142">
        <f>VLOOKUP($A142,Transpose!$A$1:$S$859,Cleaned!M$1)</f>
        <v>4523</v>
      </c>
      <c r="N142">
        <f>VLOOKUP($A142,Transpose!$A$1:$S$859,Cleaned!N$1)</f>
        <v>1454</v>
      </c>
      <c r="O142">
        <f>VLOOKUP($A142,Transpose!$A$1:$S$859,Cleaned!O$1)</f>
        <v>65834</v>
      </c>
      <c r="P142">
        <f>VLOOKUP($A142,Transpose!$A$1:$S$859,Cleaned!P$1)</f>
        <v>326</v>
      </c>
      <c r="Q142">
        <f>VLOOKUP($A142,Transpose!$A$1:$S$859,Cleaned!Q$1)</f>
        <v>22</v>
      </c>
      <c r="R142">
        <f>VLOOKUP($A142,Transpose!$A$1:$S$859,Cleaned!R$1)</f>
        <v>2</v>
      </c>
      <c r="S142">
        <f>VLOOKUP($A142,Transpose!$A$1:$S$859,Cleaned!S$1)</f>
        <v>168</v>
      </c>
    </row>
    <row r="143" spans="1:19" x14ac:dyDescent="0.25">
      <c r="A143" s="2">
        <f t="shared" si="3"/>
        <v>37135</v>
      </c>
      <c r="B143">
        <f>VLOOKUP($A143,Transpose!$A$1:$S$859,Cleaned!B$1)</f>
        <v>136846</v>
      </c>
      <c r="C143">
        <f>VLOOKUP($A143,Transpose!$A$1:$S$859,Cleaned!C$1)</f>
        <v>130558</v>
      </c>
      <c r="D143">
        <f>VLOOKUP($A143,Transpose!$A$1:$S$859,Cleaned!D$1)</f>
        <v>2045</v>
      </c>
      <c r="E143">
        <f>VLOOKUP($A143,Transpose!$A$1:$S$859,Cleaned!E$1)</f>
        <v>4124</v>
      </c>
      <c r="F143">
        <f>VLOOKUP($A143,Transpose!$A$1:$S$859,Cleaned!F$1)</f>
        <v>119</v>
      </c>
      <c r="G143">
        <f>VLOOKUP($A143,Transpose!$A$1:$S$859,Cleaned!G$1)</f>
        <v>7142</v>
      </c>
      <c r="H143">
        <f>VLOOKUP($A143,Transpose!$A$1:$S$859,Cleaned!H$1)</f>
        <v>1823</v>
      </c>
      <c r="I143">
        <f>VLOOKUP($A143,Transpose!$A$1:$S$859,Cleaned!I$1)</f>
        <v>3446</v>
      </c>
      <c r="J143">
        <f>VLOOKUP($A143,Transpose!$A$1:$S$859,Cleaned!J$1)</f>
        <v>1856</v>
      </c>
      <c r="K143">
        <f>VLOOKUP($A143,Transpose!$A$1:$S$859,Cleaned!K$1)</f>
        <v>17</v>
      </c>
      <c r="L143">
        <f>VLOOKUP($A143,Transpose!$A$1:$S$859,Cleaned!L$1)</f>
        <v>71676</v>
      </c>
      <c r="M143">
        <f>VLOOKUP($A143,Transpose!$A$1:$S$859,Cleaned!M$1)</f>
        <v>3839</v>
      </c>
      <c r="N143">
        <f>VLOOKUP($A143,Transpose!$A$1:$S$859,Cleaned!N$1)</f>
        <v>1550</v>
      </c>
      <c r="O143">
        <f>VLOOKUP($A143,Transpose!$A$1:$S$859,Cleaned!O$1)</f>
        <v>65989</v>
      </c>
      <c r="P143">
        <f>VLOOKUP($A143,Transpose!$A$1:$S$859,Cleaned!P$1)</f>
        <v>300</v>
      </c>
      <c r="Q143">
        <f>VLOOKUP($A143,Transpose!$A$1:$S$859,Cleaned!Q$1)</f>
        <v>21</v>
      </c>
      <c r="R143">
        <f>VLOOKUP($A143,Transpose!$A$1:$S$859,Cleaned!R$1)</f>
        <v>1</v>
      </c>
      <c r="S143">
        <f>VLOOKUP($A143,Transpose!$A$1:$S$859,Cleaned!S$1)</f>
        <v>168</v>
      </c>
    </row>
    <row r="144" spans="1:19" x14ac:dyDescent="0.25">
      <c r="A144" s="2">
        <f t="shared" si="3"/>
        <v>37165</v>
      </c>
      <c r="B144">
        <f>VLOOKUP($A144,Transpose!$A$1:$S$859,Cleaned!B$1)</f>
        <v>136392</v>
      </c>
      <c r="C144">
        <f>VLOOKUP($A144,Transpose!$A$1:$S$859,Cleaned!C$1)</f>
        <v>130909</v>
      </c>
      <c r="D144">
        <f>VLOOKUP($A144,Transpose!$A$1:$S$859,Cleaned!D$1)</f>
        <v>1933</v>
      </c>
      <c r="E144">
        <f>VLOOKUP($A144,Transpose!$A$1:$S$859,Cleaned!E$1)</f>
        <v>3416</v>
      </c>
      <c r="F144">
        <f>VLOOKUP($A144,Transpose!$A$1:$S$859,Cleaned!F$1)</f>
        <v>134</v>
      </c>
      <c r="G144">
        <f>VLOOKUP($A144,Transpose!$A$1:$S$859,Cleaned!G$1)</f>
        <v>7694</v>
      </c>
      <c r="H144">
        <f>VLOOKUP($A144,Transpose!$A$1:$S$859,Cleaned!H$1)</f>
        <v>2025</v>
      </c>
      <c r="I144">
        <f>VLOOKUP($A144,Transpose!$A$1:$S$859,Cleaned!I$1)</f>
        <v>3646</v>
      </c>
      <c r="J144">
        <f>VLOOKUP($A144,Transpose!$A$1:$S$859,Cleaned!J$1)</f>
        <v>1989</v>
      </c>
      <c r="K144">
        <f>VLOOKUP($A144,Transpose!$A$1:$S$859,Cleaned!K$1)</f>
        <v>34</v>
      </c>
      <c r="L144">
        <f>VLOOKUP($A144,Transpose!$A$1:$S$859,Cleaned!L$1)</f>
        <v>71817</v>
      </c>
      <c r="M144">
        <f>VLOOKUP($A144,Transpose!$A$1:$S$859,Cleaned!M$1)</f>
        <v>3890</v>
      </c>
      <c r="N144">
        <f>VLOOKUP($A144,Transpose!$A$1:$S$859,Cleaned!N$1)</f>
        <v>1562</v>
      </c>
      <c r="O144">
        <f>VLOOKUP($A144,Transpose!$A$1:$S$859,Cleaned!O$1)</f>
        <v>66104</v>
      </c>
      <c r="P144">
        <f>VLOOKUP($A144,Transpose!$A$1:$S$859,Cleaned!P$1)</f>
        <v>261</v>
      </c>
      <c r="Q144">
        <f>VLOOKUP($A144,Transpose!$A$1:$S$859,Cleaned!Q$1)</f>
        <v>21</v>
      </c>
      <c r="R144">
        <f>VLOOKUP($A144,Transpose!$A$1:$S$859,Cleaned!R$1)</f>
        <v>1</v>
      </c>
      <c r="S144">
        <f>VLOOKUP($A144,Transpose!$A$1:$S$859,Cleaned!S$1)</f>
        <v>168</v>
      </c>
    </row>
    <row r="145" spans="1:19" x14ac:dyDescent="0.25">
      <c r="A145" s="2">
        <f t="shared" si="3"/>
        <v>37196</v>
      </c>
      <c r="B145">
        <f>VLOOKUP($A145,Transpose!$A$1:$S$859,Cleaned!B$1)</f>
        <v>136238</v>
      </c>
      <c r="C145">
        <f>VLOOKUP($A145,Transpose!$A$1:$S$859,Cleaned!C$1)</f>
        <v>130534</v>
      </c>
      <c r="D145">
        <f>VLOOKUP($A145,Transpose!$A$1:$S$859,Cleaned!D$1)</f>
        <v>2121</v>
      </c>
      <c r="E145">
        <f>VLOOKUP($A145,Transpose!$A$1:$S$859,Cleaned!E$1)</f>
        <v>3528</v>
      </c>
      <c r="F145">
        <f>VLOOKUP($A145,Transpose!$A$1:$S$859,Cleaned!F$1)</f>
        <v>55</v>
      </c>
      <c r="G145">
        <f>VLOOKUP($A145,Transpose!$A$1:$S$859,Cleaned!G$1)</f>
        <v>8003</v>
      </c>
      <c r="H145">
        <f>VLOOKUP($A145,Transpose!$A$1:$S$859,Cleaned!H$1)</f>
        <v>2109</v>
      </c>
      <c r="I145">
        <f>VLOOKUP($A145,Transpose!$A$1:$S$859,Cleaned!I$1)</f>
        <v>3948</v>
      </c>
      <c r="J145">
        <f>VLOOKUP($A145,Transpose!$A$1:$S$859,Cleaned!J$1)</f>
        <v>1917</v>
      </c>
      <c r="K145">
        <f>VLOOKUP($A145,Transpose!$A$1:$S$859,Cleaned!K$1)</f>
        <v>29</v>
      </c>
      <c r="L145">
        <f>VLOOKUP($A145,Transpose!$A$1:$S$859,Cleaned!L$1)</f>
        <v>71876</v>
      </c>
      <c r="M145">
        <f>VLOOKUP($A145,Transpose!$A$1:$S$859,Cleaned!M$1)</f>
        <v>3719</v>
      </c>
      <c r="N145">
        <f>VLOOKUP($A145,Transpose!$A$1:$S$859,Cleaned!N$1)</f>
        <v>1624</v>
      </c>
      <c r="O145">
        <f>VLOOKUP($A145,Transpose!$A$1:$S$859,Cleaned!O$1)</f>
        <v>66199</v>
      </c>
      <c r="P145">
        <f>VLOOKUP($A145,Transpose!$A$1:$S$859,Cleaned!P$1)</f>
        <v>334</v>
      </c>
      <c r="Q145">
        <f>VLOOKUP($A145,Transpose!$A$1:$S$859,Cleaned!Q$1)</f>
        <v>30</v>
      </c>
      <c r="R145">
        <f>VLOOKUP($A145,Transpose!$A$1:$S$859,Cleaned!R$1)</f>
        <v>2</v>
      </c>
      <c r="S145">
        <f>VLOOKUP($A145,Transpose!$A$1:$S$859,Cleaned!S$1)</f>
        <v>172</v>
      </c>
    </row>
    <row r="146" spans="1:19" x14ac:dyDescent="0.25">
      <c r="A146" s="2">
        <f t="shared" si="3"/>
        <v>37226</v>
      </c>
      <c r="B146">
        <f>VLOOKUP($A146,Transpose!$A$1:$S$859,Cleaned!B$1)</f>
        <v>136047</v>
      </c>
      <c r="C146">
        <f>VLOOKUP($A146,Transpose!$A$1:$S$859,Cleaned!C$1)</f>
        <v>130347</v>
      </c>
      <c r="D146">
        <f>VLOOKUP($A146,Transpose!$A$1:$S$859,Cleaned!D$1)</f>
        <v>2109</v>
      </c>
      <c r="E146">
        <f>VLOOKUP($A146,Transpose!$A$1:$S$859,Cleaned!E$1)</f>
        <v>3505</v>
      </c>
      <c r="F146">
        <f>VLOOKUP($A146,Transpose!$A$1:$S$859,Cleaned!F$1)</f>
        <v>85</v>
      </c>
      <c r="G146">
        <f>VLOOKUP($A146,Transpose!$A$1:$S$859,Cleaned!G$1)</f>
        <v>8258</v>
      </c>
      <c r="H146">
        <f>VLOOKUP($A146,Transpose!$A$1:$S$859,Cleaned!H$1)</f>
        <v>1986</v>
      </c>
      <c r="I146">
        <f>VLOOKUP($A146,Transpose!$A$1:$S$859,Cleaned!I$1)</f>
        <v>4213</v>
      </c>
      <c r="J146">
        <f>VLOOKUP($A146,Transpose!$A$1:$S$859,Cleaned!J$1)</f>
        <v>2036</v>
      </c>
      <c r="K146">
        <f>VLOOKUP($A146,Transpose!$A$1:$S$859,Cleaned!K$1)</f>
        <v>23</v>
      </c>
      <c r="L146">
        <f>VLOOKUP($A146,Transpose!$A$1:$S$859,Cleaned!L$1)</f>
        <v>72010</v>
      </c>
      <c r="M146">
        <f>VLOOKUP($A146,Transpose!$A$1:$S$859,Cleaned!M$1)</f>
        <v>3883</v>
      </c>
      <c r="N146">
        <f>VLOOKUP($A146,Transpose!$A$1:$S$859,Cleaned!N$1)</f>
        <v>1680</v>
      </c>
      <c r="O146">
        <f>VLOOKUP($A146,Transpose!$A$1:$S$859,Cleaned!O$1)</f>
        <v>66167</v>
      </c>
      <c r="P146">
        <f>VLOOKUP($A146,Transpose!$A$1:$S$859,Cleaned!P$1)</f>
        <v>281</v>
      </c>
      <c r="Q146">
        <f>VLOOKUP($A146,Transpose!$A$1:$S$859,Cleaned!Q$1)</f>
        <v>21</v>
      </c>
      <c r="R146">
        <f>VLOOKUP($A146,Transpose!$A$1:$S$859,Cleaned!R$1)</f>
        <v>1</v>
      </c>
      <c r="S146">
        <f>VLOOKUP($A146,Transpose!$A$1:$S$859,Cleaned!S$1)</f>
        <v>168</v>
      </c>
    </row>
    <row r="147" spans="1:19" x14ac:dyDescent="0.25">
      <c r="A147" s="2">
        <f t="shared" si="3"/>
        <v>37257</v>
      </c>
      <c r="B147">
        <f>VLOOKUP($A147,Transpose!$A$1:$S$859,Cleaned!B$1)</f>
        <v>135701</v>
      </c>
      <c r="C147">
        <f>VLOOKUP($A147,Transpose!$A$1:$S$859,Cleaned!C$1)</f>
        <v>129970</v>
      </c>
      <c r="D147">
        <f>VLOOKUP($A147,Transpose!$A$1:$S$859,Cleaned!D$1)</f>
        <v>2109</v>
      </c>
      <c r="E147">
        <f>VLOOKUP($A147,Transpose!$A$1:$S$859,Cleaned!E$1)</f>
        <v>3558</v>
      </c>
      <c r="F147">
        <f>VLOOKUP($A147,Transpose!$A$1:$S$859,Cleaned!F$1)</f>
        <v>64</v>
      </c>
      <c r="G147">
        <f>VLOOKUP($A147,Transpose!$A$1:$S$859,Cleaned!G$1)</f>
        <v>8182</v>
      </c>
      <c r="H147">
        <f>VLOOKUP($A147,Transpose!$A$1:$S$859,Cleaned!H$1)</f>
        <v>2130</v>
      </c>
      <c r="I147">
        <f>VLOOKUP($A147,Transpose!$A$1:$S$859,Cleaned!I$1)</f>
        <v>4350</v>
      </c>
      <c r="J147">
        <f>VLOOKUP($A147,Transpose!$A$1:$S$859,Cleaned!J$1)</f>
        <v>1687</v>
      </c>
      <c r="K147">
        <f>VLOOKUP($A147,Transpose!$A$1:$S$859,Cleaned!K$1)</f>
        <v>15</v>
      </c>
      <c r="L147">
        <f>VLOOKUP($A147,Transpose!$A$1:$S$859,Cleaned!L$1)</f>
        <v>72623</v>
      </c>
      <c r="M147">
        <f>VLOOKUP($A147,Transpose!$A$1:$S$859,Cleaned!M$1)</f>
        <v>3897</v>
      </c>
      <c r="N147">
        <f>VLOOKUP($A147,Transpose!$A$1:$S$859,Cleaned!N$1)</f>
        <v>1796</v>
      </c>
      <c r="O147">
        <f>VLOOKUP($A147,Transpose!$A$1:$S$859,Cleaned!O$1)</f>
        <v>66587</v>
      </c>
      <c r="P147">
        <f>VLOOKUP($A147,Transpose!$A$1:$S$859,Cleaned!P$1)</f>
        <v>343</v>
      </c>
      <c r="Q147">
        <f>VLOOKUP($A147,Transpose!$A$1:$S$859,Cleaned!Q$1)</f>
        <v>49</v>
      </c>
      <c r="R147">
        <f>VLOOKUP($A147,Transpose!$A$1:$S$859,Cleaned!R$1)</f>
        <v>3</v>
      </c>
      <c r="S147">
        <f>VLOOKUP($A147,Transpose!$A$1:$S$859,Cleaned!S$1)</f>
        <v>179</v>
      </c>
    </row>
    <row r="148" spans="1:19" x14ac:dyDescent="0.25">
      <c r="A148" s="2">
        <f t="shared" si="3"/>
        <v>37288</v>
      </c>
      <c r="B148">
        <f>VLOOKUP($A148,Transpose!$A$1:$S$859,Cleaned!B$1)</f>
        <v>136438</v>
      </c>
      <c r="C148">
        <f>VLOOKUP($A148,Transpose!$A$1:$S$859,Cleaned!C$1)</f>
        <v>130289</v>
      </c>
      <c r="D148">
        <f>VLOOKUP($A148,Transpose!$A$1:$S$859,Cleaned!D$1)</f>
        <v>2332</v>
      </c>
      <c r="E148">
        <f>VLOOKUP($A148,Transpose!$A$1:$S$859,Cleaned!E$1)</f>
        <v>3766</v>
      </c>
      <c r="F148">
        <f>VLOOKUP($A148,Transpose!$A$1:$S$859,Cleaned!F$1)</f>
        <v>52</v>
      </c>
      <c r="G148">
        <f>VLOOKUP($A148,Transpose!$A$1:$S$859,Cleaned!G$1)</f>
        <v>8215</v>
      </c>
      <c r="H148">
        <f>VLOOKUP($A148,Transpose!$A$1:$S$859,Cleaned!H$1)</f>
        <v>1950</v>
      </c>
      <c r="I148">
        <f>VLOOKUP($A148,Transpose!$A$1:$S$859,Cleaned!I$1)</f>
        <v>4240</v>
      </c>
      <c r="J148">
        <f>VLOOKUP($A148,Transpose!$A$1:$S$859,Cleaned!J$1)</f>
        <v>2013</v>
      </c>
      <c r="K148">
        <f>VLOOKUP($A148,Transpose!$A$1:$S$859,Cleaned!K$1)</f>
        <v>12</v>
      </c>
      <c r="L148">
        <f>VLOOKUP($A148,Transpose!$A$1:$S$859,Cleaned!L$1)</f>
        <v>72010</v>
      </c>
      <c r="M148">
        <f>VLOOKUP($A148,Transpose!$A$1:$S$859,Cleaned!M$1)</f>
        <v>3419</v>
      </c>
      <c r="N148">
        <f>VLOOKUP($A148,Transpose!$A$1:$S$859,Cleaned!N$1)</f>
        <v>1608</v>
      </c>
      <c r="O148">
        <f>VLOOKUP($A148,Transpose!$A$1:$S$859,Cleaned!O$1)</f>
        <v>66658</v>
      </c>
      <c r="P148">
        <f>VLOOKUP($A148,Transpose!$A$1:$S$859,Cleaned!P$1)</f>
        <v>325</v>
      </c>
      <c r="Q148">
        <f>VLOOKUP($A148,Transpose!$A$1:$S$859,Cleaned!Q$1)</f>
        <v>44</v>
      </c>
      <c r="R148">
        <f>VLOOKUP($A148,Transpose!$A$1:$S$859,Cleaned!R$1)</f>
        <v>3</v>
      </c>
      <c r="S148">
        <f>VLOOKUP($A148,Transpose!$A$1:$S$859,Cleaned!S$1)</f>
        <v>185</v>
      </c>
    </row>
    <row r="149" spans="1:19" x14ac:dyDescent="0.25">
      <c r="A149" s="2">
        <f t="shared" si="3"/>
        <v>37316</v>
      </c>
      <c r="B149">
        <f>VLOOKUP($A149,Transpose!$A$1:$S$859,Cleaned!B$1)</f>
        <v>136177</v>
      </c>
      <c r="C149">
        <f>VLOOKUP($A149,Transpose!$A$1:$S$859,Cleaned!C$1)</f>
        <v>130541</v>
      </c>
      <c r="D149">
        <f>VLOOKUP($A149,Transpose!$A$1:$S$859,Cleaned!D$1)</f>
        <v>2195</v>
      </c>
      <c r="E149">
        <f>VLOOKUP($A149,Transpose!$A$1:$S$859,Cleaned!E$1)</f>
        <v>3360</v>
      </c>
      <c r="F149">
        <f>VLOOKUP($A149,Transpose!$A$1:$S$859,Cleaned!F$1)</f>
        <v>81</v>
      </c>
      <c r="G149">
        <f>VLOOKUP($A149,Transpose!$A$1:$S$859,Cleaned!G$1)</f>
        <v>8304</v>
      </c>
      <c r="H149">
        <f>VLOOKUP($A149,Transpose!$A$1:$S$859,Cleaned!H$1)</f>
        <v>1884</v>
      </c>
      <c r="I149">
        <f>VLOOKUP($A149,Transpose!$A$1:$S$859,Cleaned!I$1)</f>
        <v>4364</v>
      </c>
      <c r="J149">
        <f>VLOOKUP($A149,Transpose!$A$1:$S$859,Cleaned!J$1)</f>
        <v>2029</v>
      </c>
      <c r="K149">
        <f>VLOOKUP($A149,Transpose!$A$1:$S$859,Cleaned!K$1)</f>
        <v>27</v>
      </c>
      <c r="L149">
        <f>VLOOKUP($A149,Transpose!$A$1:$S$859,Cleaned!L$1)</f>
        <v>72343</v>
      </c>
      <c r="M149">
        <f>VLOOKUP($A149,Transpose!$A$1:$S$859,Cleaned!M$1)</f>
        <v>3992</v>
      </c>
      <c r="N149">
        <f>VLOOKUP($A149,Transpose!$A$1:$S$859,Cleaned!N$1)</f>
        <v>1655</v>
      </c>
      <c r="O149">
        <f>VLOOKUP($A149,Transpose!$A$1:$S$859,Cleaned!O$1)</f>
        <v>66452</v>
      </c>
      <c r="P149">
        <f>VLOOKUP($A149,Transpose!$A$1:$S$859,Cleaned!P$1)</f>
        <v>244</v>
      </c>
      <c r="Q149">
        <f>VLOOKUP($A149,Transpose!$A$1:$S$859,Cleaned!Q$1)</f>
        <v>21</v>
      </c>
      <c r="R149">
        <f>VLOOKUP($A149,Transpose!$A$1:$S$859,Cleaned!R$1)</f>
        <v>1</v>
      </c>
      <c r="S149">
        <f>VLOOKUP($A149,Transpose!$A$1:$S$859,Cleaned!S$1)</f>
        <v>169</v>
      </c>
    </row>
    <row r="150" spans="1:19" x14ac:dyDescent="0.25">
      <c r="A150" s="2">
        <f t="shared" si="3"/>
        <v>37347</v>
      </c>
      <c r="B150">
        <f>VLOOKUP($A150,Transpose!$A$1:$S$859,Cleaned!B$1)</f>
        <v>136126</v>
      </c>
      <c r="C150">
        <f>VLOOKUP($A150,Transpose!$A$1:$S$859,Cleaned!C$1)</f>
        <v>130344</v>
      </c>
      <c r="D150">
        <f>VLOOKUP($A150,Transpose!$A$1:$S$859,Cleaned!D$1)</f>
        <v>2085</v>
      </c>
      <c r="E150">
        <f>VLOOKUP($A150,Transpose!$A$1:$S$859,Cleaned!E$1)</f>
        <v>3637</v>
      </c>
      <c r="F150">
        <f>VLOOKUP($A150,Transpose!$A$1:$S$859,Cleaned!F$1)</f>
        <v>61</v>
      </c>
      <c r="G150">
        <f>VLOOKUP($A150,Transpose!$A$1:$S$859,Cleaned!G$1)</f>
        <v>8599</v>
      </c>
      <c r="H150">
        <f>VLOOKUP($A150,Transpose!$A$1:$S$859,Cleaned!H$1)</f>
        <v>2008</v>
      </c>
      <c r="I150">
        <f>VLOOKUP($A150,Transpose!$A$1:$S$859,Cleaned!I$1)</f>
        <v>4567</v>
      </c>
      <c r="J150">
        <f>VLOOKUP($A150,Transpose!$A$1:$S$859,Cleaned!J$1)</f>
        <v>1992</v>
      </c>
      <c r="K150">
        <f>VLOOKUP($A150,Transpose!$A$1:$S$859,Cleaned!K$1)</f>
        <v>32</v>
      </c>
      <c r="L150">
        <f>VLOOKUP($A150,Transpose!$A$1:$S$859,Cleaned!L$1)</f>
        <v>72281</v>
      </c>
      <c r="M150">
        <f>VLOOKUP($A150,Transpose!$A$1:$S$859,Cleaned!M$1)</f>
        <v>3801</v>
      </c>
      <c r="N150">
        <f>VLOOKUP($A150,Transpose!$A$1:$S$859,Cleaned!N$1)</f>
        <v>1651</v>
      </c>
      <c r="O150">
        <f>VLOOKUP($A150,Transpose!$A$1:$S$859,Cleaned!O$1)</f>
        <v>66543</v>
      </c>
      <c r="P150">
        <f>VLOOKUP($A150,Transpose!$A$1:$S$859,Cleaned!P$1)</f>
        <v>286</v>
      </c>
      <c r="Q150">
        <f>VLOOKUP($A150,Transpose!$A$1:$S$859,Cleaned!Q$1)</f>
        <v>24</v>
      </c>
      <c r="R150">
        <f>VLOOKUP($A150,Transpose!$A$1:$S$859,Cleaned!R$1)</f>
        <v>2</v>
      </c>
      <c r="S150">
        <f>VLOOKUP($A150,Transpose!$A$1:$S$859,Cleaned!S$1)</f>
        <v>171</v>
      </c>
    </row>
    <row r="151" spans="1:19" x14ac:dyDescent="0.25">
      <c r="A151" s="2">
        <f t="shared" si="3"/>
        <v>37377</v>
      </c>
      <c r="B151">
        <f>VLOOKUP($A151,Transpose!$A$1:$S$859,Cleaned!B$1)</f>
        <v>136539</v>
      </c>
      <c r="C151">
        <f>VLOOKUP($A151,Transpose!$A$1:$S$859,Cleaned!C$1)</f>
        <v>130487</v>
      </c>
      <c r="D151">
        <f>VLOOKUP($A151,Transpose!$A$1:$S$859,Cleaned!D$1)</f>
        <v>2130</v>
      </c>
      <c r="E151">
        <f>VLOOKUP($A151,Transpose!$A$1:$S$859,Cleaned!E$1)</f>
        <v>3852</v>
      </c>
      <c r="F151">
        <f>VLOOKUP($A151,Transpose!$A$1:$S$859,Cleaned!F$1)</f>
        <v>70</v>
      </c>
      <c r="G151">
        <f>VLOOKUP($A151,Transpose!$A$1:$S$859,Cleaned!G$1)</f>
        <v>8399</v>
      </c>
      <c r="H151">
        <f>VLOOKUP($A151,Transpose!$A$1:$S$859,Cleaned!H$1)</f>
        <v>1797</v>
      </c>
      <c r="I151">
        <f>VLOOKUP($A151,Transpose!$A$1:$S$859,Cleaned!I$1)</f>
        <v>4653</v>
      </c>
      <c r="J151">
        <f>VLOOKUP($A151,Transpose!$A$1:$S$859,Cleaned!J$1)</f>
        <v>1927</v>
      </c>
      <c r="K151">
        <f>VLOOKUP($A151,Transpose!$A$1:$S$859,Cleaned!K$1)</f>
        <v>22</v>
      </c>
      <c r="L151">
        <f>VLOOKUP($A151,Transpose!$A$1:$S$859,Cleaned!L$1)</f>
        <v>72260</v>
      </c>
      <c r="M151">
        <f>VLOOKUP($A151,Transpose!$A$1:$S$859,Cleaned!M$1)</f>
        <v>3817</v>
      </c>
      <c r="N151">
        <f>VLOOKUP($A151,Transpose!$A$1:$S$859,Cleaned!N$1)</f>
        <v>1814</v>
      </c>
      <c r="O151">
        <f>VLOOKUP($A151,Transpose!$A$1:$S$859,Cleaned!O$1)</f>
        <v>66331</v>
      </c>
      <c r="P151">
        <f>VLOOKUP($A151,Transpose!$A$1:$S$859,Cleaned!P$1)</f>
        <v>298</v>
      </c>
      <c r="Q151">
        <f>VLOOKUP($A151,Transpose!$A$1:$S$859,Cleaned!Q$1)</f>
        <v>25</v>
      </c>
      <c r="R151">
        <f>VLOOKUP($A151,Transpose!$A$1:$S$859,Cleaned!R$1)</f>
        <v>2</v>
      </c>
      <c r="S151">
        <f>VLOOKUP($A151,Transpose!$A$1:$S$859,Cleaned!S$1)</f>
        <v>172</v>
      </c>
    </row>
    <row r="152" spans="1:19" x14ac:dyDescent="0.25">
      <c r="A152" s="2">
        <f t="shared" si="3"/>
        <v>37408</v>
      </c>
      <c r="B152">
        <f>VLOOKUP($A152,Transpose!$A$1:$S$859,Cleaned!B$1)</f>
        <v>136415</v>
      </c>
      <c r="C152">
        <f>VLOOKUP($A152,Transpose!$A$1:$S$859,Cleaned!C$1)</f>
        <v>130541</v>
      </c>
      <c r="D152">
        <f>VLOOKUP($A152,Transpose!$A$1:$S$859,Cleaned!D$1)</f>
        <v>1997</v>
      </c>
      <c r="E152">
        <f>VLOOKUP($A152,Transpose!$A$1:$S$859,Cleaned!E$1)</f>
        <v>3765</v>
      </c>
      <c r="F152">
        <f>VLOOKUP($A152,Transpose!$A$1:$S$859,Cleaned!F$1)</f>
        <v>111</v>
      </c>
      <c r="G152">
        <f>VLOOKUP($A152,Transpose!$A$1:$S$859,Cleaned!G$1)</f>
        <v>8393</v>
      </c>
      <c r="H152">
        <f>VLOOKUP($A152,Transpose!$A$1:$S$859,Cleaned!H$1)</f>
        <v>1989</v>
      </c>
      <c r="I152">
        <f>VLOOKUP($A152,Transpose!$A$1:$S$859,Cleaned!I$1)</f>
        <v>4614</v>
      </c>
      <c r="J152">
        <f>VLOOKUP($A152,Transpose!$A$1:$S$859,Cleaned!J$1)</f>
        <v>1774</v>
      </c>
      <c r="K152">
        <f>VLOOKUP($A152,Transpose!$A$1:$S$859,Cleaned!K$1)</f>
        <v>17</v>
      </c>
      <c r="L152">
        <f>VLOOKUP($A152,Transpose!$A$1:$S$859,Cleaned!L$1)</f>
        <v>72600</v>
      </c>
      <c r="M152">
        <f>VLOOKUP($A152,Transpose!$A$1:$S$859,Cleaned!M$1)</f>
        <v>3988</v>
      </c>
      <c r="N152">
        <f>VLOOKUP($A152,Transpose!$A$1:$S$859,Cleaned!N$1)</f>
        <v>1786</v>
      </c>
      <c r="O152">
        <f>VLOOKUP($A152,Transpose!$A$1:$S$859,Cleaned!O$1)</f>
        <v>66551</v>
      </c>
      <c r="P152">
        <f>VLOOKUP($A152,Transpose!$A$1:$S$859,Cleaned!P$1)</f>
        <v>274</v>
      </c>
      <c r="Q152">
        <f>VLOOKUP($A152,Transpose!$A$1:$S$859,Cleaned!Q$1)</f>
        <v>21</v>
      </c>
      <c r="R152">
        <f>VLOOKUP($A152,Transpose!$A$1:$S$859,Cleaned!R$1)</f>
        <v>1</v>
      </c>
      <c r="S152">
        <f>VLOOKUP($A152,Transpose!$A$1:$S$859,Cleaned!S$1)</f>
        <v>169</v>
      </c>
    </row>
    <row r="153" spans="1:19" x14ac:dyDescent="0.25">
      <c r="A153" s="2">
        <f t="shared" si="3"/>
        <v>37438</v>
      </c>
      <c r="B153">
        <f>VLOOKUP($A153,Transpose!$A$1:$S$859,Cleaned!B$1)</f>
        <v>136413</v>
      </c>
      <c r="C153">
        <f>VLOOKUP($A153,Transpose!$A$1:$S$859,Cleaned!C$1)</f>
        <v>130737</v>
      </c>
      <c r="D153">
        <f>VLOOKUP($A153,Transpose!$A$1:$S$859,Cleaned!D$1)</f>
        <v>2022</v>
      </c>
      <c r="E153">
        <f>VLOOKUP($A153,Transpose!$A$1:$S$859,Cleaned!E$1)</f>
        <v>3562</v>
      </c>
      <c r="F153">
        <f>VLOOKUP($A153,Transpose!$A$1:$S$859,Cleaned!F$1)</f>
        <v>92</v>
      </c>
      <c r="G153">
        <f>VLOOKUP($A153,Transpose!$A$1:$S$859,Cleaned!G$1)</f>
        <v>8390</v>
      </c>
      <c r="H153">
        <f>VLOOKUP($A153,Transpose!$A$1:$S$859,Cleaned!H$1)</f>
        <v>1935</v>
      </c>
      <c r="I153">
        <f>VLOOKUP($A153,Transpose!$A$1:$S$859,Cleaned!I$1)</f>
        <v>4395</v>
      </c>
      <c r="J153">
        <f>VLOOKUP($A153,Transpose!$A$1:$S$859,Cleaned!J$1)</f>
        <v>2028</v>
      </c>
      <c r="K153">
        <f>VLOOKUP($A153,Transpose!$A$1:$S$859,Cleaned!K$1)</f>
        <v>31</v>
      </c>
      <c r="L153">
        <f>VLOOKUP($A153,Transpose!$A$1:$S$859,Cleaned!L$1)</f>
        <v>72827</v>
      </c>
      <c r="M153">
        <f>VLOOKUP($A153,Transpose!$A$1:$S$859,Cleaned!M$1)</f>
        <v>3721</v>
      </c>
      <c r="N153">
        <f>VLOOKUP($A153,Transpose!$A$1:$S$859,Cleaned!N$1)</f>
        <v>1975</v>
      </c>
      <c r="O153">
        <f>VLOOKUP($A153,Transpose!$A$1:$S$859,Cleaned!O$1)</f>
        <v>66840</v>
      </c>
      <c r="P153">
        <f>VLOOKUP($A153,Transpose!$A$1:$S$859,Cleaned!P$1)</f>
        <v>291</v>
      </c>
      <c r="Q153">
        <f>VLOOKUP($A153,Transpose!$A$1:$S$859,Cleaned!Q$1)</f>
        <v>21</v>
      </c>
      <c r="R153">
        <f>VLOOKUP($A153,Transpose!$A$1:$S$859,Cleaned!R$1)</f>
        <v>1</v>
      </c>
      <c r="S153">
        <f>VLOOKUP($A153,Transpose!$A$1:$S$859,Cleaned!S$1)</f>
        <v>169</v>
      </c>
    </row>
    <row r="154" spans="1:19" x14ac:dyDescent="0.25">
      <c r="A154" s="2">
        <f t="shared" si="3"/>
        <v>37469</v>
      </c>
      <c r="B154">
        <f>VLOOKUP($A154,Transpose!$A$1:$S$859,Cleaned!B$1)</f>
        <v>136705</v>
      </c>
      <c r="C154">
        <f>VLOOKUP($A154,Transpose!$A$1:$S$859,Cleaned!C$1)</f>
        <v>130755</v>
      </c>
      <c r="D154">
        <f>VLOOKUP($A154,Transpose!$A$1:$S$859,Cleaned!D$1)</f>
        <v>2184</v>
      </c>
      <c r="E154">
        <f>VLOOKUP($A154,Transpose!$A$1:$S$859,Cleaned!E$1)</f>
        <v>3718</v>
      </c>
      <c r="F154">
        <f>VLOOKUP($A154,Transpose!$A$1:$S$859,Cleaned!F$1)</f>
        <v>48</v>
      </c>
      <c r="G154">
        <f>VLOOKUP($A154,Transpose!$A$1:$S$859,Cleaned!G$1)</f>
        <v>8304</v>
      </c>
      <c r="H154">
        <f>VLOOKUP($A154,Transpose!$A$1:$S$859,Cleaned!H$1)</f>
        <v>1934</v>
      </c>
      <c r="I154">
        <f>VLOOKUP($A154,Transpose!$A$1:$S$859,Cleaned!I$1)</f>
        <v>4491</v>
      </c>
      <c r="J154">
        <f>VLOOKUP($A154,Transpose!$A$1:$S$859,Cleaned!J$1)</f>
        <v>1852</v>
      </c>
      <c r="K154">
        <f>VLOOKUP($A154,Transpose!$A$1:$S$859,Cleaned!K$1)</f>
        <v>27</v>
      </c>
      <c r="L154">
        <f>VLOOKUP($A154,Transpose!$A$1:$S$859,Cleaned!L$1)</f>
        <v>72856</v>
      </c>
      <c r="M154">
        <f>VLOOKUP($A154,Transpose!$A$1:$S$859,Cleaned!M$1)</f>
        <v>3682</v>
      </c>
      <c r="N154">
        <f>VLOOKUP($A154,Transpose!$A$1:$S$859,Cleaned!N$1)</f>
        <v>1713</v>
      </c>
      <c r="O154">
        <f>VLOOKUP($A154,Transpose!$A$1:$S$859,Cleaned!O$1)</f>
        <v>67074</v>
      </c>
      <c r="P154">
        <f>VLOOKUP($A154,Transpose!$A$1:$S$859,Cleaned!P$1)</f>
        <v>388</v>
      </c>
      <c r="Q154">
        <f>VLOOKUP($A154,Transpose!$A$1:$S$859,Cleaned!Q$1)</f>
        <v>41</v>
      </c>
      <c r="R154">
        <f>VLOOKUP($A154,Transpose!$A$1:$S$859,Cleaned!R$1)</f>
        <v>3</v>
      </c>
      <c r="S154">
        <f>VLOOKUP($A154,Transpose!$A$1:$S$859,Cleaned!S$1)</f>
        <v>183</v>
      </c>
    </row>
    <row r="155" spans="1:19" x14ac:dyDescent="0.25">
      <c r="A155" s="2">
        <f t="shared" si="3"/>
        <v>37500</v>
      </c>
      <c r="B155">
        <f>VLOOKUP($A155,Transpose!$A$1:$S$859,Cleaned!B$1)</f>
        <v>137302</v>
      </c>
      <c r="C155">
        <f>VLOOKUP($A155,Transpose!$A$1:$S$859,Cleaned!C$1)</f>
        <v>131393</v>
      </c>
      <c r="D155">
        <f>VLOOKUP($A155,Transpose!$A$1:$S$859,Cleaned!D$1)</f>
        <v>2178</v>
      </c>
      <c r="E155">
        <f>VLOOKUP($A155,Transpose!$A$1:$S$859,Cleaned!E$1)</f>
        <v>3611</v>
      </c>
      <c r="F155">
        <f>VLOOKUP($A155,Transpose!$A$1:$S$859,Cleaned!F$1)</f>
        <v>119</v>
      </c>
      <c r="G155">
        <f>VLOOKUP($A155,Transpose!$A$1:$S$859,Cleaned!G$1)</f>
        <v>8251</v>
      </c>
      <c r="H155">
        <f>VLOOKUP($A155,Transpose!$A$1:$S$859,Cleaned!H$1)</f>
        <v>1878</v>
      </c>
      <c r="I155">
        <f>VLOOKUP($A155,Transpose!$A$1:$S$859,Cleaned!I$1)</f>
        <v>4411</v>
      </c>
      <c r="J155">
        <f>VLOOKUP($A155,Transpose!$A$1:$S$859,Cleaned!J$1)</f>
        <v>1948</v>
      </c>
      <c r="K155">
        <f>VLOOKUP($A155,Transpose!$A$1:$S$859,Cleaned!K$1)</f>
        <v>15</v>
      </c>
      <c r="L155">
        <f>VLOOKUP($A155,Transpose!$A$1:$S$859,Cleaned!L$1)</f>
        <v>72554</v>
      </c>
      <c r="M155">
        <f>VLOOKUP($A155,Transpose!$A$1:$S$859,Cleaned!M$1)</f>
        <v>3413</v>
      </c>
      <c r="N155">
        <f>VLOOKUP($A155,Transpose!$A$1:$S$859,Cleaned!N$1)</f>
        <v>1714</v>
      </c>
      <c r="O155">
        <f>VLOOKUP($A155,Transpose!$A$1:$S$859,Cleaned!O$1)</f>
        <v>67128</v>
      </c>
      <c r="P155">
        <f>VLOOKUP($A155,Transpose!$A$1:$S$859,Cleaned!P$1)</f>
        <v>300</v>
      </c>
      <c r="Q155">
        <f>VLOOKUP($A155,Transpose!$A$1:$S$859,Cleaned!Q$1)</f>
        <v>21</v>
      </c>
      <c r="R155">
        <f>VLOOKUP($A155,Transpose!$A$1:$S$859,Cleaned!R$1)</f>
        <v>1</v>
      </c>
      <c r="S155">
        <f>VLOOKUP($A155,Transpose!$A$1:$S$859,Cleaned!S$1)</f>
        <v>170</v>
      </c>
    </row>
    <row r="156" spans="1:19" x14ac:dyDescent="0.25">
      <c r="A156" s="2">
        <f t="shared" si="3"/>
        <v>37530</v>
      </c>
      <c r="B156">
        <f>VLOOKUP($A156,Transpose!$A$1:$S$859,Cleaned!B$1)</f>
        <v>137008</v>
      </c>
      <c r="C156">
        <f>VLOOKUP($A156,Transpose!$A$1:$S$859,Cleaned!C$1)</f>
        <v>131300</v>
      </c>
      <c r="D156">
        <f>VLOOKUP($A156,Transpose!$A$1:$S$859,Cleaned!D$1)</f>
        <v>2041</v>
      </c>
      <c r="E156">
        <f>VLOOKUP($A156,Transpose!$A$1:$S$859,Cleaned!E$1)</f>
        <v>3604</v>
      </c>
      <c r="F156">
        <f>VLOOKUP($A156,Transpose!$A$1:$S$859,Cleaned!F$1)</f>
        <v>63</v>
      </c>
      <c r="G156">
        <f>VLOOKUP($A156,Transpose!$A$1:$S$859,Cleaned!G$1)</f>
        <v>8307</v>
      </c>
      <c r="H156">
        <f>VLOOKUP($A156,Transpose!$A$1:$S$859,Cleaned!H$1)</f>
        <v>2004</v>
      </c>
      <c r="I156">
        <f>VLOOKUP($A156,Transpose!$A$1:$S$859,Cleaned!I$1)</f>
        <v>4429</v>
      </c>
      <c r="J156">
        <f>VLOOKUP($A156,Transpose!$A$1:$S$859,Cleaned!J$1)</f>
        <v>1842</v>
      </c>
      <c r="K156">
        <f>VLOOKUP($A156,Transpose!$A$1:$S$859,Cleaned!K$1)</f>
        <v>31</v>
      </c>
      <c r="L156">
        <f>VLOOKUP($A156,Transpose!$A$1:$S$859,Cleaned!L$1)</f>
        <v>73026</v>
      </c>
      <c r="M156">
        <f>VLOOKUP($A156,Transpose!$A$1:$S$859,Cleaned!M$1)</f>
        <v>3956</v>
      </c>
      <c r="N156">
        <f>VLOOKUP($A156,Transpose!$A$1:$S$859,Cleaned!N$1)</f>
        <v>1778</v>
      </c>
      <c r="O156">
        <f>VLOOKUP($A156,Transpose!$A$1:$S$859,Cleaned!O$1)</f>
        <v>66931</v>
      </c>
      <c r="P156">
        <f>VLOOKUP($A156,Transpose!$A$1:$S$859,Cleaned!P$1)</f>
        <v>360</v>
      </c>
      <c r="Q156">
        <f>VLOOKUP($A156,Transpose!$A$1:$S$859,Cleaned!Q$1)</f>
        <v>41</v>
      </c>
      <c r="R156">
        <f>VLOOKUP($A156,Transpose!$A$1:$S$859,Cleaned!R$1)</f>
        <v>3</v>
      </c>
      <c r="S156">
        <f>VLOOKUP($A156,Transpose!$A$1:$S$859,Cleaned!S$1)</f>
        <v>177</v>
      </c>
    </row>
    <row r="157" spans="1:19" x14ac:dyDescent="0.25">
      <c r="A157" s="2">
        <f t="shared" si="3"/>
        <v>37561</v>
      </c>
      <c r="B157">
        <f>VLOOKUP($A157,Transpose!$A$1:$S$859,Cleaned!B$1)</f>
        <v>136521</v>
      </c>
      <c r="C157">
        <f>VLOOKUP($A157,Transpose!$A$1:$S$859,Cleaned!C$1)</f>
        <v>130895</v>
      </c>
      <c r="D157">
        <f>VLOOKUP($A157,Transpose!$A$1:$S$859,Cleaned!D$1)</f>
        <v>1959</v>
      </c>
      <c r="E157">
        <f>VLOOKUP($A157,Transpose!$A$1:$S$859,Cleaned!E$1)</f>
        <v>3620</v>
      </c>
      <c r="F157">
        <f>VLOOKUP($A157,Transpose!$A$1:$S$859,Cleaned!F$1)</f>
        <v>47</v>
      </c>
      <c r="G157">
        <f>VLOOKUP($A157,Transpose!$A$1:$S$859,Cleaned!G$1)</f>
        <v>8520</v>
      </c>
      <c r="H157">
        <f>VLOOKUP($A157,Transpose!$A$1:$S$859,Cleaned!H$1)</f>
        <v>2050</v>
      </c>
      <c r="I157">
        <f>VLOOKUP($A157,Transpose!$A$1:$S$859,Cleaned!I$1)</f>
        <v>4527</v>
      </c>
      <c r="J157">
        <f>VLOOKUP($A157,Transpose!$A$1:$S$859,Cleaned!J$1)</f>
        <v>1890</v>
      </c>
      <c r="K157">
        <f>VLOOKUP($A157,Transpose!$A$1:$S$859,Cleaned!K$1)</f>
        <v>53</v>
      </c>
      <c r="L157">
        <f>VLOOKUP($A157,Transpose!$A$1:$S$859,Cleaned!L$1)</f>
        <v>73508</v>
      </c>
      <c r="M157">
        <f>VLOOKUP($A157,Transpose!$A$1:$S$859,Cleaned!M$1)</f>
        <v>4040</v>
      </c>
      <c r="N157">
        <f>VLOOKUP($A157,Transpose!$A$1:$S$859,Cleaned!N$1)</f>
        <v>1819</v>
      </c>
      <c r="O157">
        <f>VLOOKUP($A157,Transpose!$A$1:$S$859,Cleaned!O$1)</f>
        <v>67344</v>
      </c>
      <c r="P157">
        <f>VLOOKUP($A157,Transpose!$A$1:$S$859,Cleaned!P$1)</f>
        <v>306</v>
      </c>
      <c r="Q157">
        <f>VLOOKUP($A157,Transpose!$A$1:$S$859,Cleaned!Q$1)</f>
        <v>24</v>
      </c>
      <c r="R157">
        <f>VLOOKUP($A157,Transpose!$A$1:$S$859,Cleaned!R$1)</f>
        <v>2</v>
      </c>
      <c r="S157">
        <f>VLOOKUP($A157,Transpose!$A$1:$S$859,Cleaned!S$1)</f>
        <v>172</v>
      </c>
    </row>
    <row r="158" spans="1:19" x14ac:dyDescent="0.25">
      <c r="A158" s="2">
        <f t="shared" si="3"/>
        <v>37591</v>
      </c>
      <c r="B158">
        <f>VLOOKUP($A158,Transpose!$A$1:$S$859,Cleaned!B$1)</f>
        <v>136426</v>
      </c>
      <c r="C158">
        <f>VLOOKUP($A158,Transpose!$A$1:$S$859,Cleaned!C$1)</f>
        <v>130887</v>
      </c>
      <c r="D158">
        <f>VLOOKUP($A158,Transpose!$A$1:$S$859,Cleaned!D$1)</f>
        <v>1977</v>
      </c>
      <c r="E158">
        <f>VLOOKUP($A158,Transpose!$A$1:$S$859,Cleaned!E$1)</f>
        <v>3445</v>
      </c>
      <c r="F158">
        <f>VLOOKUP($A158,Transpose!$A$1:$S$859,Cleaned!F$1)</f>
        <v>117</v>
      </c>
      <c r="G158">
        <f>VLOOKUP($A158,Transpose!$A$1:$S$859,Cleaned!G$1)</f>
        <v>8640</v>
      </c>
      <c r="H158">
        <f>VLOOKUP($A158,Transpose!$A$1:$S$859,Cleaned!H$1)</f>
        <v>1911</v>
      </c>
      <c r="I158">
        <f>VLOOKUP($A158,Transpose!$A$1:$S$859,Cleaned!I$1)</f>
        <v>4764</v>
      </c>
      <c r="J158">
        <f>VLOOKUP($A158,Transpose!$A$1:$S$859,Cleaned!J$1)</f>
        <v>1951</v>
      </c>
      <c r="K158">
        <f>VLOOKUP($A158,Transpose!$A$1:$S$859,Cleaned!K$1)</f>
        <v>14</v>
      </c>
      <c r="L158">
        <f>VLOOKUP($A158,Transpose!$A$1:$S$859,Cleaned!L$1)</f>
        <v>73675</v>
      </c>
      <c r="M158">
        <f>VLOOKUP($A158,Transpose!$A$1:$S$859,Cleaned!M$1)</f>
        <v>3701</v>
      </c>
      <c r="N158">
        <f>VLOOKUP($A158,Transpose!$A$1:$S$859,Cleaned!N$1)</f>
        <v>1777</v>
      </c>
      <c r="O158">
        <f>VLOOKUP($A158,Transpose!$A$1:$S$859,Cleaned!O$1)</f>
        <v>67941</v>
      </c>
      <c r="P158">
        <f>VLOOKUP($A158,Transpose!$A$1:$S$859,Cleaned!P$1)</f>
        <v>255</v>
      </c>
      <c r="Q158">
        <f>VLOOKUP($A158,Transpose!$A$1:$S$859,Cleaned!Q$1)</f>
        <v>21</v>
      </c>
      <c r="R158">
        <f>VLOOKUP($A158,Transpose!$A$1:$S$859,Cleaned!R$1)</f>
        <v>1</v>
      </c>
      <c r="S158">
        <f>VLOOKUP($A158,Transpose!$A$1:$S$859,Cleaned!S$1)</f>
        <v>170</v>
      </c>
    </row>
    <row r="159" spans="1:19" x14ac:dyDescent="0.25">
      <c r="A159" s="2">
        <f t="shared" si="3"/>
        <v>37622</v>
      </c>
      <c r="B159">
        <f>VLOOKUP($A159,Transpose!$A$1:$S$859,Cleaned!B$1)</f>
        <v>137417</v>
      </c>
      <c r="C159">
        <f>VLOOKUP($A159,Transpose!$A$1:$S$859,Cleaned!C$1)</f>
        <v>130692</v>
      </c>
      <c r="D159">
        <f>VLOOKUP($A159,Transpose!$A$1:$S$859,Cleaned!D$1)</f>
        <v>2176</v>
      </c>
      <c r="E159">
        <f>VLOOKUP($A159,Transpose!$A$1:$S$859,Cleaned!E$1)</f>
        <v>3902</v>
      </c>
      <c r="F159">
        <f>VLOOKUP($A159,Transpose!$A$1:$S$859,Cleaned!F$1)</f>
        <v>647</v>
      </c>
      <c r="G159">
        <f>VLOOKUP($A159,Transpose!$A$1:$S$859,Cleaned!G$1)</f>
        <v>8520</v>
      </c>
      <c r="H159">
        <f>VLOOKUP($A159,Transpose!$A$1:$S$859,Cleaned!H$1)</f>
        <v>2008</v>
      </c>
      <c r="I159">
        <f>VLOOKUP($A159,Transpose!$A$1:$S$859,Cleaned!I$1)</f>
        <v>4475</v>
      </c>
      <c r="J159">
        <f>VLOOKUP($A159,Transpose!$A$1:$S$859,Cleaned!J$1)</f>
        <v>1958</v>
      </c>
      <c r="K159">
        <f>VLOOKUP($A159,Transpose!$A$1:$S$859,Cleaned!K$1)</f>
        <v>79</v>
      </c>
      <c r="L159">
        <f>VLOOKUP($A159,Transpose!$A$1:$S$859,Cleaned!L$1)</f>
        <v>73960</v>
      </c>
      <c r="M159">
        <f>VLOOKUP($A159,Transpose!$A$1:$S$859,Cleaned!M$1)</f>
        <v>3705</v>
      </c>
      <c r="N159">
        <f>VLOOKUP($A159,Transpose!$A$1:$S$859,Cleaned!N$1)</f>
        <v>1988</v>
      </c>
      <c r="O159">
        <f>VLOOKUP($A159,Transpose!$A$1:$S$859,Cleaned!O$1)</f>
        <v>67645</v>
      </c>
      <c r="P159">
        <f>VLOOKUP($A159,Transpose!$A$1:$S$859,Cleaned!P$1)</f>
        <v>623</v>
      </c>
      <c r="Q159">
        <f>VLOOKUP($A159,Transpose!$A$1:$S$859,Cleaned!Q$1)</f>
        <v>21</v>
      </c>
      <c r="R159">
        <f>VLOOKUP($A159,Transpose!$A$1:$S$859,Cleaned!R$1)</f>
        <v>1</v>
      </c>
      <c r="S159">
        <f>VLOOKUP($A159,Transpose!$A$1:$S$859,Cleaned!S$1)</f>
        <v>170</v>
      </c>
    </row>
    <row r="160" spans="1:19" x14ac:dyDescent="0.25">
      <c r="A160" s="2">
        <f t="shared" si="3"/>
        <v>37653</v>
      </c>
      <c r="B160">
        <f>VLOOKUP($A160,Transpose!$A$1:$S$859,Cleaned!B$1)</f>
        <v>137482</v>
      </c>
      <c r="C160">
        <f>VLOOKUP($A160,Transpose!$A$1:$S$859,Cleaned!C$1)</f>
        <v>131799</v>
      </c>
      <c r="D160">
        <f>VLOOKUP($A160,Transpose!$A$1:$S$859,Cleaned!D$1)</f>
        <v>1966</v>
      </c>
      <c r="E160">
        <f>VLOOKUP($A160,Transpose!$A$1:$S$859,Cleaned!E$1)</f>
        <v>3623</v>
      </c>
      <c r="F160">
        <f>VLOOKUP($A160,Transpose!$A$1:$S$859,Cleaned!F$1)</f>
        <v>93</v>
      </c>
      <c r="G160">
        <f>VLOOKUP($A160,Transpose!$A$1:$S$859,Cleaned!G$1)</f>
        <v>8618</v>
      </c>
      <c r="H160">
        <f>VLOOKUP($A160,Transpose!$A$1:$S$859,Cleaned!H$1)</f>
        <v>1886</v>
      </c>
      <c r="I160">
        <f>VLOOKUP($A160,Transpose!$A$1:$S$859,Cleaned!I$1)</f>
        <v>4756</v>
      </c>
      <c r="J160">
        <f>VLOOKUP($A160,Transpose!$A$1:$S$859,Cleaned!J$1)</f>
        <v>1964</v>
      </c>
      <c r="K160">
        <f>VLOOKUP($A160,Transpose!$A$1:$S$859,Cleaned!K$1)</f>
        <v>12</v>
      </c>
      <c r="L160">
        <f>VLOOKUP($A160,Transpose!$A$1:$S$859,Cleaned!L$1)</f>
        <v>74015</v>
      </c>
      <c r="M160">
        <f>VLOOKUP($A160,Transpose!$A$1:$S$859,Cleaned!M$1)</f>
        <v>3710</v>
      </c>
      <c r="N160">
        <f>VLOOKUP($A160,Transpose!$A$1:$S$859,Cleaned!N$1)</f>
        <v>1796</v>
      </c>
      <c r="O160">
        <f>VLOOKUP($A160,Transpose!$A$1:$S$859,Cleaned!O$1)</f>
        <v>68202</v>
      </c>
      <c r="P160">
        <f>VLOOKUP($A160,Transpose!$A$1:$S$859,Cleaned!P$1)</f>
        <v>306</v>
      </c>
      <c r="Q160">
        <f>VLOOKUP($A160,Transpose!$A$1:$S$859,Cleaned!Q$1)</f>
        <v>22</v>
      </c>
      <c r="R160">
        <f>VLOOKUP($A160,Transpose!$A$1:$S$859,Cleaned!R$1)</f>
        <v>1</v>
      </c>
      <c r="S160">
        <f>VLOOKUP($A160,Transpose!$A$1:$S$859,Cleaned!S$1)</f>
        <v>171</v>
      </c>
    </row>
    <row r="161" spans="1:19" x14ac:dyDescent="0.25">
      <c r="A161" s="2">
        <f t="shared" si="3"/>
        <v>37681</v>
      </c>
      <c r="B161">
        <f>VLOOKUP($A161,Transpose!$A$1:$S$859,Cleaned!B$1)</f>
        <v>137434</v>
      </c>
      <c r="C161">
        <f>VLOOKUP($A161,Transpose!$A$1:$S$859,Cleaned!C$1)</f>
        <v>131711</v>
      </c>
      <c r="D161">
        <f>VLOOKUP($A161,Transpose!$A$1:$S$859,Cleaned!D$1)</f>
        <v>1998</v>
      </c>
      <c r="E161">
        <f>VLOOKUP($A161,Transpose!$A$1:$S$859,Cleaned!E$1)</f>
        <v>3623</v>
      </c>
      <c r="F161">
        <f>VLOOKUP($A161,Transpose!$A$1:$S$859,Cleaned!F$1)</f>
        <v>103</v>
      </c>
      <c r="G161">
        <f>VLOOKUP($A161,Transpose!$A$1:$S$859,Cleaned!G$1)</f>
        <v>8588</v>
      </c>
      <c r="H161">
        <f>VLOOKUP($A161,Transpose!$A$1:$S$859,Cleaned!H$1)</f>
        <v>1959</v>
      </c>
      <c r="I161">
        <f>VLOOKUP($A161,Transpose!$A$1:$S$859,Cleaned!I$1)</f>
        <v>4604</v>
      </c>
      <c r="J161">
        <f>VLOOKUP($A161,Transpose!$A$1:$S$859,Cleaned!J$1)</f>
        <v>1999</v>
      </c>
      <c r="K161">
        <f>VLOOKUP($A161,Transpose!$A$1:$S$859,Cleaned!K$1)</f>
        <v>25</v>
      </c>
      <c r="L161">
        <f>VLOOKUP($A161,Transpose!$A$1:$S$859,Cleaned!L$1)</f>
        <v>74295</v>
      </c>
      <c r="M161">
        <f>VLOOKUP($A161,Transpose!$A$1:$S$859,Cleaned!M$1)</f>
        <v>3790</v>
      </c>
      <c r="N161">
        <f>VLOOKUP($A161,Transpose!$A$1:$S$859,Cleaned!N$1)</f>
        <v>2015</v>
      </c>
      <c r="O161">
        <f>VLOOKUP($A161,Transpose!$A$1:$S$859,Cleaned!O$1)</f>
        <v>68221</v>
      </c>
      <c r="P161">
        <f>VLOOKUP($A161,Transpose!$A$1:$S$859,Cleaned!P$1)</f>
        <v>269</v>
      </c>
      <c r="Q161">
        <f>VLOOKUP($A161,Transpose!$A$1:$S$859,Cleaned!Q$1)</f>
        <v>22</v>
      </c>
      <c r="R161">
        <f>VLOOKUP($A161,Transpose!$A$1:$S$859,Cleaned!R$1)</f>
        <v>1</v>
      </c>
      <c r="S161">
        <f>VLOOKUP($A161,Transpose!$A$1:$S$859,Cleaned!S$1)</f>
        <v>171</v>
      </c>
    </row>
    <row r="162" spans="1:19" x14ac:dyDescent="0.25">
      <c r="A162" s="2">
        <f t="shared" si="3"/>
        <v>37712</v>
      </c>
      <c r="B162">
        <f>VLOOKUP($A162,Transpose!$A$1:$S$859,Cleaned!B$1)</f>
        <v>137633</v>
      </c>
      <c r="C162">
        <f>VLOOKUP($A162,Transpose!$A$1:$S$859,Cleaned!C$1)</f>
        <v>131826</v>
      </c>
      <c r="D162">
        <f>VLOOKUP($A162,Transpose!$A$1:$S$859,Cleaned!D$1)</f>
        <v>2086</v>
      </c>
      <c r="E162">
        <f>VLOOKUP($A162,Transpose!$A$1:$S$859,Cleaned!E$1)</f>
        <v>3639</v>
      </c>
      <c r="F162">
        <f>VLOOKUP($A162,Transpose!$A$1:$S$859,Cleaned!F$1)</f>
        <v>81</v>
      </c>
      <c r="G162">
        <f>VLOOKUP($A162,Transpose!$A$1:$S$859,Cleaned!G$1)</f>
        <v>8842</v>
      </c>
      <c r="H162">
        <f>VLOOKUP($A162,Transpose!$A$1:$S$859,Cleaned!H$1)</f>
        <v>1978</v>
      </c>
      <c r="I162">
        <f>VLOOKUP($A162,Transpose!$A$1:$S$859,Cleaned!I$1)</f>
        <v>4722</v>
      </c>
      <c r="J162">
        <f>VLOOKUP($A162,Transpose!$A$1:$S$859,Cleaned!J$1)</f>
        <v>2124</v>
      </c>
      <c r="K162">
        <f>VLOOKUP($A162,Transpose!$A$1:$S$859,Cleaned!K$1)</f>
        <v>18</v>
      </c>
      <c r="L162">
        <f>VLOOKUP($A162,Transpose!$A$1:$S$859,Cleaned!L$1)</f>
        <v>74066</v>
      </c>
      <c r="M162">
        <f>VLOOKUP($A162,Transpose!$A$1:$S$859,Cleaned!M$1)</f>
        <v>3608</v>
      </c>
      <c r="N162">
        <f>VLOOKUP($A162,Transpose!$A$1:$S$859,Cleaned!N$1)</f>
        <v>1778</v>
      </c>
      <c r="O162">
        <f>VLOOKUP($A162,Transpose!$A$1:$S$859,Cleaned!O$1)</f>
        <v>68361</v>
      </c>
      <c r="P162">
        <f>VLOOKUP($A162,Transpose!$A$1:$S$859,Cleaned!P$1)</f>
        <v>318</v>
      </c>
      <c r="Q162">
        <f>VLOOKUP($A162,Transpose!$A$1:$S$859,Cleaned!Q$1)</f>
        <v>22</v>
      </c>
      <c r="R162">
        <f>VLOOKUP($A162,Transpose!$A$1:$S$859,Cleaned!R$1)</f>
        <v>1</v>
      </c>
      <c r="S162">
        <f>VLOOKUP($A162,Transpose!$A$1:$S$859,Cleaned!S$1)</f>
        <v>172</v>
      </c>
    </row>
    <row r="163" spans="1:19" x14ac:dyDescent="0.25">
      <c r="A163" s="2">
        <f t="shared" si="3"/>
        <v>37742</v>
      </c>
      <c r="B163">
        <f>VLOOKUP($A163,Transpose!$A$1:$S$859,Cleaned!B$1)</f>
        <v>137544</v>
      </c>
      <c r="C163">
        <f>VLOOKUP($A163,Transpose!$A$1:$S$859,Cleaned!C$1)</f>
        <v>131944</v>
      </c>
      <c r="D163">
        <f>VLOOKUP($A163,Transpose!$A$1:$S$859,Cleaned!D$1)</f>
        <v>2048</v>
      </c>
      <c r="E163">
        <f>VLOOKUP($A163,Transpose!$A$1:$S$859,Cleaned!E$1)</f>
        <v>3478</v>
      </c>
      <c r="F163">
        <f>VLOOKUP($A163,Transpose!$A$1:$S$859,Cleaned!F$1)</f>
        <v>74</v>
      </c>
      <c r="G163">
        <f>VLOOKUP($A163,Transpose!$A$1:$S$859,Cleaned!G$1)</f>
        <v>8957</v>
      </c>
      <c r="H163">
        <f>VLOOKUP($A163,Transpose!$A$1:$S$859,Cleaned!H$1)</f>
        <v>2000</v>
      </c>
      <c r="I163">
        <f>VLOOKUP($A163,Transpose!$A$1:$S$859,Cleaned!I$1)</f>
        <v>4895</v>
      </c>
      <c r="J163">
        <f>VLOOKUP($A163,Transpose!$A$1:$S$859,Cleaned!J$1)</f>
        <v>2048</v>
      </c>
      <c r="K163">
        <f>VLOOKUP($A163,Transpose!$A$1:$S$859,Cleaned!K$1)</f>
        <v>13</v>
      </c>
      <c r="L163">
        <f>VLOOKUP($A163,Transpose!$A$1:$S$859,Cleaned!L$1)</f>
        <v>74268</v>
      </c>
      <c r="M163">
        <f>VLOOKUP($A163,Transpose!$A$1:$S$859,Cleaned!M$1)</f>
        <v>3667</v>
      </c>
      <c r="N163">
        <f>VLOOKUP($A163,Transpose!$A$1:$S$859,Cleaned!N$1)</f>
        <v>1897</v>
      </c>
      <c r="O163">
        <f>VLOOKUP($A163,Transpose!$A$1:$S$859,Cleaned!O$1)</f>
        <v>68368</v>
      </c>
      <c r="P163">
        <f>VLOOKUP($A163,Transpose!$A$1:$S$859,Cleaned!P$1)</f>
        <v>336</v>
      </c>
      <c r="Q163">
        <f>VLOOKUP($A163,Transpose!$A$1:$S$859,Cleaned!Q$1)</f>
        <v>22</v>
      </c>
      <c r="R163">
        <f>VLOOKUP($A163,Transpose!$A$1:$S$859,Cleaned!R$1)</f>
        <v>1</v>
      </c>
      <c r="S163">
        <f>VLOOKUP($A163,Transpose!$A$1:$S$859,Cleaned!S$1)</f>
        <v>172</v>
      </c>
    </row>
    <row r="164" spans="1:19" x14ac:dyDescent="0.25">
      <c r="A164" s="2">
        <f t="shared" si="3"/>
        <v>37773</v>
      </c>
      <c r="B164">
        <f>VLOOKUP($A164,Transpose!$A$1:$S$859,Cleaned!B$1)</f>
        <v>137790</v>
      </c>
      <c r="C164">
        <f>VLOOKUP($A164,Transpose!$A$1:$S$859,Cleaned!C$1)</f>
        <v>131772</v>
      </c>
      <c r="D164">
        <f>VLOOKUP($A164,Transpose!$A$1:$S$859,Cleaned!D$1)</f>
        <v>2114</v>
      </c>
      <c r="E164">
        <f>VLOOKUP($A164,Transpose!$A$1:$S$859,Cleaned!E$1)</f>
        <v>3776</v>
      </c>
      <c r="F164">
        <f>VLOOKUP($A164,Transpose!$A$1:$S$859,Cleaned!F$1)</f>
        <v>128</v>
      </c>
      <c r="G164">
        <f>VLOOKUP($A164,Transpose!$A$1:$S$859,Cleaned!G$1)</f>
        <v>9266</v>
      </c>
      <c r="H164">
        <f>VLOOKUP($A164,Transpose!$A$1:$S$859,Cleaned!H$1)</f>
        <v>1949</v>
      </c>
      <c r="I164">
        <f>VLOOKUP($A164,Transpose!$A$1:$S$859,Cleaned!I$1)</f>
        <v>5012</v>
      </c>
      <c r="J164">
        <f>VLOOKUP($A164,Transpose!$A$1:$S$859,Cleaned!J$1)</f>
        <v>2273</v>
      </c>
      <c r="K164">
        <f>VLOOKUP($A164,Transpose!$A$1:$S$859,Cleaned!K$1)</f>
        <v>31</v>
      </c>
      <c r="L164">
        <f>VLOOKUP($A164,Transpose!$A$1:$S$859,Cleaned!L$1)</f>
        <v>73958</v>
      </c>
      <c r="M164">
        <f>VLOOKUP($A164,Transpose!$A$1:$S$859,Cleaned!M$1)</f>
        <v>3801</v>
      </c>
      <c r="N164">
        <f>VLOOKUP($A164,Transpose!$A$1:$S$859,Cleaned!N$1)</f>
        <v>1828</v>
      </c>
      <c r="O164">
        <f>VLOOKUP($A164,Transpose!$A$1:$S$859,Cleaned!O$1)</f>
        <v>68047</v>
      </c>
      <c r="P164">
        <f>VLOOKUP($A164,Transpose!$A$1:$S$859,Cleaned!P$1)</f>
        <v>282</v>
      </c>
      <c r="Q164">
        <f>VLOOKUP($A164,Transpose!$A$1:$S$859,Cleaned!Q$1)</f>
        <v>22</v>
      </c>
      <c r="R164">
        <f>VLOOKUP($A164,Transpose!$A$1:$S$859,Cleaned!R$1)</f>
        <v>1</v>
      </c>
      <c r="S164">
        <f>VLOOKUP($A164,Transpose!$A$1:$S$859,Cleaned!S$1)</f>
        <v>172</v>
      </c>
    </row>
    <row r="165" spans="1:19" x14ac:dyDescent="0.25">
      <c r="A165" s="2">
        <f t="shared" si="3"/>
        <v>37803</v>
      </c>
      <c r="B165">
        <f>VLOOKUP($A165,Transpose!$A$1:$S$859,Cleaned!B$1)</f>
        <v>137474</v>
      </c>
      <c r="C165">
        <f>VLOOKUP($A165,Transpose!$A$1:$S$859,Cleaned!C$1)</f>
        <v>131796</v>
      </c>
      <c r="D165">
        <f>VLOOKUP($A165,Transpose!$A$1:$S$859,Cleaned!D$1)</f>
        <v>2127</v>
      </c>
      <c r="E165">
        <f>VLOOKUP($A165,Transpose!$A$1:$S$859,Cleaned!E$1)</f>
        <v>3487</v>
      </c>
      <c r="F165">
        <f>VLOOKUP($A165,Transpose!$A$1:$S$859,Cleaned!F$1)</f>
        <v>64</v>
      </c>
      <c r="G165">
        <f>VLOOKUP($A165,Transpose!$A$1:$S$859,Cleaned!G$1)</f>
        <v>9011</v>
      </c>
      <c r="H165">
        <f>VLOOKUP($A165,Transpose!$A$1:$S$859,Cleaned!H$1)</f>
        <v>1882</v>
      </c>
      <c r="I165">
        <f>VLOOKUP($A165,Transpose!$A$1:$S$859,Cleaned!I$1)</f>
        <v>5132</v>
      </c>
      <c r="J165">
        <f>VLOOKUP($A165,Transpose!$A$1:$S$859,Cleaned!J$1)</f>
        <v>1972</v>
      </c>
      <c r="K165">
        <f>VLOOKUP($A165,Transpose!$A$1:$S$859,Cleaned!K$1)</f>
        <v>25</v>
      </c>
      <c r="L165">
        <f>VLOOKUP($A165,Transpose!$A$1:$S$859,Cleaned!L$1)</f>
        <v>74767</v>
      </c>
      <c r="M165">
        <f>VLOOKUP($A165,Transpose!$A$1:$S$859,Cleaned!M$1)</f>
        <v>4074</v>
      </c>
      <c r="N165">
        <f>VLOOKUP($A165,Transpose!$A$1:$S$859,Cleaned!N$1)</f>
        <v>2005</v>
      </c>
      <c r="O165">
        <f>VLOOKUP($A165,Transpose!$A$1:$S$859,Cleaned!O$1)</f>
        <v>68317</v>
      </c>
      <c r="P165">
        <f>VLOOKUP($A165,Transpose!$A$1:$S$859,Cleaned!P$1)</f>
        <v>371</v>
      </c>
      <c r="Q165">
        <f>VLOOKUP($A165,Transpose!$A$1:$S$859,Cleaned!Q$1)</f>
        <v>37</v>
      </c>
      <c r="R165">
        <f>VLOOKUP($A165,Transpose!$A$1:$S$859,Cleaned!R$1)</f>
        <v>2</v>
      </c>
      <c r="S165">
        <f>VLOOKUP($A165,Transpose!$A$1:$S$859,Cleaned!S$1)</f>
        <v>183</v>
      </c>
    </row>
    <row r="166" spans="1:19" x14ac:dyDescent="0.25">
      <c r="A166" s="2">
        <f t="shared" si="3"/>
        <v>37834</v>
      </c>
      <c r="B166">
        <f>VLOOKUP($A166,Transpose!$A$1:$S$859,Cleaned!B$1)</f>
        <v>137549</v>
      </c>
      <c r="C166">
        <f>VLOOKUP($A166,Transpose!$A$1:$S$859,Cleaned!C$1)</f>
        <v>131630</v>
      </c>
      <c r="D166">
        <f>VLOOKUP($A166,Transpose!$A$1:$S$859,Cleaned!D$1)</f>
        <v>2127</v>
      </c>
      <c r="E166">
        <f>VLOOKUP($A166,Transpose!$A$1:$S$859,Cleaned!E$1)</f>
        <v>3698</v>
      </c>
      <c r="F166">
        <f>VLOOKUP($A166,Transpose!$A$1:$S$859,Cleaned!F$1)</f>
        <v>93</v>
      </c>
      <c r="G166">
        <f>VLOOKUP($A166,Transpose!$A$1:$S$859,Cleaned!G$1)</f>
        <v>8896</v>
      </c>
      <c r="H166">
        <f>VLOOKUP($A166,Transpose!$A$1:$S$859,Cleaned!H$1)</f>
        <v>2041</v>
      </c>
      <c r="I166">
        <f>VLOOKUP($A166,Transpose!$A$1:$S$859,Cleaned!I$1)</f>
        <v>4866</v>
      </c>
      <c r="J166">
        <f>VLOOKUP($A166,Transpose!$A$1:$S$859,Cleaned!J$1)</f>
        <v>1973</v>
      </c>
      <c r="K166">
        <f>VLOOKUP($A166,Transpose!$A$1:$S$859,Cleaned!K$1)</f>
        <v>16</v>
      </c>
      <c r="L166">
        <f>VLOOKUP($A166,Transpose!$A$1:$S$859,Cleaned!L$1)</f>
        <v>75062</v>
      </c>
      <c r="M166">
        <f>VLOOKUP($A166,Transpose!$A$1:$S$859,Cleaned!M$1)</f>
        <v>3781</v>
      </c>
      <c r="N166">
        <f>VLOOKUP($A166,Transpose!$A$1:$S$859,Cleaned!N$1)</f>
        <v>2016</v>
      </c>
      <c r="O166">
        <f>VLOOKUP($A166,Transpose!$A$1:$S$859,Cleaned!O$1)</f>
        <v>68923</v>
      </c>
      <c r="P166">
        <f>VLOOKUP($A166,Transpose!$A$1:$S$859,Cleaned!P$1)</f>
        <v>342</v>
      </c>
      <c r="Q166">
        <f>VLOOKUP($A166,Transpose!$A$1:$S$859,Cleaned!Q$1)</f>
        <v>22</v>
      </c>
      <c r="R166">
        <f>VLOOKUP($A166,Transpose!$A$1:$S$859,Cleaned!R$1)</f>
        <v>1</v>
      </c>
      <c r="S166">
        <f>VLOOKUP($A166,Transpose!$A$1:$S$859,Cleaned!S$1)</f>
        <v>172</v>
      </c>
    </row>
    <row r="167" spans="1:19" x14ac:dyDescent="0.25">
      <c r="A167" s="2">
        <f t="shared" si="3"/>
        <v>37865</v>
      </c>
      <c r="B167">
        <f>VLOOKUP($A167,Transpose!$A$1:$S$859,Cleaned!B$1)</f>
        <v>137609</v>
      </c>
      <c r="C167">
        <f>VLOOKUP($A167,Transpose!$A$1:$S$859,Cleaned!C$1)</f>
        <v>131702</v>
      </c>
      <c r="D167">
        <f>VLOOKUP($A167,Transpose!$A$1:$S$859,Cleaned!D$1)</f>
        <v>2051</v>
      </c>
      <c r="E167">
        <f>VLOOKUP($A167,Transpose!$A$1:$S$859,Cleaned!E$1)</f>
        <v>3757</v>
      </c>
      <c r="F167">
        <f>VLOOKUP($A167,Transpose!$A$1:$S$859,Cleaned!F$1)</f>
        <v>100</v>
      </c>
      <c r="G167">
        <f>VLOOKUP($A167,Transpose!$A$1:$S$859,Cleaned!G$1)</f>
        <v>8921</v>
      </c>
      <c r="H167">
        <f>VLOOKUP($A167,Transpose!$A$1:$S$859,Cleaned!H$1)</f>
        <v>1931</v>
      </c>
      <c r="I167">
        <f>VLOOKUP($A167,Transpose!$A$1:$S$859,Cleaned!I$1)</f>
        <v>4932</v>
      </c>
      <c r="J167">
        <f>VLOOKUP($A167,Transpose!$A$1:$S$859,Cleaned!J$1)</f>
        <v>2040</v>
      </c>
      <c r="K167">
        <f>VLOOKUP($A167,Transpose!$A$1:$S$859,Cleaned!K$1)</f>
        <v>17</v>
      </c>
      <c r="L167">
        <f>VLOOKUP($A167,Transpose!$A$1:$S$859,Cleaned!L$1)</f>
        <v>75249</v>
      </c>
      <c r="M167">
        <f>VLOOKUP($A167,Transpose!$A$1:$S$859,Cleaned!M$1)</f>
        <v>3894</v>
      </c>
      <c r="N167">
        <f>VLOOKUP($A167,Transpose!$A$1:$S$859,Cleaned!N$1)</f>
        <v>1912</v>
      </c>
      <c r="O167">
        <f>VLOOKUP($A167,Transpose!$A$1:$S$859,Cleaned!O$1)</f>
        <v>69092</v>
      </c>
      <c r="P167">
        <f>VLOOKUP($A167,Transpose!$A$1:$S$859,Cleaned!P$1)</f>
        <v>351</v>
      </c>
      <c r="Q167">
        <f>VLOOKUP($A167,Transpose!$A$1:$S$859,Cleaned!Q$1)</f>
        <v>22</v>
      </c>
      <c r="R167">
        <f>VLOOKUP($A167,Transpose!$A$1:$S$859,Cleaned!R$1)</f>
        <v>1</v>
      </c>
      <c r="S167">
        <f>VLOOKUP($A167,Transpose!$A$1:$S$859,Cleaned!S$1)</f>
        <v>173</v>
      </c>
    </row>
    <row r="168" spans="1:19" x14ac:dyDescent="0.25">
      <c r="A168" s="2">
        <f t="shared" si="3"/>
        <v>37895</v>
      </c>
      <c r="B168">
        <f>VLOOKUP($A168,Transpose!$A$1:$S$859,Cleaned!B$1)</f>
        <v>137984</v>
      </c>
      <c r="C168">
        <f>VLOOKUP($A168,Transpose!$A$1:$S$859,Cleaned!C$1)</f>
        <v>132061</v>
      </c>
      <c r="D168">
        <f>VLOOKUP($A168,Transpose!$A$1:$S$859,Cleaned!D$1)</f>
        <v>2064</v>
      </c>
      <c r="E168">
        <f>VLOOKUP($A168,Transpose!$A$1:$S$859,Cleaned!E$1)</f>
        <v>3800</v>
      </c>
      <c r="F168">
        <f>VLOOKUP($A168,Transpose!$A$1:$S$859,Cleaned!F$1)</f>
        <v>59</v>
      </c>
      <c r="G168">
        <f>VLOOKUP($A168,Transpose!$A$1:$S$859,Cleaned!G$1)</f>
        <v>8732</v>
      </c>
      <c r="H168">
        <f>VLOOKUP($A168,Transpose!$A$1:$S$859,Cleaned!H$1)</f>
        <v>1733</v>
      </c>
      <c r="I168">
        <f>VLOOKUP($A168,Transpose!$A$1:$S$859,Cleaned!I$1)</f>
        <v>4856</v>
      </c>
      <c r="J168">
        <f>VLOOKUP($A168,Transpose!$A$1:$S$859,Cleaned!J$1)</f>
        <v>2121</v>
      </c>
      <c r="K168">
        <f>VLOOKUP($A168,Transpose!$A$1:$S$859,Cleaned!K$1)</f>
        <v>22</v>
      </c>
      <c r="L168">
        <f>VLOOKUP($A168,Transpose!$A$1:$S$859,Cleaned!L$1)</f>
        <v>75324</v>
      </c>
      <c r="M168">
        <f>VLOOKUP($A168,Transpose!$A$1:$S$859,Cleaned!M$1)</f>
        <v>3768</v>
      </c>
      <c r="N168">
        <f>VLOOKUP($A168,Transpose!$A$1:$S$859,Cleaned!N$1)</f>
        <v>1997</v>
      </c>
      <c r="O168">
        <f>VLOOKUP($A168,Transpose!$A$1:$S$859,Cleaned!O$1)</f>
        <v>69137</v>
      </c>
      <c r="P168">
        <f>VLOOKUP($A168,Transpose!$A$1:$S$859,Cleaned!P$1)</f>
        <v>421</v>
      </c>
      <c r="Q168">
        <f>VLOOKUP($A168,Transpose!$A$1:$S$859,Cleaned!Q$1)</f>
        <v>47</v>
      </c>
      <c r="R168">
        <f>VLOOKUP($A168,Transpose!$A$1:$S$859,Cleaned!R$1)</f>
        <v>3</v>
      </c>
      <c r="S168">
        <f>VLOOKUP($A168,Transpose!$A$1:$S$859,Cleaned!S$1)</f>
        <v>191</v>
      </c>
    </row>
    <row r="169" spans="1:19" x14ac:dyDescent="0.25">
      <c r="A169" s="2">
        <f t="shared" si="3"/>
        <v>37926</v>
      </c>
      <c r="B169">
        <f>VLOOKUP($A169,Transpose!$A$1:$S$859,Cleaned!B$1)</f>
        <v>138424</v>
      </c>
      <c r="C169">
        <f>VLOOKUP($A169,Transpose!$A$1:$S$859,Cleaned!C$1)</f>
        <v>132308</v>
      </c>
      <c r="D169">
        <f>VLOOKUP($A169,Transpose!$A$1:$S$859,Cleaned!D$1)</f>
        <v>2120</v>
      </c>
      <c r="E169">
        <f>VLOOKUP($A169,Transpose!$A$1:$S$859,Cleaned!E$1)</f>
        <v>3886</v>
      </c>
      <c r="F169">
        <f>VLOOKUP($A169,Transpose!$A$1:$S$859,Cleaned!F$1)</f>
        <v>109</v>
      </c>
      <c r="G169">
        <f>VLOOKUP($A169,Transpose!$A$1:$S$859,Cleaned!G$1)</f>
        <v>8576</v>
      </c>
      <c r="H169">
        <f>VLOOKUP($A169,Transpose!$A$1:$S$859,Cleaned!H$1)</f>
        <v>1832</v>
      </c>
      <c r="I169">
        <f>VLOOKUP($A169,Transpose!$A$1:$S$859,Cleaned!I$1)</f>
        <v>4765</v>
      </c>
      <c r="J169">
        <f>VLOOKUP($A169,Transpose!$A$1:$S$859,Cleaned!J$1)</f>
        <v>1959</v>
      </c>
      <c r="K169">
        <f>VLOOKUP($A169,Transpose!$A$1:$S$859,Cleaned!K$1)</f>
        <v>20</v>
      </c>
      <c r="L169">
        <f>VLOOKUP($A169,Transpose!$A$1:$S$859,Cleaned!L$1)</f>
        <v>75280</v>
      </c>
      <c r="M169">
        <f>VLOOKUP($A169,Transpose!$A$1:$S$859,Cleaned!M$1)</f>
        <v>3822</v>
      </c>
      <c r="N169">
        <f>VLOOKUP($A169,Transpose!$A$1:$S$859,Cleaned!N$1)</f>
        <v>1845</v>
      </c>
      <c r="O169">
        <f>VLOOKUP($A169,Transpose!$A$1:$S$859,Cleaned!O$1)</f>
        <v>69306</v>
      </c>
      <c r="P169">
        <f>VLOOKUP($A169,Transpose!$A$1:$S$859,Cleaned!P$1)</f>
        <v>308</v>
      </c>
      <c r="Q169">
        <f>VLOOKUP($A169,Transpose!$A$1:$S$859,Cleaned!Q$1)</f>
        <v>22</v>
      </c>
      <c r="R169">
        <f>VLOOKUP($A169,Transpose!$A$1:$S$859,Cleaned!R$1)</f>
        <v>1</v>
      </c>
      <c r="S169">
        <f>VLOOKUP($A169,Transpose!$A$1:$S$859,Cleaned!S$1)</f>
        <v>173</v>
      </c>
    </row>
    <row r="170" spans="1:19" x14ac:dyDescent="0.25">
      <c r="A170" s="2">
        <f t="shared" si="3"/>
        <v>37956</v>
      </c>
      <c r="B170">
        <f>VLOOKUP($A170,Transpose!$A$1:$S$859,Cleaned!B$1)</f>
        <v>138411</v>
      </c>
      <c r="C170">
        <f>VLOOKUP($A170,Transpose!$A$1:$S$859,Cleaned!C$1)</f>
        <v>132489</v>
      </c>
      <c r="D170">
        <f>VLOOKUP($A170,Transpose!$A$1:$S$859,Cleaned!D$1)</f>
        <v>2247</v>
      </c>
      <c r="E170">
        <f>VLOOKUP($A170,Transpose!$A$1:$S$859,Cleaned!E$1)</f>
        <v>3584</v>
      </c>
      <c r="F170">
        <f>VLOOKUP($A170,Transpose!$A$1:$S$859,Cleaned!F$1)</f>
        <v>91</v>
      </c>
      <c r="G170">
        <f>VLOOKUP($A170,Transpose!$A$1:$S$859,Cleaned!G$1)</f>
        <v>8317</v>
      </c>
      <c r="H170">
        <f>VLOOKUP($A170,Transpose!$A$1:$S$859,Cleaned!H$1)</f>
        <v>1922</v>
      </c>
      <c r="I170">
        <f>VLOOKUP($A170,Transpose!$A$1:$S$859,Cleaned!I$1)</f>
        <v>4435</v>
      </c>
      <c r="J170">
        <f>VLOOKUP($A170,Transpose!$A$1:$S$859,Cleaned!J$1)</f>
        <v>1936</v>
      </c>
      <c r="K170">
        <f>VLOOKUP($A170,Transpose!$A$1:$S$859,Cleaned!K$1)</f>
        <v>24</v>
      </c>
      <c r="L170">
        <f>VLOOKUP($A170,Transpose!$A$1:$S$859,Cleaned!L$1)</f>
        <v>75780</v>
      </c>
      <c r="M170">
        <f>VLOOKUP($A170,Transpose!$A$1:$S$859,Cleaned!M$1)</f>
        <v>3991</v>
      </c>
      <c r="N170">
        <f>VLOOKUP($A170,Transpose!$A$1:$S$859,Cleaned!N$1)</f>
        <v>1892</v>
      </c>
      <c r="O170">
        <f>VLOOKUP($A170,Transpose!$A$1:$S$859,Cleaned!O$1)</f>
        <v>69587</v>
      </c>
      <c r="P170">
        <f>VLOOKUP($A170,Transpose!$A$1:$S$859,Cleaned!P$1)</f>
        <v>311</v>
      </c>
      <c r="Q170">
        <f>VLOOKUP($A170,Transpose!$A$1:$S$859,Cleaned!Q$1)</f>
        <v>22</v>
      </c>
      <c r="R170">
        <f>VLOOKUP($A170,Transpose!$A$1:$S$859,Cleaned!R$1)</f>
        <v>2</v>
      </c>
      <c r="S170">
        <f>VLOOKUP($A170,Transpose!$A$1:$S$859,Cleaned!S$1)</f>
        <v>173</v>
      </c>
    </row>
    <row r="171" spans="1:19" x14ac:dyDescent="0.25">
      <c r="A171" s="2">
        <f t="shared" si="3"/>
        <v>37987</v>
      </c>
      <c r="B171">
        <f>VLOOKUP($A171,Transpose!$A$1:$S$859,Cleaned!B$1)</f>
        <v>138472</v>
      </c>
      <c r="C171">
        <f>VLOOKUP($A171,Transpose!$A$1:$S$859,Cleaned!C$1)</f>
        <v>132603</v>
      </c>
      <c r="D171">
        <f>VLOOKUP($A171,Transpose!$A$1:$S$859,Cleaned!D$1)</f>
        <v>2058</v>
      </c>
      <c r="E171">
        <f>VLOOKUP($A171,Transpose!$A$1:$S$859,Cleaned!E$1)</f>
        <v>3769</v>
      </c>
      <c r="F171">
        <f>VLOOKUP($A171,Transpose!$A$1:$S$859,Cleaned!F$1)</f>
        <v>42</v>
      </c>
      <c r="G171">
        <f>VLOOKUP($A171,Transpose!$A$1:$S$859,Cleaned!G$1)</f>
        <v>8370</v>
      </c>
      <c r="H171">
        <f>VLOOKUP($A171,Transpose!$A$1:$S$859,Cleaned!H$1)</f>
        <v>1729</v>
      </c>
      <c r="I171">
        <f>VLOOKUP($A171,Transpose!$A$1:$S$859,Cleaned!I$1)</f>
        <v>4579</v>
      </c>
      <c r="J171">
        <f>VLOOKUP($A171,Transpose!$A$1:$S$859,Cleaned!J$1)</f>
        <v>2049</v>
      </c>
      <c r="K171">
        <f>VLOOKUP($A171,Transpose!$A$1:$S$859,Cleaned!K$1)</f>
        <v>13</v>
      </c>
      <c r="L171">
        <f>VLOOKUP($A171,Transpose!$A$1:$S$859,Cleaned!L$1)</f>
        <v>75319</v>
      </c>
      <c r="M171">
        <f>VLOOKUP($A171,Transpose!$A$1:$S$859,Cleaned!M$1)</f>
        <v>3766</v>
      </c>
      <c r="N171">
        <f>VLOOKUP($A171,Transpose!$A$1:$S$859,Cleaned!N$1)</f>
        <v>1661</v>
      </c>
      <c r="O171">
        <f>VLOOKUP($A171,Transpose!$A$1:$S$859,Cleaned!O$1)</f>
        <v>69605</v>
      </c>
      <c r="P171">
        <f>VLOOKUP($A171,Transpose!$A$1:$S$859,Cleaned!P$1)</f>
        <v>287</v>
      </c>
      <c r="Q171">
        <f>VLOOKUP($A171,Transpose!$A$1:$S$859,Cleaned!Q$1)</f>
        <v>313</v>
      </c>
      <c r="R171">
        <f>VLOOKUP($A171,Transpose!$A$1:$S$859,Cleaned!R$1)</f>
        <v>19</v>
      </c>
      <c r="S171">
        <f>VLOOKUP($A171,Transpose!$A$1:$S$859,Cleaned!S$1)</f>
        <v>358</v>
      </c>
    </row>
    <row r="172" spans="1:19" x14ac:dyDescent="0.25">
      <c r="A172" s="2">
        <f t="shared" si="3"/>
        <v>38018</v>
      </c>
      <c r="B172">
        <f>VLOOKUP($A172,Transpose!$A$1:$S$859,Cleaned!B$1)</f>
        <v>138542</v>
      </c>
      <c r="C172">
        <f>VLOOKUP($A172,Transpose!$A$1:$S$859,Cleaned!C$1)</f>
        <v>132898</v>
      </c>
      <c r="D172">
        <f>VLOOKUP($A172,Transpose!$A$1:$S$859,Cleaned!D$1)</f>
        <v>1984</v>
      </c>
      <c r="E172">
        <f>VLOOKUP($A172,Transpose!$A$1:$S$859,Cleaned!E$1)</f>
        <v>3549</v>
      </c>
      <c r="F172">
        <f>VLOOKUP($A172,Transpose!$A$1:$S$859,Cleaned!F$1)</f>
        <v>111</v>
      </c>
      <c r="G172">
        <f>VLOOKUP($A172,Transpose!$A$1:$S$859,Cleaned!G$1)</f>
        <v>8167</v>
      </c>
      <c r="H172">
        <f>VLOOKUP($A172,Transpose!$A$1:$S$859,Cleaned!H$1)</f>
        <v>1806</v>
      </c>
      <c r="I172">
        <f>VLOOKUP($A172,Transpose!$A$1:$S$859,Cleaned!I$1)</f>
        <v>4436</v>
      </c>
      <c r="J172">
        <f>VLOOKUP($A172,Transpose!$A$1:$S$859,Cleaned!J$1)</f>
        <v>1910</v>
      </c>
      <c r="K172">
        <f>VLOOKUP($A172,Transpose!$A$1:$S$859,Cleaned!K$1)</f>
        <v>14</v>
      </c>
      <c r="L172">
        <f>VLOOKUP($A172,Transpose!$A$1:$S$859,Cleaned!L$1)</f>
        <v>75648</v>
      </c>
      <c r="M172">
        <f>VLOOKUP($A172,Transpose!$A$1:$S$859,Cleaned!M$1)</f>
        <v>3747</v>
      </c>
      <c r="N172">
        <f>VLOOKUP($A172,Transpose!$A$1:$S$859,Cleaned!N$1)</f>
        <v>1948</v>
      </c>
      <c r="O172">
        <f>VLOOKUP($A172,Transpose!$A$1:$S$859,Cleaned!O$1)</f>
        <v>69687</v>
      </c>
      <c r="P172">
        <f>VLOOKUP($A172,Transpose!$A$1:$S$859,Cleaned!P$1)</f>
        <v>267</v>
      </c>
      <c r="Q172">
        <f>VLOOKUP($A172,Transpose!$A$1:$S$859,Cleaned!Q$1)</f>
        <v>22</v>
      </c>
      <c r="R172">
        <f>VLOOKUP($A172,Transpose!$A$1:$S$859,Cleaned!R$1)</f>
        <v>2</v>
      </c>
      <c r="S172">
        <f>VLOOKUP($A172,Transpose!$A$1:$S$859,Cleaned!S$1)</f>
        <v>173</v>
      </c>
    </row>
    <row r="173" spans="1:19" x14ac:dyDescent="0.25">
      <c r="A173" s="2">
        <f t="shared" si="3"/>
        <v>38047</v>
      </c>
      <c r="B173">
        <f>VLOOKUP($A173,Transpose!$A$1:$S$859,Cleaned!B$1)</f>
        <v>138453</v>
      </c>
      <c r="C173">
        <f>VLOOKUP($A173,Transpose!$A$1:$S$859,Cleaned!C$1)</f>
        <v>132753</v>
      </c>
      <c r="D173">
        <f>VLOOKUP($A173,Transpose!$A$1:$S$859,Cleaned!D$1)</f>
        <v>1925</v>
      </c>
      <c r="E173">
        <f>VLOOKUP($A173,Transpose!$A$1:$S$859,Cleaned!E$1)</f>
        <v>3704</v>
      </c>
      <c r="F173">
        <f>VLOOKUP($A173,Transpose!$A$1:$S$859,Cleaned!F$1)</f>
        <v>71</v>
      </c>
      <c r="G173">
        <f>VLOOKUP($A173,Transpose!$A$1:$S$859,Cleaned!G$1)</f>
        <v>8491</v>
      </c>
      <c r="H173">
        <f>VLOOKUP($A173,Transpose!$A$1:$S$859,Cleaned!H$1)</f>
        <v>1857</v>
      </c>
      <c r="I173">
        <f>VLOOKUP($A173,Transpose!$A$1:$S$859,Cleaned!I$1)</f>
        <v>4370</v>
      </c>
      <c r="J173">
        <f>VLOOKUP($A173,Transpose!$A$1:$S$859,Cleaned!J$1)</f>
        <v>2237</v>
      </c>
      <c r="K173">
        <f>VLOOKUP($A173,Transpose!$A$1:$S$859,Cleaned!K$1)</f>
        <v>28</v>
      </c>
      <c r="L173">
        <f>VLOOKUP($A173,Transpose!$A$1:$S$859,Cleaned!L$1)</f>
        <v>75606</v>
      </c>
      <c r="M173">
        <f>VLOOKUP($A173,Transpose!$A$1:$S$859,Cleaned!M$1)</f>
        <v>3910</v>
      </c>
      <c r="N173">
        <f>VLOOKUP($A173,Transpose!$A$1:$S$859,Cleaned!N$1)</f>
        <v>1871</v>
      </c>
      <c r="O173">
        <f>VLOOKUP($A173,Transpose!$A$1:$S$859,Cleaned!O$1)</f>
        <v>69534</v>
      </c>
      <c r="P173">
        <f>VLOOKUP($A173,Transpose!$A$1:$S$859,Cleaned!P$1)</f>
        <v>291</v>
      </c>
      <c r="Q173">
        <f>VLOOKUP($A173,Transpose!$A$1:$S$859,Cleaned!Q$1)</f>
        <v>22</v>
      </c>
      <c r="R173">
        <f>VLOOKUP($A173,Transpose!$A$1:$S$859,Cleaned!R$1)</f>
        <v>2</v>
      </c>
      <c r="S173">
        <f>VLOOKUP($A173,Transpose!$A$1:$S$859,Cleaned!S$1)</f>
        <v>173</v>
      </c>
    </row>
    <row r="174" spans="1:19" x14ac:dyDescent="0.25">
      <c r="A174" s="2">
        <f t="shared" si="3"/>
        <v>38078</v>
      </c>
      <c r="B174">
        <f>VLOOKUP($A174,Transpose!$A$1:$S$859,Cleaned!B$1)</f>
        <v>138680</v>
      </c>
      <c r="C174">
        <f>VLOOKUP($A174,Transpose!$A$1:$S$859,Cleaned!C$1)</f>
        <v>132799</v>
      </c>
      <c r="D174">
        <f>VLOOKUP($A174,Transpose!$A$1:$S$859,Cleaned!D$1)</f>
        <v>2147</v>
      </c>
      <c r="E174">
        <f>VLOOKUP($A174,Transpose!$A$1:$S$859,Cleaned!E$1)</f>
        <v>3656</v>
      </c>
      <c r="F174">
        <f>VLOOKUP($A174,Transpose!$A$1:$S$859,Cleaned!F$1)</f>
        <v>78</v>
      </c>
      <c r="G174">
        <f>VLOOKUP($A174,Transpose!$A$1:$S$859,Cleaned!G$1)</f>
        <v>8170</v>
      </c>
      <c r="H174">
        <f>VLOOKUP($A174,Transpose!$A$1:$S$859,Cleaned!H$1)</f>
        <v>1787</v>
      </c>
      <c r="I174">
        <f>VLOOKUP($A174,Transpose!$A$1:$S$859,Cleaned!I$1)</f>
        <v>4464</v>
      </c>
      <c r="J174">
        <f>VLOOKUP($A174,Transpose!$A$1:$S$859,Cleaned!J$1)</f>
        <v>1897</v>
      </c>
      <c r="K174">
        <f>VLOOKUP($A174,Transpose!$A$1:$S$859,Cleaned!K$1)</f>
        <v>22</v>
      </c>
      <c r="L174">
        <f>VLOOKUP($A174,Transpose!$A$1:$S$859,Cleaned!L$1)</f>
        <v>75907</v>
      </c>
      <c r="M174">
        <f>VLOOKUP($A174,Transpose!$A$1:$S$859,Cleaned!M$1)</f>
        <v>3845</v>
      </c>
      <c r="N174">
        <f>VLOOKUP($A174,Transpose!$A$1:$S$859,Cleaned!N$1)</f>
        <v>1879</v>
      </c>
      <c r="O174">
        <f>VLOOKUP($A174,Transpose!$A$1:$S$859,Cleaned!O$1)</f>
        <v>69880</v>
      </c>
      <c r="P174">
        <f>VLOOKUP($A174,Transpose!$A$1:$S$859,Cleaned!P$1)</f>
        <v>303</v>
      </c>
      <c r="Q174">
        <f>VLOOKUP($A174,Transpose!$A$1:$S$859,Cleaned!Q$1)</f>
        <v>22</v>
      </c>
      <c r="R174">
        <f>VLOOKUP($A174,Transpose!$A$1:$S$859,Cleaned!R$1)</f>
        <v>2</v>
      </c>
      <c r="S174">
        <f>VLOOKUP($A174,Transpose!$A$1:$S$859,Cleaned!S$1)</f>
        <v>173</v>
      </c>
    </row>
    <row r="175" spans="1:19" x14ac:dyDescent="0.25">
      <c r="A175" s="2">
        <f t="shared" si="3"/>
        <v>38108</v>
      </c>
      <c r="B175">
        <f>VLOOKUP($A175,Transpose!$A$1:$S$859,Cleaned!B$1)</f>
        <v>138852</v>
      </c>
      <c r="C175">
        <f>VLOOKUP($A175,Transpose!$A$1:$S$859,Cleaned!C$1)</f>
        <v>132961</v>
      </c>
      <c r="D175">
        <f>VLOOKUP($A175,Transpose!$A$1:$S$859,Cleaned!D$1)</f>
        <v>2088</v>
      </c>
      <c r="E175">
        <f>VLOOKUP($A175,Transpose!$A$1:$S$859,Cleaned!E$1)</f>
        <v>3722</v>
      </c>
      <c r="F175">
        <f>VLOOKUP($A175,Transpose!$A$1:$S$859,Cleaned!F$1)</f>
        <v>81</v>
      </c>
      <c r="G175">
        <f>VLOOKUP($A175,Transpose!$A$1:$S$859,Cleaned!G$1)</f>
        <v>8212</v>
      </c>
      <c r="H175">
        <f>VLOOKUP($A175,Transpose!$A$1:$S$859,Cleaned!H$1)</f>
        <v>1851</v>
      </c>
      <c r="I175">
        <f>VLOOKUP($A175,Transpose!$A$1:$S$859,Cleaned!I$1)</f>
        <v>4314</v>
      </c>
      <c r="J175">
        <f>VLOOKUP($A175,Transpose!$A$1:$S$859,Cleaned!J$1)</f>
        <v>2034</v>
      </c>
      <c r="K175">
        <f>VLOOKUP($A175,Transpose!$A$1:$S$859,Cleaned!K$1)</f>
        <v>14</v>
      </c>
      <c r="L175">
        <f>VLOOKUP($A175,Transpose!$A$1:$S$859,Cleaned!L$1)</f>
        <v>75903</v>
      </c>
      <c r="M175">
        <f>VLOOKUP($A175,Transpose!$A$1:$S$859,Cleaned!M$1)</f>
        <v>3846</v>
      </c>
      <c r="N175">
        <f>VLOOKUP($A175,Transpose!$A$1:$S$859,Cleaned!N$1)</f>
        <v>1766</v>
      </c>
      <c r="O175">
        <f>VLOOKUP($A175,Transpose!$A$1:$S$859,Cleaned!O$1)</f>
        <v>69978</v>
      </c>
      <c r="P175">
        <f>VLOOKUP($A175,Transpose!$A$1:$S$859,Cleaned!P$1)</f>
        <v>312</v>
      </c>
      <c r="Q175">
        <f>VLOOKUP($A175,Transpose!$A$1:$S$859,Cleaned!Q$1)</f>
        <v>22</v>
      </c>
      <c r="R175">
        <f>VLOOKUP($A175,Transpose!$A$1:$S$859,Cleaned!R$1)</f>
        <v>2</v>
      </c>
      <c r="S175">
        <f>VLOOKUP($A175,Transpose!$A$1:$S$859,Cleaned!S$1)</f>
        <v>174</v>
      </c>
    </row>
    <row r="176" spans="1:19" x14ac:dyDescent="0.25">
      <c r="A176" s="2">
        <f t="shared" si="3"/>
        <v>38139</v>
      </c>
      <c r="B176">
        <f>VLOOKUP($A176,Transpose!$A$1:$S$859,Cleaned!B$1)</f>
        <v>139174</v>
      </c>
      <c r="C176">
        <f>VLOOKUP($A176,Transpose!$A$1:$S$859,Cleaned!C$1)</f>
        <v>133433</v>
      </c>
      <c r="D176">
        <f>VLOOKUP($A176,Transpose!$A$1:$S$859,Cleaned!D$1)</f>
        <v>2032</v>
      </c>
      <c r="E176">
        <f>VLOOKUP($A176,Transpose!$A$1:$S$859,Cleaned!E$1)</f>
        <v>3630</v>
      </c>
      <c r="F176">
        <f>VLOOKUP($A176,Transpose!$A$1:$S$859,Cleaned!F$1)</f>
        <v>79</v>
      </c>
      <c r="G176">
        <f>VLOOKUP($A176,Transpose!$A$1:$S$859,Cleaned!G$1)</f>
        <v>8286</v>
      </c>
      <c r="H176">
        <f>VLOOKUP($A176,Transpose!$A$1:$S$859,Cleaned!H$1)</f>
        <v>1777</v>
      </c>
      <c r="I176">
        <f>VLOOKUP($A176,Transpose!$A$1:$S$859,Cleaned!I$1)</f>
        <v>4381</v>
      </c>
      <c r="J176">
        <f>VLOOKUP($A176,Transpose!$A$1:$S$859,Cleaned!J$1)</f>
        <v>2088</v>
      </c>
      <c r="K176">
        <f>VLOOKUP($A176,Transpose!$A$1:$S$859,Cleaned!K$1)</f>
        <v>40</v>
      </c>
      <c r="L176">
        <f>VLOOKUP($A176,Transpose!$A$1:$S$859,Cleaned!L$1)</f>
        <v>75735</v>
      </c>
      <c r="M176">
        <f>VLOOKUP($A176,Transpose!$A$1:$S$859,Cleaned!M$1)</f>
        <v>3604</v>
      </c>
      <c r="N176">
        <f>VLOOKUP($A176,Transpose!$A$1:$S$859,Cleaned!N$1)</f>
        <v>1797</v>
      </c>
      <c r="O176">
        <f>VLOOKUP($A176,Transpose!$A$1:$S$859,Cleaned!O$1)</f>
        <v>69999</v>
      </c>
      <c r="P176">
        <f>VLOOKUP($A176,Transpose!$A$1:$S$859,Cleaned!P$1)</f>
        <v>336</v>
      </c>
      <c r="Q176">
        <f>VLOOKUP($A176,Transpose!$A$1:$S$859,Cleaned!Q$1)</f>
        <v>39</v>
      </c>
      <c r="R176">
        <f>VLOOKUP($A176,Transpose!$A$1:$S$859,Cleaned!R$1)</f>
        <v>2</v>
      </c>
      <c r="S176">
        <f>VLOOKUP($A176,Transpose!$A$1:$S$859,Cleaned!S$1)</f>
        <v>186</v>
      </c>
    </row>
    <row r="177" spans="1:19" x14ac:dyDescent="0.25">
      <c r="A177" s="2">
        <f t="shared" si="3"/>
        <v>38169</v>
      </c>
      <c r="B177">
        <f>VLOOKUP($A177,Transpose!$A$1:$S$859,Cleaned!B$1)</f>
        <v>139556</v>
      </c>
      <c r="C177">
        <f>VLOOKUP($A177,Transpose!$A$1:$S$859,Cleaned!C$1)</f>
        <v>133431</v>
      </c>
      <c r="D177">
        <f>VLOOKUP($A177,Transpose!$A$1:$S$859,Cleaned!D$1)</f>
        <v>2151</v>
      </c>
      <c r="E177">
        <f>VLOOKUP($A177,Transpose!$A$1:$S$859,Cleaned!E$1)</f>
        <v>3903</v>
      </c>
      <c r="F177">
        <f>VLOOKUP($A177,Transpose!$A$1:$S$859,Cleaned!F$1)</f>
        <v>71</v>
      </c>
      <c r="G177">
        <f>VLOOKUP($A177,Transpose!$A$1:$S$859,Cleaned!G$1)</f>
        <v>8136</v>
      </c>
      <c r="H177">
        <f>VLOOKUP($A177,Transpose!$A$1:$S$859,Cleaned!H$1)</f>
        <v>1823</v>
      </c>
      <c r="I177">
        <f>VLOOKUP($A177,Transpose!$A$1:$S$859,Cleaned!I$1)</f>
        <v>4287</v>
      </c>
      <c r="J177">
        <f>VLOOKUP($A177,Transpose!$A$1:$S$859,Cleaned!J$1)</f>
        <v>1991</v>
      </c>
      <c r="K177">
        <f>VLOOKUP($A177,Transpose!$A$1:$S$859,Cleaned!K$1)</f>
        <v>35</v>
      </c>
      <c r="L177">
        <f>VLOOKUP($A177,Transpose!$A$1:$S$859,Cleaned!L$1)</f>
        <v>75730</v>
      </c>
      <c r="M177">
        <f>VLOOKUP($A177,Transpose!$A$1:$S$859,Cleaned!M$1)</f>
        <v>3887</v>
      </c>
      <c r="N177">
        <f>VLOOKUP($A177,Transpose!$A$1:$S$859,Cleaned!N$1)</f>
        <v>1845</v>
      </c>
      <c r="O177">
        <f>VLOOKUP($A177,Transpose!$A$1:$S$859,Cleaned!O$1)</f>
        <v>69663</v>
      </c>
      <c r="P177">
        <f>VLOOKUP($A177,Transpose!$A$1:$S$859,Cleaned!P$1)</f>
        <v>335</v>
      </c>
      <c r="Q177">
        <f>VLOOKUP($A177,Transpose!$A$1:$S$859,Cleaned!Q$1)</f>
        <v>33</v>
      </c>
      <c r="R177">
        <f>VLOOKUP($A177,Transpose!$A$1:$S$859,Cleaned!R$1)</f>
        <v>2</v>
      </c>
      <c r="S177">
        <f>VLOOKUP($A177,Transpose!$A$1:$S$859,Cleaned!S$1)</f>
        <v>178</v>
      </c>
    </row>
    <row r="178" spans="1:19" x14ac:dyDescent="0.25">
      <c r="A178" s="2">
        <f t="shared" si="3"/>
        <v>38200</v>
      </c>
      <c r="B178">
        <f>VLOOKUP($A178,Transpose!$A$1:$S$859,Cleaned!B$1)</f>
        <v>139573</v>
      </c>
      <c r="C178">
        <f>VLOOKUP($A178,Transpose!$A$1:$S$859,Cleaned!C$1)</f>
        <v>133730</v>
      </c>
      <c r="D178">
        <f>VLOOKUP($A178,Transpose!$A$1:$S$859,Cleaned!D$1)</f>
        <v>1996</v>
      </c>
      <c r="E178">
        <f>VLOOKUP($A178,Transpose!$A$1:$S$859,Cleaned!E$1)</f>
        <v>3713</v>
      </c>
      <c r="F178">
        <f>VLOOKUP($A178,Transpose!$A$1:$S$859,Cleaned!F$1)</f>
        <v>135</v>
      </c>
      <c r="G178">
        <f>VLOOKUP($A178,Transpose!$A$1:$S$859,Cleaned!G$1)</f>
        <v>7990</v>
      </c>
      <c r="H178">
        <f>VLOOKUP($A178,Transpose!$A$1:$S$859,Cleaned!H$1)</f>
        <v>1858</v>
      </c>
      <c r="I178">
        <f>VLOOKUP($A178,Transpose!$A$1:$S$859,Cleaned!I$1)</f>
        <v>4164</v>
      </c>
      <c r="J178">
        <f>VLOOKUP($A178,Transpose!$A$1:$S$859,Cleaned!J$1)</f>
        <v>1946</v>
      </c>
      <c r="K178">
        <f>VLOOKUP($A178,Transpose!$A$1:$S$859,Cleaned!K$1)</f>
        <v>23</v>
      </c>
      <c r="L178">
        <f>VLOOKUP($A178,Transpose!$A$1:$S$859,Cleaned!L$1)</f>
        <v>76113</v>
      </c>
      <c r="M178">
        <f>VLOOKUP($A178,Transpose!$A$1:$S$859,Cleaned!M$1)</f>
        <v>3946</v>
      </c>
      <c r="N178">
        <f>VLOOKUP($A178,Transpose!$A$1:$S$859,Cleaned!N$1)</f>
        <v>1974</v>
      </c>
      <c r="O178">
        <f>VLOOKUP($A178,Transpose!$A$1:$S$859,Cleaned!O$1)</f>
        <v>69898</v>
      </c>
      <c r="P178">
        <f>VLOOKUP($A178,Transpose!$A$1:$S$859,Cleaned!P$1)</f>
        <v>295</v>
      </c>
      <c r="Q178">
        <f>VLOOKUP($A178,Transpose!$A$1:$S$859,Cleaned!Q$1)</f>
        <v>22</v>
      </c>
      <c r="R178">
        <f>VLOOKUP($A178,Transpose!$A$1:$S$859,Cleaned!R$1)</f>
        <v>2</v>
      </c>
      <c r="S178">
        <f>VLOOKUP($A178,Transpose!$A$1:$S$859,Cleaned!S$1)</f>
        <v>174</v>
      </c>
    </row>
    <row r="179" spans="1:19" x14ac:dyDescent="0.25">
      <c r="A179" s="2">
        <f t="shared" si="3"/>
        <v>38231</v>
      </c>
      <c r="B179">
        <f>VLOOKUP($A179,Transpose!$A$1:$S$859,Cleaned!B$1)</f>
        <v>139487</v>
      </c>
      <c r="C179">
        <f>VLOOKUP($A179,Transpose!$A$1:$S$859,Cleaned!C$1)</f>
        <v>133638</v>
      </c>
      <c r="D179">
        <f>VLOOKUP($A179,Transpose!$A$1:$S$859,Cleaned!D$1)</f>
        <v>2138</v>
      </c>
      <c r="E179">
        <f>VLOOKUP($A179,Transpose!$A$1:$S$859,Cleaned!E$1)</f>
        <v>3608</v>
      </c>
      <c r="F179">
        <f>VLOOKUP($A179,Transpose!$A$1:$S$859,Cleaned!F$1)</f>
        <v>104</v>
      </c>
      <c r="G179">
        <f>VLOOKUP($A179,Transpose!$A$1:$S$859,Cleaned!G$1)</f>
        <v>7927</v>
      </c>
      <c r="H179">
        <f>VLOOKUP($A179,Transpose!$A$1:$S$859,Cleaned!H$1)</f>
        <v>1907</v>
      </c>
      <c r="I179">
        <f>VLOOKUP($A179,Transpose!$A$1:$S$859,Cleaned!I$1)</f>
        <v>3966</v>
      </c>
      <c r="J179">
        <f>VLOOKUP($A179,Transpose!$A$1:$S$859,Cleaned!J$1)</f>
        <v>2025</v>
      </c>
      <c r="K179">
        <f>VLOOKUP($A179,Transpose!$A$1:$S$859,Cleaned!K$1)</f>
        <v>30</v>
      </c>
      <c r="L179">
        <f>VLOOKUP($A179,Transpose!$A$1:$S$859,Cleaned!L$1)</f>
        <v>76526</v>
      </c>
      <c r="M179">
        <f>VLOOKUP($A179,Transpose!$A$1:$S$859,Cleaned!M$1)</f>
        <v>4006</v>
      </c>
      <c r="N179">
        <f>VLOOKUP($A179,Transpose!$A$1:$S$859,Cleaned!N$1)</f>
        <v>1886</v>
      </c>
      <c r="O179">
        <f>VLOOKUP($A179,Transpose!$A$1:$S$859,Cleaned!O$1)</f>
        <v>70306</v>
      </c>
      <c r="P179">
        <f>VLOOKUP($A179,Transpose!$A$1:$S$859,Cleaned!P$1)</f>
        <v>328</v>
      </c>
      <c r="Q179">
        <f>VLOOKUP($A179,Transpose!$A$1:$S$859,Cleaned!Q$1)</f>
        <v>22</v>
      </c>
      <c r="R179">
        <f>VLOOKUP($A179,Transpose!$A$1:$S$859,Cleaned!R$1)</f>
        <v>2</v>
      </c>
      <c r="S179">
        <f>VLOOKUP($A179,Transpose!$A$1:$S$859,Cleaned!S$1)</f>
        <v>174</v>
      </c>
    </row>
    <row r="180" spans="1:19" x14ac:dyDescent="0.25">
      <c r="A180" s="2">
        <f t="shared" si="3"/>
        <v>38261</v>
      </c>
      <c r="B180">
        <f>VLOOKUP($A180,Transpose!$A$1:$S$859,Cleaned!B$1)</f>
        <v>139732</v>
      </c>
      <c r="C180">
        <f>VLOOKUP($A180,Transpose!$A$1:$S$859,Cleaned!C$1)</f>
        <v>133561</v>
      </c>
      <c r="D180">
        <f>VLOOKUP($A180,Transpose!$A$1:$S$859,Cleaned!D$1)</f>
        <v>2132</v>
      </c>
      <c r="E180">
        <f>VLOOKUP($A180,Transpose!$A$1:$S$859,Cleaned!E$1)</f>
        <v>3937</v>
      </c>
      <c r="F180">
        <f>VLOOKUP($A180,Transpose!$A$1:$S$859,Cleaned!F$1)</f>
        <v>101</v>
      </c>
      <c r="G180">
        <f>VLOOKUP($A180,Transpose!$A$1:$S$859,Cleaned!G$1)</f>
        <v>8061</v>
      </c>
      <c r="H180">
        <f>VLOOKUP($A180,Transpose!$A$1:$S$859,Cleaned!H$1)</f>
        <v>1890</v>
      </c>
      <c r="I180">
        <f>VLOOKUP($A180,Transpose!$A$1:$S$859,Cleaned!I$1)</f>
        <v>4053</v>
      </c>
      <c r="J180">
        <f>VLOOKUP($A180,Transpose!$A$1:$S$859,Cleaned!J$1)</f>
        <v>2085</v>
      </c>
      <c r="K180">
        <f>VLOOKUP($A180,Transpose!$A$1:$S$859,Cleaned!K$1)</f>
        <v>34</v>
      </c>
      <c r="L180">
        <f>VLOOKUP($A180,Transpose!$A$1:$S$859,Cleaned!L$1)</f>
        <v>76399</v>
      </c>
      <c r="M180">
        <f>VLOOKUP($A180,Transpose!$A$1:$S$859,Cleaned!M$1)</f>
        <v>4014</v>
      </c>
      <c r="N180">
        <f>VLOOKUP($A180,Transpose!$A$1:$S$859,Cleaned!N$1)</f>
        <v>1740</v>
      </c>
      <c r="O180">
        <f>VLOOKUP($A180,Transpose!$A$1:$S$859,Cleaned!O$1)</f>
        <v>70330</v>
      </c>
      <c r="P180">
        <f>VLOOKUP($A180,Transpose!$A$1:$S$859,Cleaned!P$1)</f>
        <v>314</v>
      </c>
      <c r="Q180">
        <f>VLOOKUP($A180,Transpose!$A$1:$S$859,Cleaned!Q$1)</f>
        <v>22</v>
      </c>
      <c r="R180">
        <f>VLOOKUP($A180,Transpose!$A$1:$S$859,Cleaned!R$1)</f>
        <v>2</v>
      </c>
      <c r="S180">
        <f>VLOOKUP($A180,Transpose!$A$1:$S$859,Cleaned!S$1)</f>
        <v>174</v>
      </c>
    </row>
    <row r="181" spans="1:19" x14ac:dyDescent="0.25">
      <c r="A181" s="2">
        <f t="shared" si="3"/>
        <v>38292</v>
      </c>
      <c r="B181">
        <f>VLOOKUP($A181,Transpose!$A$1:$S$859,Cleaned!B$1)</f>
        <v>140231</v>
      </c>
      <c r="C181">
        <f>VLOOKUP($A181,Transpose!$A$1:$S$859,Cleaned!C$1)</f>
        <v>134094</v>
      </c>
      <c r="D181">
        <f>VLOOKUP($A181,Transpose!$A$1:$S$859,Cleaned!D$1)</f>
        <v>2154</v>
      </c>
      <c r="E181">
        <f>VLOOKUP($A181,Transpose!$A$1:$S$859,Cleaned!E$1)</f>
        <v>3876</v>
      </c>
      <c r="F181">
        <f>VLOOKUP($A181,Transpose!$A$1:$S$859,Cleaned!F$1)</f>
        <v>107</v>
      </c>
      <c r="G181">
        <f>VLOOKUP($A181,Transpose!$A$1:$S$859,Cleaned!G$1)</f>
        <v>7932</v>
      </c>
      <c r="H181">
        <f>VLOOKUP($A181,Transpose!$A$1:$S$859,Cleaned!H$1)</f>
        <v>1801</v>
      </c>
      <c r="I181">
        <f>VLOOKUP($A181,Transpose!$A$1:$S$859,Cleaned!I$1)</f>
        <v>4125</v>
      </c>
      <c r="J181">
        <f>VLOOKUP($A181,Transpose!$A$1:$S$859,Cleaned!J$1)</f>
        <v>1992</v>
      </c>
      <c r="K181">
        <f>VLOOKUP($A181,Transpose!$A$1:$S$859,Cleaned!K$1)</f>
        <v>13</v>
      </c>
      <c r="L181">
        <f>VLOOKUP($A181,Transpose!$A$1:$S$859,Cleaned!L$1)</f>
        <v>76259</v>
      </c>
      <c r="M181">
        <f>VLOOKUP($A181,Transpose!$A$1:$S$859,Cleaned!M$1)</f>
        <v>3815</v>
      </c>
      <c r="N181">
        <f>VLOOKUP($A181,Transpose!$A$1:$S$859,Cleaned!N$1)</f>
        <v>1780</v>
      </c>
      <c r="O181">
        <f>VLOOKUP($A181,Transpose!$A$1:$S$859,Cleaned!O$1)</f>
        <v>70356</v>
      </c>
      <c r="P181">
        <f>VLOOKUP($A181,Transpose!$A$1:$S$859,Cleaned!P$1)</f>
        <v>308</v>
      </c>
      <c r="Q181">
        <f>VLOOKUP($A181,Transpose!$A$1:$S$859,Cleaned!Q$1)</f>
        <v>22</v>
      </c>
      <c r="R181">
        <f>VLOOKUP($A181,Transpose!$A$1:$S$859,Cleaned!R$1)</f>
        <v>2</v>
      </c>
      <c r="S181">
        <f>VLOOKUP($A181,Transpose!$A$1:$S$859,Cleaned!S$1)</f>
        <v>175</v>
      </c>
    </row>
    <row r="182" spans="1:19" x14ac:dyDescent="0.25">
      <c r="A182" s="2">
        <f t="shared" si="3"/>
        <v>38322</v>
      </c>
      <c r="B182">
        <f>VLOOKUP($A182,Transpose!$A$1:$S$859,Cleaned!B$1)</f>
        <v>140125</v>
      </c>
      <c r="C182">
        <f>VLOOKUP($A182,Transpose!$A$1:$S$859,Cleaned!C$1)</f>
        <v>134242</v>
      </c>
      <c r="D182">
        <f>VLOOKUP($A182,Transpose!$A$1:$S$859,Cleaned!D$1)</f>
        <v>2080</v>
      </c>
      <c r="E182">
        <f>VLOOKUP($A182,Transpose!$A$1:$S$859,Cleaned!E$1)</f>
        <v>3726</v>
      </c>
      <c r="F182">
        <f>VLOOKUP($A182,Transpose!$A$1:$S$859,Cleaned!F$1)</f>
        <v>77</v>
      </c>
      <c r="G182">
        <f>VLOOKUP($A182,Transpose!$A$1:$S$859,Cleaned!G$1)</f>
        <v>7934</v>
      </c>
      <c r="H182">
        <f>VLOOKUP($A182,Transpose!$A$1:$S$859,Cleaned!H$1)</f>
        <v>1848</v>
      </c>
      <c r="I182">
        <f>VLOOKUP($A182,Transpose!$A$1:$S$859,Cleaned!I$1)</f>
        <v>4053</v>
      </c>
      <c r="J182">
        <f>VLOOKUP($A182,Transpose!$A$1:$S$859,Cleaned!J$1)</f>
        <v>2015</v>
      </c>
      <c r="K182">
        <f>VLOOKUP($A182,Transpose!$A$1:$S$859,Cleaned!K$1)</f>
        <v>18</v>
      </c>
      <c r="L182">
        <f>VLOOKUP($A182,Transpose!$A$1:$S$859,Cleaned!L$1)</f>
        <v>76581</v>
      </c>
      <c r="M182">
        <f>VLOOKUP($A182,Transpose!$A$1:$S$859,Cleaned!M$1)</f>
        <v>4119</v>
      </c>
      <c r="N182">
        <f>VLOOKUP($A182,Transpose!$A$1:$S$859,Cleaned!N$1)</f>
        <v>1797</v>
      </c>
      <c r="O182">
        <f>VLOOKUP($A182,Transpose!$A$1:$S$859,Cleaned!O$1)</f>
        <v>70343</v>
      </c>
      <c r="P182">
        <f>VLOOKUP($A182,Transpose!$A$1:$S$859,Cleaned!P$1)</f>
        <v>321</v>
      </c>
      <c r="Q182">
        <f>VLOOKUP($A182,Transpose!$A$1:$S$859,Cleaned!Q$1)</f>
        <v>22</v>
      </c>
      <c r="R182">
        <f>VLOOKUP($A182,Transpose!$A$1:$S$859,Cleaned!R$1)</f>
        <v>2</v>
      </c>
      <c r="S182">
        <f>VLOOKUP($A182,Transpose!$A$1:$S$859,Cleaned!S$1)</f>
        <v>175</v>
      </c>
    </row>
    <row r="183" spans="1:19" x14ac:dyDescent="0.25">
      <c r="A183" s="2">
        <f t="shared" si="3"/>
        <v>38353</v>
      </c>
      <c r="B183">
        <f>VLOOKUP($A183,Transpose!$A$1:$S$859,Cleaned!B$1)</f>
        <v>140245</v>
      </c>
      <c r="C183">
        <f>VLOOKUP($A183,Transpose!$A$1:$S$859,Cleaned!C$1)</f>
        <v>134291</v>
      </c>
      <c r="D183">
        <f>VLOOKUP($A183,Transpose!$A$1:$S$859,Cleaned!D$1)</f>
        <v>2040</v>
      </c>
      <c r="E183">
        <f>VLOOKUP($A183,Transpose!$A$1:$S$859,Cleaned!E$1)</f>
        <v>3865</v>
      </c>
      <c r="F183">
        <f>VLOOKUP($A183,Transpose!$A$1:$S$859,Cleaned!F$1)</f>
        <v>48</v>
      </c>
      <c r="G183">
        <f>VLOOKUP($A183,Transpose!$A$1:$S$859,Cleaned!G$1)</f>
        <v>7784</v>
      </c>
      <c r="H183">
        <f>VLOOKUP($A183,Transpose!$A$1:$S$859,Cleaned!H$1)</f>
        <v>1814</v>
      </c>
      <c r="I183">
        <f>VLOOKUP($A183,Transpose!$A$1:$S$859,Cleaned!I$1)</f>
        <v>4158</v>
      </c>
      <c r="J183">
        <f>VLOOKUP($A183,Transpose!$A$1:$S$859,Cleaned!J$1)</f>
        <v>1776</v>
      </c>
      <c r="K183">
        <f>VLOOKUP($A183,Transpose!$A$1:$S$859,Cleaned!K$1)</f>
        <v>37</v>
      </c>
      <c r="L183">
        <f>VLOOKUP($A183,Transpose!$A$1:$S$859,Cleaned!L$1)</f>
        <v>76808</v>
      </c>
      <c r="M183">
        <f>VLOOKUP($A183,Transpose!$A$1:$S$859,Cleaned!M$1)</f>
        <v>3978</v>
      </c>
      <c r="N183">
        <f>VLOOKUP($A183,Transpose!$A$1:$S$859,Cleaned!N$1)</f>
        <v>1733</v>
      </c>
      <c r="O183">
        <f>VLOOKUP($A183,Transpose!$A$1:$S$859,Cleaned!O$1)</f>
        <v>70751</v>
      </c>
      <c r="P183">
        <f>VLOOKUP($A183,Transpose!$A$1:$S$859,Cleaned!P$1)</f>
        <v>346</v>
      </c>
      <c r="Q183">
        <f>VLOOKUP($A183,Transpose!$A$1:$S$859,Cleaned!Q$1)</f>
        <v>43</v>
      </c>
      <c r="R183">
        <f>VLOOKUP($A183,Transpose!$A$1:$S$859,Cleaned!R$1)</f>
        <v>3</v>
      </c>
      <c r="S183">
        <f>VLOOKUP($A183,Transpose!$A$1:$S$859,Cleaned!S$1)</f>
        <v>188</v>
      </c>
    </row>
    <row r="184" spans="1:19" x14ac:dyDescent="0.25">
      <c r="A184" s="2">
        <f t="shared" si="3"/>
        <v>38384</v>
      </c>
      <c r="B184">
        <f>VLOOKUP($A184,Transpose!$A$1:$S$859,Cleaned!B$1)</f>
        <v>140385</v>
      </c>
      <c r="C184">
        <f>VLOOKUP($A184,Transpose!$A$1:$S$859,Cleaned!C$1)</f>
        <v>134480</v>
      </c>
      <c r="D184">
        <f>VLOOKUP($A184,Transpose!$A$1:$S$859,Cleaned!D$1)</f>
        <v>2052</v>
      </c>
      <c r="E184">
        <f>VLOOKUP($A184,Transpose!$A$1:$S$859,Cleaned!E$1)</f>
        <v>3757</v>
      </c>
      <c r="F184">
        <f>VLOOKUP($A184,Transpose!$A$1:$S$859,Cleaned!F$1)</f>
        <v>96</v>
      </c>
      <c r="G184">
        <f>VLOOKUP($A184,Transpose!$A$1:$S$859,Cleaned!G$1)</f>
        <v>7980</v>
      </c>
      <c r="H184">
        <f>VLOOKUP($A184,Transpose!$A$1:$S$859,Cleaned!H$1)</f>
        <v>1853</v>
      </c>
      <c r="I184">
        <f>VLOOKUP($A184,Transpose!$A$1:$S$859,Cleaned!I$1)</f>
        <v>4083</v>
      </c>
      <c r="J184">
        <f>VLOOKUP($A184,Transpose!$A$1:$S$859,Cleaned!J$1)</f>
        <v>2030</v>
      </c>
      <c r="K184">
        <f>VLOOKUP($A184,Transpose!$A$1:$S$859,Cleaned!K$1)</f>
        <v>14</v>
      </c>
      <c r="L184">
        <f>VLOOKUP($A184,Transpose!$A$1:$S$859,Cleaned!L$1)</f>
        <v>76677</v>
      </c>
      <c r="M184">
        <f>VLOOKUP($A184,Transpose!$A$1:$S$859,Cleaned!M$1)</f>
        <v>3890</v>
      </c>
      <c r="N184">
        <f>VLOOKUP($A184,Transpose!$A$1:$S$859,Cleaned!N$1)</f>
        <v>1648</v>
      </c>
      <c r="O184">
        <f>VLOOKUP($A184,Transpose!$A$1:$S$859,Cleaned!O$1)</f>
        <v>70846</v>
      </c>
      <c r="P184">
        <f>VLOOKUP($A184,Transpose!$A$1:$S$859,Cleaned!P$1)</f>
        <v>293</v>
      </c>
      <c r="Q184">
        <f>VLOOKUP($A184,Transpose!$A$1:$S$859,Cleaned!Q$1)</f>
        <v>22</v>
      </c>
      <c r="R184">
        <f>VLOOKUP($A184,Transpose!$A$1:$S$859,Cleaned!R$1)</f>
        <v>2</v>
      </c>
      <c r="S184">
        <f>VLOOKUP($A184,Transpose!$A$1:$S$859,Cleaned!S$1)</f>
        <v>175</v>
      </c>
    </row>
    <row r="185" spans="1:19" x14ac:dyDescent="0.25">
      <c r="A185" s="2">
        <f t="shared" si="3"/>
        <v>38412</v>
      </c>
      <c r="B185">
        <f>VLOOKUP($A185,Transpose!$A$1:$S$859,Cleaned!B$1)</f>
        <v>140654</v>
      </c>
      <c r="C185">
        <f>VLOOKUP($A185,Transpose!$A$1:$S$859,Cleaned!C$1)</f>
        <v>134785</v>
      </c>
      <c r="D185">
        <f>VLOOKUP($A185,Transpose!$A$1:$S$859,Cleaned!D$1)</f>
        <v>2060</v>
      </c>
      <c r="E185">
        <f>VLOOKUP($A185,Transpose!$A$1:$S$859,Cleaned!E$1)</f>
        <v>3741</v>
      </c>
      <c r="F185">
        <f>VLOOKUP($A185,Transpose!$A$1:$S$859,Cleaned!F$1)</f>
        <v>67</v>
      </c>
      <c r="G185">
        <f>VLOOKUP($A185,Transpose!$A$1:$S$859,Cleaned!G$1)</f>
        <v>7737</v>
      </c>
      <c r="H185">
        <f>VLOOKUP($A185,Transpose!$A$1:$S$859,Cleaned!H$1)</f>
        <v>1730</v>
      </c>
      <c r="I185">
        <f>VLOOKUP($A185,Transpose!$A$1:$S$859,Cleaned!I$1)</f>
        <v>4065</v>
      </c>
      <c r="J185">
        <f>VLOOKUP($A185,Transpose!$A$1:$S$859,Cleaned!J$1)</f>
        <v>1929</v>
      </c>
      <c r="K185">
        <f>VLOOKUP($A185,Transpose!$A$1:$S$859,Cleaned!K$1)</f>
        <v>12</v>
      </c>
      <c r="L185">
        <f>VLOOKUP($A185,Transpose!$A$1:$S$859,Cleaned!L$1)</f>
        <v>76846</v>
      </c>
      <c r="M185">
        <f>VLOOKUP($A185,Transpose!$A$1:$S$859,Cleaned!M$1)</f>
        <v>3847</v>
      </c>
      <c r="N185">
        <f>VLOOKUP($A185,Transpose!$A$1:$S$859,Cleaned!N$1)</f>
        <v>1853</v>
      </c>
      <c r="O185">
        <f>VLOOKUP($A185,Transpose!$A$1:$S$859,Cleaned!O$1)</f>
        <v>70831</v>
      </c>
      <c r="P185">
        <f>VLOOKUP($A185,Transpose!$A$1:$S$859,Cleaned!P$1)</f>
        <v>315</v>
      </c>
      <c r="Q185">
        <f>VLOOKUP($A185,Transpose!$A$1:$S$859,Cleaned!Q$1)</f>
        <v>22</v>
      </c>
      <c r="R185">
        <f>VLOOKUP($A185,Transpose!$A$1:$S$859,Cleaned!R$1)</f>
        <v>2</v>
      </c>
      <c r="S185">
        <f>VLOOKUP($A185,Transpose!$A$1:$S$859,Cleaned!S$1)</f>
        <v>175</v>
      </c>
    </row>
    <row r="186" spans="1:19" x14ac:dyDescent="0.25">
      <c r="A186" s="2">
        <f t="shared" si="3"/>
        <v>38443</v>
      </c>
      <c r="B186">
        <f>VLOOKUP($A186,Transpose!$A$1:$S$859,Cleaned!B$1)</f>
        <v>141254</v>
      </c>
      <c r="C186">
        <f>VLOOKUP($A186,Transpose!$A$1:$S$859,Cleaned!C$1)</f>
        <v>135077</v>
      </c>
      <c r="D186">
        <f>VLOOKUP($A186,Transpose!$A$1:$S$859,Cleaned!D$1)</f>
        <v>2060</v>
      </c>
      <c r="E186">
        <f>VLOOKUP($A186,Transpose!$A$1:$S$859,Cleaned!E$1)</f>
        <v>4034</v>
      </c>
      <c r="F186">
        <f>VLOOKUP($A186,Transpose!$A$1:$S$859,Cleaned!F$1)</f>
        <v>83</v>
      </c>
      <c r="G186">
        <f>VLOOKUP($A186,Transpose!$A$1:$S$859,Cleaned!G$1)</f>
        <v>7672</v>
      </c>
      <c r="H186">
        <f>VLOOKUP($A186,Transpose!$A$1:$S$859,Cleaned!H$1)</f>
        <v>1692</v>
      </c>
      <c r="I186">
        <f>VLOOKUP($A186,Transpose!$A$1:$S$859,Cleaned!I$1)</f>
        <v>3959</v>
      </c>
      <c r="J186">
        <f>VLOOKUP($A186,Transpose!$A$1:$S$859,Cleaned!J$1)</f>
        <v>1983</v>
      </c>
      <c r="K186">
        <f>VLOOKUP($A186,Transpose!$A$1:$S$859,Cleaned!K$1)</f>
        <v>38</v>
      </c>
      <c r="L186">
        <f>VLOOKUP($A186,Transpose!$A$1:$S$859,Cleaned!L$1)</f>
        <v>76514</v>
      </c>
      <c r="M186">
        <f>VLOOKUP($A186,Transpose!$A$1:$S$859,Cleaned!M$1)</f>
        <v>3863</v>
      </c>
      <c r="N186">
        <f>VLOOKUP($A186,Transpose!$A$1:$S$859,Cleaned!N$1)</f>
        <v>1716</v>
      </c>
      <c r="O186">
        <f>VLOOKUP($A186,Transpose!$A$1:$S$859,Cleaned!O$1)</f>
        <v>70653</v>
      </c>
      <c r="P186">
        <f>VLOOKUP($A186,Transpose!$A$1:$S$859,Cleaned!P$1)</f>
        <v>282</v>
      </c>
      <c r="Q186">
        <f>VLOOKUP($A186,Transpose!$A$1:$S$859,Cleaned!Q$1)</f>
        <v>22</v>
      </c>
      <c r="R186">
        <f>VLOOKUP($A186,Transpose!$A$1:$S$859,Cleaned!R$1)</f>
        <v>2</v>
      </c>
      <c r="S186">
        <f>VLOOKUP($A186,Transpose!$A$1:$S$859,Cleaned!S$1)</f>
        <v>175</v>
      </c>
    </row>
    <row r="187" spans="1:19" x14ac:dyDescent="0.25">
      <c r="A187" s="2">
        <f t="shared" si="3"/>
        <v>38473</v>
      </c>
      <c r="B187">
        <f>VLOOKUP($A187,Transpose!$A$1:$S$859,Cleaned!B$1)</f>
        <v>141609</v>
      </c>
      <c r="C187">
        <f>VLOOKUP($A187,Transpose!$A$1:$S$859,Cleaned!C$1)</f>
        <v>135600</v>
      </c>
      <c r="D187">
        <f>VLOOKUP($A187,Transpose!$A$1:$S$859,Cleaned!D$1)</f>
        <v>1979</v>
      </c>
      <c r="E187">
        <f>VLOOKUP($A187,Transpose!$A$1:$S$859,Cleaned!E$1)</f>
        <v>3943</v>
      </c>
      <c r="F187">
        <f>VLOOKUP($A187,Transpose!$A$1:$S$859,Cleaned!F$1)</f>
        <v>88</v>
      </c>
      <c r="G187">
        <f>VLOOKUP($A187,Transpose!$A$1:$S$859,Cleaned!G$1)</f>
        <v>7651</v>
      </c>
      <c r="H187">
        <f>VLOOKUP($A187,Transpose!$A$1:$S$859,Cleaned!H$1)</f>
        <v>1738</v>
      </c>
      <c r="I187">
        <f>VLOOKUP($A187,Transpose!$A$1:$S$859,Cleaned!I$1)</f>
        <v>3915</v>
      </c>
      <c r="J187">
        <f>VLOOKUP($A187,Transpose!$A$1:$S$859,Cleaned!J$1)</f>
        <v>1964</v>
      </c>
      <c r="K187">
        <f>VLOOKUP($A187,Transpose!$A$1:$S$859,Cleaned!K$1)</f>
        <v>34</v>
      </c>
      <c r="L187">
        <f>VLOOKUP($A187,Transpose!$A$1:$S$859,Cleaned!L$1)</f>
        <v>76409</v>
      </c>
      <c r="M187">
        <f>VLOOKUP($A187,Transpose!$A$1:$S$859,Cleaned!M$1)</f>
        <v>3894</v>
      </c>
      <c r="N187">
        <f>VLOOKUP($A187,Transpose!$A$1:$S$859,Cleaned!N$1)</f>
        <v>1777</v>
      </c>
      <c r="O187">
        <f>VLOOKUP($A187,Transpose!$A$1:$S$859,Cleaned!O$1)</f>
        <v>70433</v>
      </c>
      <c r="P187">
        <f>VLOOKUP($A187,Transpose!$A$1:$S$859,Cleaned!P$1)</f>
        <v>306</v>
      </c>
      <c r="Q187">
        <f>VLOOKUP($A187,Transpose!$A$1:$S$859,Cleaned!Q$1)</f>
        <v>22</v>
      </c>
      <c r="R187">
        <f>VLOOKUP($A187,Transpose!$A$1:$S$859,Cleaned!R$1)</f>
        <v>2</v>
      </c>
      <c r="S187">
        <f>VLOOKUP($A187,Transpose!$A$1:$S$859,Cleaned!S$1)</f>
        <v>176</v>
      </c>
    </row>
    <row r="188" spans="1:19" x14ac:dyDescent="0.25">
      <c r="A188" s="2">
        <f t="shared" si="3"/>
        <v>38504</v>
      </c>
      <c r="B188">
        <f>VLOOKUP($A188,Transpose!$A$1:$S$859,Cleaned!B$1)</f>
        <v>141714</v>
      </c>
      <c r="C188">
        <f>VLOOKUP($A188,Transpose!$A$1:$S$859,Cleaned!C$1)</f>
        <v>135897</v>
      </c>
      <c r="D188">
        <f>VLOOKUP($A188,Transpose!$A$1:$S$859,Cleaned!D$1)</f>
        <v>1978</v>
      </c>
      <c r="E188">
        <f>VLOOKUP($A188,Transpose!$A$1:$S$859,Cleaned!E$1)</f>
        <v>3755</v>
      </c>
      <c r="F188">
        <f>VLOOKUP($A188,Transpose!$A$1:$S$859,Cleaned!F$1)</f>
        <v>83</v>
      </c>
      <c r="G188">
        <f>VLOOKUP($A188,Transpose!$A$1:$S$859,Cleaned!G$1)</f>
        <v>7524</v>
      </c>
      <c r="H188">
        <f>VLOOKUP($A188,Transpose!$A$1:$S$859,Cleaned!H$1)</f>
        <v>1822</v>
      </c>
      <c r="I188">
        <f>VLOOKUP($A188,Transpose!$A$1:$S$859,Cleaned!I$1)</f>
        <v>3852</v>
      </c>
      <c r="J188">
        <f>VLOOKUP($A188,Transpose!$A$1:$S$859,Cleaned!J$1)</f>
        <v>1827</v>
      </c>
      <c r="K188">
        <f>VLOOKUP($A188,Transpose!$A$1:$S$859,Cleaned!K$1)</f>
        <v>22</v>
      </c>
      <c r="L188">
        <f>VLOOKUP($A188,Transpose!$A$1:$S$859,Cleaned!L$1)</f>
        <v>76673</v>
      </c>
      <c r="M188">
        <f>VLOOKUP($A188,Transpose!$A$1:$S$859,Cleaned!M$1)</f>
        <v>3863</v>
      </c>
      <c r="N188">
        <f>VLOOKUP($A188,Transpose!$A$1:$S$859,Cleaned!N$1)</f>
        <v>1819</v>
      </c>
      <c r="O188">
        <f>VLOOKUP($A188,Transpose!$A$1:$S$859,Cleaned!O$1)</f>
        <v>70649</v>
      </c>
      <c r="P188">
        <f>VLOOKUP($A188,Transpose!$A$1:$S$859,Cleaned!P$1)</f>
        <v>342</v>
      </c>
      <c r="Q188">
        <f>VLOOKUP($A188,Transpose!$A$1:$S$859,Cleaned!Q$1)</f>
        <v>27</v>
      </c>
      <c r="R188">
        <f>VLOOKUP($A188,Transpose!$A$1:$S$859,Cleaned!R$1)</f>
        <v>2</v>
      </c>
      <c r="S188">
        <f>VLOOKUP($A188,Transpose!$A$1:$S$859,Cleaned!S$1)</f>
        <v>178</v>
      </c>
    </row>
    <row r="189" spans="1:19" x14ac:dyDescent="0.25">
      <c r="A189" s="2">
        <f t="shared" si="3"/>
        <v>38534</v>
      </c>
      <c r="B189">
        <f>VLOOKUP($A189,Transpose!$A$1:$S$859,Cleaned!B$1)</f>
        <v>142026</v>
      </c>
      <c r="C189">
        <f>VLOOKUP($A189,Transpose!$A$1:$S$859,Cleaned!C$1)</f>
        <v>135916</v>
      </c>
      <c r="D189">
        <f>VLOOKUP($A189,Transpose!$A$1:$S$859,Cleaned!D$1)</f>
        <v>1944</v>
      </c>
      <c r="E189">
        <f>VLOOKUP($A189,Transpose!$A$1:$S$859,Cleaned!E$1)</f>
        <v>4062</v>
      </c>
      <c r="F189">
        <f>VLOOKUP($A189,Transpose!$A$1:$S$859,Cleaned!F$1)</f>
        <v>104</v>
      </c>
      <c r="G189">
        <f>VLOOKUP($A189,Transpose!$A$1:$S$859,Cleaned!G$1)</f>
        <v>7406</v>
      </c>
      <c r="H189">
        <f>VLOOKUP($A189,Transpose!$A$1:$S$859,Cleaned!H$1)</f>
        <v>1783</v>
      </c>
      <c r="I189">
        <f>VLOOKUP($A189,Transpose!$A$1:$S$859,Cleaned!I$1)</f>
        <v>3762</v>
      </c>
      <c r="J189">
        <f>VLOOKUP($A189,Transpose!$A$1:$S$859,Cleaned!J$1)</f>
        <v>1841</v>
      </c>
      <c r="K189">
        <f>VLOOKUP($A189,Transpose!$A$1:$S$859,Cleaned!K$1)</f>
        <v>19</v>
      </c>
      <c r="L189">
        <f>VLOOKUP($A189,Transpose!$A$1:$S$859,Cleaned!L$1)</f>
        <v>76721</v>
      </c>
      <c r="M189">
        <f>VLOOKUP($A189,Transpose!$A$1:$S$859,Cleaned!M$1)</f>
        <v>3993</v>
      </c>
      <c r="N189">
        <f>VLOOKUP($A189,Transpose!$A$1:$S$859,Cleaned!N$1)</f>
        <v>1816</v>
      </c>
      <c r="O189">
        <f>VLOOKUP($A189,Transpose!$A$1:$S$859,Cleaned!O$1)</f>
        <v>70593</v>
      </c>
      <c r="P189">
        <f>VLOOKUP($A189,Transpose!$A$1:$S$859,Cleaned!P$1)</f>
        <v>318</v>
      </c>
      <c r="Q189">
        <f>VLOOKUP($A189,Transpose!$A$1:$S$859,Cleaned!Q$1)</f>
        <v>22</v>
      </c>
      <c r="R189">
        <f>VLOOKUP($A189,Transpose!$A$1:$S$859,Cleaned!R$1)</f>
        <v>2</v>
      </c>
      <c r="S189">
        <f>VLOOKUP($A189,Transpose!$A$1:$S$859,Cleaned!S$1)</f>
        <v>176</v>
      </c>
    </row>
    <row r="190" spans="1:19" x14ac:dyDescent="0.25">
      <c r="A190" s="2">
        <f t="shared" si="3"/>
        <v>38565</v>
      </c>
      <c r="B190">
        <f>VLOOKUP($A190,Transpose!$A$1:$S$859,Cleaned!B$1)</f>
        <v>142434</v>
      </c>
      <c r="C190">
        <f>VLOOKUP($A190,Transpose!$A$1:$S$859,Cleaned!C$1)</f>
        <v>136360</v>
      </c>
      <c r="D190">
        <f>VLOOKUP($A190,Transpose!$A$1:$S$859,Cleaned!D$1)</f>
        <v>2119</v>
      </c>
      <c r="E190">
        <f>VLOOKUP($A190,Transpose!$A$1:$S$859,Cleaned!E$1)</f>
        <v>3849</v>
      </c>
      <c r="F190">
        <f>VLOOKUP($A190,Transpose!$A$1:$S$859,Cleaned!F$1)</f>
        <v>105</v>
      </c>
      <c r="G190">
        <f>VLOOKUP($A190,Transpose!$A$1:$S$859,Cleaned!G$1)</f>
        <v>7345</v>
      </c>
      <c r="H190">
        <f>VLOOKUP($A190,Transpose!$A$1:$S$859,Cleaned!H$1)</f>
        <v>1769</v>
      </c>
      <c r="I190">
        <f>VLOOKUP($A190,Transpose!$A$1:$S$859,Cleaned!I$1)</f>
        <v>3565</v>
      </c>
      <c r="J190">
        <f>VLOOKUP($A190,Transpose!$A$1:$S$859,Cleaned!J$1)</f>
        <v>1986</v>
      </c>
      <c r="K190">
        <f>VLOOKUP($A190,Transpose!$A$1:$S$859,Cleaned!K$1)</f>
        <v>26</v>
      </c>
      <c r="L190">
        <f>VLOOKUP($A190,Transpose!$A$1:$S$859,Cleaned!L$1)</f>
        <v>76642</v>
      </c>
      <c r="M190">
        <f>VLOOKUP($A190,Transpose!$A$1:$S$859,Cleaned!M$1)</f>
        <v>3875</v>
      </c>
      <c r="N190">
        <f>VLOOKUP($A190,Transpose!$A$1:$S$859,Cleaned!N$1)</f>
        <v>1721</v>
      </c>
      <c r="O190">
        <f>VLOOKUP($A190,Transpose!$A$1:$S$859,Cleaned!O$1)</f>
        <v>70709</v>
      </c>
      <c r="P190">
        <f>VLOOKUP($A190,Transpose!$A$1:$S$859,Cleaned!P$1)</f>
        <v>337</v>
      </c>
      <c r="Q190">
        <f>VLOOKUP($A190,Transpose!$A$1:$S$859,Cleaned!Q$1)</f>
        <v>22</v>
      </c>
      <c r="R190">
        <f>VLOOKUP($A190,Transpose!$A$1:$S$859,Cleaned!R$1)</f>
        <v>2</v>
      </c>
      <c r="S190">
        <f>VLOOKUP($A190,Transpose!$A$1:$S$859,Cleaned!S$1)</f>
        <v>176</v>
      </c>
    </row>
    <row r="191" spans="1:19" x14ac:dyDescent="0.25">
      <c r="A191" s="2">
        <f t="shared" si="3"/>
        <v>38596</v>
      </c>
      <c r="B191">
        <f>VLOOKUP($A191,Transpose!$A$1:$S$859,Cleaned!B$1)</f>
        <v>142401</v>
      </c>
      <c r="C191">
        <f>VLOOKUP($A191,Transpose!$A$1:$S$859,Cleaned!C$1)</f>
        <v>136621</v>
      </c>
      <c r="D191">
        <f>VLOOKUP($A191,Transpose!$A$1:$S$859,Cleaned!D$1)</f>
        <v>1852</v>
      </c>
      <c r="E191">
        <f>VLOOKUP($A191,Transpose!$A$1:$S$859,Cleaned!E$1)</f>
        <v>3845</v>
      </c>
      <c r="F191">
        <f>VLOOKUP($A191,Transpose!$A$1:$S$859,Cleaned!F$1)</f>
        <v>84</v>
      </c>
      <c r="G191">
        <f>VLOOKUP($A191,Transpose!$A$1:$S$859,Cleaned!G$1)</f>
        <v>7553</v>
      </c>
      <c r="H191">
        <f>VLOOKUP($A191,Transpose!$A$1:$S$859,Cleaned!H$1)</f>
        <v>1853</v>
      </c>
      <c r="I191">
        <f>VLOOKUP($A191,Transpose!$A$1:$S$859,Cleaned!I$1)</f>
        <v>3712</v>
      </c>
      <c r="J191">
        <f>VLOOKUP($A191,Transpose!$A$1:$S$859,Cleaned!J$1)</f>
        <v>1950</v>
      </c>
      <c r="K191">
        <f>VLOOKUP($A191,Transpose!$A$1:$S$859,Cleaned!K$1)</f>
        <v>38</v>
      </c>
      <c r="L191">
        <f>VLOOKUP($A191,Transpose!$A$1:$S$859,Cleaned!L$1)</f>
        <v>76739</v>
      </c>
      <c r="M191">
        <f>VLOOKUP($A191,Transpose!$A$1:$S$859,Cleaned!M$1)</f>
        <v>3934</v>
      </c>
      <c r="N191">
        <f>VLOOKUP($A191,Transpose!$A$1:$S$859,Cleaned!N$1)</f>
        <v>1780</v>
      </c>
      <c r="O191">
        <f>VLOOKUP($A191,Transpose!$A$1:$S$859,Cleaned!O$1)</f>
        <v>70670</v>
      </c>
      <c r="P191">
        <f>VLOOKUP($A191,Transpose!$A$1:$S$859,Cleaned!P$1)</f>
        <v>355</v>
      </c>
      <c r="Q191">
        <f>VLOOKUP($A191,Transpose!$A$1:$S$859,Cleaned!Q$1)</f>
        <v>26</v>
      </c>
      <c r="R191">
        <f>VLOOKUP($A191,Transpose!$A$1:$S$859,Cleaned!R$1)</f>
        <v>2</v>
      </c>
      <c r="S191">
        <f>VLOOKUP($A191,Transpose!$A$1:$S$859,Cleaned!S$1)</f>
        <v>178</v>
      </c>
    </row>
    <row r="192" spans="1:19" x14ac:dyDescent="0.25">
      <c r="A192" s="2">
        <f t="shared" si="3"/>
        <v>38626</v>
      </c>
      <c r="B192">
        <f>VLOOKUP($A192,Transpose!$A$1:$S$859,Cleaned!B$1)</f>
        <v>142548</v>
      </c>
      <c r="C192">
        <f>VLOOKUP($A192,Transpose!$A$1:$S$859,Cleaned!C$1)</f>
        <v>136599</v>
      </c>
      <c r="D192">
        <f>VLOOKUP($A192,Transpose!$A$1:$S$859,Cleaned!D$1)</f>
        <v>1954</v>
      </c>
      <c r="E192">
        <f>VLOOKUP($A192,Transpose!$A$1:$S$859,Cleaned!E$1)</f>
        <v>3882</v>
      </c>
      <c r="F192">
        <f>VLOOKUP($A192,Transpose!$A$1:$S$859,Cleaned!F$1)</f>
        <v>114</v>
      </c>
      <c r="G192">
        <f>VLOOKUP($A192,Transpose!$A$1:$S$859,Cleaned!G$1)</f>
        <v>7453</v>
      </c>
      <c r="H192">
        <f>VLOOKUP($A192,Transpose!$A$1:$S$859,Cleaned!H$1)</f>
        <v>1736</v>
      </c>
      <c r="I192">
        <f>VLOOKUP($A192,Transpose!$A$1:$S$859,Cleaned!I$1)</f>
        <v>3780</v>
      </c>
      <c r="J192">
        <f>VLOOKUP($A192,Transpose!$A$1:$S$859,Cleaned!J$1)</f>
        <v>1895</v>
      </c>
      <c r="K192">
        <f>VLOOKUP($A192,Transpose!$A$1:$S$859,Cleaned!K$1)</f>
        <v>43</v>
      </c>
      <c r="L192">
        <f>VLOOKUP($A192,Transpose!$A$1:$S$859,Cleaned!L$1)</f>
        <v>76958</v>
      </c>
      <c r="M192">
        <f>VLOOKUP($A192,Transpose!$A$1:$S$859,Cleaned!M$1)</f>
        <v>4044</v>
      </c>
      <c r="N192">
        <f>VLOOKUP($A192,Transpose!$A$1:$S$859,Cleaned!N$1)</f>
        <v>1817</v>
      </c>
      <c r="O192">
        <f>VLOOKUP($A192,Transpose!$A$1:$S$859,Cleaned!O$1)</f>
        <v>70786</v>
      </c>
      <c r="P192">
        <f>VLOOKUP($A192,Transpose!$A$1:$S$859,Cleaned!P$1)</f>
        <v>310</v>
      </c>
      <c r="Q192">
        <f>VLOOKUP($A192,Transpose!$A$1:$S$859,Cleaned!Q$1)</f>
        <v>22</v>
      </c>
      <c r="R192">
        <f>VLOOKUP($A192,Transpose!$A$1:$S$859,Cleaned!R$1)</f>
        <v>2</v>
      </c>
      <c r="S192">
        <f>VLOOKUP($A192,Transpose!$A$1:$S$859,Cleaned!S$1)</f>
        <v>177</v>
      </c>
    </row>
    <row r="193" spans="1:19" x14ac:dyDescent="0.25">
      <c r="A193" s="2">
        <f t="shared" si="3"/>
        <v>38657</v>
      </c>
      <c r="B193">
        <f>VLOOKUP($A193,Transpose!$A$1:$S$859,Cleaned!B$1)</f>
        <v>142499</v>
      </c>
      <c r="C193">
        <f>VLOOKUP($A193,Transpose!$A$1:$S$859,Cleaned!C$1)</f>
        <v>136768</v>
      </c>
      <c r="D193">
        <f>VLOOKUP($A193,Transpose!$A$1:$S$859,Cleaned!D$1)</f>
        <v>2052</v>
      </c>
      <c r="E193">
        <f>VLOOKUP($A193,Transpose!$A$1:$S$859,Cleaned!E$1)</f>
        <v>3625</v>
      </c>
      <c r="F193">
        <f>VLOOKUP($A193,Transpose!$A$1:$S$859,Cleaned!F$1)</f>
        <v>54</v>
      </c>
      <c r="G193">
        <f>VLOOKUP($A193,Transpose!$A$1:$S$859,Cleaned!G$1)</f>
        <v>7566</v>
      </c>
      <c r="H193">
        <f>VLOOKUP($A193,Transpose!$A$1:$S$859,Cleaned!H$1)</f>
        <v>1685</v>
      </c>
      <c r="I193">
        <f>VLOOKUP($A193,Transpose!$A$1:$S$859,Cleaned!I$1)</f>
        <v>3686</v>
      </c>
      <c r="J193">
        <f>VLOOKUP($A193,Transpose!$A$1:$S$859,Cleaned!J$1)</f>
        <v>2153</v>
      </c>
      <c r="K193">
        <f>VLOOKUP($A193,Transpose!$A$1:$S$859,Cleaned!K$1)</f>
        <v>42</v>
      </c>
      <c r="L193">
        <f>VLOOKUP($A193,Transpose!$A$1:$S$859,Cleaned!L$1)</f>
        <v>77138</v>
      </c>
      <c r="M193">
        <f>VLOOKUP($A193,Transpose!$A$1:$S$859,Cleaned!M$1)</f>
        <v>4037</v>
      </c>
      <c r="N193">
        <f>VLOOKUP($A193,Transpose!$A$1:$S$859,Cleaned!N$1)</f>
        <v>1712</v>
      </c>
      <c r="O193">
        <f>VLOOKUP($A193,Transpose!$A$1:$S$859,Cleaned!O$1)</f>
        <v>70989</v>
      </c>
      <c r="P193">
        <f>VLOOKUP($A193,Transpose!$A$1:$S$859,Cleaned!P$1)</f>
        <v>401</v>
      </c>
      <c r="Q193">
        <f>VLOOKUP($A193,Transpose!$A$1:$S$859,Cleaned!Q$1)</f>
        <v>58</v>
      </c>
      <c r="R193">
        <f>VLOOKUP($A193,Transpose!$A$1:$S$859,Cleaned!R$1)</f>
        <v>3</v>
      </c>
      <c r="S193">
        <f>VLOOKUP($A193,Transpose!$A$1:$S$859,Cleaned!S$1)</f>
        <v>191</v>
      </c>
    </row>
    <row r="194" spans="1:19" x14ac:dyDescent="0.25">
      <c r="A194" s="2">
        <f t="shared" si="3"/>
        <v>38687</v>
      </c>
      <c r="B194">
        <f>VLOOKUP($A194,Transpose!$A$1:$S$859,Cleaned!B$1)</f>
        <v>142752</v>
      </c>
      <c r="C194">
        <f>VLOOKUP($A194,Transpose!$A$1:$S$859,Cleaned!C$1)</f>
        <v>136650</v>
      </c>
      <c r="D194">
        <f>VLOOKUP($A194,Transpose!$A$1:$S$859,Cleaned!D$1)</f>
        <v>1968</v>
      </c>
      <c r="E194">
        <f>VLOOKUP($A194,Transpose!$A$1:$S$859,Cleaned!E$1)</f>
        <v>4067</v>
      </c>
      <c r="F194">
        <f>VLOOKUP($A194,Transpose!$A$1:$S$859,Cleaned!F$1)</f>
        <v>67</v>
      </c>
      <c r="G194">
        <f>VLOOKUP($A194,Transpose!$A$1:$S$859,Cleaned!G$1)</f>
        <v>7279</v>
      </c>
      <c r="H194">
        <f>VLOOKUP($A194,Transpose!$A$1:$S$859,Cleaned!H$1)</f>
        <v>1732</v>
      </c>
      <c r="I194">
        <f>VLOOKUP($A194,Transpose!$A$1:$S$859,Cleaned!I$1)</f>
        <v>3593</v>
      </c>
      <c r="J194">
        <f>VLOOKUP($A194,Transpose!$A$1:$S$859,Cleaned!J$1)</f>
        <v>1928</v>
      </c>
      <c r="K194">
        <f>VLOOKUP($A194,Transpose!$A$1:$S$859,Cleaned!K$1)</f>
        <v>26</v>
      </c>
      <c r="L194">
        <f>VLOOKUP($A194,Transpose!$A$1:$S$859,Cleaned!L$1)</f>
        <v>77394</v>
      </c>
      <c r="M194">
        <f>VLOOKUP($A194,Transpose!$A$1:$S$859,Cleaned!M$1)</f>
        <v>4095</v>
      </c>
      <c r="N194">
        <f>VLOOKUP($A194,Transpose!$A$1:$S$859,Cleaned!N$1)</f>
        <v>2004</v>
      </c>
      <c r="O194">
        <f>VLOOKUP($A194,Transpose!$A$1:$S$859,Cleaned!O$1)</f>
        <v>70967</v>
      </c>
      <c r="P194">
        <f>VLOOKUP($A194,Transpose!$A$1:$S$859,Cleaned!P$1)</f>
        <v>328</v>
      </c>
      <c r="Q194">
        <f>VLOOKUP($A194,Transpose!$A$1:$S$859,Cleaned!Q$1)</f>
        <v>22</v>
      </c>
      <c r="R194">
        <f>VLOOKUP($A194,Transpose!$A$1:$S$859,Cleaned!R$1)</f>
        <v>2</v>
      </c>
      <c r="S194">
        <f>VLOOKUP($A194,Transpose!$A$1:$S$859,Cleaned!S$1)</f>
        <v>177</v>
      </c>
    </row>
    <row r="195" spans="1:19" x14ac:dyDescent="0.25">
      <c r="A195" s="2">
        <f t="shared" si="3"/>
        <v>38718</v>
      </c>
      <c r="B195">
        <f>VLOOKUP($A195,Transpose!$A$1:$S$859,Cleaned!B$1)</f>
        <v>143150</v>
      </c>
      <c r="C195">
        <f>VLOOKUP($A195,Transpose!$A$1:$S$859,Cleaned!C$1)</f>
        <v>137122</v>
      </c>
      <c r="D195">
        <f>VLOOKUP($A195,Transpose!$A$1:$S$859,Cleaned!D$1)</f>
        <v>2033</v>
      </c>
      <c r="E195">
        <f>VLOOKUP($A195,Transpose!$A$1:$S$859,Cleaned!E$1)</f>
        <v>3968</v>
      </c>
      <c r="F195">
        <f>VLOOKUP($A195,Transpose!$A$1:$S$859,Cleaned!F$1)</f>
        <v>27</v>
      </c>
      <c r="G195">
        <f>VLOOKUP($A195,Transpose!$A$1:$S$859,Cleaned!G$1)</f>
        <v>7064</v>
      </c>
      <c r="H195">
        <f>VLOOKUP($A195,Transpose!$A$1:$S$859,Cleaned!H$1)</f>
        <v>1595</v>
      </c>
      <c r="I195">
        <f>VLOOKUP($A195,Transpose!$A$1:$S$859,Cleaned!I$1)</f>
        <v>3440</v>
      </c>
      <c r="J195">
        <f>VLOOKUP($A195,Transpose!$A$1:$S$859,Cleaned!J$1)</f>
        <v>1997</v>
      </c>
      <c r="K195">
        <f>VLOOKUP($A195,Transpose!$A$1:$S$859,Cleaned!K$1)</f>
        <v>31</v>
      </c>
      <c r="L195">
        <f>VLOOKUP($A195,Transpose!$A$1:$S$859,Cleaned!L$1)</f>
        <v>77339</v>
      </c>
      <c r="M195">
        <f>VLOOKUP($A195,Transpose!$A$1:$S$859,Cleaned!M$1)</f>
        <v>3935</v>
      </c>
      <c r="N195">
        <f>VLOOKUP($A195,Transpose!$A$1:$S$859,Cleaned!N$1)</f>
        <v>1800</v>
      </c>
      <c r="O195">
        <f>VLOOKUP($A195,Transpose!$A$1:$S$859,Cleaned!O$1)</f>
        <v>71212</v>
      </c>
      <c r="P195">
        <f>VLOOKUP($A195,Transpose!$A$1:$S$859,Cleaned!P$1)</f>
        <v>393</v>
      </c>
      <c r="Q195">
        <f>VLOOKUP($A195,Transpose!$A$1:$S$859,Cleaned!Q$1)</f>
        <v>99</v>
      </c>
      <c r="R195">
        <f>VLOOKUP($A195,Transpose!$A$1:$S$859,Cleaned!R$1)</f>
        <v>5</v>
      </c>
      <c r="S195">
        <f>VLOOKUP($A195,Transpose!$A$1:$S$859,Cleaned!S$1)</f>
        <v>217</v>
      </c>
    </row>
    <row r="196" spans="1:19" x14ac:dyDescent="0.25">
      <c r="A196" s="2">
        <f t="shared" si="3"/>
        <v>38749</v>
      </c>
      <c r="B196">
        <f>VLOOKUP($A196,Transpose!$A$1:$S$859,Cleaned!B$1)</f>
        <v>143457</v>
      </c>
      <c r="C196">
        <f>VLOOKUP($A196,Transpose!$A$1:$S$859,Cleaned!C$1)</f>
        <v>137643</v>
      </c>
      <c r="D196">
        <f>VLOOKUP($A196,Transpose!$A$1:$S$859,Cleaned!D$1)</f>
        <v>1824</v>
      </c>
      <c r="E196">
        <f>VLOOKUP($A196,Transpose!$A$1:$S$859,Cleaned!E$1)</f>
        <v>3942</v>
      </c>
      <c r="F196">
        <f>VLOOKUP($A196,Transpose!$A$1:$S$859,Cleaned!F$1)</f>
        <v>48</v>
      </c>
      <c r="G196">
        <f>VLOOKUP($A196,Transpose!$A$1:$S$859,Cleaned!G$1)</f>
        <v>7184</v>
      </c>
      <c r="H196">
        <f>VLOOKUP($A196,Transpose!$A$1:$S$859,Cleaned!H$1)</f>
        <v>1692</v>
      </c>
      <c r="I196">
        <f>VLOOKUP($A196,Transpose!$A$1:$S$859,Cleaned!I$1)</f>
        <v>3566</v>
      </c>
      <c r="J196">
        <f>VLOOKUP($A196,Transpose!$A$1:$S$859,Cleaned!J$1)</f>
        <v>1903</v>
      </c>
      <c r="K196">
        <f>VLOOKUP($A196,Transpose!$A$1:$S$859,Cleaned!K$1)</f>
        <v>24</v>
      </c>
      <c r="L196">
        <f>VLOOKUP($A196,Transpose!$A$1:$S$859,Cleaned!L$1)</f>
        <v>77122</v>
      </c>
      <c r="M196">
        <f>VLOOKUP($A196,Transpose!$A$1:$S$859,Cleaned!M$1)</f>
        <v>3791</v>
      </c>
      <c r="N196">
        <f>VLOOKUP($A196,Transpose!$A$1:$S$859,Cleaned!N$1)</f>
        <v>1672</v>
      </c>
      <c r="O196">
        <f>VLOOKUP($A196,Transpose!$A$1:$S$859,Cleaned!O$1)</f>
        <v>71316</v>
      </c>
      <c r="P196">
        <f>VLOOKUP($A196,Transpose!$A$1:$S$859,Cleaned!P$1)</f>
        <v>344</v>
      </c>
      <c r="Q196">
        <f>VLOOKUP($A196,Transpose!$A$1:$S$859,Cleaned!Q$1)</f>
        <v>24</v>
      </c>
      <c r="R196">
        <f>VLOOKUP($A196,Transpose!$A$1:$S$859,Cleaned!R$1)</f>
        <v>2</v>
      </c>
      <c r="S196">
        <f>VLOOKUP($A196,Transpose!$A$1:$S$859,Cleaned!S$1)</f>
        <v>179</v>
      </c>
    </row>
    <row r="197" spans="1:19" x14ac:dyDescent="0.25">
      <c r="A197" s="2">
        <f t="shared" ref="A197:A260" si="4">DATE(YEAR(A196),MONTH(A196)+1,1)</f>
        <v>38777</v>
      </c>
      <c r="B197">
        <f>VLOOKUP($A197,Transpose!$A$1:$S$859,Cleaned!B$1)</f>
        <v>143741</v>
      </c>
      <c r="C197">
        <f>VLOOKUP($A197,Transpose!$A$1:$S$859,Cleaned!C$1)</f>
        <v>137695</v>
      </c>
      <c r="D197">
        <f>VLOOKUP($A197,Transpose!$A$1:$S$859,Cleaned!D$1)</f>
        <v>1952</v>
      </c>
      <c r="E197">
        <f>VLOOKUP($A197,Transpose!$A$1:$S$859,Cleaned!E$1)</f>
        <v>4015</v>
      </c>
      <c r="F197">
        <f>VLOOKUP($A197,Transpose!$A$1:$S$859,Cleaned!F$1)</f>
        <v>79</v>
      </c>
      <c r="G197">
        <f>VLOOKUP($A197,Transpose!$A$1:$S$859,Cleaned!G$1)</f>
        <v>7072</v>
      </c>
      <c r="H197">
        <f>VLOOKUP($A197,Transpose!$A$1:$S$859,Cleaned!H$1)</f>
        <v>1728</v>
      </c>
      <c r="I197">
        <f>VLOOKUP($A197,Transpose!$A$1:$S$859,Cleaned!I$1)</f>
        <v>3485</v>
      </c>
      <c r="J197">
        <f>VLOOKUP($A197,Transpose!$A$1:$S$859,Cleaned!J$1)</f>
        <v>1833</v>
      </c>
      <c r="K197">
        <f>VLOOKUP($A197,Transpose!$A$1:$S$859,Cleaned!K$1)</f>
        <v>26</v>
      </c>
      <c r="L197">
        <f>VLOOKUP($A197,Transpose!$A$1:$S$859,Cleaned!L$1)</f>
        <v>77161</v>
      </c>
      <c r="M197">
        <f>VLOOKUP($A197,Transpose!$A$1:$S$859,Cleaned!M$1)</f>
        <v>4011</v>
      </c>
      <c r="N197">
        <f>VLOOKUP($A197,Transpose!$A$1:$S$859,Cleaned!N$1)</f>
        <v>1745</v>
      </c>
      <c r="O197">
        <f>VLOOKUP($A197,Transpose!$A$1:$S$859,Cleaned!O$1)</f>
        <v>71097</v>
      </c>
      <c r="P197">
        <f>VLOOKUP($A197,Transpose!$A$1:$S$859,Cleaned!P$1)</f>
        <v>308</v>
      </c>
      <c r="Q197">
        <f>VLOOKUP($A197,Transpose!$A$1:$S$859,Cleaned!Q$1)</f>
        <v>22</v>
      </c>
      <c r="R197">
        <f>VLOOKUP($A197,Transpose!$A$1:$S$859,Cleaned!R$1)</f>
        <v>2</v>
      </c>
      <c r="S197">
        <f>VLOOKUP($A197,Transpose!$A$1:$S$859,Cleaned!S$1)</f>
        <v>177</v>
      </c>
    </row>
    <row r="198" spans="1:19" x14ac:dyDescent="0.25">
      <c r="A198" s="2">
        <f t="shared" si="4"/>
        <v>38808</v>
      </c>
      <c r="B198">
        <f>VLOOKUP($A198,Transpose!$A$1:$S$859,Cleaned!B$1)</f>
        <v>143761</v>
      </c>
      <c r="C198">
        <f>VLOOKUP($A198,Transpose!$A$1:$S$859,Cleaned!C$1)</f>
        <v>137608</v>
      </c>
      <c r="D198">
        <f>VLOOKUP($A198,Transpose!$A$1:$S$859,Cleaned!D$1)</f>
        <v>1977</v>
      </c>
      <c r="E198">
        <f>VLOOKUP($A198,Transpose!$A$1:$S$859,Cleaned!E$1)</f>
        <v>4064</v>
      </c>
      <c r="F198">
        <f>VLOOKUP($A198,Transpose!$A$1:$S$859,Cleaned!F$1)</f>
        <v>113</v>
      </c>
      <c r="G198">
        <f>VLOOKUP($A198,Transpose!$A$1:$S$859,Cleaned!G$1)</f>
        <v>7120</v>
      </c>
      <c r="H198">
        <f>VLOOKUP($A198,Transpose!$A$1:$S$859,Cleaned!H$1)</f>
        <v>1882</v>
      </c>
      <c r="I198">
        <f>VLOOKUP($A198,Transpose!$A$1:$S$859,Cleaned!I$1)</f>
        <v>3362</v>
      </c>
      <c r="J198">
        <f>VLOOKUP($A198,Transpose!$A$1:$S$859,Cleaned!J$1)</f>
        <v>1866</v>
      </c>
      <c r="K198">
        <f>VLOOKUP($A198,Transpose!$A$1:$S$859,Cleaned!K$1)</f>
        <v>10</v>
      </c>
      <c r="L198">
        <f>VLOOKUP($A198,Transpose!$A$1:$S$859,Cleaned!L$1)</f>
        <v>77318</v>
      </c>
      <c r="M198">
        <f>VLOOKUP($A198,Transpose!$A$1:$S$859,Cleaned!M$1)</f>
        <v>4229</v>
      </c>
      <c r="N198">
        <f>VLOOKUP($A198,Transpose!$A$1:$S$859,Cleaned!N$1)</f>
        <v>1733</v>
      </c>
      <c r="O198">
        <f>VLOOKUP($A198,Transpose!$A$1:$S$859,Cleaned!O$1)</f>
        <v>71054</v>
      </c>
      <c r="P198">
        <f>VLOOKUP($A198,Transpose!$A$1:$S$859,Cleaned!P$1)</f>
        <v>303</v>
      </c>
      <c r="Q198">
        <f>VLOOKUP($A198,Transpose!$A$1:$S$859,Cleaned!Q$1)</f>
        <v>22</v>
      </c>
      <c r="R198">
        <f>VLOOKUP($A198,Transpose!$A$1:$S$859,Cleaned!R$1)</f>
        <v>2</v>
      </c>
      <c r="S198">
        <f>VLOOKUP($A198,Transpose!$A$1:$S$859,Cleaned!S$1)</f>
        <v>178</v>
      </c>
    </row>
    <row r="199" spans="1:19" x14ac:dyDescent="0.25">
      <c r="A199" s="2">
        <f t="shared" si="4"/>
        <v>38838</v>
      </c>
      <c r="B199">
        <f>VLOOKUP($A199,Transpose!$A$1:$S$859,Cleaned!B$1)</f>
        <v>144089</v>
      </c>
      <c r="C199">
        <f>VLOOKUP($A199,Transpose!$A$1:$S$859,Cleaned!C$1)</f>
        <v>137853</v>
      </c>
      <c r="D199">
        <f>VLOOKUP($A199,Transpose!$A$1:$S$859,Cleaned!D$1)</f>
        <v>1997</v>
      </c>
      <c r="E199">
        <f>VLOOKUP($A199,Transpose!$A$1:$S$859,Cleaned!E$1)</f>
        <v>4122</v>
      </c>
      <c r="F199">
        <f>VLOOKUP($A199,Transpose!$A$1:$S$859,Cleaned!F$1)</f>
        <v>117</v>
      </c>
      <c r="G199">
        <f>VLOOKUP($A199,Transpose!$A$1:$S$859,Cleaned!G$1)</f>
        <v>6980</v>
      </c>
      <c r="H199">
        <f>VLOOKUP($A199,Transpose!$A$1:$S$859,Cleaned!H$1)</f>
        <v>1754</v>
      </c>
      <c r="I199">
        <f>VLOOKUP($A199,Transpose!$A$1:$S$859,Cleaned!I$1)</f>
        <v>3376</v>
      </c>
      <c r="J199">
        <f>VLOOKUP($A199,Transpose!$A$1:$S$859,Cleaned!J$1)</f>
        <v>1832</v>
      </c>
      <c r="K199">
        <f>VLOOKUP($A199,Transpose!$A$1:$S$859,Cleaned!K$1)</f>
        <v>18</v>
      </c>
      <c r="L199">
        <f>VLOOKUP($A199,Transpose!$A$1:$S$859,Cleaned!L$1)</f>
        <v>77359</v>
      </c>
      <c r="M199">
        <f>VLOOKUP($A199,Transpose!$A$1:$S$859,Cleaned!M$1)</f>
        <v>4132</v>
      </c>
      <c r="N199">
        <f>VLOOKUP($A199,Transpose!$A$1:$S$859,Cleaned!N$1)</f>
        <v>1745</v>
      </c>
      <c r="O199">
        <f>VLOOKUP($A199,Transpose!$A$1:$S$859,Cleaned!O$1)</f>
        <v>71187</v>
      </c>
      <c r="P199">
        <f>VLOOKUP($A199,Transpose!$A$1:$S$859,Cleaned!P$1)</f>
        <v>295</v>
      </c>
      <c r="Q199">
        <f>VLOOKUP($A199,Transpose!$A$1:$S$859,Cleaned!Q$1)</f>
        <v>22</v>
      </c>
      <c r="R199">
        <f>VLOOKUP($A199,Transpose!$A$1:$S$859,Cleaned!R$1)</f>
        <v>2</v>
      </c>
      <c r="S199">
        <f>VLOOKUP($A199,Transpose!$A$1:$S$859,Cleaned!S$1)</f>
        <v>178</v>
      </c>
    </row>
    <row r="200" spans="1:19" x14ac:dyDescent="0.25">
      <c r="A200" s="2">
        <f t="shared" si="4"/>
        <v>38869</v>
      </c>
      <c r="B200">
        <f>VLOOKUP($A200,Transpose!$A$1:$S$859,Cleaned!B$1)</f>
        <v>144353</v>
      </c>
      <c r="C200">
        <f>VLOOKUP($A200,Transpose!$A$1:$S$859,Cleaned!C$1)</f>
        <v>138172</v>
      </c>
      <c r="D200">
        <f>VLOOKUP($A200,Transpose!$A$1:$S$859,Cleaned!D$1)</f>
        <v>2022</v>
      </c>
      <c r="E200">
        <f>VLOOKUP($A200,Transpose!$A$1:$S$859,Cleaned!E$1)</f>
        <v>4089</v>
      </c>
      <c r="F200">
        <f>VLOOKUP($A200,Transpose!$A$1:$S$859,Cleaned!F$1)</f>
        <v>69</v>
      </c>
      <c r="G200">
        <f>VLOOKUP($A200,Transpose!$A$1:$S$859,Cleaned!G$1)</f>
        <v>7001</v>
      </c>
      <c r="H200">
        <f>VLOOKUP($A200,Transpose!$A$1:$S$859,Cleaned!H$1)</f>
        <v>1752</v>
      </c>
      <c r="I200">
        <f>VLOOKUP($A200,Transpose!$A$1:$S$859,Cleaned!I$1)</f>
        <v>3222</v>
      </c>
      <c r="J200">
        <f>VLOOKUP($A200,Transpose!$A$1:$S$859,Cleaned!J$1)</f>
        <v>1983</v>
      </c>
      <c r="K200">
        <f>VLOOKUP($A200,Transpose!$A$1:$S$859,Cleaned!K$1)</f>
        <v>45</v>
      </c>
      <c r="L200">
        <f>VLOOKUP($A200,Transpose!$A$1:$S$859,Cleaned!L$1)</f>
        <v>77317</v>
      </c>
      <c r="M200">
        <f>VLOOKUP($A200,Transpose!$A$1:$S$859,Cleaned!M$1)</f>
        <v>4136</v>
      </c>
      <c r="N200">
        <f>VLOOKUP($A200,Transpose!$A$1:$S$859,Cleaned!N$1)</f>
        <v>1734</v>
      </c>
      <c r="O200">
        <f>VLOOKUP($A200,Transpose!$A$1:$S$859,Cleaned!O$1)</f>
        <v>71107</v>
      </c>
      <c r="P200">
        <f>VLOOKUP($A200,Transpose!$A$1:$S$859,Cleaned!P$1)</f>
        <v>340</v>
      </c>
      <c r="Q200">
        <f>VLOOKUP($A200,Transpose!$A$1:$S$859,Cleaned!Q$1)</f>
        <v>30</v>
      </c>
      <c r="R200">
        <f>VLOOKUP($A200,Transpose!$A$1:$S$859,Cleaned!R$1)</f>
        <v>2</v>
      </c>
      <c r="S200">
        <f>VLOOKUP($A200,Transpose!$A$1:$S$859,Cleaned!S$1)</f>
        <v>181</v>
      </c>
    </row>
    <row r="201" spans="1:19" x14ac:dyDescent="0.25">
      <c r="A201" s="2">
        <f t="shared" si="4"/>
        <v>38899</v>
      </c>
      <c r="B201">
        <f>VLOOKUP($A201,Transpose!$A$1:$S$859,Cleaned!B$1)</f>
        <v>144202</v>
      </c>
      <c r="C201">
        <f>VLOOKUP($A201,Transpose!$A$1:$S$859,Cleaned!C$1)</f>
        <v>138186</v>
      </c>
      <c r="D201">
        <f>VLOOKUP($A201,Transpose!$A$1:$S$859,Cleaned!D$1)</f>
        <v>2012</v>
      </c>
      <c r="E201">
        <f>VLOOKUP($A201,Transpose!$A$1:$S$859,Cleaned!E$1)</f>
        <v>3881</v>
      </c>
      <c r="F201">
        <f>VLOOKUP($A201,Transpose!$A$1:$S$859,Cleaned!F$1)</f>
        <v>123</v>
      </c>
      <c r="G201">
        <f>VLOOKUP($A201,Transpose!$A$1:$S$859,Cleaned!G$1)</f>
        <v>7175</v>
      </c>
      <c r="H201">
        <f>VLOOKUP($A201,Transpose!$A$1:$S$859,Cleaned!H$1)</f>
        <v>1900</v>
      </c>
      <c r="I201">
        <f>VLOOKUP($A201,Transpose!$A$1:$S$859,Cleaned!I$1)</f>
        <v>3276</v>
      </c>
      <c r="J201">
        <f>VLOOKUP($A201,Transpose!$A$1:$S$859,Cleaned!J$1)</f>
        <v>1974</v>
      </c>
      <c r="K201">
        <f>VLOOKUP($A201,Transpose!$A$1:$S$859,Cleaned!K$1)</f>
        <v>25</v>
      </c>
      <c r="L201">
        <f>VLOOKUP($A201,Transpose!$A$1:$S$859,Cleaned!L$1)</f>
        <v>77535</v>
      </c>
      <c r="M201">
        <f>VLOOKUP($A201,Transpose!$A$1:$S$859,Cleaned!M$1)</f>
        <v>4244</v>
      </c>
      <c r="N201">
        <f>VLOOKUP($A201,Transpose!$A$1:$S$859,Cleaned!N$1)</f>
        <v>1711</v>
      </c>
      <c r="O201">
        <f>VLOOKUP($A201,Transpose!$A$1:$S$859,Cleaned!O$1)</f>
        <v>71284</v>
      </c>
      <c r="P201">
        <f>VLOOKUP($A201,Transpose!$A$1:$S$859,Cleaned!P$1)</f>
        <v>295</v>
      </c>
      <c r="Q201">
        <f>VLOOKUP($A201,Transpose!$A$1:$S$859,Cleaned!Q$1)</f>
        <v>22</v>
      </c>
      <c r="R201">
        <f>VLOOKUP($A201,Transpose!$A$1:$S$859,Cleaned!R$1)</f>
        <v>2</v>
      </c>
      <c r="S201">
        <f>VLOOKUP($A201,Transpose!$A$1:$S$859,Cleaned!S$1)</f>
        <v>178</v>
      </c>
    </row>
    <row r="202" spans="1:19" x14ac:dyDescent="0.25">
      <c r="A202" s="2">
        <f t="shared" si="4"/>
        <v>38930</v>
      </c>
      <c r="B202">
        <f>VLOOKUP($A202,Transpose!$A$1:$S$859,Cleaned!B$1)</f>
        <v>144625</v>
      </c>
      <c r="C202">
        <f>VLOOKUP($A202,Transpose!$A$1:$S$859,Cleaned!C$1)</f>
        <v>138364</v>
      </c>
      <c r="D202">
        <f>VLOOKUP($A202,Transpose!$A$1:$S$859,Cleaned!D$1)</f>
        <v>2075</v>
      </c>
      <c r="E202">
        <f>VLOOKUP($A202,Transpose!$A$1:$S$859,Cleaned!E$1)</f>
        <v>4108</v>
      </c>
      <c r="F202">
        <f>VLOOKUP($A202,Transpose!$A$1:$S$859,Cleaned!F$1)</f>
        <v>78</v>
      </c>
      <c r="G202">
        <f>VLOOKUP($A202,Transpose!$A$1:$S$859,Cleaned!G$1)</f>
        <v>7091</v>
      </c>
      <c r="H202">
        <f>VLOOKUP($A202,Transpose!$A$1:$S$859,Cleaned!H$1)</f>
        <v>1725</v>
      </c>
      <c r="I202">
        <f>VLOOKUP($A202,Transpose!$A$1:$S$859,Cleaned!I$1)</f>
        <v>3360</v>
      </c>
      <c r="J202">
        <f>VLOOKUP($A202,Transpose!$A$1:$S$859,Cleaned!J$1)</f>
        <v>1955</v>
      </c>
      <c r="K202">
        <f>VLOOKUP($A202,Transpose!$A$1:$S$859,Cleaned!K$1)</f>
        <v>50</v>
      </c>
      <c r="L202">
        <f>VLOOKUP($A202,Transpose!$A$1:$S$859,Cleaned!L$1)</f>
        <v>77451</v>
      </c>
      <c r="M202">
        <f>VLOOKUP($A202,Transpose!$A$1:$S$859,Cleaned!M$1)</f>
        <v>4086</v>
      </c>
      <c r="N202">
        <f>VLOOKUP($A202,Transpose!$A$1:$S$859,Cleaned!N$1)</f>
        <v>1738</v>
      </c>
      <c r="O202">
        <f>VLOOKUP($A202,Transpose!$A$1:$S$859,Cleaned!O$1)</f>
        <v>71290</v>
      </c>
      <c r="P202">
        <f>VLOOKUP($A202,Transpose!$A$1:$S$859,Cleaned!P$1)</f>
        <v>338</v>
      </c>
      <c r="Q202">
        <f>VLOOKUP($A202,Transpose!$A$1:$S$859,Cleaned!Q$1)</f>
        <v>28</v>
      </c>
      <c r="R202">
        <f>VLOOKUP($A202,Transpose!$A$1:$S$859,Cleaned!R$1)</f>
        <v>2</v>
      </c>
      <c r="S202">
        <f>VLOOKUP($A202,Transpose!$A$1:$S$859,Cleaned!S$1)</f>
        <v>182</v>
      </c>
    </row>
    <row r="203" spans="1:19" x14ac:dyDescent="0.25">
      <c r="A203" s="2">
        <f t="shared" si="4"/>
        <v>38961</v>
      </c>
      <c r="B203">
        <f>VLOOKUP($A203,Transpose!$A$1:$S$859,Cleaned!B$1)</f>
        <v>144815</v>
      </c>
      <c r="C203">
        <f>VLOOKUP($A203,Transpose!$A$1:$S$859,Cleaned!C$1)</f>
        <v>138687</v>
      </c>
      <c r="D203">
        <f>VLOOKUP($A203,Transpose!$A$1:$S$859,Cleaned!D$1)</f>
        <v>2081</v>
      </c>
      <c r="E203">
        <f>VLOOKUP($A203,Transpose!$A$1:$S$859,Cleaned!E$1)</f>
        <v>3933</v>
      </c>
      <c r="F203">
        <f>VLOOKUP($A203,Transpose!$A$1:$S$859,Cleaned!F$1)</f>
        <v>114</v>
      </c>
      <c r="G203">
        <f>VLOOKUP($A203,Transpose!$A$1:$S$859,Cleaned!G$1)</f>
        <v>6847</v>
      </c>
      <c r="H203">
        <f>VLOOKUP($A203,Transpose!$A$1:$S$859,Cleaned!H$1)</f>
        <v>1761</v>
      </c>
      <c r="I203">
        <f>VLOOKUP($A203,Transpose!$A$1:$S$859,Cleaned!I$1)</f>
        <v>3325</v>
      </c>
      <c r="J203">
        <f>VLOOKUP($A203,Transpose!$A$1:$S$859,Cleaned!J$1)</f>
        <v>1733</v>
      </c>
      <c r="K203">
        <f>VLOOKUP($A203,Transpose!$A$1:$S$859,Cleaned!K$1)</f>
        <v>28</v>
      </c>
      <c r="L203">
        <f>VLOOKUP($A203,Transpose!$A$1:$S$859,Cleaned!L$1)</f>
        <v>77757</v>
      </c>
      <c r="M203">
        <f>VLOOKUP($A203,Transpose!$A$1:$S$859,Cleaned!M$1)</f>
        <v>4154</v>
      </c>
      <c r="N203">
        <f>VLOOKUP($A203,Transpose!$A$1:$S$859,Cleaned!N$1)</f>
        <v>1683</v>
      </c>
      <c r="O203">
        <f>VLOOKUP($A203,Transpose!$A$1:$S$859,Cleaned!O$1)</f>
        <v>71607</v>
      </c>
      <c r="P203">
        <f>VLOOKUP($A203,Transpose!$A$1:$S$859,Cleaned!P$1)</f>
        <v>313</v>
      </c>
      <c r="Q203">
        <f>VLOOKUP($A203,Transpose!$A$1:$S$859,Cleaned!Q$1)</f>
        <v>23</v>
      </c>
      <c r="R203">
        <f>VLOOKUP($A203,Transpose!$A$1:$S$859,Cleaned!R$1)</f>
        <v>2</v>
      </c>
      <c r="S203">
        <f>VLOOKUP($A203,Transpose!$A$1:$S$859,Cleaned!S$1)</f>
        <v>179</v>
      </c>
    </row>
    <row r="204" spans="1:19" x14ac:dyDescent="0.25">
      <c r="A204" s="2">
        <f t="shared" si="4"/>
        <v>38991</v>
      </c>
      <c r="B204">
        <f>VLOOKUP($A204,Transpose!$A$1:$S$859,Cleaned!B$1)</f>
        <v>145314</v>
      </c>
      <c r="C204">
        <f>VLOOKUP($A204,Transpose!$A$1:$S$859,Cleaned!C$1)</f>
        <v>139140</v>
      </c>
      <c r="D204">
        <f>VLOOKUP($A204,Transpose!$A$1:$S$859,Cleaned!D$1)</f>
        <v>1881</v>
      </c>
      <c r="E204">
        <f>VLOOKUP($A204,Transpose!$A$1:$S$859,Cleaned!E$1)</f>
        <v>4163</v>
      </c>
      <c r="F204">
        <f>VLOOKUP($A204,Transpose!$A$1:$S$859,Cleaned!F$1)</f>
        <v>130</v>
      </c>
      <c r="G204">
        <f>VLOOKUP($A204,Transpose!$A$1:$S$859,Cleaned!G$1)</f>
        <v>6727</v>
      </c>
      <c r="H204">
        <f>VLOOKUP($A204,Transpose!$A$1:$S$859,Cleaned!H$1)</f>
        <v>1749</v>
      </c>
      <c r="I204">
        <f>VLOOKUP($A204,Transpose!$A$1:$S$859,Cleaned!I$1)</f>
        <v>3226</v>
      </c>
      <c r="J204">
        <f>VLOOKUP($A204,Transpose!$A$1:$S$859,Cleaned!J$1)</f>
        <v>1713</v>
      </c>
      <c r="K204">
        <f>VLOOKUP($A204,Transpose!$A$1:$S$859,Cleaned!K$1)</f>
        <v>39</v>
      </c>
      <c r="L204">
        <f>VLOOKUP($A204,Transpose!$A$1:$S$859,Cleaned!L$1)</f>
        <v>77634</v>
      </c>
      <c r="M204">
        <f>VLOOKUP($A204,Transpose!$A$1:$S$859,Cleaned!M$1)</f>
        <v>3904</v>
      </c>
      <c r="N204">
        <f>VLOOKUP($A204,Transpose!$A$1:$S$859,Cleaned!N$1)</f>
        <v>1739</v>
      </c>
      <c r="O204">
        <f>VLOOKUP($A204,Transpose!$A$1:$S$859,Cleaned!O$1)</f>
        <v>71702</v>
      </c>
      <c r="P204">
        <f>VLOOKUP($A204,Transpose!$A$1:$S$859,Cleaned!P$1)</f>
        <v>289</v>
      </c>
      <c r="Q204">
        <f>VLOOKUP($A204,Transpose!$A$1:$S$859,Cleaned!Q$1)</f>
        <v>23</v>
      </c>
      <c r="R204">
        <f>VLOOKUP($A204,Transpose!$A$1:$S$859,Cleaned!R$1)</f>
        <v>2</v>
      </c>
      <c r="S204">
        <f>VLOOKUP($A204,Transpose!$A$1:$S$859,Cleaned!S$1)</f>
        <v>179</v>
      </c>
    </row>
    <row r="205" spans="1:19" x14ac:dyDescent="0.25">
      <c r="A205" s="2">
        <f t="shared" si="4"/>
        <v>39022</v>
      </c>
      <c r="B205">
        <f>VLOOKUP($A205,Transpose!$A$1:$S$859,Cleaned!B$1)</f>
        <v>145534</v>
      </c>
      <c r="C205">
        <f>VLOOKUP($A205,Transpose!$A$1:$S$859,Cleaned!C$1)</f>
        <v>139289</v>
      </c>
      <c r="D205">
        <f>VLOOKUP($A205,Transpose!$A$1:$S$859,Cleaned!D$1)</f>
        <v>1932</v>
      </c>
      <c r="E205">
        <f>VLOOKUP($A205,Transpose!$A$1:$S$859,Cleaned!E$1)</f>
        <v>4225</v>
      </c>
      <c r="F205">
        <f>VLOOKUP($A205,Transpose!$A$1:$S$859,Cleaned!F$1)</f>
        <v>88</v>
      </c>
      <c r="G205">
        <f>VLOOKUP($A205,Transpose!$A$1:$S$859,Cleaned!G$1)</f>
        <v>6872</v>
      </c>
      <c r="H205">
        <f>VLOOKUP($A205,Transpose!$A$1:$S$859,Cleaned!H$1)</f>
        <v>1814</v>
      </c>
      <c r="I205">
        <f>VLOOKUP($A205,Transpose!$A$1:$S$859,Cleaned!I$1)</f>
        <v>3305</v>
      </c>
      <c r="J205">
        <f>VLOOKUP($A205,Transpose!$A$1:$S$859,Cleaned!J$1)</f>
        <v>1719</v>
      </c>
      <c r="K205">
        <f>VLOOKUP($A205,Transpose!$A$1:$S$859,Cleaned!K$1)</f>
        <v>35</v>
      </c>
      <c r="L205">
        <f>VLOOKUP($A205,Transpose!$A$1:$S$859,Cleaned!L$1)</f>
        <v>77499</v>
      </c>
      <c r="M205">
        <f>VLOOKUP($A205,Transpose!$A$1:$S$859,Cleaned!M$1)</f>
        <v>4175</v>
      </c>
      <c r="N205">
        <f>VLOOKUP($A205,Transpose!$A$1:$S$859,Cleaned!N$1)</f>
        <v>1488</v>
      </c>
      <c r="O205">
        <f>VLOOKUP($A205,Transpose!$A$1:$S$859,Cleaned!O$1)</f>
        <v>71503</v>
      </c>
      <c r="P205">
        <f>VLOOKUP($A205,Transpose!$A$1:$S$859,Cleaned!P$1)</f>
        <v>333</v>
      </c>
      <c r="Q205">
        <f>VLOOKUP($A205,Transpose!$A$1:$S$859,Cleaned!Q$1)</f>
        <v>36</v>
      </c>
      <c r="R205">
        <f>VLOOKUP($A205,Transpose!$A$1:$S$859,Cleaned!R$1)</f>
        <v>2</v>
      </c>
      <c r="S205">
        <f>VLOOKUP($A205,Transpose!$A$1:$S$859,Cleaned!S$1)</f>
        <v>189</v>
      </c>
    </row>
    <row r="206" spans="1:19" x14ac:dyDescent="0.25">
      <c r="A206" s="2">
        <f t="shared" si="4"/>
        <v>39052</v>
      </c>
      <c r="B206">
        <f>VLOOKUP($A206,Transpose!$A$1:$S$859,Cleaned!B$1)</f>
        <v>145970</v>
      </c>
      <c r="C206">
        <f>VLOOKUP($A206,Transpose!$A$1:$S$859,Cleaned!C$1)</f>
        <v>139554</v>
      </c>
      <c r="D206">
        <f>VLOOKUP($A206,Transpose!$A$1:$S$859,Cleaned!D$1)</f>
        <v>2077</v>
      </c>
      <c r="E206">
        <f>VLOOKUP($A206,Transpose!$A$1:$S$859,Cleaned!E$1)</f>
        <v>4295</v>
      </c>
      <c r="F206">
        <f>VLOOKUP($A206,Transpose!$A$1:$S$859,Cleaned!F$1)</f>
        <v>45</v>
      </c>
      <c r="G206">
        <f>VLOOKUP($A206,Transpose!$A$1:$S$859,Cleaned!G$1)</f>
        <v>6762</v>
      </c>
      <c r="H206">
        <f>VLOOKUP($A206,Transpose!$A$1:$S$859,Cleaned!H$1)</f>
        <v>1820</v>
      </c>
      <c r="I206">
        <f>VLOOKUP($A206,Transpose!$A$1:$S$859,Cleaned!I$1)</f>
        <v>3194</v>
      </c>
      <c r="J206">
        <f>VLOOKUP($A206,Transpose!$A$1:$S$859,Cleaned!J$1)</f>
        <v>1740</v>
      </c>
      <c r="K206">
        <f>VLOOKUP($A206,Transpose!$A$1:$S$859,Cleaned!K$1)</f>
        <v>8</v>
      </c>
      <c r="L206">
        <f>VLOOKUP($A206,Transpose!$A$1:$S$859,Cleaned!L$1)</f>
        <v>77376</v>
      </c>
      <c r="M206">
        <f>VLOOKUP($A206,Transpose!$A$1:$S$859,Cleaned!M$1)</f>
        <v>4137</v>
      </c>
      <c r="N206">
        <f>VLOOKUP($A206,Transpose!$A$1:$S$859,Cleaned!N$1)</f>
        <v>1600</v>
      </c>
      <c r="O206">
        <f>VLOOKUP($A206,Transpose!$A$1:$S$859,Cleaned!O$1)</f>
        <v>71285</v>
      </c>
      <c r="P206">
        <f>VLOOKUP($A206,Transpose!$A$1:$S$859,Cleaned!P$1)</f>
        <v>354</v>
      </c>
      <c r="Q206">
        <f>VLOOKUP($A206,Transpose!$A$1:$S$859,Cleaned!Q$1)</f>
        <v>23</v>
      </c>
      <c r="R206">
        <f>VLOOKUP($A206,Transpose!$A$1:$S$859,Cleaned!R$1)</f>
        <v>2</v>
      </c>
      <c r="S206">
        <f>VLOOKUP($A206,Transpose!$A$1:$S$859,Cleaned!S$1)</f>
        <v>179</v>
      </c>
    </row>
    <row r="207" spans="1:19" x14ac:dyDescent="0.25">
      <c r="A207" s="2">
        <f t="shared" si="4"/>
        <v>39083</v>
      </c>
      <c r="B207">
        <f>VLOOKUP($A207,Transpose!$A$1:$S$859,Cleaned!B$1)</f>
        <v>146028</v>
      </c>
      <c r="C207">
        <f>VLOOKUP($A207,Transpose!$A$1:$S$859,Cleaned!C$1)</f>
        <v>139748</v>
      </c>
      <c r="D207">
        <f>VLOOKUP($A207,Transpose!$A$1:$S$859,Cleaned!D$1)</f>
        <v>1945</v>
      </c>
      <c r="E207">
        <f>VLOOKUP($A207,Transpose!$A$1:$S$859,Cleaned!E$1)</f>
        <v>4146</v>
      </c>
      <c r="F207">
        <f>VLOOKUP($A207,Transpose!$A$1:$S$859,Cleaned!F$1)</f>
        <v>189</v>
      </c>
      <c r="G207">
        <f>VLOOKUP($A207,Transpose!$A$1:$S$859,Cleaned!G$1)</f>
        <v>7116</v>
      </c>
      <c r="H207">
        <f>VLOOKUP($A207,Transpose!$A$1:$S$859,Cleaned!H$1)</f>
        <v>1917</v>
      </c>
      <c r="I207">
        <f>VLOOKUP($A207,Transpose!$A$1:$S$859,Cleaned!I$1)</f>
        <v>3272</v>
      </c>
      <c r="J207">
        <f>VLOOKUP($A207,Transpose!$A$1:$S$859,Cleaned!J$1)</f>
        <v>1905</v>
      </c>
      <c r="K207">
        <f>VLOOKUP($A207,Transpose!$A$1:$S$859,Cleaned!K$1)</f>
        <v>23</v>
      </c>
      <c r="L207">
        <f>VLOOKUP($A207,Transpose!$A$1:$S$859,Cleaned!L$1)</f>
        <v>77506</v>
      </c>
      <c r="M207">
        <f>VLOOKUP($A207,Transpose!$A$1:$S$859,Cleaned!M$1)</f>
        <v>4283</v>
      </c>
      <c r="N207">
        <f>VLOOKUP($A207,Transpose!$A$1:$S$859,Cleaned!N$1)</f>
        <v>1544</v>
      </c>
      <c r="O207">
        <f>VLOOKUP($A207,Transpose!$A$1:$S$859,Cleaned!O$1)</f>
        <v>71146</v>
      </c>
      <c r="P207">
        <f>VLOOKUP($A207,Transpose!$A$1:$S$859,Cleaned!P$1)</f>
        <v>533</v>
      </c>
      <c r="Q207">
        <f>VLOOKUP($A207,Transpose!$A$1:$S$859,Cleaned!Q$1)</f>
        <v>23</v>
      </c>
      <c r="R207">
        <f>VLOOKUP($A207,Transpose!$A$1:$S$859,Cleaned!R$1)</f>
        <v>2</v>
      </c>
      <c r="S207">
        <f>VLOOKUP($A207,Transpose!$A$1:$S$859,Cleaned!S$1)</f>
        <v>179</v>
      </c>
    </row>
    <row r="208" spans="1:19" x14ac:dyDescent="0.25">
      <c r="A208" s="2">
        <f t="shared" si="4"/>
        <v>39114</v>
      </c>
      <c r="B208">
        <f>VLOOKUP($A208,Transpose!$A$1:$S$859,Cleaned!B$1)</f>
        <v>146057</v>
      </c>
      <c r="C208">
        <f>VLOOKUP($A208,Transpose!$A$1:$S$859,Cleaned!C$1)</f>
        <v>139839</v>
      </c>
      <c r="D208">
        <f>VLOOKUP($A208,Transpose!$A$1:$S$859,Cleaned!D$1)</f>
        <v>2125</v>
      </c>
      <c r="E208">
        <f>VLOOKUP($A208,Transpose!$A$1:$S$859,Cleaned!E$1)</f>
        <v>4044</v>
      </c>
      <c r="F208">
        <f>VLOOKUP($A208,Transpose!$A$1:$S$859,Cleaned!F$1)</f>
        <v>48</v>
      </c>
      <c r="G208">
        <f>VLOOKUP($A208,Transpose!$A$1:$S$859,Cleaned!G$1)</f>
        <v>6927</v>
      </c>
      <c r="H208">
        <f>VLOOKUP($A208,Transpose!$A$1:$S$859,Cleaned!H$1)</f>
        <v>1833</v>
      </c>
      <c r="I208">
        <f>VLOOKUP($A208,Transpose!$A$1:$S$859,Cleaned!I$1)</f>
        <v>3248</v>
      </c>
      <c r="J208">
        <f>VLOOKUP($A208,Transpose!$A$1:$S$859,Cleaned!J$1)</f>
        <v>1812</v>
      </c>
      <c r="K208">
        <f>VLOOKUP($A208,Transpose!$A$1:$S$859,Cleaned!K$1)</f>
        <v>34</v>
      </c>
      <c r="L208">
        <f>VLOOKUP($A208,Transpose!$A$1:$S$859,Cleaned!L$1)</f>
        <v>77851</v>
      </c>
      <c r="M208">
        <f>VLOOKUP($A208,Transpose!$A$1:$S$859,Cleaned!M$1)</f>
        <v>4333</v>
      </c>
      <c r="N208">
        <f>VLOOKUP($A208,Transpose!$A$1:$S$859,Cleaned!N$1)</f>
        <v>1741</v>
      </c>
      <c r="O208">
        <f>VLOOKUP($A208,Transpose!$A$1:$S$859,Cleaned!O$1)</f>
        <v>71471</v>
      </c>
      <c r="P208">
        <f>VLOOKUP($A208,Transpose!$A$1:$S$859,Cleaned!P$1)</f>
        <v>307</v>
      </c>
      <c r="Q208">
        <f>VLOOKUP($A208,Transpose!$A$1:$S$859,Cleaned!Q$1)</f>
        <v>23</v>
      </c>
      <c r="R208">
        <f>VLOOKUP($A208,Transpose!$A$1:$S$859,Cleaned!R$1)</f>
        <v>2</v>
      </c>
      <c r="S208">
        <f>VLOOKUP($A208,Transpose!$A$1:$S$859,Cleaned!S$1)</f>
        <v>180</v>
      </c>
    </row>
    <row r="209" spans="1:19" x14ac:dyDescent="0.25">
      <c r="A209" s="2">
        <f t="shared" si="4"/>
        <v>39142</v>
      </c>
      <c r="B209">
        <f>VLOOKUP($A209,Transpose!$A$1:$S$859,Cleaned!B$1)</f>
        <v>146320</v>
      </c>
      <c r="C209">
        <f>VLOOKUP($A209,Transpose!$A$1:$S$859,Cleaned!C$1)</f>
        <v>140142</v>
      </c>
      <c r="D209">
        <f>VLOOKUP($A209,Transpose!$A$1:$S$859,Cleaned!D$1)</f>
        <v>2088</v>
      </c>
      <c r="E209">
        <f>VLOOKUP($A209,Transpose!$A$1:$S$859,Cleaned!E$1)</f>
        <v>4018</v>
      </c>
      <c r="F209">
        <f>VLOOKUP($A209,Transpose!$A$1:$S$859,Cleaned!F$1)</f>
        <v>72</v>
      </c>
      <c r="G209">
        <f>VLOOKUP($A209,Transpose!$A$1:$S$859,Cleaned!G$1)</f>
        <v>6731</v>
      </c>
      <c r="H209">
        <f>VLOOKUP($A209,Transpose!$A$1:$S$859,Cleaned!H$1)</f>
        <v>1701</v>
      </c>
      <c r="I209">
        <f>VLOOKUP($A209,Transpose!$A$1:$S$859,Cleaned!I$1)</f>
        <v>3207</v>
      </c>
      <c r="J209">
        <f>VLOOKUP($A209,Transpose!$A$1:$S$859,Cleaned!J$1)</f>
        <v>1788</v>
      </c>
      <c r="K209">
        <f>VLOOKUP($A209,Transpose!$A$1:$S$859,Cleaned!K$1)</f>
        <v>35</v>
      </c>
      <c r="L209">
        <f>VLOOKUP($A209,Transpose!$A$1:$S$859,Cleaned!L$1)</f>
        <v>77982</v>
      </c>
      <c r="M209">
        <f>VLOOKUP($A209,Transpose!$A$1:$S$859,Cleaned!M$1)</f>
        <v>4191</v>
      </c>
      <c r="N209">
        <f>VLOOKUP($A209,Transpose!$A$1:$S$859,Cleaned!N$1)</f>
        <v>1630</v>
      </c>
      <c r="O209">
        <f>VLOOKUP($A209,Transpose!$A$1:$S$859,Cleaned!O$1)</f>
        <v>71865</v>
      </c>
      <c r="P209">
        <f>VLOOKUP($A209,Transpose!$A$1:$S$859,Cleaned!P$1)</f>
        <v>296</v>
      </c>
      <c r="Q209">
        <f>VLOOKUP($A209,Transpose!$A$1:$S$859,Cleaned!Q$1)</f>
        <v>23</v>
      </c>
      <c r="R209">
        <f>VLOOKUP($A209,Transpose!$A$1:$S$859,Cleaned!R$1)</f>
        <v>2</v>
      </c>
      <c r="S209">
        <f>VLOOKUP($A209,Transpose!$A$1:$S$859,Cleaned!S$1)</f>
        <v>180</v>
      </c>
    </row>
    <row r="210" spans="1:19" x14ac:dyDescent="0.25">
      <c r="A210" s="2">
        <f t="shared" si="4"/>
        <v>39173</v>
      </c>
      <c r="B210">
        <f>VLOOKUP($A210,Transpose!$A$1:$S$859,Cleaned!B$1)</f>
        <v>145586</v>
      </c>
      <c r="C210">
        <f>VLOOKUP($A210,Transpose!$A$1:$S$859,Cleaned!C$1)</f>
        <v>140032</v>
      </c>
      <c r="D210">
        <f>VLOOKUP($A210,Transpose!$A$1:$S$859,Cleaned!D$1)</f>
        <v>1851</v>
      </c>
      <c r="E210">
        <f>VLOOKUP($A210,Transpose!$A$1:$S$859,Cleaned!E$1)</f>
        <v>3609</v>
      </c>
      <c r="F210">
        <f>VLOOKUP($A210,Transpose!$A$1:$S$859,Cleaned!F$1)</f>
        <v>93</v>
      </c>
      <c r="G210">
        <f>VLOOKUP($A210,Transpose!$A$1:$S$859,Cleaned!G$1)</f>
        <v>6850</v>
      </c>
      <c r="H210">
        <f>VLOOKUP($A210,Transpose!$A$1:$S$859,Cleaned!H$1)</f>
        <v>1763</v>
      </c>
      <c r="I210">
        <f>VLOOKUP($A210,Transpose!$A$1:$S$859,Cleaned!I$1)</f>
        <v>3377</v>
      </c>
      <c r="J210">
        <f>VLOOKUP($A210,Transpose!$A$1:$S$859,Cleaned!J$1)</f>
        <v>1683</v>
      </c>
      <c r="K210">
        <f>VLOOKUP($A210,Transpose!$A$1:$S$859,Cleaned!K$1)</f>
        <v>27</v>
      </c>
      <c r="L210">
        <f>VLOOKUP($A210,Transpose!$A$1:$S$859,Cleaned!L$1)</f>
        <v>78818</v>
      </c>
      <c r="M210">
        <f>VLOOKUP($A210,Transpose!$A$1:$S$859,Cleaned!M$1)</f>
        <v>4502</v>
      </c>
      <c r="N210">
        <f>VLOOKUP($A210,Transpose!$A$1:$S$859,Cleaned!N$1)</f>
        <v>1502</v>
      </c>
      <c r="O210">
        <f>VLOOKUP($A210,Transpose!$A$1:$S$859,Cleaned!O$1)</f>
        <v>72510</v>
      </c>
      <c r="P210">
        <f>VLOOKUP($A210,Transpose!$A$1:$S$859,Cleaned!P$1)</f>
        <v>304</v>
      </c>
      <c r="Q210">
        <f>VLOOKUP($A210,Transpose!$A$1:$S$859,Cleaned!Q$1)</f>
        <v>23</v>
      </c>
      <c r="R210">
        <f>VLOOKUP($A210,Transpose!$A$1:$S$859,Cleaned!R$1)</f>
        <v>2</v>
      </c>
      <c r="S210">
        <f>VLOOKUP($A210,Transpose!$A$1:$S$859,Cleaned!S$1)</f>
        <v>180</v>
      </c>
    </row>
    <row r="211" spans="1:19" x14ac:dyDescent="0.25">
      <c r="A211" s="2">
        <f t="shared" si="4"/>
        <v>39203</v>
      </c>
      <c r="B211">
        <f>VLOOKUP($A211,Transpose!$A$1:$S$859,Cleaned!B$1)</f>
        <v>145903</v>
      </c>
      <c r="C211">
        <f>VLOOKUP($A211,Transpose!$A$1:$S$859,Cleaned!C$1)</f>
        <v>139889</v>
      </c>
      <c r="D211">
        <f>VLOOKUP($A211,Transpose!$A$1:$S$859,Cleaned!D$1)</f>
        <v>1981</v>
      </c>
      <c r="E211">
        <f>VLOOKUP($A211,Transpose!$A$1:$S$859,Cleaned!E$1)</f>
        <v>3966</v>
      </c>
      <c r="F211">
        <f>VLOOKUP($A211,Transpose!$A$1:$S$859,Cleaned!F$1)</f>
        <v>67</v>
      </c>
      <c r="G211">
        <f>VLOOKUP($A211,Transpose!$A$1:$S$859,Cleaned!G$1)</f>
        <v>6766</v>
      </c>
      <c r="H211">
        <f>VLOOKUP($A211,Transpose!$A$1:$S$859,Cleaned!H$1)</f>
        <v>1712</v>
      </c>
      <c r="I211">
        <f>VLOOKUP($A211,Transpose!$A$1:$S$859,Cleaned!I$1)</f>
        <v>3308</v>
      </c>
      <c r="J211">
        <f>VLOOKUP($A211,Transpose!$A$1:$S$859,Cleaned!J$1)</f>
        <v>1736</v>
      </c>
      <c r="K211">
        <f>VLOOKUP($A211,Transpose!$A$1:$S$859,Cleaned!K$1)</f>
        <v>11</v>
      </c>
      <c r="L211">
        <f>VLOOKUP($A211,Transpose!$A$1:$S$859,Cleaned!L$1)</f>
        <v>78810</v>
      </c>
      <c r="M211">
        <f>VLOOKUP($A211,Transpose!$A$1:$S$859,Cleaned!M$1)</f>
        <v>3961</v>
      </c>
      <c r="N211">
        <f>VLOOKUP($A211,Transpose!$A$1:$S$859,Cleaned!N$1)</f>
        <v>1559</v>
      </c>
      <c r="O211">
        <f>VLOOKUP($A211,Transpose!$A$1:$S$859,Cleaned!O$1)</f>
        <v>72935</v>
      </c>
      <c r="P211">
        <f>VLOOKUP($A211,Transpose!$A$1:$S$859,Cleaned!P$1)</f>
        <v>355</v>
      </c>
      <c r="Q211">
        <f>VLOOKUP($A211,Transpose!$A$1:$S$859,Cleaned!Q$1)</f>
        <v>23</v>
      </c>
      <c r="R211">
        <f>VLOOKUP($A211,Transpose!$A$1:$S$859,Cleaned!R$1)</f>
        <v>2</v>
      </c>
      <c r="S211">
        <f>VLOOKUP($A211,Transpose!$A$1:$S$859,Cleaned!S$1)</f>
        <v>181</v>
      </c>
    </row>
    <row r="212" spans="1:19" x14ac:dyDescent="0.25">
      <c r="A212" s="2">
        <f t="shared" si="4"/>
        <v>39234</v>
      </c>
      <c r="B212">
        <f>VLOOKUP($A212,Transpose!$A$1:$S$859,Cleaned!B$1)</f>
        <v>146063</v>
      </c>
      <c r="C212">
        <f>VLOOKUP($A212,Transpose!$A$1:$S$859,Cleaned!C$1)</f>
        <v>140072</v>
      </c>
      <c r="D212">
        <f>VLOOKUP($A212,Transpose!$A$1:$S$859,Cleaned!D$1)</f>
        <v>1753</v>
      </c>
      <c r="E212">
        <f>VLOOKUP($A212,Transpose!$A$1:$S$859,Cleaned!E$1)</f>
        <v>4095</v>
      </c>
      <c r="F212">
        <f>VLOOKUP($A212,Transpose!$A$1:$S$859,Cleaned!F$1)</f>
        <v>143</v>
      </c>
      <c r="G212">
        <f>VLOOKUP($A212,Transpose!$A$1:$S$859,Cleaned!G$1)</f>
        <v>6979</v>
      </c>
      <c r="H212">
        <f>VLOOKUP($A212,Transpose!$A$1:$S$859,Cleaned!H$1)</f>
        <v>1774</v>
      </c>
      <c r="I212">
        <f>VLOOKUP($A212,Transpose!$A$1:$S$859,Cleaned!I$1)</f>
        <v>3414</v>
      </c>
      <c r="J212">
        <f>VLOOKUP($A212,Transpose!$A$1:$S$859,Cleaned!J$1)</f>
        <v>1757</v>
      </c>
      <c r="K212">
        <f>VLOOKUP($A212,Transpose!$A$1:$S$859,Cleaned!K$1)</f>
        <v>34</v>
      </c>
      <c r="L212">
        <f>VLOOKUP($A212,Transpose!$A$1:$S$859,Cleaned!L$1)</f>
        <v>78671</v>
      </c>
      <c r="M212">
        <f>VLOOKUP($A212,Transpose!$A$1:$S$859,Cleaned!M$1)</f>
        <v>4035</v>
      </c>
      <c r="N212">
        <f>VLOOKUP($A212,Transpose!$A$1:$S$859,Cleaned!N$1)</f>
        <v>1598</v>
      </c>
      <c r="O212">
        <f>VLOOKUP($A212,Transpose!$A$1:$S$859,Cleaned!O$1)</f>
        <v>72778</v>
      </c>
      <c r="P212">
        <f>VLOOKUP($A212,Transpose!$A$1:$S$859,Cleaned!P$1)</f>
        <v>260</v>
      </c>
      <c r="Q212">
        <f>VLOOKUP($A212,Transpose!$A$1:$S$859,Cleaned!Q$1)</f>
        <v>23</v>
      </c>
      <c r="R212">
        <f>VLOOKUP($A212,Transpose!$A$1:$S$859,Cleaned!R$1)</f>
        <v>2</v>
      </c>
      <c r="S212">
        <f>VLOOKUP($A212,Transpose!$A$1:$S$859,Cleaned!S$1)</f>
        <v>180</v>
      </c>
    </row>
    <row r="213" spans="1:19" x14ac:dyDescent="0.25">
      <c r="A213" s="2">
        <f t="shared" si="4"/>
        <v>39264</v>
      </c>
      <c r="B213">
        <f>VLOOKUP($A213,Transpose!$A$1:$S$859,Cleaned!B$1)</f>
        <v>145905</v>
      </c>
      <c r="C213">
        <f>VLOOKUP($A213,Transpose!$A$1:$S$859,Cleaned!C$1)</f>
        <v>140199</v>
      </c>
      <c r="D213">
        <f>VLOOKUP($A213,Transpose!$A$1:$S$859,Cleaned!D$1)</f>
        <v>1900</v>
      </c>
      <c r="E213">
        <f>VLOOKUP($A213,Transpose!$A$1:$S$859,Cleaned!E$1)</f>
        <v>3745</v>
      </c>
      <c r="F213">
        <f>VLOOKUP($A213,Transpose!$A$1:$S$859,Cleaned!F$1)</f>
        <v>61</v>
      </c>
      <c r="G213">
        <f>VLOOKUP($A213,Transpose!$A$1:$S$859,Cleaned!G$1)</f>
        <v>7149</v>
      </c>
      <c r="H213">
        <f>VLOOKUP($A213,Transpose!$A$1:$S$859,Cleaned!H$1)</f>
        <v>1843</v>
      </c>
      <c r="I213">
        <f>VLOOKUP($A213,Transpose!$A$1:$S$859,Cleaned!I$1)</f>
        <v>3495</v>
      </c>
      <c r="J213">
        <f>VLOOKUP($A213,Transpose!$A$1:$S$859,Cleaned!J$1)</f>
        <v>1787</v>
      </c>
      <c r="K213">
        <f>VLOOKUP($A213,Transpose!$A$1:$S$859,Cleaned!K$1)</f>
        <v>24</v>
      </c>
      <c r="L213">
        <f>VLOOKUP($A213,Transpose!$A$1:$S$859,Cleaned!L$1)</f>
        <v>78904</v>
      </c>
      <c r="M213">
        <f>VLOOKUP($A213,Transpose!$A$1:$S$859,Cleaned!M$1)</f>
        <v>3998</v>
      </c>
      <c r="N213">
        <f>VLOOKUP($A213,Transpose!$A$1:$S$859,Cleaned!N$1)</f>
        <v>1582</v>
      </c>
      <c r="O213">
        <f>VLOOKUP($A213,Transpose!$A$1:$S$859,Cleaned!O$1)</f>
        <v>72958</v>
      </c>
      <c r="P213">
        <f>VLOOKUP($A213,Transpose!$A$1:$S$859,Cleaned!P$1)</f>
        <v>366</v>
      </c>
      <c r="Q213">
        <f>VLOOKUP($A213,Transpose!$A$1:$S$859,Cleaned!Q$1)</f>
        <v>23</v>
      </c>
      <c r="R213">
        <f>VLOOKUP($A213,Transpose!$A$1:$S$859,Cleaned!R$1)</f>
        <v>2</v>
      </c>
      <c r="S213">
        <f>VLOOKUP($A213,Transpose!$A$1:$S$859,Cleaned!S$1)</f>
        <v>181</v>
      </c>
    </row>
    <row r="214" spans="1:19" x14ac:dyDescent="0.25">
      <c r="A214" s="2">
        <f t="shared" si="4"/>
        <v>39295</v>
      </c>
      <c r="B214">
        <f>VLOOKUP($A214,Transpose!$A$1:$S$859,Cleaned!B$1)</f>
        <v>145682</v>
      </c>
      <c r="C214">
        <f>VLOOKUP($A214,Transpose!$A$1:$S$859,Cleaned!C$1)</f>
        <v>139756</v>
      </c>
      <c r="D214">
        <f>VLOOKUP($A214,Transpose!$A$1:$S$859,Cleaned!D$1)</f>
        <v>1975</v>
      </c>
      <c r="E214">
        <f>VLOOKUP($A214,Transpose!$A$1:$S$859,Cleaned!E$1)</f>
        <v>3888</v>
      </c>
      <c r="F214">
        <f>VLOOKUP($A214,Transpose!$A$1:$S$859,Cleaned!F$1)</f>
        <v>64</v>
      </c>
      <c r="G214">
        <f>VLOOKUP($A214,Transpose!$A$1:$S$859,Cleaned!G$1)</f>
        <v>7067</v>
      </c>
      <c r="H214">
        <f>VLOOKUP($A214,Transpose!$A$1:$S$859,Cleaned!H$1)</f>
        <v>1714</v>
      </c>
      <c r="I214">
        <f>VLOOKUP($A214,Transpose!$A$1:$S$859,Cleaned!I$1)</f>
        <v>3580</v>
      </c>
      <c r="J214">
        <f>VLOOKUP($A214,Transpose!$A$1:$S$859,Cleaned!J$1)</f>
        <v>1735</v>
      </c>
      <c r="K214">
        <f>VLOOKUP($A214,Transpose!$A$1:$S$859,Cleaned!K$1)</f>
        <v>38</v>
      </c>
      <c r="L214">
        <f>VLOOKUP($A214,Transpose!$A$1:$S$859,Cleaned!L$1)</f>
        <v>79461</v>
      </c>
      <c r="M214">
        <f>VLOOKUP($A214,Transpose!$A$1:$S$859,Cleaned!M$1)</f>
        <v>4412</v>
      </c>
      <c r="N214">
        <f>VLOOKUP($A214,Transpose!$A$1:$S$859,Cleaned!N$1)</f>
        <v>1592</v>
      </c>
      <c r="O214">
        <f>VLOOKUP($A214,Transpose!$A$1:$S$859,Cleaned!O$1)</f>
        <v>73101</v>
      </c>
      <c r="P214">
        <f>VLOOKUP($A214,Transpose!$A$1:$S$859,Cleaned!P$1)</f>
        <v>357</v>
      </c>
      <c r="Q214">
        <f>VLOOKUP($A214,Transpose!$A$1:$S$859,Cleaned!Q$1)</f>
        <v>23</v>
      </c>
      <c r="R214">
        <f>VLOOKUP($A214,Transpose!$A$1:$S$859,Cleaned!R$1)</f>
        <v>2</v>
      </c>
      <c r="S214">
        <f>VLOOKUP($A214,Transpose!$A$1:$S$859,Cleaned!S$1)</f>
        <v>181</v>
      </c>
    </row>
    <row r="215" spans="1:19" x14ac:dyDescent="0.25">
      <c r="A215" s="2">
        <f t="shared" si="4"/>
        <v>39326</v>
      </c>
      <c r="B215">
        <f>VLOOKUP($A215,Transpose!$A$1:$S$859,Cleaned!B$1)</f>
        <v>146244</v>
      </c>
      <c r="C215">
        <f>VLOOKUP($A215,Transpose!$A$1:$S$859,Cleaned!C$1)</f>
        <v>140179</v>
      </c>
      <c r="D215">
        <f>VLOOKUP($A215,Transpose!$A$1:$S$859,Cleaned!D$1)</f>
        <v>1910</v>
      </c>
      <c r="E215">
        <f>VLOOKUP($A215,Transpose!$A$1:$S$859,Cleaned!E$1)</f>
        <v>4052</v>
      </c>
      <c r="F215">
        <f>VLOOKUP($A215,Transpose!$A$1:$S$859,Cleaned!F$1)</f>
        <v>102</v>
      </c>
      <c r="G215">
        <f>VLOOKUP($A215,Transpose!$A$1:$S$859,Cleaned!G$1)</f>
        <v>7170</v>
      </c>
      <c r="H215">
        <f>VLOOKUP($A215,Transpose!$A$1:$S$859,Cleaned!H$1)</f>
        <v>1795</v>
      </c>
      <c r="I215">
        <f>VLOOKUP($A215,Transpose!$A$1:$S$859,Cleaned!I$1)</f>
        <v>3549</v>
      </c>
      <c r="J215">
        <f>VLOOKUP($A215,Transpose!$A$1:$S$859,Cleaned!J$1)</f>
        <v>1797</v>
      </c>
      <c r="K215">
        <f>VLOOKUP($A215,Transpose!$A$1:$S$859,Cleaned!K$1)</f>
        <v>29</v>
      </c>
      <c r="L215">
        <f>VLOOKUP($A215,Transpose!$A$1:$S$859,Cleaned!L$1)</f>
        <v>79047</v>
      </c>
      <c r="M215">
        <f>VLOOKUP($A215,Transpose!$A$1:$S$859,Cleaned!M$1)</f>
        <v>3685</v>
      </c>
      <c r="N215">
        <f>VLOOKUP($A215,Transpose!$A$1:$S$859,Cleaned!N$1)</f>
        <v>1606</v>
      </c>
      <c r="O215">
        <f>VLOOKUP($A215,Transpose!$A$1:$S$859,Cleaned!O$1)</f>
        <v>73432</v>
      </c>
      <c r="P215">
        <f>VLOOKUP($A215,Transpose!$A$1:$S$859,Cleaned!P$1)</f>
        <v>324</v>
      </c>
      <c r="Q215">
        <f>VLOOKUP($A215,Transpose!$A$1:$S$859,Cleaned!Q$1)</f>
        <v>23</v>
      </c>
      <c r="R215">
        <f>VLOOKUP($A215,Transpose!$A$1:$S$859,Cleaned!R$1)</f>
        <v>2</v>
      </c>
      <c r="S215">
        <f>VLOOKUP($A215,Transpose!$A$1:$S$859,Cleaned!S$1)</f>
        <v>181</v>
      </c>
    </row>
    <row r="216" spans="1:19" x14ac:dyDescent="0.25">
      <c r="A216" s="2">
        <f t="shared" si="4"/>
        <v>39356</v>
      </c>
      <c r="B216">
        <f>VLOOKUP($A216,Transpose!$A$1:$S$859,Cleaned!B$1)</f>
        <v>145946</v>
      </c>
      <c r="C216">
        <f>VLOOKUP($A216,Transpose!$A$1:$S$859,Cleaned!C$1)</f>
        <v>140126</v>
      </c>
      <c r="D216">
        <f>VLOOKUP($A216,Transpose!$A$1:$S$859,Cleaned!D$1)</f>
        <v>1907</v>
      </c>
      <c r="E216">
        <f>VLOOKUP($A216,Transpose!$A$1:$S$859,Cleaned!E$1)</f>
        <v>3818</v>
      </c>
      <c r="F216">
        <f>VLOOKUP($A216,Transpose!$A$1:$S$859,Cleaned!F$1)</f>
        <v>96</v>
      </c>
      <c r="G216">
        <f>VLOOKUP($A216,Transpose!$A$1:$S$859,Cleaned!G$1)</f>
        <v>7237</v>
      </c>
      <c r="H216">
        <f>VLOOKUP($A216,Transpose!$A$1:$S$859,Cleaned!H$1)</f>
        <v>1818</v>
      </c>
      <c r="I216">
        <f>VLOOKUP($A216,Transpose!$A$1:$S$859,Cleaned!I$1)</f>
        <v>3624</v>
      </c>
      <c r="J216">
        <f>VLOOKUP($A216,Transpose!$A$1:$S$859,Cleaned!J$1)</f>
        <v>1774</v>
      </c>
      <c r="K216">
        <f>VLOOKUP($A216,Transpose!$A$1:$S$859,Cleaned!K$1)</f>
        <v>21</v>
      </c>
      <c r="L216">
        <f>VLOOKUP($A216,Transpose!$A$1:$S$859,Cleaned!L$1)</f>
        <v>79532</v>
      </c>
      <c r="M216">
        <f>VLOOKUP($A216,Transpose!$A$1:$S$859,Cleaned!M$1)</f>
        <v>4277</v>
      </c>
      <c r="N216">
        <f>VLOOKUP($A216,Transpose!$A$1:$S$859,Cleaned!N$1)</f>
        <v>1637</v>
      </c>
      <c r="O216">
        <f>VLOOKUP($A216,Transpose!$A$1:$S$859,Cleaned!O$1)</f>
        <v>73274</v>
      </c>
      <c r="P216">
        <f>VLOOKUP($A216,Transpose!$A$1:$S$859,Cleaned!P$1)</f>
        <v>344</v>
      </c>
      <c r="Q216">
        <f>VLOOKUP($A216,Transpose!$A$1:$S$859,Cleaned!Q$1)</f>
        <v>23</v>
      </c>
      <c r="R216">
        <f>VLOOKUP($A216,Transpose!$A$1:$S$859,Cleaned!R$1)</f>
        <v>2</v>
      </c>
      <c r="S216">
        <f>VLOOKUP($A216,Transpose!$A$1:$S$859,Cleaned!S$1)</f>
        <v>181</v>
      </c>
    </row>
    <row r="217" spans="1:19" x14ac:dyDescent="0.25">
      <c r="A217" s="2">
        <f t="shared" si="4"/>
        <v>39387</v>
      </c>
      <c r="B217">
        <f>VLOOKUP($A217,Transpose!$A$1:$S$859,Cleaned!B$1)</f>
        <v>146595</v>
      </c>
      <c r="C217">
        <f>VLOOKUP($A217,Transpose!$A$1:$S$859,Cleaned!C$1)</f>
        <v>140427</v>
      </c>
      <c r="D217">
        <f>VLOOKUP($A217,Transpose!$A$1:$S$859,Cleaned!D$1)</f>
        <v>1956</v>
      </c>
      <c r="E217">
        <f>VLOOKUP($A217,Transpose!$A$1:$S$859,Cleaned!E$1)</f>
        <v>4122</v>
      </c>
      <c r="F217">
        <f>VLOOKUP($A217,Transpose!$A$1:$S$859,Cleaned!F$1)</f>
        <v>89</v>
      </c>
      <c r="G217">
        <f>VLOOKUP($A217,Transpose!$A$1:$S$859,Cleaned!G$1)</f>
        <v>7240</v>
      </c>
      <c r="H217">
        <f>VLOOKUP($A217,Transpose!$A$1:$S$859,Cleaned!H$1)</f>
        <v>1725</v>
      </c>
      <c r="I217">
        <f>VLOOKUP($A217,Transpose!$A$1:$S$859,Cleaned!I$1)</f>
        <v>3582</v>
      </c>
      <c r="J217">
        <f>VLOOKUP($A217,Transpose!$A$1:$S$859,Cleaned!J$1)</f>
        <v>1902</v>
      </c>
      <c r="K217">
        <f>VLOOKUP($A217,Transpose!$A$1:$S$859,Cleaned!K$1)</f>
        <v>31</v>
      </c>
      <c r="L217">
        <f>VLOOKUP($A217,Transpose!$A$1:$S$859,Cleaned!L$1)</f>
        <v>79105</v>
      </c>
      <c r="M217">
        <f>VLOOKUP($A217,Transpose!$A$1:$S$859,Cleaned!M$1)</f>
        <v>3772</v>
      </c>
      <c r="N217">
        <f>VLOOKUP($A217,Transpose!$A$1:$S$859,Cleaned!N$1)</f>
        <v>1697</v>
      </c>
      <c r="O217">
        <f>VLOOKUP($A217,Transpose!$A$1:$S$859,Cleaned!O$1)</f>
        <v>73326</v>
      </c>
      <c r="P217">
        <f>VLOOKUP($A217,Transpose!$A$1:$S$859,Cleaned!P$1)</f>
        <v>310</v>
      </c>
      <c r="Q217">
        <f>VLOOKUP($A217,Transpose!$A$1:$S$859,Cleaned!Q$1)</f>
        <v>23</v>
      </c>
      <c r="R217">
        <f>VLOOKUP($A217,Transpose!$A$1:$S$859,Cleaned!R$1)</f>
        <v>2</v>
      </c>
      <c r="S217">
        <f>VLOOKUP($A217,Transpose!$A$1:$S$859,Cleaned!S$1)</f>
        <v>181</v>
      </c>
    </row>
    <row r="218" spans="1:19" x14ac:dyDescent="0.25">
      <c r="A218" s="2">
        <f t="shared" si="4"/>
        <v>39417</v>
      </c>
      <c r="B218">
        <f>VLOOKUP($A218,Transpose!$A$1:$S$859,Cleaned!B$1)</f>
        <v>146273</v>
      </c>
      <c r="C218">
        <f>VLOOKUP($A218,Transpose!$A$1:$S$859,Cleaned!C$1)</f>
        <v>140546</v>
      </c>
      <c r="D218">
        <f>VLOOKUP($A218,Transpose!$A$1:$S$859,Cleaned!D$1)</f>
        <v>1951</v>
      </c>
      <c r="E218">
        <f>VLOOKUP($A218,Transpose!$A$1:$S$859,Cleaned!E$1)</f>
        <v>3668</v>
      </c>
      <c r="F218">
        <f>VLOOKUP($A218,Transpose!$A$1:$S$859,Cleaned!F$1)</f>
        <v>109</v>
      </c>
      <c r="G218">
        <f>VLOOKUP($A218,Transpose!$A$1:$S$859,Cleaned!G$1)</f>
        <v>7645</v>
      </c>
      <c r="H218">
        <f>VLOOKUP($A218,Transpose!$A$1:$S$859,Cleaned!H$1)</f>
        <v>1866</v>
      </c>
      <c r="I218">
        <f>VLOOKUP($A218,Transpose!$A$1:$S$859,Cleaned!I$1)</f>
        <v>3792</v>
      </c>
      <c r="J218">
        <f>VLOOKUP($A218,Transpose!$A$1:$S$859,Cleaned!J$1)</f>
        <v>1974</v>
      </c>
      <c r="K218">
        <f>VLOOKUP($A218,Transpose!$A$1:$S$859,Cleaned!K$1)</f>
        <v>13</v>
      </c>
      <c r="L218">
        <f>VLOOKUP($A218,Transpose!$A$1:$S$859,Cleaned!L$1)</f>
        <v>79238</v>
      </c>
      <c r="M218">
        <f>VLOOKUP($A218,Transpose!$A$1:$S$859,Cleaned!M$1)</f>
        <v>4160</v>
      </c>
      <c r="N218">
        <f>VLOOKUP($A218,Transpose!$A$1:$S$859,Cleaned!N$1)</f>
        <v>1496</v>
      </c>
      <c r="O218">
        <f>VLOOKUP($A218,Transpose!$A$1:$S$859,Cleaned!O$1)</f>
        <v>73281</v>
      </c>
      <c r="P218">
        <f>VLOOKUP($A218,Transpose!$A$1:$S$859,Cleaned!P$1)</f>
        <v>301</v>
      </c>
      <c r="Q218">
        <f>VLOOKUP($A218,Transpose!$A$1:$S$859,Cleaned!Q$1)</f>
        <v>23</v>
      </c>
      <c r="R218">
        <f>VLOOKUP($A218,Transpose!$A$1:$S$859,Cleaned!R$1)</f>
        <v>2</v>
      </c>
      <c r="S218">
        <f>VLOOKUP($A218,Transpose!$A$1:$S$859,Cleaned!S$1)</f>
        <v>181</v>
      </c>
    </row>
    <row r="219" spans="1:19" x14ac:dyDescent="0.25">
      <c r="A219" s="2">
        <f t="shared" si="4"/>
        <v>39448</v>
      </c>
      <c r="B219">
        <f>VLOOKUP($A219,Transpose!$A$1:$S$859,Cleaned!B$1)</f>
        <v>146378</v>
      </c>
      <c r="C219">
        <f>VLOOKUP($A219,Transpose!$A$1:$S$859,Cleaned!C$1)</f>
        <v>140343</v>
      </c>
      <c r="D219">
        <f>VLOOKUP($A219,Transpose!$A$1:$S$859,Cleaned!D$1)</f>
        <v>2034</v>
      </c>
      <c r="E219">
        <f>VLOOKUP($A219,Transpose!$A$1:$S$859,Cleaned!E$1)</f>
        <v>3964</v>
      </c>
      <c r="F219">
        <f>VLOOKUP($A219,Transpose!$A$1:$S$859,Cleaned!F$1)</f>
        <v>37</v>
      </c>
      <c r="G219">
        <f>VLOOKUP($A219,Transpose!$A$1:$S$859,Cleaned!G$1)</f>
        <v>7685</v>
      </c>
      <c r="H219">
        <f>VLOOKUP($A219,Transpose!$A$1:$S$859,Cleaned!H$1)</f>
        <v>1780</v>
      </c>
      <c r="I219">
        <f>VLOOKUP($A219,Transpose!$A$1:$S$859,Cleaned!I$1)</f>
        <v>4016</v>
      </c>
      <c r="J219">
        <f>VLOOKUP($A219,Transpose!$A$1:$S$859,Cleaned!J$1)</f>
        <v>1851</v>
      </c>
      <c r="K219">
        <f>VLOOKUP($A219,Transpose!$A$1:$S$859,Cleaned!K$1)</f>
        <v>37</v>
      </c>
      <c r="L219">
        <f>VLOOKUP($A219,Transpose!$A$1:$S$859,Cleaned!L$1)</f>
        <v>78554</v>
      </c>
      <c r="M219">
        <f>VLOOKUP($A219,Transpose!$A$1:$S$859,Cleaned!M$1)</f>
        <v>3630</v>
      </c>
      <c r="N219">
        <f>VLOOKUP($A219,Transpose!$A$1:$S$859,Cleaned!N$1)</f>
        <v>1567</v>
      </c>
      <c r="O219">
        <f>VLOOKUP($A219,Transpose!$A$1:$S$859,Cleaned!O$1)</f>
        <v>72994</v>
      </c>
      <c r="P219">
        <f>VLOOKUP($A219,Transpose!$A$1:$S$859,Cleaned!P$1)</f>
        <v>362</v>
      </c>
      <c r="Q219">
        <f>VLOOKUP($A219,Transpose!$A$1:$S$859,Cleaned!Q$1)</f>
        <v>520</v>
      </c>
      <c r="R219">
        <f>VLOOKUP($A219,Transpose!$A$1:$S$859,Cleaned!R$1)</f>
        <v>28</v>
      </c>
      <c r="S219">
        <f>VLOOKUP($A219,Transpose!$A$1:$S$859,Cleaned!S$1)</f>
        <v>428</v>
      </c>
    </row>
    <row r="220" spans="1:19" x14ac:dyDescent="0.25">
      <c r="A220" s="2">
        <f t="shared" si="4"/>
        <v>39479</v>
      </c>
      <c r="B220">
        <f>VLOOKUP($A220,Transpose!$A$1:$S$859,Cleaned!B$1)</f>
        <v>146156</v>
      </c>
      <c r="C220">
        <f>VLOOKUP($A220,Transpose!$A$1:$S$859,Cleaned!C$1)</f>
        <v>140482</v>
      </c>
      <c r="D220">
        <f>VLOOKUP($A220,Transpose!$A$1:$S$859,Cleaned!D$1)</f>
        <v>1965</v>
      </c>
      <c r="E220">
        <f>VLOOKUP($A220,Transpose!$A$1:$S$859,Cleaned!E$1)</f>
        <v>3645</v>
      </c>
      <c r="F220">
        <f>VLOOKUP($A220,Transpose!$A$1:$S$859,Cleaned!F$1)</f>
        <v>64</v>
      </c>
      <c r="G220">
        <f>VLOOKUP($A220,Transpose!$A$1:$S$859,Cleaned!G$1)</f>
        <v>7497</v>
      </c>
      <c r="H220">
        <f>VLOOKUP($A220,Transpose!$A$1:$S$859,Cleaned!H$1)</f>
        <v>1817</v>
      </c>
      <c r="I220">
        <f>VLOOKUP($A220,Transpose!$A$1:$S$859,Cleaned!I$1)</f>
        <v>3845</v>
      </c>
      <c r="J220">
        <f>VLOOKUP($A220,Transpose!$A$1:$S$859,Cleaned!J$1)</f>
        <v>1818</v>
      </c>
      <c r="K220">
        <f>VLOOKUP($A220,Transpose!$A$1:$S$859,Cleaned!K$1)</f>
        <v>16</v>
      </c>
      <c r="L220">
        <f>VLOOKUP($A220,Transpose!$A$1:$S$859,Cleaned!L$1)</f>
        <v>79156</v>
      </c>
      <c r="M220">
        <f>VLOOKUP($A220,Transpose!$A$1:$S$859,Cleaned!M$1)</f>
        <v>4048</v>
      </c>
      <c r="N220">
        <f>VLOOKUP($A220,Transpose!$A$1:$S$859,Cleaned!N$1)</f>
        <v>1873</v>
      </c>
      <c r="O220">
        <f>VLOOKUP($A220,Transpose!$A$1:$S$859,Cleaned!O$1)</f>
        <v>72904</v>
      </c>
      <c r="P220">
        <f>VLOOKUP($A220,Transpose!$A$1:$S$859,Cleaned!P$1)</f>
        <v>332</v>
      </c>
      <c r="Q220">
        <f>VLOOKUP($A220,Transpose!$A$1:$S$859,Cleaned!Q$1)</f>
        <v>31</v>
      </c>
      <c r="R220">
        <f>VLOOKUP($A220,Transpose!$A$1:$S$859,Cleaned!R$1)</f>
        <v>2</v>
      </c>
      <c r="S220">
        <f>VLOOKUP($A220,Transpose!$A$1:$S$859,Cleaned!S$1)</f>
        <v>187</v>
      </c>
    </row>
    <row r="221" spans="1:19" x14ac:dyDescent="0.25">
      <c r="A221" s="2">
        <f t="shared" si="4"/>
        <v>39508</v>
      </c>
      <c r="B221">
        <f>VLOOKUP($A221,Transpose!$A$1:$S$859,Cleaned!B$1)</f>
        <v>146086</v>
      </c>
      <c r="C221">
        <f>VLOOKUP($A221,Transpose!$A$1:$S$859,Cleaned!C$1)</f>
        <v>140171</v>
      </c>
      <c r="D221">
        <f>VLOOKUP($A221,Transpose!$A$1:$S$859,Cleaned!D$1)</f>
        <v>1996</v>
      </c>
      <c r="E221">
        <f>VLOOKUP($A221,Transpose!$A$1:$S$859,Cleaned!E$1)</f>
        <v>3830</v>
      </c>
      <c r="F221">
        <f>VLOOKUP($A221,Transpose!$A$1:$S$859,Cleaned!F$1)</f>
        <v>88</v>
      </c>
      <c r="G221">
        <f>VLOOKUP($A221,Transpose!$A$1:$S$859,Cleaned!G$1)</f>
        <v>7822</v>
      </c>
      <c r="H221">
        <f>VLOOKUP($A221,Transpose!$A$1:$S$859,Cleaned!H$1)</f>
        <v>2005</v>
      </c>
      <c r="I221">
        <f>VLOOKUP($A221,Transpose!$A$1:$S$859,Cleaned!I$1)</f>
        <v>3787</v>
      </c>
      <c r="J221">
        <f>VLOOKUP($A221,Transpose!$A$1:$S$859,Cleaned!J$1)</f>
        <v>2005</v>
      </c>
      <c r="K221">
        <f>VLOOKUP($A221,Transpose!$A$1:$S$859,Cleaned!K$1)</f>
        <v>26</v>
      </c>
      <c r="L221">
        <f>VLOOKUP($A221,Transpose!$A$1:$S$859,Cleaned!L$1)</f>
        <v>79087</v>
      </c>
      <c r="M221">
        <f>VLOOKUP($A221,Transpose!$A$1:$S$859,Cleaned!M$1)</f>
        <v>3957</v>
      </c>
      <c r="N221">
        <f>VLOOKUP($A221,Transpose!$A$1:$S$859,Cleaned!N$1)</f>
        <v>1712</v>
      </c>
      <c r="O221">
        <f>VLOOKUP($A221,Transpose!$A$1:$S$859,Cleaned!O$1)</f>
        <v>73140</v>
      </c>
      <c r="P221">
        <f>VLOOKUP($A221,Transpose!$A$1:$S$859,Cleaned!P$1)</f>
        <v>277</v>
      </c>
      <c r="Q221">
        <f>VLOOKUP($A221,Transpose!$A$1:$S$859,Cleaned!Q$1)</f>
        <v>23</v>
      </c>
      <c r="R221">
        <f>VLOOKUP($A221,Transpose!$A$1:$S$859,Cleaned!R$1)</f>
        <v>2</v>
      </c>
      <c r="S221">
        <f>VLOOKUP($A221,Transpose!$A$1:$S$859,Cleaned!S$1)</f>
        <v>181</v>
      </c>
    </row>
    <row r="222" spans="1:19" x14ac:dyDescent="0.25">
      <c r="A222" s="2">
        <f t="shared" si="4"/>
        <v>39539</v>
      </c>
      <c r="B222">
        <f>VLOOKUP($A222,Transpose!$A$1:$S$859,Cleaned!B$1)</f>
        <v>146132</v>
      </c>
      <c r="C222">
        <f>VLOOKUP($A222,Transpose!$A$1:$S$859,Cleaned!C$1)</f>
        <v>140262</v>
      </c>
      <c r="D222">
        <f>VLOOKUP($A222,Transpose!$A$1:$S$859,Cleaned!D$1)</f>
        <v>2122</v>
      </c>
      <c r="E222">
        <f>VLOOKUP($A222,Transpose!$A$1:$S$859,Cleaned!E$1)</f>
        <v>3695</v>
      </c>
      <c r="F222">
        <f>VLOOKUP($A222,Transpose!$A$1:$S$859,Cleaned!F$1)</f>
        <v>53</v>
      </c>
      <c r="G222">
        <f>VLOOKUP($A222,Transpose!$A$1:$S$859,Cleaned!G$1)</f>
        <v>7637</v>
      </c>
      <c r="H222">
        <f>VLOOKUP($A222,Transpose!$A$1:$S$859,Cleaned!H$1)</f>
        <v>1915</v>
      </c>
      <c r="I222">
        <f>VLOOKUP($A222,Transpose!$A$1:$S$859,Cleaned!I$1)</f>
        <v>3794</v>
      </c>
      <c r="J222">
        <f>VLOOKUP($A222,Transpose!$A$1:$S$859,Cleaned!J$1)</f>
        <v>1911</v>
      </c>
      <c r="K222">
        <f>VLOOKUP($A222,Transpose!$A$1:$S$859,Cleaned!K$1)</f>
        <v>17</v>
      </c>
      <c r="L222">
        <f>VLOOKUP($A222,Transpose!$A$1:$S$859,Cleaned!L$1)</f>
        <v>79429</v>
      </c>
      <c r="M222">
        <f>VLOOKUP($A222,Transpose!$A$1:$S$859,Cleaned!M$1)</f>
        <v>3886</v>
      </c>
      <c r="N222">
        <f>VLOOKUP($A222,Transpose!$A$1:$S$859,Cleaned!N$1)</f>
        <v>1905</v>
      </c>
      <c r="O222">
        <f>VLOOKUP($A222,Transpose!$A$1:$S$859,Cleaned!O$1)</f>
        <v>73299</v>
      </c>
      <c r="P222">
        <f>VLOOKUP($A222,Transpose!$A$1:$S$859,Cleaned!P$1)</f>
        <v>339</v>
      </c>
      <c r="Q222">
        <f>VLOOKUP($A222,Transpose!$A$1:$S$859,Cleaned!Q$1)</f>
        <v>23</v>
      </c>
      <c r="R222">
        <f>VLOOKUP($A222,Transpose!$A$1:$S$859,Cleaned!R$1)</f>
        <v>2</v>
      </c>
      <c r="S222">
        <f>VLOOKUP($A222,Transpose!$A$1:$S$859,Cleaned!S$1)</f>
        <v>182</v>
      </c>
    </row>
    <row r="223" spans="1:19" x14ac:dyDescent="0.25">
      <c r="A223" s="2">
        <f t="shared" si="4"/>
        <v>39569</v>
      </c>
      <c r="B223">
        <f>VLOOKUP($A223,Transpose!$A$1:$S$859,Cleaned!B$1)</f>
        <v>145908</v>
      </c>
      <c r="C223">
        <f>VLOOKUP($A223,Transpose!$A$1:$S$859,Cleaned!C$1)</f>
        <v>140237</v>
      </c>
      <c r="D223">
        <f>VLOOKUP($A223,Transpose!$A$1:$S$859,Cleaned!D$1)</f>
        <v>1900</v>
      </c>
      <c r="E223">
        <f>VLOOKUP($A223,Transpose!$A$1:$S$859,Cleaned!E$1)</f>
        <v>3715</v>
      </c>
      <c r="F223">
        <f>VLOOKUP($A223,Transpose!$A$1:$S$859,Cleaned!F$1)</f>
        <v>56</v>
      </c>
      <c r="G223">
        <f>VLOOKUP($A223,Transpose!$A$1:$S$859,Cleaned!G$1)</f>
        <v>8395</v>
      </c>
      <c r="H223">
        <f>VLOOKUP($A223,Transpose!$A$1:$S$859,Cleaned!H$1)</f>
        <v>2054</v>
      </c>
      <c r="I223">
        <f>VLOOKUP($A223,Transpose!$A$1:$S$859,Cleaned!I$1)</f>
        <v>4070</v>
      </c>
      <c r="J223">
        <f>VLOOKUP($A223,Transpose!$A$1:$S$859,Cleaned!J$1)</f>
        <v>2250</v>
      </c>
      <c r="K223">
        <f>VLOOKUP($A223,Transpose!$A$1:$S$859,Cleaned!K$1)</f>
        <v>21</v>
      </c>
      <c r="L223">
        <f>VLOOKUP($A223,Transpose!$A$1:$S$859,Cleaned!L$1)</f>
        <v>79102</v>
      </c>
      <c r="M223">
        <f>VLOOKUP($A223,Transpose!$A$1:$S$859,Cleaned!M$1)</f>
        <v>3819</v>
      </c>
      <c r="N223">
        <f>VLOOKUP($A223,Transpose!$A$1:$S$859,Cleaned!N$1)</f>
        <v>1666</v>
      </c>
      <c r="O223">
        <f>VLOOKUP($A223,Transpose!$A$1:$S$859,Cleaned!O$1)</f>
        <v>73281</v>
      </c>
      <c r="P223">
        <f>VLOOKUP($A223,Transpose!$A$1:$S$859,Cleaned!P$1)</f>
        <v>336</v>
      </c>
      <c r="Q223">
        <f>VLOOKUP($A223,Transpose!$A$1:$S$859,Cleaned!Q$1)</f>
        <v>23</v>
      </c>
      <c r="R223">
        <f>VLOOKUP($A223,Transpose!$A$1:$S$859,Cleaned!R$1)</f>
        <v>2</v>
      </c>
      <c r="S223">
        <f>VLOOKUP($A223,Transpose!$A$1:$S$859,Cleaned!S$1)</f>
        <v>182</v>
      </c>
    </row>
    <row r="224" spans="1:19" x14ac:dyDescent="0.25">
      <c r="A224" s="2">
        <f t="shared" si="4"/>
        <v>39600</v>
      </c>
      <c r="B224">
        <f>VLOOKUP($A224,Transpose!$A$1:$S$859,Cleaned!B$1)</f>
        <v>145737</v>
      </c>
      <c r="C224">
        <f>VLOOKUP($A224,Transpose!$A$1:$S$859,Cleaned!C$1)</f>
        <v>139857</v>
      </c>
      <c r="D224">
        <f>VLOOKUP($A224,Transpose!$A$1:$S$859,Cleaned!D$1)</f>
        <v>2016</v>
      </c>
      <c r="E224">
        <f>VLOOKUP($A224,Transpose!$A$1:$S$859,Cleaned!E$1)</f>
        <v>3765</v>
      </c>
      <c r="F224">
        <f>VLOOKUP($A224,Transpose!$A$1:$S$859,Cleaned!F$1)</f>
        <v>99</v>
      </c>
      <c r="G224">
        <f>VLOOKUP($A224,Transpose!$A$1:$S$859,Cleaned!G$1)</f>
        <v>8575</v>
      </c>
      <c r="H224">
        <f>VLOOKUP($A224,Transpose!$A$1:$S$859,Cleaned!H$1)</f>
        <v>1996</v>
      </c>
      <c r="I224">
        <f>VLOOKUP($A224,Transpose!$A$1:$S$859,Cleaned!I$1)</f>
        <v>4558</v>
      </c>
      <c r="J224">
        <f>VLOOKUP($A224,Transpose!$A$1:$S$859,Cleaned!J$1)</f>
        <v>2000</v>
      </c>
      <c r="K224">
        <f>VLOOKUP($A224,Transpose!$A$1:$S$859,Cleaned!K$1)</f>
        <v>21</v>
      </c>
      <c r="L224">
        <f>VLOOKUP($A224,Transpose!$A$1:$S$859,Cleaned!L$1)</f>
        <v>79314</v>
      </c>
      <c r="M224">
        <f>VLOOKUP($A224,Transpose!$A$1:$S$859,Cleaned!M$1)</f>
        <v>4031</v>
      </c>
      <c r="N224">
        <f>VLOOKUP($A224,Transpose!$A$1:$S$859,Cleaned!N$1)</f>
        <v>1819</v>
      </c>
      <c r="O224">
        <f>VLOOKUP($A224,Transpose!$A$1:$S$859,Cleaned!O$1)</f>
        <v>73156</v>
      </c>
      <c r="P224">
        <f>VLOOKUP($A224,Transpose!$A$1:$S$859,Cleaned!P$1)</f>
        <v>308</v>
      </c>
      <c r="Q224">
        <f>VLOOKUP($A224,Transpose!$A$1:$S$859,Cleaned!Q$1)</f>
        <v>23</v>
      </c>
      <c r="R224">
        <f>VLOOKUP($A224,Transpose!$A$1:$S$859,Cleaned!R$1)</f>
        <v>2</v>
      </c>
      <c r="S224">
        <f>VLOOKUP($A224,Transpose!$A$1:$S$859,Cleaned!S$1)</f>
        <v>182</v>
      </c>
    </row>
    <row r="225" spans="1:19" x14ac:dyDescent="0.25">
      <c r="A225" s="2">
        <f t="shared" si="4"/>
        <v>39630</v>
      </c>
      <c r="B225">
        <f>VLOOKUP($A225,Transpose!$A$1:$S$859,Cleaned!B$1)</f>
        <v>145532</v>
      </c>
      <c r="C225">
        <f>VLOOKUP($A225,Transpose!$A$1:$S$859,Cleaned!C$1)</f>
        <v>139696</v>
      </c>
      <c r="D225">
        <f>VLOOKUP($A225,Transpose!$A$1:$S$859,Cleaned!D$1)</f>
        <v>2052</v>
      </c>
      <c r="E225">
        <f>VLOOKUP($A225,Transpose!$A$1:$S$859,Cleaned!E$1)</f>
        <v>3733</v>
      </c>
      <c r="F225">
        <f>VLOOKUP($A225,Transpose!$A$1:$S$859,Cleaned!F$1)</f>
        <v>50</v>
      </c>
      <c r="G225">
        <f>VLOOKUP($A225,Transpose!$A$1:$S$859,Cleaned!G$1)</f>
        <v>8937</v>
      </c>
      <c r="H225">
        <f>VLOOKUP($A225,Transpose!$A$1:$S$859,Cleaned!H$1)</f>
        <v>1967</v>
      </c>
      <c r="I225">
        <f>VLOOKUP($A225,Transpose!$A$1:$S$859,Cleaned!I$1)</f>
        <v>4781</v>
      </c>
      <c r="J225">
        <f>VLOOKUP($A225,Transpose!$A$1:$S$859,Cleaned!J$1)</f>
        <v>2153</v>
      </c>
      <c r="K225">
        <f>VLOOKUP($A225,Transpose!$A$1:$S$859,Cleaned!K$1)</f>
        <v>35</v>
      </c>
      <c r="L225">
        <f>VLOOKUP($A225,Transpose!$A$1:$S$859,Cleaned!L$1)</f>
        <v>79395</v>
      </c>
      <c r="M225">
        <f>VLOOKUP($A225,Transpose!$A$1:$S$859,Cleaned!M$1)</f>
        <v>3974</v>
      </c>
      <c r="N225">
        <f>VLOOKUP($A225,Transpose!$A$1:$S$859,Cleaned!N$1)</f>
        <v>1736</v>
      </c>
      <c r="O225">
        <f>VLOOKUP($A225,Transpose!$A$1:$S$859,Cleaned!O$1)</f>
        <v>73204</v>
      </c>
      <c r="P225">
        <f>VLOOKUP($A225,Transpose!$A$1:$S$859,Cleaned!P$1)</f>
        <v>481</v>
      </c>
      <c r="Q225">
        <f>VLOOKUP($A225,Transpose!$A$1:$S$859,Cleaned!Q$1)</f>
        <v>100</v>
      </c>
      <c r="R225">
        <f>VLOOKUP($A225,Transpose!$A$1:$S$859,Cleaned!R$1)</f>
        <v>6</v>
      </c>
      <c r="S225">
        <f>VLOOKUP($A225,Transpose!$A$1:$S$859,Cleaned!S$1)</f>
        <v>224</v>
      </c>
    </row>
    <row r="226" spans="1:19" x14ac:dyDescent="0.25">
      <c r="A226" s="2">
        <f t="shared" si="4"/>
        <v>39661</v>
      </c>
      <c r="B226">
        <f>VLOOKUP($A226,Transpose!$A$1:$S$859,Cleaned!B$1)</f>
        <v>145203</v>
      </c>
      <c r="C226">
        <f>VLOOKUP($A226,Transpose!$A$1:$S$859,Cleaned!C$1)</f>
        <v>139465</v>
      </c>
      <c r="D226">
        <f>VLOOKUP($A226,Transpose!$A$1:$S$859,Cleaned!D$1)</f>
        <v>2087</v>
      </c>
      <c r="E226">
        <f>VLOOKUP($A226,Transpose!$A$1:$S$859,Cleaned!E$1)</f>
        <v>3564</v>
      </c>
      <c r="F226">
        <f>VLOOKUP($A226,Transpose!$A$1:$S$859,Cleaned!F$1)</f>
        <v>87</v>
      </c>
      <c r="G226">
        <f>VLOOKUP($A226,Transpose!$A$1:$S$859,Cleaned!G$1)</f>
        <v>9438</v>
      </c>
      <c r="H226">
        <f>VLOOKUP($A226,Transpose!$A$1:$S$859,Cleaned!H$1)</f>
        <v>2288</v>
      </c>
      <c r="I226">
        <f>VLOOKUP($A226,Transpose!$A$1:$S$859,Cleaned!I$1)</f>
        <v>4930</v>
      </c>
      <c r="J226">
        <f>VLOOKUP($A226,Transpose!$A$1:$S$859,Cleaned!J$1)</f>
        <v>2189</v>
      </c>
      <c r="K226">
        <f>VLOOKUP($A226,Transpose!$A$1:$S$859,Cleaned!K$1)</f>
        <v>30</v>
      </c>
      <c r="L226">
        <f>VLOOKUP($A226,Transpose!$A$1:$S$859,Cleaned!L$1)</f>
        <v>79466</v>
      </c>
      <c r="M226">
        <f>VLOOKUP($A226,Transpose!$A$1:$S$859,Cleaned!M$1)</f>
        <v>3756</v>
      </c>
      <c r="N226">
        <f>VLOOKUP($A226,Transpose!$A$1:$S$859,Cleaned!N$1)</f>
        <v>1919</v>
      </c>
      <c r="O226">
        <f>VLOOKUP($A226,Transpose!$A$1:$S$859,Cleaned!O$1)</f>
        <v>73459</v>
      </c>
      <c r="P226">
        <f>VLOOKUP($A226,Transpose!$A$1:$S$859,Cleaned!P$1)</f>
        <v>332</v>
      </c>
      <c r="Q226">
        <f>VLOOKUP($A226,Transpose!$A$1:$S$859,Cleaned!Q$1)</f>
        <v>23</v>
      </c>
      <c r="R226">
        <f>VLOOKUP($A226,Transpose!$A$1:$S$859,Cleaned!R$1)</f>
        <v>2</v>
      </c>
      <c r="S226">
        <f>VLOOKUP($A226,Transpose!$A$1:$S$859,Cleaned!S$1)</f>
        <v>182</v>
      </c>
    </row>
    <row r="227" spans="1:19" x14ac:dyDescent="0.25">
      <c r="A227" s="2">
        <f t="shared" si="4"/>
        <v>39692</v>
      </c>
      <c r="B227">
        <f>VLOOKUP($A227,Transpose!$A$1:$S$859,Cleaned!B$1)</f>
        <v>145076</v>
      </c>
      <c r="C227">
        <f>VLOOKUP($A227,Transpose!$A$1:$S$859,Cleaned!C$1)</f>
        <v>139097</v>
      </c>
      <c r="D227">
        <f>VLOOKUP($A227,Transpose!$A$1:$S$859,Cleaned!D$1)</f>
        <v>2293</v>
      </c>
      <c r="E227">
        <f>VLOOKUP($A227,Transpose!$A$1:$S$859,Cleaned!E$1)</f>
        <v>3608</v>
      </c>
      <c r="F227">
        <f>VLOOKUP($A227,Transpose!$A$1:$S$859,Cleaned!F$1)</f>
        <v>79</v>
      </c>
      <c r="G227">
        <f>VLOOKUP($A227,Transpose!$A$1:$S$859,Cleaned!G$1)</f>
        <v>9494</v>
      </c>
      <c r="H227">
        <f>VLOOKUP($A227,Transpose!$A$1:$S$859,Cleaned!H$1)</f>
        <v>2140</v>
      </c>
      <c r="I227">
        <f>VLOOKUP($A227,Transpose!$A$1:$S$859,Cleaned!I$1)</f>
        <v>5052</v>
      </c>
      <c r="J227">
        <f>VLOOKUP($A227,Transpose!$A$1:$S$859,Cleaned!J$1)</f>
        <v>2281</v>
      </c>
      <c r="K227">
        <f>VLOOKUP($A227,Transpose!$A$1:$S$859,Cleaned!K$1)</f>
        <v>20</v>
      </c>
      <c r="L227">
        <f>VLOOKUP($A227,Transpose!$A$1:$S$859,Cleaned!L$1)</f>
        <v>79790</v>
      </c>
      <c r="M227">
        <f>VLOOKUP($A227,Transpose!$A$1:$S$859,Cleaned!M$1)</f>
        <v>3944</v>
      </c>
      <c r="N227">
        <f>VLOOKUP($A227,Transpose!$A$1:$S$859,Cleaned!N$1)</f>
        <v>2091</v>
      </c>
      <c r="O227">
        <f>VLOOKUP($A227,Transpose!$A$1:$S$859,Cleaned!O$1)</f>
        <v>73394</v>
      </c>
      <c r="P227">
        <f>VLOOKUP($A227,Transpose!$A$1:$S$859,Cleaned!P$1)</f>
        <v>361</v>
      </c>
      <c r="Q227">
        <f>VLOOKUP($A227,Transpose!$A$1:$S$859,Cleaned!Q$1)</f>
        <v>23</v>
      </c>
      <c r="R227">
        <f>VLOOKUP($A227,Transpose!$A$1:$S$859,Cleaned!R$1)</f>
        <v>2</v>
      </c>
      <c r="S227">
        <f>VLOOKUP($A227,Transpose!$A$1:$S$859,Cleaned!S$1)</f>
        <v>182</v>
      </c>
    </row>
    <row r="228" spans="1:19" x14ac:dyDescent="0.25">
      <c r="A228" s="2">
        <f t="shared" si="4"/>
        <v>39722</v>
      </c>
      <c r="B228">
        <f>VLOOKUP($A228,Transpose!$A$1:$S$859,Cleaned!B$1)</f>
        <v>144802</v>
      </c>
      <c r="C228">
        <f>VLOOKUP($A228,Transpose!$A$1:$S$859,Cleaned!C$1)</f>
        <v>139089</v>
      </c>
      <c r="D228">
        <f>VLOOKUP($A228,Transpose!$A$1:$S$859,Cleaned!D$1)</f>
        <v>2139</v>
      </c>
      <c r="E228">
        <f>VLOOKUP($A228,Transpose!$A$1:$S$859,Cleaned!E$1)</f>
        <v>3517</v>
      </c>
      <c r="F228">
        <f>VLOOKUP($A228,Transpose!$A$1:$S$859,Cleaned!F$1)</f>
        <v>58</v>
      </c>
      <c r="G228">
        <f>VLOOKUP($A228,Transpose!$A$1:$S$859,Cleaned!G$1)</f>
        <v>10074</v>
      </c>
      <c r="H228">
        <f>VLOOKUP($A228,Transpose!$A$1:$S$859,Cleaned!H$1)</f>
        <v>2259</v>
      </c>
      <c r="I228">
        <f>VLOOKUP($A228,Transpose!$A$1:$S$859,Cleaned!I$1)</f>
        <v>5355</v>
      </c>
      <c r="J228">
        <f>VLOOKUP($A228,Transpose!$A$1:$S$859,Cleaned!J$1)</f>
        <v>2422</v>
      </c>
      <c r="K228">
        <f>VLOOKUP($A228,Transpose!$A$1:$S$859,Cleaned!K$1)</f>
        <v>38</v>
      </c>
      <c r="L228">
        <f>VLOOKUP($A228,Transpose!$A$1:$S$859,Cleaned!L$1)</f>
        <v>79736</v>
      </c>
      <c r="M228">
        <f>VLOOKUP($A228,Transpose!$A$1:$S$859,Cleaned!M$1)</f>
        <v>3701</v>
      </c>
      <c r="N228">
        <f>VLOOKUP($A228,Transpose!$A$1:$S$859,Cleaned!N$1)</f>
        <v>1998</v>
      </c>
      <c r="O228">
        <f>VLOOKUP($A228,Transpose!$A$1:$S$859,Cleaned!O$1)</f>
        <v>73666</v>
      </c>
      <c r="P228">
        <f>VLOOKUP($A228,Transpose!$A$1:$S$859,Cleaned!P$1)</f>
        <v>372</v>
      </c>
      <c r="Q228">
        <f>VLOOKUP($A228,Transpose!$A$1:$S$859,Cleaned!Q$1)</f>
        <v>27</v>
      </c>
      <c r="R228">
        <f>VLOOKUP($A228,Transpose!$A$1:$S$859,Cleaned!R$1)</f>
        <v>2</v>
      </c>
      <c r="S228">
        <f>VLOOKUP($A228,Transpose!$A$1:$S$859,Cleaned!S$1)</f>
        <v>186</v>
      </c>
    </row>
    <row r="229" spans="1:19" x14ac:dyDescent="0.25">
      <c r="A229" s="2">
        <f t="shared" si="4"/>
        <v>39753</v>
      </c>
      <c r="B229">
        <f>VLOOKUP($A229,Transpose!$A$1:$S$859,Cleaned!B$1)</f>
        <v>144100</v>
      </c>
      <c r="C229">
        <f>VLOOKUP($A229,Transpose!$A$1:$S$859,Cleaned!C$1)</f>
        <v>138406</v>
      </c>
      <c r="D229">
        <f>VLOOKUP($A229,Transpose!$A$1:$S$859,Cleaned!D$1)</f>
        <v>2098</v>
      </c>
      <c r="E229">
        <f>VLOOKUP($A229,Transpose!$A$1:$S$859,Cleaned!E$1)</f>
        <v>3481</v>
      </c>
      <c r="F229">
        <f>VLOOKUP($A229,Transpose!$A$1:$S$859,Cleaned!F$1)</f>
        <v>117</v>
      </c>
      <c r="G229">
        <f>VLOOKUP($A229,Transpose!$A$1:$S$859,Cleaned!G$1)</f>
        <v>10538</v>
      </c>
      <c r="H229">
        <f>VLOOKUP($A229,Transpose!$A$1:$S$859,Cleaned!H$1)</f>
        <v>2506</v>
      </c>
      <c r="I229">
        <f>VLOOKUP($A229,Transpose!$A$1:$S$859,Cleaned!I$1)</f>
        <v>5885</v>
      </c>
      <c r="J229">
        <f>VLOOKUP($A229,Transpose!$A$1:$S$859,Cleaned!J$1)</f>
        <v>2125</v>
      </c>
      <c r="K229">
        <f>VLOOKUP($A229,Transpose!$A$1:$S$859,Cleaned!K$1)</f>
        <v>22</v>
      </c>
      <c r="L229">
        <f>VLOOKUP($A229,Transpose!$A$1:$S$859,Cleaned!L$1)</f>
        <v>80189</v>
      </c>
      <c r="M229">
        <f>VLOOKUP($A229,Transpose!$A$1:$S$859,Cleaned!M$1)</f>
        <v>3867</v>
      </c>
      <c r="N229">
        <f>VLOOKUP($A229,Transpose!$A$1:$S$859,Cleaned!N$1)</f>
        <v>2090</v>
      </c>
      <c r="O229">
        <f>VLOOKUP($A229,Transpose!$A$1:$S$859,Cleaned!O$1)</f>
        <v>73948</v>
      </c>
      <c r="P229">
        <f>VLOOKUP($A229,Transpose!$A$1:$S$859,Cleaned!P$1)</f>
        <v>283</v>
      </c>
      <c r="Q229">
        <f>VLOOKUP($A229,Transpose!$A$1:$S$859,Cleaned!Q$1)</f>
        <v>23</v>
      </c>
      <c r="R229">
        <f>VLOOKUP($A229,Transpose!$A$1:$S$859,Cleaned!R$1)</f>
        <v>2</v>
      </c>
      <c r="S229">
        <f>VLOOKUP($A229,Transpose!$A$1:$S$859,Cleaned!S$1)</f>
        <v>183</v>
      </c>
    </row>
    <row r="230" spans="1:19" x14ac:dyDescent="0.25">
      <c r="A230" s="2">
        <f t="shared" si="4"/>
        <v>39783</v>
      </c>
      <c r="B230">
        <f>VLOOKUP($A230,Transpose!$A$1:$S$859,Cleaned!B$1)</f>
        <v>143369</v>
      </c>
      <c r="C230">
        <f>VLOOKUP($A230,Transpose!$A$1:$S$859,Cleaned!C$1)</f>
        <v>137761</v>
      </c>
      <c r="D230">
        <f>VLOOKUP($A230,Transpose!$A$1:$S$859,Cleaned!D$1)</f>
        <v>2080</v>
      </c>
      <c r="E230">
        <f>VLOOKUP($A230,Transpose!$A$1:$S$859,Cleaned!E$1)</f>
        <v>3441</v>
      </c>
      <c r="F230">
        <f>VLOOKUP($A230,Transpose!$A$1:$S$859,Cleaned!F$1)</f>
        <v>87</v>
      </c>
      <c r="G230">
        <f>VLOOKUP($A230,Transpose!$A$1:$S$859,Cleaned!G$1)</f>
        <v>11286</v>
      </c>
      <c r="H230">
        <f>VLOOKUP($A230,Transpose!$A$1:$S$859,Cleaned!H$1)</f>
        <v>2519</v>
      </c>
      <c r="I230">
        <f>VLOOKUP($A230,Transpose!$A$1:$S$859,Cleaned!I$1)</f>
        <v>6217</v>
      </c>
      <c r="J230">
        <f>VLOOKUP($A230,Transpose!$A$1:$S$859,Cleaned!J$1)</f>
        <v>2515</v>
      </c>
      <c r="K230">
        <f>VLOOKUP($A230,Transpose!$A$1:$S$859,Cleaned!K$1)</f>
        <v>36</v>
      </c>
      <c r="L230">
        <f>VLOOKUP($A230,Transpose!$A$1:$S$859,Cleaned!L$1)</f>
        <v>80380</v>
      </c>
      <c r="M230">
        <f>VLOOKUP($A230,Transpose!$A$1:$S$859,Cleaned!M$1)</f>
        <v>3797</v>
      </c>
      <c r="N230">
        <f>VLOOKUP($A230,Transpose!$A$1:$S$859,Cleaned!N$1)</f>
        <v>2240</v>
      </c>
      <c r="O230">
        <f>VLOOKUP($A230,Transpose!$A$1:$S$859,Cleaned!O$1)</f>
        <v>74051</v>
      </c>
      <c r="P230">
        <f>VLOOKUP($A230,Transpose!$A$1:$S$859,Cleaned!P$1)</f>
        <v>292</v>
      </c>
      <c r="Q230">
        <f>VLOOKUP($A230,Transpose!$A$1:$S$859,Cleaned!Q$1)</f>
        <v>23</v>
      </c>
      <c r="R230">
        <f>VLOOKUP($A230,Transpose!$A$1:$S$859,Cleaned!R$1)</f>
        <v>2</v>
      </c>
      <c r="S230">
        <f>VLOOKUP($A230,Transpose!$A$1:$S$859,Cleaned!S$1)</f>
        <v>183</v>
      </c>
    </row>
    <row r="231" spans="1:19" x14ac:dyDescent="0.25">
      <c r="A231" s="2">
        <f t="shared" si="4"/>
        <v>39814</v>
      </c>
      <c r="B231">
        <f>VLOOKUP($A231,Transpose!$A$1:$S$859,Cleaned!B$1)</f>
        <v>142153</v>
      </c>
      <c r="C231">
        <f>VLOOKUP($A231,Transpose!$A$1:$S$859,Cleaned!C$1)</f>
        <v>136270</v>
      </c>
      <c r="D231">
        <f>VLOOKUP($A231,Transpose!$A$1:$S$859,Cleaned!D$1)</f>
        <v>2235</v>
      </c>
      <c r="E231">
        <f>VLOOKUP($A231,Transpose!$A$1:$S$859,Cleaned!E$1)</f>
        <v>3637</v>
      </c>
      <c r="F231">
        <f>VLOOKUP($A231,Transpose!$A$1:$S$859,Cleaned!F$1)</f>
        <v>12</v>
      </c>
      <c r="G231">
        <f>VLOOKUP($A231,Transpose!$A$1:$S$859,Cleaned!G$1)</f>
        <v>12079</v>
      </c>
      <c r="H231">
        <f>VLOOKUP($A231,Transpose!$A$1:$S$859,Cleaned!H$1)</f>
        <v>2764</v>
      </c>
      <c r="I231">
        <f>VLOOKUP($A231,Transpose!$A$1:$S$859,Cleaned!I$1)</f>
        <v>6796</v>
      </c>
      <c r="J231">
        <f>VLOOKUP($A231,Transpose!$A$1:$S$859,Cleaned!J$1)</f>
        <v>2507</v>
      </c>
      <c r="K231">
        <f>VLOOKUP($A231,Transpose!$A$1:$S$859,Cleaned!K$1)</f>
        <v>12</v>
      </c>
      <c r="L231">
        <f>VLOOKUP($A231,Transpose!$A$1:$S$859,Cleaned!L$1)</f>
        <v>80507</v>
      </c>
      <c r="M231">
        <f>VLOOKUP($A231,Transpose!$A$1:$S$859,Cleaned!M$1)</f>
        <v>4031</v>
      </c>
      <c r="N231">
        <f>VLOOKUP($A231,Transpose!$A$1:$S$859,Cleaned!N$1)</f>
        <v>2230</v>
      </c>
      <c r="O231">
        <f>VLOOKUP($A231,Transpose!$A$1:$S$859,Cleaned!O$1)</f>
        <v>73907</v>
      </c>
      <c r="P231">
        <f>VLOOKUP($A231,Transpose!$A$1:$S$859,Cleaned!P$1)</f>
        <v>338</v>
      </c>
      <c r="Q231">
        <f>VLOOKUP($A231,Transpose!$A$1:$S$859,Cleaned!Q$1)</f>
        <v>305</v>
      </c>
      <c r="R231">
        <f>VLOOKUP($A231,Transpose!$A$1:$S$859,Cleaned!R$1)</f>
        <v>24</v>
      </c>
      <c r="S231">
        <f>VLOOKUP($A231,Transpose!$A$1:$S$859,Cleaned!S$1)</f>
        <v>328</v>
      </c>
    </row>
    <row r="232" spans="1:19" x14ac:dyDescent="0.25">
      <c r="A232" s="2">
        <f t="shared" si="4"/>
        <v>39845</v>
      </c>
      <c r="B232">
        <f>VLOOKUP($A232,Transpose!$A$1:$S$859,Cleaned!B$1)</f>
        <v>141644</v>
      </c>
      <c r="C232">
        <f>VLOOKUP($A232,Transpose!$A$1:$S$859,Cleaned!C$1)</f>
        <v>135729</v>
      </c>
      <c r="D232">
        <f>VLOOKUP($A232,Transpose!$A$1:$S$859,Cleaned!D$1)</f>
        <v>2299</v>
      </c>
      <c r="E232">
        <f>VLOOKUP($A232,Transpose!$A$1:$S$859,Cleaned!E$1)</f>
        <v>3525</v>
      </c>
      <c r="F232">
        <f>VLOOKUP($A232,Transpose!$A$1:$S$859,Cleaned!F$1)</f>
        <v>91</v>
      </c>
      <c r="G232">
        <f>VLOOKUP($A232,Transpose!$A$1:$S$859,Cleaned!G$1)</f>
        <v>12881</v>
      </c>
      <c r="H232">
        <f>VLOOKUP($A232,Transpose!$A$1:$S$859,Cleaned!H$1)</f>
        <v>2827</v>
      </c>
      <c r="I232">
        <f>VLOOKUP($A232,Transpose!$A$1:$S$859,Cleaned!I$1)</f>
        <v>7455</v>
      </c>
      <c r="J232">
        <f>VLOOKUP($A232,Transpose!$A$1:$S$859,Cleaned!J$1)</f>
        <v>2577</v>
      </c>
      <c r="K232">
        <f>VLOOKUP($A232,Transpose!$A$1:$S$859,Cleaned!K$1)</f>
        <v>21</v>
      </c>
      <c r="L232">
        <f>VLOOKUP($A232,Transpose!$A$1:$S$859,Cleaned!L$1)</f>
        <v>80387</v>
      </c>
      <c r="M232">
        <f>VLOOKUP($A232,Transpose!$A$1:$S$859,Cleaned!M$1)</f>
        <v>3574</v>
      </c>
      <c r="N232">
        <f>VLOOKUP($A232,Transpose!$A$1:$S$859,Cleaned!N$1)</f>
        <v>2323</v>
      </c>
      <c r="O232">
        <f>VLOOKUP($A232,Transpose!$A$1:$S$859,Cleaned!O$1)</f>
        <v>74222</v>
      </c>
      <c r="P232">
        <f>VLOOKUP($A232,Transpose!$A$1:$S$859,Cleaned!P$1)</f>
        <v>269</v>
      </c>
      <c r="Q232">
        <f>VLOOKUP($A232,Transpose!$A$1:$S$859,Cleaned!Q$1)</f>
        <v>23</v>
      </c>
      <c r="R232">
        <f>VLOOKUP($A232,Transpose!$A$1:$S$859,Cleaned!R$1)</f>
        <v>2</v>
      </c>
      <c r="S232">
        <f>VLOOKUP($A232,Transpose!$A$1:$S$859,Cleaned!S$1)</f>
        <v>183</v>
      </c>
    </row>
    <row r="233" spans="1:19" x14ac:dyDescent="0.25">
      <c r="A233" s="2">
        <f t="shared" si="4"/>
        <v>39873</v>
      </c>
      <c r="B233">
        <f>VLOOKUP($A233,Transpose!$A$1:$S$859,Cleaned!B$1)</f>
        <v>140721</v>
      </c>
      <c r="C233">
        <f>VLOOKUP($A233,Transpose!$A$1:$S$859,Cleaned!C$1)</f>
        <v>135187</v>
      </c>
      <c r="D233">
        <f>VLOOKUP($A233,Transpose!$A$1:$S$859,Cleaned!D$1)</f>
        <v>2212</v>
      </c>
      <c r="E233">
        <f>VLOOKUP($A233,Transpose!$A$1:$S$859,Cleaned!E$1)</f>
        <v>3294</v>
      </c>
      <c r="F233">
        <f>VLOOKUP($A233,Transpose!$A$1:$S$859,Cleaned!F$1)</f>
        <v>28</v>
      </c>
      <c r="G233">
        <f>VLOOKUP($A233,Transpose!$A$1:$S$859,Cleaned!G$1)</f>
        <v>13421</v>
      </c>
      <c r="H233">
        <f>VLOOKUP($A233,Transpose!$A$1:$S$859,Cleaned!H$1)</f>
        <v>2651</v>
      </c>
      <c r="I233">
        <f>VLOOKUP($A233,Transpose!$A$1:$S$859,Cleaned!I$1)</f>
        <v>8178</v>
      </c>
      <c r="J233">
        <f>VLOOKUP($A233,Transpose!$A$1:$S$859,Cleaned!J$1)</f>
        <v>2570</v>
      </c>
      <c r="K233">
        <f>VLOOKUP($A233,Transpose!$A$1:$S$859,Cleaned!K$1)</f>
        <v>22</v>
      </c>
      <c r="L233">
        <f>VLOOKUP($A233,Transpose!$A$1:$S$859,Cleaned!L$1)</f>
        <v>80944</v>
      </c>
      <c r="M233">
        <f>VLOOKUP($A233,Transpose!$A$1:$S$859,Cleaned!M$1)</f>
        <v>3784</v>
      </c>
      <c r="N233">
        <f>VLOOKUP($A233,Transpose!$A$1:$S$859,Cleaned!N$1)</f>
        <v>2490</v>
      </c>
      <c r="O233">
        <f>VLOOKUP($A233,Transpose!$A$1:$S$859,Cleaned!O$1)</f>
        <v>74340</v>
      </c>
      <c r="P233">
        <f>VLOOKUP($A233,Transpose!$A$1:$S$859,Cleaned!P$1)</f>
        <v>330</v>
      </c>
      <c r="Q233">
        <f>VLOOKUP($A233,Transpose!$A$1:$S$859,Cleaned!Q$1)</f>
        <v>23</v>
      </c>
      <c r="R233">
        <f>VLOOKUP($A233,Transpose!$A$1:$S$859,Cleaned!R$1)</f>
        <v>2</v>
      </c>
      <c r="S233">
        <f>VLOOKUP($A233,Transpose!$A$1:$S$859,Cleaned!S$1)</f>
        <v>183</v>
      </c>
    </row>
    <row r="234" spans="1:19" x14ac:dyDescent="0.25">
      <c r="A234" s="2">
        <f t="shared" si="4"/>
        <v>39904</v>
      </c>
      <c r="B234">
        <f>VLOOKUP($A234,Transpose!$A$1:$S$859,Cleaned!B$1)</f>
        <v>140652</v>
      </c>
      <c r="C234">
        <f>VLOOKUP($A234,Transpose!$A$1:$S$859,Cleaned!C$1)</f>
        <v>134538</v>
      </c>
      <c r="D234">
        <f>VLOOKUP($A234,Transpose!$A$1:$S$859,Cleaned!D$1)</f>
        <v>2496</v>
      </c>
      <c r="E234">
        <f>VLOOKUP($A234,Transpose!$A$1:$S$859,Cleaned!E$1)</f>
        <v>3571</v>
      </c>
      <c r="F234">
        <f>VLOOKUP($A234,Transpose!$A$1:$S$859,Cleaned!F$1)</f>
        <v>47</v>
      </c>
      <c r="G234">
        <f>VLOOKUP($A234,Transpose!$A$1:$S$859,Cleaned!G$1)</f>
        <v>13826</v>
      </c>
      <c r="H234">
        <f>VLOOKUP($A234,Transpose!$A$1:$S$859,Cleaned!H$1)</f>
        <v>2483</v>
      </c>
      <c r="I234">
        <f>VLOOKUP($A234,Transpose!$A$1:$S$859,Cleaned!I$1)</f>
        <v>8501</v>
      </c>
      <c r="J234">
        <f>VLOOKUP($A234,Transpose!$A$1:$S$859,Cleaned!J$1)</f>
        <v>2814</v>
      </c>
      <c r="K234">
        <f>VLOOKUP($A234,Transpose!$A$1:$S$859,Cleaned!K$1)</f>
        <v>28</v>
      </c>
      <c r="L234">
        <f>VLOOKUP($A234,Transpose!$A$1:$S$859,Cleaned!L$1)</f>
        <v>80793</v>
      </c>
      <c r="M234">
        <f>VLOOKUP($A234,Transpose!$A$1:$S$859,Cleaned!M$1)</f>
        <v>3676</v>
      </c>
      <c r="N234">
        <f>VLOOKUP($A234,Transpose!$A$1:$S$859,Cleaned!N$1)</f>
        <v>2423</v>
      </c>
      <c r="O234">
        <f>VLOOKUP($A234,Transpose!$A$1:$S$859,Cleaned!O$1)</f>
        <v>74375</v>
      </c>
      <c r="P234">
        <f>VLOOKUP($A234,Transpose!$A$1:$S$859,Cleaned!P$1)</f>
        <v>318</v>
      </c>
      <c r="Q234">
        <f>VLOOKUP($A234,Transpose!$A$1:$S$859,Cleaned!Q$1)</f>
        <v>23</v>
      </c>
      <c r="R234">
        <f>VLOOKUP($A234,Transpose!$A$1:$S$859,Cleaned!R$1)</f>
        <v>2</v>
      </c>
      <c r="S234">
        <f>VLOOKUP($A234,Transpose!$A$1:$S$859,Cleaned!S$1)</f>
        <v>183</v>
      </c>
    </row>
    <row r="235" spans="1:19" x14ac:dyDescent="0.25">
      <c r="A235" s="2">
        <f t="shared" si="4"/>
        <v>39934</v>
      </c>
      <c r="B235">
        <f>VLOOKUP($A235,Transpose!$A$1:$S$859,Cleaned!B$1)</f>
        <v>140250</v>
      </c>
      <c r="C235">
        <f>VLOOKUP($A235,Transpose!$A$1:$S$859,Cleaned!C$1)</f>
        <v>134507</v>
      </c>
      <c r="D235">
        <f>VLOOKUP($A235,Transpose!$A$1:$S$859,Cleaned!D$1)</f>
        <v>2251</v>
      </c>
      <c r="E235">
        <f>VLOOKUP($A235,Transpose!$A$1:$S$859,Cleaned!E$1)</f>
        <v>3412</v>
      </c>
      <c r="F235">
        <f>VLOOKUP($A235,Transpose!$A$1:$S$859,Cleaned!F$1)</f>
        <v>80</v>
      </c>
      <c r="G235">
        <f>VLOOKUP($A235,Transpose!$A$1:$S$859,Cleaned!G$1)</f>
        <v>14492</v>
      </c>
      <c r="H235">
        <f>VLOOKUP($A235,Transpose!$A$1:$S$859,Cleaned!H$1)</f>
        <v>2650</v>
      </c>
      <c r="I235">
        <f>VLOOKUP($A235,Transpose!$A$1:$S$859,Cleaned!I$1)</f>
        <v>8984</v>
      </c>
      <c r="J235">
        <f>VLOOKUP($A235,Transpose!$A$1:$S$859,Cleaned!J$1)</f>
        <v>2837</v>
      </c>
      <c r="K235">
        <f>VLOOKUP($A235,Transpose!$A$1:$S$859,Cleaned!K$1)</f>
        <v>21</v>
      </c>
      <c r="L235">
        <f>VLOOKUP($A235,Transpose!$A$1:$S$859,Cleaned!L$1)</f>
        <v>80710</v>
      </c>
      <c r="M235">
        <f>VLOOKUP($A235,Transpose!$A$1:$S$859,Cleaned!M$1)</f>
        <v>3472</v>
      </c>
      <c r="N235">
        <f>VLOOKUP($A235,Transpose!$A$1:$S$859,Cleaned!N$1)</f>
        <v>2590</v>
      </c>
      <c r="O235">
        <f>VLOOKUP($A235,Transpose!$A$1:$S$859,Cleaned!O$1)</f>
        <v>74361</v>
      </c>
      <c r="P235">
        <f>VLOOKUP($A235,Transpose!$A$1:$S$859,Cleaned!P$1)</f>
        <v>287</v>
      </c>
      <c r="Q235">
        <f>VLOOKUP($A235,Transpose!$A$1:$S$859,Cleaned!Q$1)</f>
        <v>23</v>
      </c>
      <c r="R235">
        <f>VLOOKUP($A235,Transpose!$A$1:$S$859,Cleaned!R$1)</f>
        <v>2</v>
      </c>
      <c r="S235">
        <f>VLOOKUP($A235,Transpose!$A$1:$S$859,Cleaned!S$1)</f>
        <v>183</v>
      </c>
    </row>
    <row r="236" spans="1:19" x14ac:dyDescent="0.25">
      <c r="A236" s="2">
        <f t="shared" si="4"/>
        <v>39965</v>
      </c>
      <c r="B236">
        <f>VLOOKUP($A236,Transpose!$A$1:$S$859,Cleaned!B$1)</f>
        <v>140005</v>
      </c>
      <c r="C236">
        <f>VLOOKUP($A236,Transpose!$A$1:$S$859,Cleaned!C$1)</f>
        <v>134041</v>
      </c>
      <c r="D236">
        <f>VLOOKUP($A236,Transpose!$A$1:$S$859,Cleaned!D$1)</f>
        <v>2622</v>
      </c>
      <c r="E236">
        <f>VLOOKUP($A236,Transpose!$A$1:$S$859,Cleaned!E$1)</f>
        <v>3281</v>
      </c>
      <c r="F236">
        <f>VLOOKUP($A236,Transpose!$A$1:$S$859,Cleaned!F$1)</f>
        <v>62</v>
      </c>
      <c r="G236">
        <f>VLOOKUP($A236,Transpose!$A$1:$S$859,Cleaned!G$1)</f>
        <v>14705</v>
      </c>
      <c r="H236">
        <f>VLOOKUP($A236,Transpose!$A$1:$S$859,Cleaned!H$1)</f>
        <v>2558</v>
      </c>
      <c r="I236">
        <f>VLOOKUP($A236,Transpose!$A$1:$S$859,Cleaned!I$1)</f>
        <v>9315</v>
      </c>
      <c r="J236">
        <f>VLOOKUP($A236,Transpose!$A$1:$S$859,Cleaned!J$1)</f>
        <v>2799</v>
      </c>
      <c r="K236">
        <f>VLOOKUP($A236,Transpose!$A$1:$S$859,Cleaned!K$1)</f>
        <v>33</v>
      </c>
      <c r="L236">
        <f>VLOOKUP($A236,Transpose!$A$1:$S$859,Cleaned!L$1)</f>
        <v>80944</v>
      </c>
      <c r="M236">
        <f>VLOOKUP($A236,Transpose!$A$1:$S$859,Cleaned!M$1)</f>
        <v>3628</v>
      </c>
      <c r="N236">
        <f>VLOOKUP($A236,Transpose!$A$1:$S$859,Cleaned!N$1)</f>
        <v>2554</v>
      </c>
      <c r="O236">
        <f>VLOOKUP($A236,Transpose!$A$1:$S$859,Cleaned!O$1)</f>
        <v>74447</v>
      </c>
      <c r="P236">
        <f>VLOOKUP($A236,Transpose!$A$1:$S$859,Cleaned!P$1)</f>
        <v>316</v>
      </c>
      <c r="Q236">
        <f>VLOOKUP($A236,Transpose!$A$1:$S$859,Cleaned!Q$1)</f>
        <v>23</v>
      </c>
      <c r="R236">
        <f>VLOOKUP($A236,Transpose!$A$1:$S$859,Cleaned!R$1)</f>
        <v>2</v>
      </c>
      <c r="S236">
        <f>VLOOKUP($A236,Transpose!$A$1:$S$859,Cleaned!S$1)</f>
        <v>183</v>
      </c>
    </row>
    <row r="237" spans="1:19" x14ac:dyDescent="0.25">
      <c r="A237" s="2">
        <f t="shared" si="4"/>
        <v>39995</v>
      </c>
      <c r="B237">
        <f>VLOOKUP($A237,Transpose!$A$1:$S$859,Cleaned!B$1)</f>
        <v>139898</v>
      </c>
      <c r="C237">
        <f>VLOOKUP($A237,Transpose!$A$1:$S$859,Cleaned!C$1)</f>
        <v>133928</v>
      </c>
      <c r="D237">
        <f>VLOOKUP($A237,Transpose!$A$1:$S$859,Cleaned!D$1)</f>
        <v>2577</v>
      </c>
      <c r="E237">
        <f>VLOOKUP($A237,Transpose!$A$1:$S$859,Cleaned!E$1)</f>
        <v>3368</v>
      </c>
      <c r="F237">
        <f>VLOOKUP($A237,Transpose!$A$1:$S$859,Cleaned!F$1)</f>
        <v>25</v>
      </c>
      <c r="G237">
        <f>VLOOKUP($A237,Transpose!$A$1:$S$859,Cleaned!G$1)</f>
        <v>14607</v>
      </c>
      <c r="H237">
        <f>VLOOKUP($A237,Transpose!$A$1:$S$859,Cleaned!H$1)</f>
        <v>2471</v>
      </c>
      <c r="I237">
        <f>VLOOKUP($A237,Transpose!$A$1:$S$859,Cleaned!I$1)</f>
        <v>9346</v>
      </c>
      <c r="J237">
        <f>VLOOKUP($A237,Transpose!$A$1:$S$859,Cleaned!J$1)</f>
        <v>2772</v>
      </c>
      <c r="K237">
        <f>VLOOKUP($A237,Transpose!$A$1:$S$859,Cleaned!K$1)</f>
        <v>17</v>
      </c>
      <c r="L237">
        <f>VLOOKUP($A237,Transpose!$A$1:$S$859,Cleaned!L$1)</f>
        <v>81365</v>
      </c>
      <c r="M237">
        <f>VLOOKUP($A237,Transpose!$A$1:$S$859,Cleaned!M$1)</f>
        <v>3498</v>
      </c>
      <c r="N237">
        <f>VLOOKUP($A237,Transpose!$A$1:$S$859,Cleaned!N$1)</f>
        <v>2770</v>
      </c>
      <c r="O237">
        <f>VLOOKUP($A237,Transpose!$A$1:$S$859,Cleaned!O$1)</f>
        <v>74576</v>
      </c>
      <c r="P237">
        <f>VLOOKUP($A237,Transpose!$A$1:$S$859,Cleaned!P$1)</f>
        <v>520</v>
      </c>
      <c r="Q237">
        <f>VLOOKUP($A237,Transpose!$A$1:$S$859,Cleaned!Q$1)</f>
        <v>108</v>
      </c>
      <c r="R237">
        <f>VLOOKUP($A237,Transpose!$A$1:$S$859,Cleaned!R$1)</f>
        <v>11</v>
      </c>
      <c r="S237">
        <f>VLOOKUP($A237,Transpose!$A$1:$S$859,Cleaned!S$1)</f>
        <v>228</v>
      </c>
    </row>
    <row r="238" spans="1:19" x14ac:dyDescent="0.25">
      <c r="A238" s="2">
        <f t="shared" si="4"/>
        <v>40026</v>
      </c>
      <c r="B238">
        <f>VLOOKUP($A238,Transpose!$A$1:$S$859,Cleaned!B$1)</f>
        <v>139481</v>
      </c>
      <c r="C238">
        <f>VLOOKUP($A238,Transpose!$A$1:$S$859,Cleaned!C$1)</f>
        <v>133544</v>
      </c>
      <c r="D238">
        <f>VLOOKUP($A238,Transpose!$A$1:$S$859,Cleaned!D$1)</f>
        <v>2399</v>
      </c>
      <c r="E238">
        <f>VLOOKUP($A238,Transpose!$A$1:$S$859,Cleaned!E$1)</f>
        <v>3425</v>
      </c>
      <c r="F238">
        <f>VLOOKUP($A238,Transpose!$A$1:$S$859,Cleaned!F$1)</f>
        <v>113</v>
      </c>
      <c r="G238">
        <f>VLOOKUP($A238,Transpose!$A$1:$S$859,Cleaned!G$1)</f>
        <v>14819</v>
      </c>
      <c r="H238">
        <f>VLOOKUP($A238,Transpose!$A$1:$S$859,Cleaned!H$1)</f>
        <v>2566</v>
      </c>
      <c r="I238">
        <f>VLOOKUP($A238,Transpose!$A$1:$S$859,Cleaned!I$1)</f>
        <v>9329</v>
      </c>
      <c r="J238">
        <f>VLOOKUP($A238,Transpose!$A$1:$S$859,Cleaned!J$1)</f>
        <v>2915</v>
      </c>
      <c r="K238">
        <f>VLOOKUP($A238,Transpose!$A$1:$S$859,Cleaned!K$1)</f>
        <v>9</v>
      </c>
      <c r="L238">
        <f>VLOOKUP($A238,Transpose!$A$1:$S$859,Cleaned!L$1)</f>
        <v>81787</v>
      </c>
      <c r="M238">
        <f>VLOOKUP($A238,Transpose!$A$1:$S$859,Cleaned!M$1)</f>
        <v>3765</v>
      </c>
      <c r="N238">
        <f>VLOOKUP($A238,Transpose!$A$1:$S$859,Cleaned!N$1)</f>
        <v>2877</v>
      </c>
      <c r="O238">
        <f>VLOOKUP($A238,Transpose!$A$1:$S$859,Cleaned!O$1)</f>
        <v>74841</v>
      </c>
      <c r="P238">
        <f>VLOOKUP($A238,Transpose!$A$1:$S$859,Cleaned!P$1)</f>
        <v>304</v>
      </c>
      <c r="Q238">
        <f>VLOOKUP($A238,Transpose!$A$1:$S$859,Cleaned!Q$1)</f>
        <v>23</v>
      </c>
      <c r="R238">
        <f>VLOOKUP($A238,Transpose!$A$1:$S$859,Cleaned!R$1)</f>
        <v>2</v>
      </c>
      <c r="S238">
        <f>VLOOKUP($A238,Transpose!$A$1:$S$859,Cleaned!S$1)</f>
        <v>184</v>
      </c>
    </row>
    <row r="239" spans="1:19" x14ac:dyDescent="0.25">
      <c r="A239" s="2">
        <f t="shared" si="4"/>
        <v>40057</v>
      </c>
      <c r="B239">
        <f>VLOOKUP($A239,Transpose!$A$1:$S$859,Cleaned!B$1)</f>
        <v>138810</v>
      </c>
      <c r="C239">
        <f>VLOOKUP($A239,Transpose!$A$1:$S$859,Cleaned!C$1)</f>
        <v>133000</v>
      </c>
      <c r="D239">
        <f>VLOOKUP($A239,Transpose!$A$1:$S$859,Cleaned!D$1)</f>
        <v>2581</v>
      </c>
      <c r="E239">
        <f>VLOOKUP($A239,Transpose!$A$1:$S$859,Cleaned!E$1)</f>
        <v>3155</v>
      </c>
      <c r="F239">
        <f>VLOOKUP($A239,Transpose!$A$1:$S$859,Cleaned!F$1)</f>
        <v>75</v>
      </c>
      <c r="G239">
        <f>VLOOKUP($A239,Transpose!$A$1:$S$859,Cleaned!G$1)</f>
        <v>15005</v>
      </c>
      <c r="H239">
        <f>VLOOKUP($A239,Transpose!$A$1:$S$859,Cleaned!H$1)</f>
        <v>2625</v>
      </c>
      <c r="I239">
        <f>VLOOKUP($A239,Transpose!$A$1:$S$859,Cleaned!I$1)</f>
        <v>9578</v>
      </c>
      <c r="J239">
        <f>VLOOKUP($A239,Transpose!$A$1:$S$859,Cleaned!J$1)</f>
        <v>2765</v>
      </c>
      <c r="K239">
        <f>VLOOKUP($A239,Transpose!$A$1:$S$859,Cleaned!K$1)</f>
        <v>36</v>
      </c>
      <c r="L239">
        <f>VLOOKUP($A239,Transpose!$A$1:$S$859,Cleaned!L$1)</f>
        <v>82507</v>
      </c>
      <c r="M239">
        <f>VLOOKUP($A239,Transpose!$A$1:$S$859,Cleaned!M$1)</f>
        <v>3833</v>
      </c>
      <c r="N239">
        <f>VLOOKUP($A239,Transpose!$A$1:$S$859,Cleaned!N$1)</f>
        <v>2658</v>
      </c>
      <c r="O239">
        <f>VLOOKUP($A239,Transpose!$A$1:$S$859,Cleaned!O$1)</f>
        <v>75683</v>
      </c>
      <c r="P239">
        <f>VLOOKUP($A239,Transpose!$A$1:$S$859,Cleaned!P$1)</f>
        <v>334</v>
      </c>
      <c r="Q239">
        <f>VLOOKUP($A239,Transpose!$A$1:$S$859,Cleaned!Q$1)</f>
        <v>23</v>
      </c>
      <c r="R239">
        <f>VLOOKUP($A239,Transpose!$A$1:$S$859,Cleaned!R$1)</f>
        <v>2</v>
      </c>
      <c r="S239">
        <f>VLOOKUP($A239,Transpose!$A$1:$S$859,Cleaned!S$1)</f>
        <v>184</v>
      </c>
    </row>
    <row r="240" spans="1:19" x14ac:dyDescent="0.25">
      <c r="A240" s="2">
        <f t="shared" si="4"/>
        <v>40087</v>
      </c>
      <c r="B240">
        <f>VLOOKUP($A240,Transpose!$A$1:$S$859,Cleaned!B$1)</f>
        <v>138421</v>
      </c>
      <c r="C240">
        <f>VLOOKUP($A240,Transpose!$A$1:$S$859,Cleaned!C$1)</f>
        <v>132679</v>
      </c>
      <c r="D240">
        <f>VLOOKUP($A240,Transpose!$A$1:$S$859,Cleaned!D$1)</f>
        <v>2314</v>
      </c>
      <c r="E240">
        <f>VLOOKUP($A240,Transpose!$A$1:$S$859,Cleaned!E$1)</f>
        <v>3360</v>
      </c>
      <c r="F240">
        <f>VLOOKUP($A240,Transpose!$A$1:$S$859,Cleaned!F$1)</f>
        <v>68</v>
      </c>
      <c r="G240">
        <f>VLOOKUP($A240,Transpose!$A$1:$S$859,Cleaned!G$1)</f>
        <v>15382</v>
      </c>
      <c r="H240">
        <f>VLOOKUP($A240,Transpose!$A$1:$S$859,Cleaned!H$1)</f>
        <v>2521</v>
      </c>
      <c r="I240">
        <f>VLOOKUP($A240,Transpose!$A$1:$S$859,Cleaned!I$1)</f>
        <v>9911</v>
      </c>
      <c r="J240">
        <f>VLOOKUP($A240,Transpose!$A$1:$S$859,Cleaned!J$1)</f>
        <v>2939</v>
      </c>
      <c r="K240">
        <f>VLOOKUP($A240,Transpose!$A$1:$S$859,Cleaned!K$1)</f>
        <v>11</v>
      </c>
      <c r="L240">
        <f>VLOOKUP($A240,Transpose!$A$1:$S$859,Cleaned!L$1)</f>
        <v>82746</v>
      </c>
      <c r="M240">
        <f>VLOOKUP($A240,Transpose!$A$1:$S$859,Cleaned!M$1)</f>
        <v>3587</v>
      </c>
      <c r="N240">
        <f>VLOOKUP($A240,Transpose!$A$1:$S$859,Cleaned!N$1)</f>
        <v>2778</v>
      </c>
      <c r="O240">
        <f>VLOOKUP($A240,Transpose!$A$1:$S$859,Cleaned!O$1)</f>
        <v>76024</v>
      </c>
      <c r="P240">
        <f>VLOOKUP($A240,Transpose!$A$1:$S$859,Cleaned!P$1)</f>
        <v>357</v>
      </c>
      <c r="Q240">
        <f>VLOOKUP($A240,Transpose!$A$1:$S$859,Cleaned!Q$1)</f>
        <v>23</v>
      </c>
      <c r="R240">
        <f>VLOOKUP($A240,Transpose!$A$1:$S$859,Cleaned!R$1)</f>
        <v>2</v>
      </c>
      <c r="S240">
        <f>VLOOKUP($A240,Transpose!$A$1:$S$859,Cleaned!S$1)</f>
        <v>184</v>
      </c>
    </row>
    <row r="241" spans="1:19" x14ac:dyDescent="0.25">
      <c r="A241" s="2">
        <f t="shared" si="4"/>
        <v>40118</v>
      </c>
      <c r="B241">
        <f>VLOOKUP($A241,Transpose!$A$1:$S$859,Cleaned!B$1)</f>
        <v>138665</v>
      </c>
      <c r="C241">
        <f>VLOOKUP($A241,Transpose!$A$1:$S$859,Cleaned!C$1)</f>
        <v>132706</v>
      </c>
      <c r="D241">
        <f>VLOOKUP($A241,Transpose!$A$1:$S$859,Cleaned!D$1)</f>
        <v>2585</v>
      </c>
      <c r="E241">
        <f>VLOOKUP($A241,Transpose!$A$1:$S$859,Cleaned!E$1)</f>
        <v>3296</v>
      </c>
      <c r="F241">
        <f>VLOOKUP($A241,Transpose!$A$1:$S$859,Cleaned!F$1)</f>
        <v>78</v>
      </c>
      <c r="G241">
        <f>VLOOKUP($A241,Transpose!$A$1:$S$859,Cleaned!G$1)</f>
        <v>15223</v>
      </c>
      <c r="H241">
        <f>VLOOKUP($A241,Transpose!$A$1:$S$859,Cleaned!H$1)</f>
        <v>2283</v>
      </c>
      <c r="I241">
        <f>VLOOKUP($A241,Transpose!$A$1:$S$859,Cleaned!I$1)</f>
        <v>10010</v>
      </c>
      <c r="J241">
        <f>VLOOKUP($A241,Transpose!$A$1:$S$859,Cleaned!J$1)</f>
        <v>2906</v>
      </c>
      <c r="K241">
        <f>VLOOKUP($A241,Transpose!$A$1:$S$859,Cleaned!K$1)</f>
        <v>23</v>
      </c>
      <c r="L241">
        <f>VLOOKUP($A241,Transpose!$A$1:$S$859,Cleaned!L$1)</f>
        <v>82855</v>
      </c>
      <c r="M241">
        <f>VLOOKUP($A241,Transpose!$A$1:$S$859,Cleaned!M$1)</f>
        <v>3409</v>
      </c>
      <c r="N241">
        <f>VLOOKUP($A241,Transpose!$A$1:$S$859,Cleaned!N$1)</f>
        <v>2785</v>
      </c>
      <c r="O241">
        <f>VLOOKUP($A241,Transpose!$A$1:$S$859,Cleaned!O$1)</f>
        <v>76361</v>
      </c>
      <c r="P241">
        <f>VLOOKUP($A241,Transpose!$A$1:$S$859,Cleaned!P$1)</f>
        <v>301</v>
      </c>
      <c r="Q241">
        <f>VLOOKUP($A241,Transpose!$A$1:$S$859,Cleaned!Q$1)</f>
        <v>23</v>
      </c>
      <c r="R241">
        <f>VLOOKUP($A241,Transpose!$A$1:$S$859,Cleaned!R$1)</f>
        <v>2</v>
      </c>
      <c r="S241">
        <f>VLOOKUP($A241,Transpose!$A$1:$S$859,Cleaned!S$1)</f>
        <v>184</v>
      </c>
    </row>
    <row r="242" spans="1:19" x14ac:dyDescent="0.25">
      <c r="A242" s="2">
        <f t="shared" si="4"/>
        <v>40148</v>
      </c>
      <c r="B242">
        <f>VLOOKUP($A242,Transpose!$A$1:$S$859,Cleaned!B$1)</f>
        <v>138025</v>
      </c>
      <c r="C242">
        <f>VLOOKUP($A242,Transpose!$A$1:$S$859,Cleaned!C$1)</f>
        <v>132405</v>
      </c>
      <c r="D242">
        <f>VLOOKUP($A242,Transpose!$A$1:$S$859,Cleaned!D$1)</f>
        <v>2354</v>
      </c>
      <c r="E242">
        <f>VLOOKUP($A242,Transpose!$A$1:$S$859,Cleaned!E$1)</f>
        <v>3228</v>
      </c>
      <c r="F242">
        <f>VLOOKUP($A242,Transpose!$A$1:$S$859,Cleaned!F$1)</f>
        <v>38</v>
      </c>
      <c r="G242">
        <f>VLOOKUP($A242,Transpose!$A$1:$S$859,Cleaned!G$1)</f>
        <v>15095</v>
      </c>
      <c r="H242">
        <f>VLOOKUP($A242,Transpose!$A$1:$S$859,Cleaned!H$1)</f>
        <v>2379</v>
      </c>
      <c r="I242">
        <f>VLOOKUP($A242,Transpose!$A$1:$S$859,Cleaned!I$1)</f>
        <v>9923</v>
      </c>
      <c r="J242">
        <f>VLOOKUP($A242,Transpose!$A$1:$S$859,Cleaned!J$1)</f>
        <v>2779</v>
      </c>
      <c r="K242">
        <f>VLOOKUP($A242,Transpose!$A$1:$S$859,Cleaned!K$1)</f>
        <v>15</v>
      </c>
      <c r="L242">
        <f>VLOOKUP($A242,Transpose!$A$1:$S$859,Cleaned!L$1)</f>
        <v>83804</v>
      </c>
      <c r="M242">
        <f>VLOOKUP($A242,Transpose!$A$1:$S$859,Cleaned!M$1)</f>
        <v>3858</v>
      </c>
      <c r="N242">
        <f>VLOOKUP($A242,Transpose!$A$1:$S$859,Cleaned!N$1)</f>
        <v>2944</v>
      </c>
      <c r="O242">
        <f>VLOOKUP($A242,Transpose!$A$1:$S$859,Cleaned!O$1)</f>
        <v>76664</v>
      </c>
      <c r="P242">
        <f>VLOOKUP($A242,Transpose!$A$1:$S$859,Cleaned!P$1)</f>
        <v>338</v>
      </c>
      <c r="Q242">
        <f>VLOOKUP($A242,Transpose!$A$1:$S$859,Cleaned!Q$1)</f>
        <v>23</v>
      </c>
      <c r="R242">
        <f>VLOOKUP($A242,Transpose!$A$1:$S$859,Cleaned!R$1)</f>
        <v>2</v>
      </c>
      <c r="S242">
        <f>VLOOKUP($A242,Transpose!$A$1:$S$859,Cleaned!S$1)</f>
        <v>184</v>
      </c>
    </row>
    <row r="243" spans="1:19" x14ac:dyDescent="0.25">
      <c r="A243" s="2">
        <f t="shared" si="4"/>
        <v>40179</v>
      </c>
      <c r="B243">
        <f>VLOOKUP($A243,Transpose!$A$1:$S$859,Cleaned!B$1)</f>
        <v>138439</v>
      </c>
      <c r="C243">
        <f>VLOOKUP($A243,Transpose!$A$1:$S$859,Cleaned!C$1)</f>
        <v>132169</v>
      </c>
      <c r="D243">
        <f>VLOOKUP($A243,Transpose!$A$1:$S$859,Cleaned!D$1)</f>
        <v>2534</v>
      </c>
      <c r="E243">
        <f>VLOOKUP($A243,Transpose!$A$1:$S$859,Cleaned!E$1)</f>
        <v>3725</v>
      </c>
      <c r="F243">
        <f>VLOOKUP($A243,Transpose!$A$1:$S$859,Cleaned!F$1)</f>
        <v>10</v>
      </c>
      <c r="G243">
        <f>VLOOKUP($A243,Transpose!$A$1:$S$859,Cleaned!G$1)</f>
        <v>15016</v>
      </c>
      <c r="H243">
        <f>VLOOKUP($A243,Transpose!$A$1:$S$859,Cleaned!H$1)</f>
        <v>2240</v>
      </c>
      <c r="I243">
        <f>VLOOKUP($A243,Transpose!$A$1:$S$859,Cleaned!I$1)</f>
        <v>9699</v>
      </c>
      <c r="J243">
        <f>VLOOKUP($A243,Transpose!$A$1:$S$859,Cleaned!J$1)</f>
        <v>3060</v>
      </c>
      <c r="K243">
        <f>VLOOKUP($A243,Transpose!$A$1:$S$859,Cleaned!K$1)</f>
        <v>18</v>
      </c>
      <c r="L243">
        <f>VLOOKUP($A243,Transpose!$A$1:$S$859,Cleaned!L$1)</f>
        <v>83378</v>
      </c>
      <c r="M243">
        <f>VLOOKUP($A243,Transpose!$A$1:$S$859,Cleaned!M$1)</f>
        <v>3454</v>
      </c>
      <c r="N243">
        <f>VLOOKUP($A243,Transpose!$A$1:$S$859,Cleaned!N$1)</f>
        <v>2845</v>
      </c>
      <c r="O243">
        <f>VLOOKUP($A243,Transpose!$A$1:$S$859,Cleaned!O$1)</f>
        <v>76757</v>
      </c>
      <c r="P243">
        <f>VLOOKUP($A243,Transpose!$A$1:$S$859,Cleaned!P$1)</f>
        <v>321</v>
      </c>
      <c r="Q243">
        <f>VLOOKUP($A243,Transpose!$A$1:$S$859,Cleaned!Q$1)</f>
        <v>162</v>
      </c>
      <c r="R243">
        <f>VLOOKUP($A243,Transpose!$A$1:$S$859,Cleaned!R$1)</f>
        <v>17</v>
      </c>
      <c r="S243">
        <f>VLOOKUP($A243,Transpose!$A$1:$S$859,Cleaned!S$1)</f>
        <v>261</v>
      </c>
    </row>
    <row r="244" spans="1:19" x14ac:dyDescent="0.25">
      <c r="A244" s="2">
        <f t="shared" si="4"/>
        <v>40210</v>
      </c>
      <c r="B244">
        <f>VLOOKUP($A244,Transpose!$A$1:$S$859,Cleaned!B$1)</f>
        <v>138624</v>
      </c>
      <c r="C244">
        <f>VLOOKUP($A244,Transpose!$A$1:$S$859,Cleaned!C$1)</f>
        <v>132517</v>
      </c>
      <c r="D244">
        <f>VLOOKUP($A244,Transpose!$A$1:$S$859,Cleaned!D$1)</f>
        <v>2487</v>
      </c>
      <c r="E244">
        <f>VLOOKUP($A244,Transpose!$A$1:$S$859,Cleaned!E$1)</f>
        <v>3555</v>
      </c>
      <c r="F244">
        <f>VLOOKUP($A244,Transpose!$A$1:$S$859,Cleaned!F$1)</f>
        <v>66</v>
      </c>
      <c r="G244">
        <f>VLOOKUP($A244,Transpose!$A$1:$S$859,Cleaned!G$1)</f>
        <v>15078</v>
      </c>
      <c r="H244">
        <f>VLOOKUP($A244,Transpose!$A$1:$S$859,Cleaned!H$1)</f>
        <v>2329</v>
      </c>
      <c r="I244">
        <f>VLOOKUP($A244,Transpose!$A$1:$S$859,Cleaned!I$1)</f>
        <v>9742</v>
      </c>
      <c r="J244">
        <f>VLOOKUP($A244,Transpose!$A$1:$S$859,Cleaned!J$1)</f>
        <v>2994</v>
      </c>
      <c r="K244">
        <f>VLOOKUP($A244,Transpose!$A$1:$S$859,Cleaned!K$1)</f>
        <v>13</v>
      </c>
      <c r="L244">
        <f>VLOOKUP($A244,Transpose!$A$1:$S$859,Cleaned!L$1)</f>
        <v>83296</v>
      </c>
      <c r="M244">
        <f>VLOOKUP($A244,Transpose!$A$1:$S$859,Cleaned!M$1)</f>
        <v>3569</v>
      </c>
      <c r="N244">
        <f>VLOOKUP($A244,Transpose!$A$1:$S$859,Cleaned!N$1)</f>
        <v>2786</v>
      </c>
      <c r="O244">
        <f>VLOOKUP($A244,Transpose!$A$1:$S$859,Cleaned!O$1)</f>
        <v>76644</v>
      </c>
      <c r="P244">
        <f>VLOOKUP($A244,Transpose!$A$1:$S$859,Cleaned!P$1)</f>
        <v>297</v>
      </c>
      <c r="Q244">
        <f>VLOOKUP($A244,Transpose!$A$1:$S$859,Cleaned!Q$1)</f>
        <v>23</v>
      </c>
      <c r="R244">
        <f>VLOOKUP($A244,Transpose!$A$1:$S$859,Cleaned!R$1)</f>
        <v>2</v>
      </c>
      <c r="S244">
        <f>VLOOKUP($A244,Transpose!$A$1:$S$859,Cleaned!S$1)</f>
        <v>184</v>
      </c>
    </row>
    <row r="245" spans="1:19" x14ac:dyDescent="0.25">
      <c r="A245" s="2">
        <f t="shared" si="4"/>
        <v>40238</v>
      </c>
      <c r="B245">
        <f>VLOOKUP($A245,Transpose!$A$1:$S$859,Cleaned!B$1)</f>
        <v>138767</v>
      </c>
      <c r="C245">
        <f>VLOOKUP($A245,Transpose!$A$1:$S$859,Cleaned!C$1)</f>
        <v>132543</v>
      </c>
      <c r="D245">
        <f>VLOOKUP($A245,Transpose!$A$1:$S$859,Cleaned!D$1)</f>
        <v>2600</v>
      </c>
      <c r="E245">
        <f>VLOOKUP($A245,Transpose!$A$1:$S$859,Cleaned!E$1)</f>
        <v>3542</v>
      </c>
      <c r="F245">
        <f>VLOOKUP($A245,Transpose!$A$1:$S$859,Cleaned!F$1)</f>
        <v>82</v>
      </c>
      <c r="G245">
        <f>VLOOKUP($A245,Transpose!$A$1:$S$859,Cleaned!G$1)</f>
        <v>15192</v>
      </c>
      <c r="H245">
        <f>VLOOKUP($A245,Transpose!$A$1:$S$859,Cleaned!H$1)</f>
        <v>2316</v>
      </c>
      <c r="I245">
        <f>VLOOKUP($A245,Transpose!$A$1:$S$859,Cleaned!I$1)</f>
        <v>9639</v>
      </c>
      <c r="J245">
        <f>VLOOKUP($A245,Transpose!$A$1:$S$859,Cleaned!J$1)</f>
        <v>3221</v>
      </c>
      <c r="K245">
        <f>VLOOKUP($A245,Transpose!$A$1:$S$859,Cleaned!K$1)</f>
        <v>16</v>
      </c>
      <c r="L245">
        <f>VLOOKUP($A245,Transpose!$A$1:$S$859,Cleaned!L$1)</f>
        <v>83199</v>
      </c>
      <c r="M245">
        <f>VLOOKUP($A245,Transpose!$A$1:$S$859,Cleaned!M$1)</f>
        <v>3742</v>
      </c>
      <c r="N245">
        <f>VLOOKUP($A245,Transpose!$A$1:$S$859,Cleaned!N$1)</f>
        <v>2838</v>
      </c>
      <c r="O245">
        <f>VLOOKUP($A245,Transpose!$A$1:$S$859,Cleaned!O$1)</f>
        <v>76348</v>
      </c>
      <c r="P245">
        <f>VLOOKUP($A245,Transpose!$A$1:$S$859,Cleaned!P$1)</f>
        <v>272</v>
      </c>
      <c r="Q245">
        <f>VLOOKUP($A245,Transpose!$A$1:$S$859,Cleaned!Q$1)</f>
        <v>23</v>
      </c>
      <c r="R245">
        <f>VLOOKUP($A245,Transpose!$A$1:$S$859,Cleaned!R$1)</f>
        <v>2</v>
      </c>
      <c r="S245">
        <f>VLOOKUP($A245,Transpose!$A$1:$S$859,Cleaned!S$1)</f>
        <v>185</v>
      </c>
    </row>
    <row r="246" spans="1:19" x14ac:dyDescent="0.25">
      <c r="A246" s="2">
        <f t="shared" si="4"/>
        <v>40269</v>
      </c>
      <c r="B246">
        <f>VLOOKUP($A246,Transpose!$A$1:$S$859,Cleaned!B$1)</f>
        <v>139296</v>
      </c>
      <c r="C246">
        <f>VLOOKUP($A246,Transpose!$A$1:$S$859,Cleaned!C$1)</f>
        <v>132985</v>
      </c>
      <c r="D246">
        <f>VLOOKUP($A246,Transpose!$A$1:$S$859,Cleaned!D$1)</f>
        <v>2755</v>
      </c>
      <c r="E246">
        <f>VLOOKUP($A246,Transpose!$A$1:$S$859,Cleaned!E$1)</f>
        <v>3489</v>
      </c>
      <c r="F246">
        <f>VLOOKUP($A246,Transpose!$A$1:$S$859,Cleaned!F$1)</f>
        <v>67</v>
      </c>
      <c r="G246">
        <f>VLOOKUP($A246,Transpose!$A$1:$S$859,Cleaned!G$1)</f>
        <v>15281</v>
      </c>
      <c r="H246">
        <f>VLOOKUP($A246,Transpose!$A$1:$S$859,Cleaned!H$1)</f>
        <v>2277</v>
      </c>
      <c r="I246">
        <f>VLOOKUP($A246,Transpose!$A$1:$S$859,Cleaned!I$1)</f>
        <v>9696</v>
      </c>
      <c r="J246">
        <f>VLOOKUP($A246,Transpose!$A$1:$S$859,Cleaned!J$1)</f>
        <v>3290</v>
      </c>
      <c r="K246">
        <f>VLOOKUP($A246,Transpose!$A$1:$S$859,Cleaned!K$1)</f>
        <v>18</v>
      </c>
      <c r="L246">
        <f>VLOOKUP($A246,Transpose!$A$1:$S$859,Cleaned!L$1)</f>
        <v>82752</v>
      </c>
      <c r="M246">
        <f>VLOOKUP($A246,Transpose!$A$1:$S$859,Cleaned!M$1)</f>
        <v>3481</v>
      </c>
      <c r="N246">
        <f>VLOOKUP($A246,Transpose!$A$1:$S$859,Cleaned!N$1)</f>
        <v>2740</v>
      </c>
      <c r="O246">
        <f>VLOOKUP($A246,Transpose!$A$1:$S$859,Cleaned!O$1)</f>
        <v>76235</v>
      </c>
      <c r="P246">
        <f>VLOOKUP($A246,Transpose!$A$1:$S$859,Cleaned!P$1)</f>
        <v>294</v>
      </c>
      <c r="Q246">
        <f>VLOOKUP($A246,Transpose!$A$1:$S$859,Cleaned!Q$1)</f>
        <v>23</v>
      </c>
      <c r="R246">
        <f>VLOOKUP($A246,Transpose!$A$1:$S$859,Cleaned!R$1)</f>
        <v>2</v>
      </c>
      <c r="S246">
        <f>VLOOKUP($A246,Transpose!$A$1:$S$859,Cleaned!S$1)</f>
        <v>185</v>
      </c>
    </row>
    <row r="247" spans="1:19" x14ac:dyDescent="0.25">
      <c r="A247" s="2">
        <f t="shared" si="4"/>
        <v>40299</v>
      </c>
      <c r="B247">
        <f>VLOOKUP($A247,Transpose!$A$1:$S$859,Cleaned!B$1)</f>
        <v>139255</v>
      </c>
      <c r="C247">
        <f>VLOOKUP($A247,Transpose!$A$1:$S$859,Cleaned!C$1)</f>
        <v>133096</v>
      </c>
      <c r="D247">
        <f>VLOOKUP($A247,Transpose!$A$1:$S$859,Cleaned!D$1)</f>
        <v>2676</v>
      </c>
      <c r="E247">
        <f>VLOOKUP($A247,Transpose!$A$1:$S$859,Cleaned!E$1)</f>
        <v>3413</v>
      </c>
      <c r="F247">
        <f>VLOOKUP($A247,Transpose!$A$1:$S$859,Cleaned!F$1)</f>
        <v>69</v>
      </c>
      <c r="G247">
        <f>VLOOKUP($A247,Transpose!$A$1:$S$859,Cleaned!G$1)</f>
        <v>14856</v>
      </c>
      <c r="H247">
        <f>VLOOKUP($A247,Transpose!$A$1:$S$859,Cleaned!H$1)</f>
        <v>2347</v>
      </c>
      <c r="I247">
        <f>VLOOKUP($A247,Transpose!$A$1:$S$859,Cleaned!I$1)</f>
        <v>9593</v>
      </c>
      <c r="J247">
        <f>VLOOKUP($A247,Transpose!$A$1:$S$859,Cleaned!J$1)</f>
        <v>2907</v>
      </c>
      <c r="K247">
        <f>VLOOKUP($A247,Transpose!$A$1:$S$859,Cleaned!K$1)</f>
        <v>9</v>
      </c>
      <c r="L247">
        <f>VLOOKUP($A247,Transpose!$A$1:$S$859,Cleaned!L$1)</f>
        <v>83389</v>
      </c>
      <c r="M247">
        <f>VLOOKUP($A247,Transpose!$A$1:$S$859,Cleaned!M$1)</f>
        <v>3830</v>
      </c>
      <c r="N247">
        <f>VLOOKUP($A247,Transpose!$A$1:$S$859,Cleaned!N$1)</f>
        <v>3010</v>
      </c>
      <c r="O247">
        <f>VLOOKUP($A247,Transpose!$A$1:$S$859,Cleaned!O$1)</f>
        <v>76247</v>
      </c>
      <c r="P247">
        <f>VLOOKUP($A247,Transpose!$A$1:$S$859,Cleaned!P$1)</f>
        <v>302</v>
      </c>
      <c r="Q247">
        <f>VLOOKUP($A247,Transpose!$A$1:$S$859,Cleaned!Q$1)</f>
        <v>23</v>
      </c>
      <c r="R247">
        <f>VLOOKUP($A247,Transpose!$A$1:$S$859,Cleaned!R$1)</f>
        <v>2</v>
      </c>
      <c r="S247">
        <f>VLOOKUP($A247,Transpose!$A$1:$S$859,Cleaned!S$1)</f>
        <v>185</v>
      </c>
    </row>
    <row r="248" spans="1:19" x14ac:dyDescent="0.25">
      <c r="A248" s="2">
        <f t="shared" si="4"/>
        <v>40330</v>
      </c>
      <c r="B248">
        <f>VLOOKUP($A248,Transpose!$A$1:$S$859,Cleaned!B$1)</f>
        <v>139148</v>
      </c>
      <c r="C248">
        <f>VLOOKUP($A248,Transpose!$A$1:$S$859,Cleaned!C$1)</f>
        <v>133448</v>
      </c>
      <c r="D248">
        <f>VLOOKUP($A248,Transpose!$A$1:$S$859,Cleaned!D$1)</f>
        <v>2391</v>
      </c>
      <c r="E248">
        <f>VLOOKUP($A248,Transpose!$A$1:$S$859,Cleaned!E$1)</f>
        <v>3281</v>
      </c>
      <c r="F248">
        <f>VLOOKUP($A248,Transpose!$A$1:$S$859,Cleaned!F$1)</f>
        <v>28</v>
      </c>
      <c r="G248">
        <f>VLOOKUP($A248,Transpose!$A$1:$S$859,Cleaned!G$1)</f>
        <v>14475</v>
      </c>
      <c r="H248">
        <f>VLOOKUP($A248,Transpose!$A$1:$S$859,Cleaned!H$1)</f>
        <v>2183</v>
      </c>
      <c r="I248">
        <f>VLOOKUP($A248,Transpose!$A$1:$S$859,Cleaned!I$1)</f>
        <v>9421</v>
      </c>
      <c r="J248">
        <f>VLOOKUP($A248,Transpose!$A$1:$S$859,Cleaned!J$1)</f>
        <v>2857</v>
      </c>
      <c r="K248">
        <f>VLOOKUP($A248,Transpose!$A$1:$S$859,Cleaned!K$1)</f>
        <v>15</v>
      </c>
      <c r="L248">
        <f>VLOOKUP($A248,Transpose!$A$1:$S$859,Cleaned!L$1)</f>
        <v>84067</v>
      </c>
      <c r="M248">
        <f>VLOOKUP($A248,Transpose!$A$1:$S$859,Cleaned!M$1)</f>
        <v>3583</v>
      </c>
      <c r="N248">
        <f>VLOOKUP($A248,Transpose!$A$1:$S$859,Cleaned!N$1)</f>
        <v>3040</v>
      </c>
      <c r="O248">
        <f>VLOOKUP($A248,Transpose!$A$1:$S$859,Cleaned!O$1)</f>
        <v>77056</v>
      </c>
      <c r="P248">
        <f>VLOOKUP($A248,Transpose!$A$1:$S$859,Cleaned!P$1)</f>
        <v>388</v>
      </c>
      <c r="Q248">
        <f>VLOOKUP($A248,Transpose!$A$1:$S$859,Cleaned!Q$1)</f>
        <v>41</v>
      </c>
      <c r="R248">
        <f>VLOOKUP($A248,Transpose!$A$1:$S$859,Cleaned!R$1)</f>
        <v>4</v>
      </c>
      <c r="S248">
        <f>VLOOKUP($A248,Transpose!$A$1:$S$859,Cleaned!S$1)</f>
        <v>195</v>
      </c>
    </row>
    <row r="249" spans="1:19" x14ac:dyDescent="0.25">
      <c r="A249" s="2">
        <f t="shared" si="4"/>
        <v>40360</v>
      </c>
      <c r="B249">
        <f>VLOOKUP($A249,Transpose!$A$1:$S$859,Cleaned!B$1)</f>
        <v>139167</v>
      </c>
      <c r="C249">
        <f>VLOOKUP($A249,Transpose!$A$1:$S$859,Cleaned!C$1)</f>
        <v>133191</v>
      </c>
      <c r="D249">
        <f>VLOOKUP($A249,Transpose!$A$1:$S$859,Cleaned!D$1)</f>
        <v>2505</v>
      </c>
      <c r="E249">
        <f>VLOOKUP($A249,Transpose!$A$1:$S$859,Cleaned!E$1)</f>
        <v>3437</v>
      </c>
      <c r="F249">
        <f>VLOOKUP($A249,Transpose!$A$1:$S$859,Cleaned!F$1)</f>
        <v>34</v>
      </c>
      <c r="G249">
        <f>VLOOKUP($A249,Transpose!$A$1:$S$859,Cleaned!G$1)</f>
        <v>14542</v>
      </c>
      <c r="H249">
        <f>VLOOKUP($A249,Transpose!$A$1:$S$859,Cleaned!H$1)</f>
        <v>2319</v>
      </c>
      <c r="I249">
        <f>VLOOKUP($A249,Transpose!$A$1:$S$859,Cleaned!I$1)</f>
        <v>9113</v>
      </c>
      <c r="J249">
        <f>VLOOKUP($A249,Transpose!$A$1:$S$859,Cleaned!J$1)</f>
        <v>3098</v>
      </c>
      <c r="K249">
        <f>VLOOKUP($A249,Transpose!$A$1:$S$859,Cleaned!K$1)</f>
        <v>12</v>
      </c>
      <c r="L249">
        <f>VLOOKUP($A249,Transpose!$A$1:$S$859,Cleaned!L$1)</f>
        <v>84180</v>
      </c>
      <c r="M249">
        <f>VLOOKUP($A249,Transpose!$A$1:$S$859,Cleaned!M$1)</f>
        <v>3574</v>
      </c>
      <c r="N249">
        <f>VLOOKUP($A249,Transpose!$A$1:$S$859,Cleaned!N$1)</f>
        <v>2851</v>
      </c>
      <c r="O249">
        <f>VLOOKUP($A249,Transpose!$A$1:$S$859,Cleaned!O$1)</f>
        <v>77328</v>
      </c>
      <c r="P249">
        <f>VLOOKUP($A249,Transpose!$A$1:$S$859,Cleaned!P$1)</f>
        <v>428</v>
      </c>
      <c r="Q249">
        <f>VLOOKUP($A249,Transpose!$A$1:$S$859,Cleaned!Q$1)</f>
        <v>63</v>
      </c>
      <c r="R249">
        <f>VLOOKUP($A249,Transpose!$A$1:$S$859,Cleaned!R$1)</f>
        <v>6</v>
      </c>
      <c r="S249">
        <f>VLOOKUP($A249,Transpose!$A$1:$S$859,Cleaned!S$1)</f>
        <v>204</v>
      </c>
    </row>
    <row r="250" spans="1:19" x14ac:dyDescent="0.25">
      <c r="A250" s="2">
        <f t="shared" si="4"/>
        <v>40391</v>
      </c>
      <c r="B250">
        <f>VLOOKUP($A250,Transpose!$A$1:$S$859,Cleaned!B$1)</f>
        <v>139405</v>
      </c>
      <c r="C250">
        <f>VLOOKUP($A250,Transpose!$A$1:$S$859,Cleaned!C$1)</f>
        <v>133200</v>
      </c>
      <c r="D250">
        <f>VLOOKUP($A250,Transpose!$A$1:$S$859,Cleaned!D$1)</f>
        <v>2468</v>
      </c>
      <c r="E250">
        <f>VLOOKUP($A250,Transpose!$A$1:$S$859,Cleaned!E$1)</f>
        <v>3638</v>
      </c>
      <c r="F250">
        <f>VLOOKUP($A250,Transpose!$A$1:$S$859,Cleaned!F$1)</f>
        <v>98</v>
      </c>
      <c r="G250">
        <f>VLOOKUP($A250,Transpose!$A$1:$S$859,Cleaned!G$1)</f>
        <v>14673</v>
      </c>
      <c r="H250">
        <f>VLOOKUP($A250,Transpose!$A$1:$S$859,Cleaned!H$1)</f>
        <v>2411</v>
      </c>
      <c r="I250">
        <f>VLOOKUP($A250,Transpose!$A$1:$S$859,Cleaned!I$1)</f>
        <v>9190</v>
      </c>
      <c r="J250">
        <f>VLOOKUP($A250,Transpose!$A$1:$S$859,Cleaned!J$1)</f>
        <v>3048</v>
      </c>
      <c r="K250">
        <f>VLOOKUP($A250,Transpose!$A$1:$S$859,Cleaned!K$1)</f>
        <v>23</v>
      </c>
      <c r="L250">
        <f>VLOOKUP($A250,Transpose!$A$1:$S$859,Cleaned!L$1)</f>
        <v>84022</v>
      </c>
      <c r="M250">
        <f>VLOOKUP($A250,Transpose!$A$1:$S$859,Cleaned!M$1)</f>
        <v>3532</v>
      </c>
      <c r="N250">
        <f>VLOOKUP($A250,Transpose!$A$1:$S$859,Cleaned!N$1)</f>
        <v>2882</v>
      </c>
      <c r="O250">
        <f>VLOOKUP($A250,Transpose!$A$1:$S$859,Cleaned!O$1)</f>
        <v>77309</v>
      </c>
      <c r="P250">
        <f>VLOOKUP($A250,Transpose!$A$1:$S$859,Cleaned!P$1)</f>
        <v>299</v>
      </c>
      <c r="Q250">
        <f>VLOOKUP($A250,Transpose!$A$1:$S$859,Cleaned!Q$1)</f>
        <v>23</v>
      </c>
      <c r="R250">
        <f>VLOOKUP($A250,Transpose!$A$1:$S$859,Cleaned!R$1)</f>
        <v>2</v>
      </c>
      <c r="S250">
        <f>VLOOKUP($A250,Transpose!$A$1:$S$859,Cleaned!S$1)</f>
        <v>185</v>
      </c>
    </row>
    <row r="251" spans="1:19" x14ac:dyDescent="0.25">
      <c r="A251" s="2">
        <f t="shared" si="4"/>
        <v>40422</v>
      </c>
      <c r="B251">
        <f>VLOOKUP($A251,Transpose!$A$1:$S$859,Cleaned!B$1)</f>
        <v>139388</v>
      </c>
      <c r="C251">
        <f>VLOOKUP($A251,Transpose!$A$1:$S$859,Cleaned!C$1)</f>
        <v>133602</v>
      </c>
      <c r="D251">
        <f>VLOOKUP($A251,Transpose!$A$1:$S$859,Cleaned!D$1)</f>
        <v>2358</v>
      </c>
      <c r="E251">
        <f>VLOOKUP($A251,Transpose!$A$1:$S$859,Cleaned!E$1)</f>
        <v>3387</v>
      </c>
      <c r="F251">
        <f>VLOOKUP($A251,Transpose!$A$1:$S$859,Cleaned!F$1)</f>
        <v>41</v>
      </c>
      <c r="G251">
        <f>VLOOKUP($A251,Transpose!$A$1:$S$859,Cleaned!G$1)</f>
        <v>14577</v>
      </c>
      <c r="H251">
        <f>VLOOKUP($A251,Transpose!$A$1:$S$859,Cleaned!H$1)</f>
        <v>2229</v>
      </c>
      <c r="I251">
        <f>VLOOKUP($A251,Transpose!$A$1:$S$859,Cleaned!I$1)</f>
        <v>9360</v>
      </c>
      <c r="J251">
        <f>VLOOKUP($A251,Transpose!$A$1:$S$859,Cleaned!J$1)</f>
        <v>2968</v>
      </c>
      <c r="K251">
        <f>VLOOKUP($A251,Transpose!$A$1:$S$859,Cleaned!K$1)</f>
        <v>21</v>
      </c>
      <c r="L251">
        <f>VLOOKUP($A251,Transpose!$A$1:$S$859,Cleaned!L$1)</f>
        <v>84356</v>
      </c>
      <c r="M251">
        <f>VLOOKUP($A251,Transpose!$A$1:$S$859,Cleaned!M$1)</f>
        <v>3542</v>
      </c>
      <c r="N251">
        <f>VLOOKUP($A251,Transpose!$A$1:$S$859,Cleaned!N$1)</f>
        <v>2952</v>
      </c>
      <c r="O251">
        <f>VLOOKUP($A251,Transpose!$A$1:$S$859,Cleaned!O$1)</f>
        <v>77478</v>
      </c>
      <c r="P251">
        <f>VLOOKUP($A251,Transpose!$A$1:$S$859,Cleaned!P$1)</f>
        <v>384</v>
      </c>
      <c r="Q251">
        <f>VLOOKUP($A251,Transpose!$A$1:$S$859,Cleaned!Q$1)</f>
        <v>31</v>
      </c>
      <c r="R251">
        <f>VLOOKUP($A251,Transpose!$A$1:$S$859,Cleaned!R$1)</f>
        <v>3</v>
      </c>
      <c r="S251">
        <f>VLOOKUP($A251,Transpose!$A$1:$S$859,Cleaned!S$1)</f>
        <v>189</v>
      </c>
    </row>
    <row r="252" spans="1:19" x14ac:dyDescent="0.25">
      <c r="A252" s="2">
        <f t="shared" si="4"/>
        <v>40452</v>
      </c>
      <c r="B252">
        <f>VLOOKUP($A252,Transpose!$A$1:$S$859,Cleaned!B$1)</f>
        <v>139097</v>
      </c>
      <c r="C252">
        <f>VLOOKUP($A252,Transpose!$A$1:$S$859,Cleaned!C$1)</f>
        <v>133137</v>
      </c>
      <c r="D252">
        <f>VLOOKUP($A252,Transpose!$A$1:$S$859,Cleaned!D$1)</f>
        <v>2440</v>
      </c>
      <c r="E252">
        <f>VLOOKUP($A252,Transpose!$A$1:$S$859,Cleaned!E$1)</f>
        <v>3414</v>
      </c>
      <c r="F252">
        <f>VLOOKUP($A252,Transpose!$A$1:$S$859,Cleaned!F$1)</f>
        <v>106</v>
      </c>
      <c r="G252">
        <f>VLOOKUP($A252,Transpose!$A$1:$S$859,Cleaned!G$1)</f>
        <v>14584</v>
      </c>
      <c r="H252">
        <f>VLOOKUP($A252,Transpose!$A$1:$S$859,Cleaned!H$1)</f>
        <v>2245</v>
      </c>
      <c r="I252">
        <f>VLOOKUP($A252,Transpose!$A$1:$S$859,Cleaned!I$1)</f>
        <v>9269</v>
      </c>
      <c r="J252">
        <f>VLOOKUP($A252,Transpose!$A$1:$S$859,Cleaned!J$1)</f>
        <v>3042</v>
      </c>
      <c r="K252">
        <f>VLOOKUP($A252,Transpose!$A$1:$S$859,Cleaned!K$1)</f>
        <v>26</v>
      </c>
      <c r="L252">
        <f>VLOOKUP($A252,Transpose!$A$1:$S$859,Cleaned!L$1)</f>
        <v>84849</v>
      </c>
      <c r="M252">
        <f>VLOOKUP($A252,Transpose!$A$1:$S$859,Cleaned!M$1)</f>
        <v>3982</v>
      </c>
      <c r="N252">
        <f>VLOOKUP($A252,Transpose!$A$1:$S$859,Cleaned!N$1)</f>
        <v>2867</v>
      </c>
      <c r="O252">
        <f>VLOOKUP($A252,Transpose!$A$1:$S$859,Cleaned!O$1)</f>
        <v>77714</v>
      </c>
      <c r="P252">
        <f>VLOOKUP($A252,Transpose!$A$1:$S$859,Cleaned!P$1)</f>
        <v>286</v>
      </c>
      <c r="Q252">
        <f>VLOOKUP($A252,Transpose!$A$1:$S$859,Cleaned!Q$1)</f>
        <v>23</v>
      </c>
      <c r="R252">
        <f>VLOOKUP($A252,Transpose!$A$1:$S$859,Cleaned!R$1)</f>
        <v>2</v>
      </c>
      <c r="S252">
        <f>VLOOKUP($A252,Transpose!$A$1:$S$859,Cleaned!S$1)</f>
        <v>186</v>
      </c>
    </row>
    <row r="253" spans="1:19" x14ac:dyDescent="0.25">
      <c r="A253" s="2">
        <f t="shared" si="4"/>
        <v>40483</v>
      </c>
      <c r="B253">
        <f>VLOOKUP($A253,Transpose!$A$1:$S$859,Cleaned!B$1)</f>
        <v>139046</v>
      </c>
      <c r="C253">
        <f>VLOOKUP($A253,Transpose!$A$1:$S$859,Cleaned!C$1)</f>
        <v>132916</v>
      </c>
      <c r="D253">
        <f>VLOOKUP($A253,Transpose!$A$1:$S$859,Cleaned!D$1)</f>
        <v>2444</v>
      </c>
      <c r="E253">
        <f>VLOOKUP($A253,Transpose!$A$1:$S$859,Cleaned!E$1)</f>
        <v>3608</v>
      </c>
      <c r="F253">
        <f>VLOOKUP($A253,Transpose!$A$1:$S$859,Cleaned!F$1)</f>
        <v>78</v>
      </c>
      <c r="G253">
        <f>VLOOKUP($A253,Transpose!$A$1:$S$859,Cleaned!G$1)</f>
        <v>15094</v>
      </c>
      <c r="H253">
        <f>VLOOKUP($A253,Transpose!$A$1:$S$859,Cleaned!H$1)</f>
        <v>2575</v>
      </c>
      <c r="I253">
        <f>VLOOKUP($A253,Transpose!$A$1:$S$859,Cleaned!I$1)</f>
        <v>9324</v>
      </c>
      <c r="J253">
        <f>VLOOKUP($A253,Transpose!$A$1:$S$859,Cleaned!J$1)</f>
        <v>3173</v>
      </c>
      <c r="K253">
        <f>VLOOKUP($A253,Transpose!$A$1:$S$859,Cleaned!K$1)</f>
        <v>21</v>
      </c>
      <c r="L253">
        <f>VLOOKUP($A253,Transpose!$A$1:$S$859,Cleaned!L$1)</f>
        <v>84575</v>
      </c>
      <c r="M253">
        <f>VLOOKUP($A253,Transpose!$A$1:$S$859,Cleaned!M$1)</f>
        <v>3582</v>
      </c>
      <c r="N253">
        <f>VLOOKUP($A253,Transpose!$A$1:$S$859,Cleaned!N$1)</f>
        <v>2814</v>
      </c>
      <c r="O253">
        <f>VLOOKUP($A253,Transpose!$A$1:$S$859,Cleaned!O$1)</f>
        <v>77883</v>
      </c>
      <c r="P253">
        <f>VLOOKUP($A253,Transpose!$A$1:$S$859,Cleaned!P$1)</f>
        <v>296</v>
      </c>
      <c r="Q253">
        <f>VLOOKUP($A253,Transpose!$A$1:$S$859,Cleaned!Q$1)</f>
        <v>23</v>
      </c>
      <c r="R253">
        <f>VLOOKUP($A253,Transpose!$A$1:$S$859,Cleaned!R$1)</f>
        <v>2</v>
      </c>
      <c r="S253">
        <f>VLOOKUP($A253,Transpose!$A$1:$S$859,Cleaned!S$1)</f>
        <v>186</v>
      </c>
    </row>
    <row r="254" spans="1:19" x14ac:dyDescent="0.25">
      <c r="A254" s="2">
        <f t="shared" si="4"/>
        <v>40513</v>
      </c>
      <c r="B254">
        <f>VLOOKUP($A254,Transpose!$A$1:$S$859,Cleaned!B$1)</f>
        <v>139295</v>
      </c>
      <c r="C254">
        <f>VLOOKUP($A254,Transpose!$A$1:$S$859,Cleaned!C$1)</f>
        <v>133123</v>
      </c>
      <c r="D254">
        <f>VLOOKUP($A254,Transpose!$A$1:$S$859,Cleaned!D$1)</f>
        <v>2613</v>
      </c>
      <c r="E254">
        <f>VLOOKUP($A254,Transpose!$A$1:$S$859,Cleaned!E$1)</f>
        <v>3525</v>
      </c>
      <c r="F254">
        <f>VLOOKUP($A254,Transpose!$A$1:$S$859,Cleaned!F$1)</f>
        <v>33</v>
      </c>
      <c r="G254">
        <f>VLOOKUP($A254,Transpose!$A$1:$S$859,Cleaned!G$1)</f>
        <v>14354</v>
      </c>
      <c r="H254">
        <f>VLOOKUP($A254,Transpose!$A$1:$S$859,Cleaned!H$1)</f>
        <v>2207</v>
      </c>
      <c r="I254">
        <f>VLOOKUP($A254,Transpose!$A$1:$S$859,Cleaned!I$1)</f>
        <v>9311</v>
      </c>
      <c r="J254">
        <f>VLOOKUP($A254,Transpose!$A$1:$S$859,Cleaned!J$1)</f>
        <v>2816</v>
      </c>
      <c r="K254">
        <f>VLOOKUP($A254,Transpose!$A$1:$S$859,Cleaned!K$1)</f>
        <v>20</v>
      </c>
      <c r="L254">
        <f>VLOOKUP($A254,Transpose!$A$1:$S$859,Cleaned!L$1)</f>
        <v>85241</v>
      </c>
      <c r="M254">
        <f>VLOOKUP($A254,Transpose!$A$1:$S$859,Cleaned!M$1)</f>
        <v>3692</v>
      </c>
      <c r="N254">
        <f>VLOOKUP($A254,Transpose!$A$1:$S$859,Cleaned!N$1)</f>
        <v>3168</v>
      </c>
      <c r="O254">
        <f>VLOOKUP($A254,Transpose!$A$1:$S$859,Cleaned!O$1)</f>
        <v>78048</v>
      </c>
      <c r="P254">
        <f>VLOOKUP($A254,Transpose!$A$1:$S$859,Cleaned!P$1)</f>
        <v>332</v>
      </c>
      <c r="Q254">
        <f>VLOOKUP($A254,Transpose!$A$1:$S$859,Cleaned!Q$1)</f>
        <v>23</v>
      </c>
      <c r="R254">
        <f>VLOOKUP($A254,Transpose!$A$1:$S$859,Cleaned!R$1)</f>
        <v>2</v>
      </c>
      <c r="S254">
        <f>VLOOKUP($A254,Transpose!$A$1:$S$859,Cleaned!S$1)</f>
        <v>186</v>
      </c>
    </row>
    <row r="255" spans="1:19" x14ac:dyDescent="0.25">
      <c r="A255" s="2">
        <f t="shared" si="4"/>
        <v>40544</v>
      </c>
      <c r="B255">
        <f>VLOOKUP($A255,Transpose!$A$1:$S$859,Cleaned!B$1)</f>
        <v>139253</v>
      </c>
      <c r="C255">
        <f>VLOOKUP($A255,Transpose!$A$1:$S$859,Cleaned!C$1)</f>
        <v>133221</v>
      </c>
      <c r="D255">
        <f>VLOOKUP($A255,Transpose!$A$1:$S$859,Cleaned!D$1)</f>
        <v>2393</v>
      </c>
      <c r="E255">
        <f>VLOOKUP($A255,Transpose!$A$1:$S$859,Cleaned!E$1)</f>
        <v>3612</v>
      </c>
      <c r="F255">
        <f>VLOOKUP($A255,Transpose!$A$1:$S$859,Cleaned!F$1)</f>
        <v>27</v>
      </c>
      <c r="G255">
        <f>VLOOKUP($A255,Transpose!$A$1:$S$859,Cleaned!G$1)</f>
        <v>13992</v>
      </c>
      <c r="H255">
        <f>VLOOKUP($A255,Transpose!$A$1:$S$859,Cleaned!H$1)</f>
        <v>2163</v>
      </c>
      <c r="I255">
        <f>VLOOKUP($A255,Transpose!$A$1:$S$859,Cleaned!I$1)</f>
        <v>8892</v>
      </c>
      <c r="J255">
        <f>VLOOKUP($A255,Transpose!$A$1:$S$859,Cleaned!J$1)</f>
        <v>2926</v>
      </c>
      <c r="K255">
        <f>VLOOKUP($A255,Transpose!$A$1:$S$859,Cleaned!K$1)</f>
        <v>10</v>
      </c>
      <c r="L255">
        <f>VLOOKUP($A255,Transpose!$A$1:$S$859,Cleaned!L$1)</f>
        <v>85460</v>
      </c>
      <c r="M255">
        <f>VLOOKUP($A255,Transpose!$A$1:$S$859,Cleaned!M$1)</f>
        <v>3685</v>
      </c>
      <c r="N255">
        <f>VLOOKUP($A255,Transpose!$A$1:$S$859,Cleaned!N$1)</f>
        <v>3048</v>
      </c>
      <c r="O255">
        <f>VLOOKUP($A255,Transpose!$A$1:$S$859,Cleaned!O$1)</f>
        <v>78364</v>
      </c>
      <c r="P255">
        <f>VLOOKUP($A255,Transpose!$A$1:$S$859,Cleaned!P$1)</f>
        <v>362</v>
      </c>
      <c r="Q255">
        <f>VLOOKUP($A255,Transpose!$A$1:$S$859,Cleaned!Q$1)</f>
        <v>226</v>
      </c>
      <c r="R255">
        <f>VLOOKUP($A255,Transpose!$A$1:$S$859,Cleaned!R$1)</f>
        <v>21</v>
      </c>
      <c r="S255">
        <f>VLOOKUP($A255,Transpose!$A$1:$S$859,Cleaned!S$1)</f>
        <v>338</v>
      </c>
    </row>
    <row r="256" spans="1:19" x14ac:dyDescent="0.25">
      <c r="A256" s="2">
        <f t="shared" si="4"/>
        <v>40575</v>
      </c>
      <c r="B256">
        <f>VLOOKUP($A256,Transpose!$A$1:$S$859,Cleaned!B$1)</f>
        <v>139471</v>
      </c>
      <c r="C256">
        <f>VLOOKUP($A256,Transpose!$A$1:$S$859,Cleaned!C$1)</f>
        <v>133533</v>
      </c>
      <c r="D256">
        <f>VLOOKUP($A256,Transpose!$A$1:$S$859,Cleaned!D$1)</f>
        <v>2320</v>
      </c>
      <c r="E256">
        <f>VLOOKUP($A256,Transpose!$A$1:$S$859,Cleaned!E$1)</f>
        <v>3598</v>
      </c>
      <c r="F256">
        <f>VLOOKUP($A256,Transpose!$A$1:$S$859,Cleaned!F$1)</f>
        <v>20</v>
      </c>
      <c r="G256">
        <f>VLOOKUP($A256,Transpose!$A$1:$S$859,Cleaned!G$1)</f>
        <v>13798</v>
      </c>
      <c r="H256">
        <f>VLOOKUP($A256,Transpose!$A$1:$S$859,Cleaned!H$1)</f>
        <v>2024</v>
      </c>
      <c r="I256">
        <f>VLOOKUP($A256,Transpose!$A$1:$S$859,Cleaned!I$1)</f>
        <v>8775</v>
      </c>
      <c r="J256">
        <f>VLOOKUP($A256,Transpose!$A$1:$S$859,Cleaned!J$1)</f>
        <v>2986</v>
      </c>
      <c r="K256">
        <f>VLOOKUP($A256,Transpose!$A$1:$S$859,Cleaned!K$1)</f>
        <v>13</v>
      </c>
      <c r="L256">
        <f>VLOOKUP($A256,Transpose!$A$1:$S$859,Cleaned!L$1)</f>
        <v>85582</v>
      </c>
      <c r="M256">
        <f>VLOOKUP($A256,Transpose!$A$1:$S$859,Cleaned!M$1)</f>
        <v>3672</v>
      </c>
      <c r="N256">
        <f>VLOOKUP($A256,Transpose!$A$1:$S$859,Cleaned!N$1)</f>
        <v>2895</v>
      </c>
      <c r="O256">
        <f>VLOOKUP($A256,Transpose!$A$1:$S$859,Cleaned!O$1)</f>
        <v>78689</v>
      </c>
      <c r="P256">
        <f>VLOOKUP($A256,Transpose!$A$1:$S$859,Cleaned!P$1)</f>
        <v>325</v>
      </c>
      <c r="Q256">
        <f>VLOOKUP($A256,Transpose!$A$1:$S$859,Cleaned!Q$1)</f>
        <v>24</v>
      </c>
      <c r="R256">
        <f>VLOOKUP($A256,Transpose!$A$1:$S$859,Cleaned!R$1)</f>
        <v>2</v>
      </c>
      <c r="S256">
        <f>VLOOKUP($A256,Transpose!$A$1:$S$859,Cleaned!S$1)</f>
        <v>186</v>
      </c>
    </row>
    <row r="257" spans="1:19" x14ac:dyDescent="0.25">
      <c r="A257" s="2">
        <f t="shared" si="4"/>
        <v>40603</v>
      </c>
      <c r="B257">
        <f>VLOOKUP($A257,Transpose!$A$1:$S$859,Cleaned!B$1)</f>
        <v>139643</v>
      </c>
      <c r="C257">
        <f>VLOOKUP($A257,Transpose!$A$1:$S$859,Cleaned!C$1)</f>
        <v>133769</v>
      </c>
      <c r="D257">
        <f>VLOOKUP($A257,Transpose!$A$1:$S$859,Cleaned!D$1)</f>
        <v>2344</v>
      </c>
      <c r="E257">
        <f>VLOOKUP($A257,Transpose!$A$1:$S$859,Cleaned!E$1)</f>
        <v>3481</v>
      </c>
      <c r="F257">
        <f>VLOOKUP($A257,Transpose!$A$1:$S$859,Cleaned!F$1)</f>
        <v>48</v>
      </c>
      <c r="G257">
        <f>VLOOKUP($A257,Transpose!$A$1:$S$859,Cleaned!G$1)</f>
        <v>13716</v>
      </c>
      <c r="H257">
        <f>VLOOKUP($A257,Transpose!$A$1:$S$859,Cleaned!H$1)</f>
        <v>2124</v>
      </c>
      <c r="I257">
        <f>VLOOKUP($A257,Transpose!$A$1:$S$859,Cleaned!I$1)</f>
        <v>8676</v>
      </c>
      <c r="J257">
        <f>VLOOKUP($A257,Transpose!$A$1:$S$859,Cleaned!J$1)</f>
        <v>2885</v>
      </c>
      <c r="K257">
        <f>VLOOKUP($A257,Transpose!$A$1:$S$859,Cleaned!K$1)</f>
        <v>31</v>
      </c>
      <c r="L257">
        <f>VLOOKUP($A257,Transpose!$A$1:$S$859,Cleaned!L$1)</f>
        <v>85641</v>
      </c>
      <c r="M257">
        <f>VLOOKUP($A257,Transpose!$A$1:$S$859,Cleaned!M$1)</f>
        <v>3543</v>
      </c>
      <c r="N257">
        <f>VLOOKUP($A257,Transpose!$A$1:$S$859,Cleaned!N$1)</f>
        <v>2774</v>
      </c>
      <c r="O257">
        <f>VLOOKUP($A257,Transpose!$A$1:$S$859,Cleaned!O$1)</f>
        <v>79024</v>
      </c>
      <c r="P257">
        <f>VLOOKUP($A257,Transpose!$A$1:$S$859,Cleaned!P$1)</f>
        <v>300</v>
      </c>
      <c r="Q257">
        <f>VLOOKUP($A257,Transpose!$A$1:$S$859,Cleaned!Q$1)</f>
        <v>35</v>
      </c>
      <c r="R257">
        <f>VLOOKUP($A257,Transpose!$A$1:$S$859,Cleaned!R$1)</f>
        <v>3</v>
      </c>
      <c r="S257">
        <f>VLOOKUP($A257,Transpose!$A$1:$S$859,Cleaned!S$1)</f>
        <v>192</v>
      </c>
    </row>
    <row r="258" spans="1:19" x14ac:dyDescent="0.25">
      <c r="A258" s="2">
        <f t="shared" si="4"/>
        <v>40634</v>
      </c>
      <c r="B258">
        <f>VLOOKUP($A258,Transpose!$A$1:$S$859,Cleaned!B$1)</f>
        <v>139606</v>
      </c>
      <c r="C258">
        <f>VLOOKUP($A258,Transpose!$A$1:$S$859,Cleaned!C$1)</f>
        <v>133768</v>
      </c>
      <c r="D258">
        <f>VLOOKUP($A258,Transpose!$A$1:$S$859,Cleaned!D$1)</f>
        <v>2256</v>
      </c>
      <c r="E258">
        <f>VLOOKUP($A258,Transpose!$A$1:$S$859,Cleaned!E$1)</f>
        <v>3528</v>
      </c>
      <c r="F258">
        <f>VLOOKUP($A258,Transpose!$A$1:$S$859,Cleaned!F$1)</f>
        <v>53</v>
      </c>
      <c r="G258">
        <f>VLOOKUP($A258,Transpose!$A$1:$S$859,Cleaned!G$1)</f>
        <v>13872</v>
      </c>
      <c r="H258">
        <f>VLOOKUP($A258,Transpose!$A$1:$S$859,Cleaned!H$1)</f>
        <v>2276</v>
      </c>
      <c r="I258">
        <f>VLOOKUP($A258,Transpose!$A$1:$S$859,Cleaned!I$1)</f>
        <v>8617</v>
      </c>
      <c r="J258">
        <f>VLOOKUP($A258,Transpose!$A$1:$S$859,Cleaned!J$1)</f>
        <v>2966</v>
      </c>
      <c r="K258">
        <f>VLOOKUP($A258,Transpose!$A$1:$S$859,Cleaned!K$1)</f>
        <v>12</v>
      </c>
      <c r="L258">
        <f>VLOOKUP($A258,Transpose!$A$1:$S$859,Cleaned!L$1)</f>
        <v>85668</v>
      </c>
      <c r="M258">
        <f>VLOOKUP($A258,Transpose!$A$1:$S$859,Cleaned!M$1)</f>
        <v>3575</v>
      </c>
      <c r="N258">
        <f>VLOOKUP($A258,Transpose!$A$1:$S$859,Cleaned!N$1)</f>
        <v>2841</v>
      </c>
      <c r="O258">
        <f>VLOOKUP($A258,Transpose!$A$1:$S$859,Cleaned!O$1)</f>
        <v>78960</v>
      </c>
      <c r="P258">
        <f>VLOOKUP($A258,Transpose!$A$1:$S$859,Cleaned!P$1)</f>
        <v>292</v>
      </c>
      <c r="Q258">
        <f>VLOOKUP($A258,Transpose!$A$1:$S$859,Cleaned!Q$1)</f>
        <v>23</v>
      </c>
      <c r="R258">
        <f>VLOOKUP($A258,Transpose!$A$1:$S$859,Cleaned!R$1)</f>
        <v>2</v>
      </c>
      <c r="S258">
        <f>VLOOKUP($A258,Transpose!$A$1:$S$859,Cleaned!S$1)</f>
        <v>186</v>
      </c>
    </row>
    <row r="259" spans="1:19" x14ac:dyDescent="0.25">
      <c r="A259" s="2">
        <f t="shared" si="4"/>
        <v>40664</v>
      </c>
      <c r="B259">
        <f>VLOOKUP($A259,Transpose!$A$1:$S$859,Cleaned!B$1)</f>
        <v>139681</v>
      </c>
      <c r="C259">
        <f>VLOOKUP($A259,Transpose!$A$1:$S$859,Cleaned!C$1)</f>
        <v>133626</v>
      </c>
      <c r="D259">
        <f>VLOOKUP($A259,Transpose!$A$1:$S$859,Cleaned!D$1)</f>
        <v>2360</v>
      </c>
      <c r="E259">
        <f>VLOOKUP($A259,Transpose!$A$1:$S$859,Cleaned!E$1)</f>
        <v>3612</v>
      </c>
      <c r="F259">
        <f>VLOOKUP($A259,Transpose!$A$1:$S$859,Cleaned!F$1)</f>
        <v>82</v>
      </c>
      <c r="G259">
        <f>VLOOKUP($A259,Transpose!$A$1:$S$859,Cleaned!G$1)</f>
        <v>13871</v>
      </c>
      <c r="H259">
        <f>VLOOKUP($A259,Transpose!$A$1:$S$859,Cleaned!H$1)</f>
        <v>2207</v>
      </c>
      <c r="I259">
        <f>VLOOKUP($A259,Transpose!$A$1:$S$859,Cleaned!I$1)</f>
        <v>8696</v>
      </c>
      <c r="J259">
        <f>VLOOKUP($A259,Transpose!$A$1:$S$859,Cleaned!J$1)</f>
        <v>2944</v>
      </c>
      <c r="K259">
        <f>VLOOKUP($A259,Transpose!$A$1:$S$859,Cleaned!K$1)</f>
        <v>24</v>
      </c>
      <c r="L259">
        <f>VLOOKUP($A259,Transpose!$A$1:$S$859,Cleaned!L$1)</f>
        <v>85761</v>
      </c>
      <c r="M259">
        <f>VLOOKUP($A259,Transpose!$A$1:$S$859,Cleaned!M$1)</f>
        <v>3749</v>
      </c>
      <c r="N259">
        <f>VLOOKUP($A259,Transpose!$A$1:$S$859,Cleaned!N$1)</f>
        <v>2814</v>
      </c>
      <c r="O259">
        <f>VLOOKUP($A259,Transpose!$A$1:$S$859,Cleaned!O$1)</f>
        <v>78926</v>
      </c>
      <c r="P259">
        <f>VLOOKUP($A259,Transpose!$A$1:$S$859,Cleaned!P$1)</f>
        <v>272</v>
      </c>
      <c r="Q259">
        <f>VLOOKUP($A259,Transpose!$A$1:$S$859,Cleaned!Q$1)</f>
        <v>23</v>
      </c>
      <c r="R259">
        <f>VLOOKUP($A259,Transpose!$A$1:$S$859,Cleaned!R$1)</f>
        <v>2</v>
      </c>
      <c r="S259">
        <f>VLOOKUP($A259,Transpose!$A$1:$S$859,Cleaned!S$1)</f>
        <v>186</v>
      </c>
    </row>
    <row r="260" spans="1:19" x14ac:dyDescent="0.25">
      <c r="A260" s="2">
        <f t="shared" si="4"/>
        <v>40695</v>
      </c>
      <c r="B260">
        <f>VLOOKUP($A260,Transpose!$A$1:$S$859,Cleaned!B$1)</f>
        <v>139405</v>
      </c>
      <c r="C260">
        <f>VLOOKUP($A260,Transpose!$A$1:$S$859,Cleaned!C$1)</f>
        <v>133627</v>
      </c>
      <c r="D260">
        <f>VLOOKUP($A260,Transpose!$A$1:$S$859,Cleaned!D$1)</f>
        <v>2422</v>
      </c>
      <c r="E260">
        <f>VLOOKUP($A260,Transpose!$A$1:$S$859,Cleaned!E$1)</f>
        <v>3307</v>
      </c>
      <c r="F260">
        <f>VLOOKUP($A260,Transpose!$A$1:$S$859,Cleaned!F$1)</f>
        <v>49</v>
      </c>
      <c r="G260">
        <f>VLOOKUP($A260,Transpose!$A$1:$S$859,Cleaned!G$1)</f>
        <v>13964</v>
      </c>
      <c r="H260">
        <f>VLOOKUP($A260,Transpose!$A$1:$S$859,Cleaned!H$1)</f>
        <v>2156</v>
      </c>
      <c r="I260">
        <f>VLOOKUP($A260,Transpose!$A$1:$S$859,Cleaned!I$1)</f>
        <v>8658</v>
      </c>
      <c r="J260">
        <f>VLOOKUP($A260,Transpose!$A$1:$S$859,Cleaned!J$1)</f>
        <v>3131</v>
      </c>
      <c r="K260">
        <f>VLOOKUP($A260,Transpose!$A$1:$S$859,Cleaned!K$1)</f>
        <v>19</v>
      </c>
      <c r="L260">
        <f>VLOOKUP($A260,Transpose!$A$1:$S$859,Cleaned!L$1)</f>
        <v>86120</v>
      </c>
      <c r="M260">
        <f>VLOOKUP($A260,Transpose!$A$1:$S$859,Cleaned!M$1)</f>
        <v>3866</v>
      </c>
      <c r="N260">
        <f>VLOOKUP($A260,Transpose!$A$1:$S$859,Cleaned!N$1)</f>
        <v>2790</v>
      </c>
      <c r="O260">
        <f>VLOOKUP($A260,Transpose!$A$1:$S$859,Cleaned!O$1)</f>
        <v>79130</v>
      </c>
      <c r="P260">
        <f>VLOOKUP($A260,Transpose!$A$1:$S$859,Cleaned!P$1)</f>
        <v>335</v>
      </c>
      <c r="Q260">
        <f>VLOOKUP($A260,Transpose!$A$1:$S$859,Cleaned!Q$1)</f>
        <v>32</v>
      </c>
      <c r="R260">
        <f>VLOOKUP($A260,Transpose!$A$1:$S$859,Cleaned!R$1)</f>
        <v>2</v>
      </c>
      <c r="S260">
        <f>VLOOKUP($A260,Transpose!$A$1:$S$859,Cleaned!S$1)</f>
        <v>193</v>
      </c>
    </row>
    <row r="261" spans="1:19" x14ac:dyDescent="0.25">
      <c r="A261" s="2">
        <f t="shared" ref="A261:A290" si="5">DATE(YEAR(A260),MONTH(A260)+1,1)</f>
        <v>40725</v>
      </c>
      <c r="B261">
        <f>VLOOKUP($A261,Transpose!$A$1:$S$859,Cleaned!B$1)</f>
        <v>139509</v>
      </c>
      <c r="C261">
        <f>VLOOKUP($A261,Transpose!$A$1:$S$859,Cleaned!C$1)</f>
        <v>133401</v>
      </c>
      <c r="D261">
        <f>VLOOKUP($A261,Transpose!$A$1:$S$859,Cleaned!D$1)</f>
        <v>2375</v>
      </c>
      <c r="E261">
        <f>VLOOKUP($A261,Transpose!$A$1:$S$859,Cleaned!E$1)</f>
        <v>3710</v>
      </c>
      <c r="F261">
        <f>VLOOKUP($A261,Transpose!$A$1:$S$859,Cleaned!F$1)</f>
        <v>23</v>
      </c>
      <c r="G261">
        <f>VLOOKUP($A261,Transpose!$A$1:$S$859,Cleaned!G$1)</f>
        <v>13817</v>
      </c>
      <c r="H261">
        <f>VLOOKUP($A261,Transpose!$A$1:$S$859,Cleaned!H$1)</f>
        <v>2135</v>
      </c>
      <c r="I261">
        <f>VLOOKUP($A261,Transpose!$A$1:$S$859,Cleaned!I$1)</f>
        <v>8630</v>
      </c>
      <c r="J261">
        <f>VLOOKUP($A261,Transpose!$A$1:$S$859,Cleaned!J$1)</f>
        <v>3038</v>
      </c>
      <c r="K261">
        <f>VLOOKUP($A261,Transpose!$A$1:$S$859,Cleaned!K$1)</f>
        <v>13</v>
      </c>
      <c r="L261">
        <f>VLOOKUP($A261,Transpose!$A$1:$S$859,Cleaned!L$1)</f>
        <v>86345</v>
      </c>
      <c r="M261">
        <f>VLOOKUP($A261,Transpose!$A$1:$S$859,Cleaned!M$1)</f>
        <v>3816</v>
      </c>
      <c r="N261">
        <f>VLOOKUP($A261,Transpose!$A$1:$S$859,Cleaned!N$1)</f>
        <v>2955</v>
      </c>
      <c r="O261">
        <f>VLOOKUP($A261,Transpose!$A$1:$S$859,Cleaned!O$1)</f>
        <v>79164</v>
      </c>
      <c r="P261">
        <f>VLOOKUP($A261,Transpose!$A$1:$S$859,Cleaned!P$1)</f>
        <v>411</v>
      </c>
      <c r="Q261">
        <f>VLOOKUP($A261,Transpose!$A$1:$S$859,Cleaned!Q$1)</f>
        <v>54</v>
      </c>
      <c r="R261">
        <f>VLOOKUP($A261,Transpose!$A$1:$S$859,Cleaned!R$1)</f>
        <v>4</v>
      </c>
      <c r="S261">
        <f>VLOOKUP($A261,Transpose!$A$1:$S$859,Cleaned!S$1)</f>
        <v>208</v>
      </c>
    </row>
    <row r="262" spans="1:19" x14ac:dyDescent="0.25">
      <c r="A262" s="2">
        <f t="shared" si="5"/>
        <v>40756</v>
      </c>
      <c r="B262">
        <f>VLOOKUP($A262,Transpose!$A$1:$S$859,Cleaned!B$1)</f>
        <v>139870</v>
      </c>
      <c r="C262">
        <f>VLOOKUP($A262,Transpose!$A$1:$S$859,Cleaned!C$1)</f>
        <v>133901</v>
      </c>
      <c r="D262">
        <f>VLOOKUP($A262,Transpose!$A$1:$S$859,Cleaned!D$1)</f>
        <v>2400</v>
      </c>
      <c r="E262">
        <f>VLOOKUP($A262,Transpose!$A$1:$S$859,Cleaned!E$1)</f>
        <v>3502</v>
      </c>
      <c r="F262">
        <f>VLOOKUP($A262,Transpose!$A$1:$S$859,Cleaned!F$1)</f>
        <v>68</v>
      </c>
      <c r="G262">
        <f>VLOOKUP($A262,Transpose!$A$1:$S$859,Cleaned!G$1)</f>
        <v>13837</v>
      </c>
      <c r="H262">
        <f>VLOOKUP($A262,Transpose!$A$1:$S$859,Cleaned!H$1)</f>
        <v>2043</v>
      </c>
      <c r="I262">
        <f>VLOOKUP($A262,Transpose!$A$1:$S$859,Cleaned!I$1)</f>
        <v>8671</v>
      </c>
      <c r="J262">
        <f>VLOOKUP($A262,Transpose!$A$1:$S$859,Cleaned!J$1)</f>
        <v>3099</v>
      </c>
      <c r="K262">
        <f>VLOOKUP($A262,Transpose!$A$1:$S$859,Cleaned!K$1)</f>
        <v>23</v>
      </c>
      <c r="L262">
        <f>VLOOKUP($A262,Transpose!$A$1:$S$859,Cleaned!L$1)</f>
        <v>86165</v>
      </c>
      <c r="M262">
        <f>VLOOKUP($A262,Transpose!$A$1:$S$859,Cleaned!M$1)</f>
        <v>3541</v>
      </c>
      <c r="N262">
        <f>VLOOKUP($A262,Transpose!$A$1:$S$859,Cleaned!N$1)</f>
        <v>2744</v>
      </c>
      <c r="O262">
        <f>VLOOKUP($A262,Transpose!$A$1:$S$859,Cleaned!O$1)</f>
        <v>79558</v>
      </c>
      <c r="P262">
        <f>VLOOKUP($A262,Transpose!$A$1:$S$859,Cleaned!P$1)</f>
        <v>322</v>
      </c>
      <c r="Q262">
        <f>VLOOKUP($A262,Transpose!$A$1:$S$859,Cleaned!Q$1)</f>
        <v>24</v>
      </c>
      <c r="R262">
        <f>VLOOKUP($A262,Transpose!$A$1:$S$859,Cleaned!R$1)</f>
        <v>2</v>
      </c>
      <c r="S262">
        <f>VLOOKUP($A262,Transpose!$A$1:$S$859,Cleaned!S$1)</f>
        <v>187</v>
      </c>
    </row>
    <row r="263" spans="1:19" x14ac:dyDescent="0.25">
      <c r="A263" s="2">
        <f t="shared" si="5"/>
        <v>40787</v>
      </c>
      <c r="B263">
        <f>VLOOKUP($A263,Transpose!$A$1:$S$859,Cleaned!B$1)</f>
        <v>140164</v>
      </c>
      <c r="C263">
        <f>VLOOKUP($A263,Transpose!$A$1:$S$859,Cleaned!C$1)</f>
        <v>133978</v>
      </c>
      <c r="D263">
        <f>VLOOKUP($A263,Transpose!$A$1:$S$859,Cleaned!D$1)</f>
        <v>2396</v>
      </c>
      <c r="E263">
        <f>VLOOKUP($A263,Transpose!$A$1:$S$859,Cleaned!E$1)</f>
        <v>3752</v>
      </c>
      <c r="F263">
        <f>VLOOKUP($A263,Transpose!$A$1:$S$859,Cleaned!F$1)</f>
        <v>38</v>
      </c>
      <c r="G263">
        <f>VLOOKUP($A263,Transpose!$A$1:$S$859,Cleaned!G$1)</f>
        <v>13910</v>
      </c>
      <c r="H263">
        <f>VLOOKUP($A263,Transpose!$A$1:$S$859,Cleaned!H$1)</f>
        <v>2384</v>
      </c>
      <c r="I263">
        <f>VLOOKUP($A263,Transpose!$A$1:$S$859,Cleaned!I$1)</f>
        <v>8462</v>
      </c>
      <c r="J263">
        <f>VLOOKUP($A263,Transpose!$A$1:$S$859,Cleaned!J$1)</f>
        <v>3053</v>
      </c>
      <c r="K263">
        <f>VLOOKUP($A263,Transpose!$A$1:$S$859,Cleaned!K$1)</f>
        <v>11</v>
      </c>
      <c r="L263">
        <f>VLOOKUP($A263,Transpose!$A$1:$S$859,Cleaned!L$1)</f>
        <v>85997</v>
      </c>
      <c r="M263">
        <f>VLOOKUP($A263,Transpose!$A$1:$S$859,Cleaned!M$1)</f>
        <v>3484</v>
      </c>
      <c r="N263">
        <f>VLOOKUP($A263,Transpose!$A$1:$S$859,Cleaned!N$1)</f>
        <v>2978</v>
      </c>
      <c r="O263">
        <f>VLOOKUP($A263,Transpose!$A$1:$S$859,Cleaned!O$1)</f>
        <v>79173</v>
      </c>
      <c r="P263">
        <f>VLOOKUP($A263,Transpose!$A$1:$S$859,Cleaned!P$1)</f>
        <v>362</v>
      </c>
      <c r="Q263">
        <f>VLOOKUP($A263,Transpose!$A$1:$S$859,Cleaned!Q$1)</f>
        <v>24</v>
      </c>
      <c r="R263">
        <f>VLOOKUP($A263,Transpose!$A$1:$S$859,Cleaned!R$1)</f>
        <v>2</v>
      </c>
      <c r="S263">
        <f>VLOOKUP($A263,Transpose!$A$1:$S$859,Cleaned!S$1)</f>
        <v>187</v>
      </c>
    </row>
    <row r="264" spans="1:19" x14ac:dyDescent="0.25">
      <c r="A264" s="2">
        <f t="shared" si="5"/>
        <v>40817</v>
      </c>
      <c r="B264">
        <f>VLOOKUP($A264,Transpose!$A$1:$S$859,Cleaned!B$1)</f>
        <v>140314</v>
      </c>
      <c r="C264">
        <f>VLOOKUP($A264,Transpose!$A$1:$S$859,Cleaned!C$1)</f>
        <v>134231</v>
      </c>
      <c r="D264">
        <f>VLOOKUP($A264,Transpose!$A$1:$S$859,Cleaned!D$1)</f>
        <v>2448</v>
      </c>
      <c r="E264">
        <f>VLOOKUP($A264,Transpose!$A$1:$S$859,Cleaned!E$1)</f>
        <v>3571</v>
      </c>
      <c r="F264">
        <f>VLOOKUP($A264,Transpose!$A$1:$S$859,Cleaned!F$1)</f>
        <v>64</v>
      </c>
      <c r="G264">
        <f>VLOOKUP($A264,Transpose!$A$1:$S$859,Cleaned!G$1)</f>
        <v>13696</v>
      </c>
      <c r="H264">
        <f>VLOOKUP($A264,Transpose!$A$1:$S$859,Cleaned!H$1)</f>
        <v>2170</v>
      </c>
      <c r="I264">
        <f>VLOOKUP($A264,Transpose!$A$1:$S$859,Cleaned!I$1)</f>
        <v>8778</v>
      </c>
      <c r="J264">
        <f>VLOOKUP($A264,Transpose!$A$1:$S$859,Cleaned!J$1)</f>
        <v>2728</v>
      </c>
      <c r="K264">
        <f>VLOOKUP($A264,Transpose!$A$1:$S$859,Cleaned!K$1)</f>
        <v>20</v>
      </c>
      <c r="L264">
        <f>VLOOKUP($A264,Transpose!$A$1:$S$859,Cleaned!L$1)</f>
        <v>86260</v>
      </c>
      <c r="M264">
        <f>VLOOKUP($A264,Transpose!$A$1:$S$859,Cleaned!M$1)</f>
        <v>3740</v>
      </c>
      <c r="N264">
        <f>VLOOKUP($A264,Transpose!$A$1:$S$859,Cleaned!N$1)</f>
        <v>2682</v>
      </c>
      <c r="O264">
        <f>VLOOKUP($A264,Transpose!$A$1:$S$859,Cleaned!O$1)</f>
        <v>79512</v>
      </c>
      <c r="P264">
        <f>VLOOKUP($A264,Transpose!$A$1:$S$859,Cleaned!P$1)</f>
        <v>326</v>
      </c>
      <c r="Q264">
        <f>VLOOKUP($A264,Transpose!$A$1:$S$859,Cleaned!Q$1)</f>
        <v>24</v>
      </c>
      <c r="R264">
        <f>VLOOKUP($A264,Transpose!$A$1:$S$859,Cleaned!R$1)</f>
        <v>2</v>
      </c>
      <c r="S264">
        <f>VLOOKUP($A264,Transpose!$A$1:$S$859,Cleaned!S$1)</f>
        <v>187</v>
      </c>
    </row>
    <row r="265" spans="1:19" x14ac:dyDescent="0.25">
      <c r="A265" s="2">
        <f t="shared" si="5"/>
        <v>40848</v>
      </c>
      <c r="B265">
        <f>VLOOKUP($A265,Transpose!$A$1:$S$859,Cleaned!B$1)</f>
        <v>140771</v>
      </c>
      <c r="C265">
        <f>VLOOKUP($A265,Transpose!$A$1:$S$859,Cleaned!C$1)</f>
        <v>134584</v>
      </c>
      <c r="D265">
        <f>VLOOKUP($A265,Transpose!$A$1:$S$859,Cleaned!D$1)</f>
        <v>2483</v>
      </c>
      <c r="E265">
        <f>VLOOKUP($A265,Transpose!$A$1:$S$859,Cleaned!E$1)</f>
        <v>3650</v>
      </c>
      <c r="F265">
        <f>VLOOKUP($A265,Transpose!$A$1:$S$859,Cleaned!F$1)</f>
        <v>54</v>
      </c>
      <c r="G265">
        <f>VLOOKUP($A265,Transpose!$A$1:$S$859,Cleaned!G$1)</f>
        <v>13325</v>
      </c>
      <c r="H265">
        <f>VLOOKUP($A265,Transpose!$A$1:$S$859,Cleaned!H$1)</f>
        <v>2104</v>
      </c>
      <c r="I265">
        <f>VLOOKUP($A265,Transpose!$A$1:$S$859,Cleaned!I$1)</f>
        <v>8442</v>
      </c>
      <c r="J265">
        <f>VLOOKUP($A265,Transpose!$A$1:$S$859,Cleaned!J$1)</f>
        <v>2761</v>
      </c>
      <c r="K265">
        <f>VLOOKUP($A265,Transpose!$A$1:$S$859,Cleaned!K$1)</f>
        <v>18</v>
      </c>
      <c r="L265">
        <f>VLOOKUP($A265,Transpose!$A$1:$S$859,Cleaned!L$1)</f>
        <v>86345</v>
      </c>
      <c r="M265">
        <f>VLOOKUP($A265,Transpose!$A$1:$S$859,Cleaned!M$1)</f>
        <v>3601</v>
      </c>
      <c r="N265">
        <f>VLOOKUP($A265,Transpose!$A$1:$S$859,Cleaned!N$1)</f>
        <v>2769</v>
      </c>
      <c r="O265">
        <f>VLOOKUP($A265,Transpose!$A$1:$S$859,Cleaned!O$1)</f>
        <v>79662</v>
      </c>
      <c r="P265">
        <f>VLOOKUP($A265,Transpose!$A$1:$S$859,Cleaned!P$1)</f>
        <v>312</v>
      </c>
      <c r="Q265">
        <f>VLOOKUP($A265,Transpose!$A$1:$S$859,Cleaned!Q$1)</f>
        <v>24</v>
      </c>
      <c r="R265">
        <f>VLOOKUP($A265,Transpose!$A$1:$S$859,Cleaned!R$1)</f>
        <v>2</v>
      </c>
      <c r="S265">
        <f>VLOOKUP($A265,Transpose!$A$1:$S$859,Cleaned!S$1)</f>
        <v>187</v>
      </c>
    </row>
    <row r="266" spans="1:19" x14ac:dyDescent="0.25">
      <c r="A266" s="2">
        <f t="shared" si="5"/>
        <v>40878</v>
      </c>
      <c r="B266">
        <f>VLOOKUP($A266,Transpose!$A$1:$S$859,Cleaned!B$1)</f>
        <v>140896</v>
      </c>
      <c r="C266">
        <f>VLOOKUP($A266,Transpose!$A$1:$S$859,Cleaned!C$1)</f>
        <v>134779</v>
      </c>
      <c r="D266">
        <f>VLOOKUP($A266,Transpose!$A$1:$S$859,Cleaned!D$1)</f>
        <v>2503</v>
      </c>
      <c r="E266">
        <f>VLOOKUP($A266,Transpose!$A$1:$S$859,Cleaned!E$1)</f>
        <v>3516</v>
      </c>
      <c r="F266">
        <f>VLOOKUP($A266,Transpose!$A$1:$S$859,Cleaned!F$1)</f>
        <v>98</v>
      </c>
      <c r="G266">
        <f>VLOOKUP($A266,Transpose!$A$1:$S$859,Cleaned!G$1)</f>
        <v>13049</v>
      </c>
      <c r="H266">
        <f>VLOOKUP($A266,Transpose!$A$1:$S$859,Cleaned!H$1)</f>
        <v>2053</v>
      </c>
      <c r="I266">
        <f>VLOOKUP($A266,Transpose!$A$1:$S$859,Cleaned!I$1)</f>
        <v>8087</v>
      </c>
      <c r="J266">
        <f>VLOOKUP($A266,Transpose!$A$1:$S$859,Cleaned!J$1)</f>
        <v>2889</v>
      </c>
      <c r="K266">
        <f>VLOOKUP($A266,Transpose!$A$1:$S$859,Cleaned!K$1)</f>
        <v>21</v>
      </c>
      <c r="L266">
        <f>VLOOKUP($A266,Transpose!$A$1:$S$859,Cleaned!L$1)</f>
        <v>86640</v>
      </c>
      <c r="M266">
        <f>VLOOKUP($A266,Transpose!$A$1:$S$859,Cleaned!M$1)</f>
        <v>3916</v>
      </c>
      <c r="N266">
        <f>VLOOKUP($A266,Transpose!$A$1:$S$859,Cleaned!N$1)</f>
        <v>2733</v>
      </c>
      <c r="O266">
        <f>VLOOKUP($A266,Transpose!$A$1:$S$859,Cleaned!O$1)</f>
        <v>79753</v>
      </c>
      <c r="P266">
        <f>VLOOKUP($A266,Transpose!$A$1:$S$859,Cleaned!P$1)</f>
        <v>238</v>
      </c>
      <c r="Q266">
        <f>VLOOKUP($A266,Transpose!$A$1:$S$859,Cleaned!Q$1)</f>
        <v>24</v>
      </c>
      <c r="R266">
        <f>VLOOKUP($A266,Transpose!$A$1:$S$859,Cleaned!R$1)</f>
        <v>2</v>
      </c>
      <c r="S266">
        <f>VLOOKUP($A266,Transpose!$A$1:$S$859,Cleaned!S$1)</f>
        <v>187</v>
      </c>
    </row>
    <row r="267" spans="1:19" x14ac:dyDescent="0.25">
      <c r="A267" s="2">
        <f t="shared" si="5"/>
        <v>40909</v>
      </c>
      <c r="B267">
        <f>VLOOKUP($A267,Transpose!$A$1:$S$859,Cleaned!B$1)</f>
        <v>141608</v>
      </c>
      <c r="C267">
        <f>VLOOKUP($A267,Transpose!$A$1:$S$859,Cleaned!C$1)</f>
        <v>134862</v>
      </c>
      <c r="D267">
        <f>VLOOKUP($A267,Transpose!$A$1:$S$859,Cleaned!D$1)</f>
        <v>2407</v>
      </c>
      <c r="E267">
        <f>VLOOKUP($A267,Transpose!$A$1:$S$859,Cleaned!E$1)</f>
        <v>3462</v>
      </c>
      <c r="F267">
        <f>VLOOKUP($A267,Transpose!$A$1:$S$859,Cleaned!F$1)</f>
        <v>877</v>
      </c>
      <c r="G267">
        <f>VLOOKUP($A267,Transpose!$A$1:$S$859,Cleaned!G$1)</f>
        <v>12748</v>
      </c>
      <c r="H267">
        <f>VLOOKUP($A267,Transpose!$A$1:$S$859,Cleaned!H$1)</f>
        <v>1983</v>
      </c>
      <c r="I267">
        <f>VLOOKUP($A267,Transpose!$A$1:$S$859,Cleaned!I$1)</f>
        <v>7793</v>
      </c>
      <c r="J267">
        <f>VLOOKUP($A267,Transpose!$A$1:$S$859,Cleaned!J$1)</f>
        <v>2885</v>
      </c>
      <c r="K267">
        <f>VLOOKUP($A267,Transpose!$A$1:$S$859,Cleaned!K$1)</f>
        <v>86</v>
      </c>
      <c r="L267">
        <f>VLOOKUP($A267,Transpose!$A$1:$S$859,Cleaned!L$1)</f>
        <v>87913</v>
      </c>
      <c r="M267">
        <f>VLOOKUP($A267,Transpose!$A$1:$S$859,Cleaned!M$1)</f>
        <v>3978</v>
      </c>
      <c r="N267">
        <f>VLOOKUP($A267,Transpose!$A$1:$S$859,Cleaned!N$1)</f>
        <v>2842</v>
      </c>
      <c r="O267">
        <f>VLOOKUP($A267,Transpose!$A$1:$S$859,Cleaned!O$1)</f>
        <v>80083</v>
      </c>
      <c r="P267">
        <f>VLOOKUP($A267,Transpose!$A$1:$S$859,Cleaned!P$1)</f>
        <v>1011</v>
      </c>
      <c r="Q267">
        <f>VLOOKUP($A267,Transpose!$A$1:$S$859,Cleaned!Q$1)</f>
        <v>73</v>
      </c>
      <c r="R267">
        <f>VLOOKUP($A267,Transpose!$A$1:$S$859,Cleaned!R$1)</f>
        <v>6</v>
      </c>
      <c r="S267">
        <f>VLOOKUP($A267,Transpose!$A$1:$S$859,Cleaned!S$1)</f>
        <v>210</v>
      </c>
    </row>
    <row r="268" spans="1:19" x14ac:dyDescent="0.25">
      <c r="A268" s="2">
        <f t="shared" si="5"/>
        <v>40940</v>
      </c>
      <c r="B268">
        <f>VLOOKUP($A268,Transpose!$A$1:$S$859,Cleaned!B$1)</f>
        <v>142019</v>
      </c>
      <c r="C268">
        <f>VLOOKUP($A268,Transpose!$A$1:$S$859,Cleaned!C$1)</f>
        <v>136101</v>
      </c>
      <c r="D268">
        <f>VLOOKUP($A268,Transpose!$A$1:$S$859,Cleaned!D$1)</f>
        <v>2355</v>
      </c>
      <c r="E268">
        <f>VLOOKUP($A268,Transpose!$A$1:$S$859,Cleaned!E$1)</f>
        <v>3544</v>
      </c>
      <c r="F268">
        <f>VLOOKUP($A268,Transpose!$A$1:$S$859,Cleaned!F$1)</f>
        <v>18</v>
      </c>
      <c r="G268">
        <f>VLOOKUP($A268,Transpose!$A$1:$S$859,Cleaned!G$1)</f>
        <v>12806</v>
      </c>
      <c r="H268">
        <f>VLOOKUP($A268,Transpose!$A$1:$S$859,Cleaned!H$1)</f>
        <v>1943</v>
      </c>
      <c r="I268">
        <f>VLOOKUP($A268,Transpose!$A$1:$S$859,Cleaned!I$1)</f>
        <v>7753</v>
      </c>
      <c r="J268">
        <f>VLOOKUP($A268,Transpose!$A$1:$S$859,Cleaned!J$1)</f>
        <v>3093</v>
      </c>
      <c r="K268">
        <f>VLOOKUP($A268,Transpose!$A$1:$S$859,Cleaned!K$1)</f>
        <v>17</v>
      </c>
      <c r="L268">
        <f>VLOOKUP($A268,Transpose!$A$1:$S$859,Cleaned!L$1)</f>
        <v>87611</v>
      </c>
      <c r="M268">
        <f>VLOOKUP($A268,Transpose!$A$1:$S$859,Cleaned!M$1)</f>
        <v>3535</v>
      </c>
      <c r="N268">
        <f>VLOOKUP($A268,Transpose!$A$1:$S$859,Cleaned!N$1)</f>
        <v>2637</v>
      </c>
      <c r="O268">
        <f>VLOOKUP($A268,Transpose!$A$1:$S$859,Cleaned!O$1)</f>
        <v>81084</v>
      </c>
      <c r="P268">
        <f>VLOOKUP($A268,Transpose!$A$1:$S$859,Cleaned!P$1)</f>
        <v>355</v>
      </c>
      <c r="Q268">
        <f>VLOOKUP($A268,Transpose!$A$1:$S$859,Cleaned!Q$1)</f>
        <v>30</v>
      </c>
      <c r="R268">
        <f>VLOOKUP($A268,Transpose!$A$1:$S$859,Cleaned!R$1)</f>
        <v>2</v>
      </c>
      <c r="S268">
        <f>VLOOKUP($A268,Transpose!$A$1:$S$859,Cleaned!S$1)</f>
        <v>191</v>
      </c>
    </row>
    <row r="269" spans="1:19" x14ac:dyDescent="0.25">
      <c r="A269" s="2">
        <f t="shared" si="5"/>
        <v>40969</v>
      </c>
      <c r="B269">
        <f>VLOOKUP($A269,Transpose!$A$1:$S$859,Cleaned!B$1)</f>
        <v>142020</v>
      </c>
      <c r="C269">
        <f>VLOOKUP($A269,Transpose!$A$1:$S$859,Cleaned!C$1)</f>
        <v>136131</v>
      </c>
      <c r="D269">
        <f>VLOOKUP($A269,Transpose!$A$1:$S$859,Cleaned!D$1)</f>
        <v>2324</v>
      </c>
      <c r="E269">
        <f>VLOOKUP($A269,Transpose!$A$1:$S$859,Cleaned!E$1)</f>
        <v>3490</v>
      </c>
      <c r="F269">
        <f>VLOOKUP($A269,Transpose!$A$1:$S$859,Cleaned!F$1)</f>
        <v>75</v>
      </c>
      <c r="G269">
        <f>VLOOKUP($A269,Transpose!$A$1:$S$859,Cleaned!G$1)</f>
        <v>12686</v>
      </c>
      <c r="H269">
        <f>VLOOKUP($A269,Transpose!$A$1:$S$859,Cleaned!H$1)</f>
        <v>2091</v>
      </c>
      <c r="I269">
        <f>VLOOKUP($A269,Transpose!$A$1:$S$859,Cleaned!I$1)</f>
        <v>7737</v>
      </c>
      <c r="J269">
        <f>VLOOKUP($A269,Transpose!$A$1:$S$859,Cleaned!J$1)</f>
        <v>2852</v>
      </c>
      <c r="K269">
        <f>VLOOKUP($A269,Transpose!$A$1:$S$859,Cleaned!K$1)</f>
        <v>6</v>
      </c>
      <c r="L269">
        <f>VLOOKUP($A269,Transpose!$A$1:$S$859,Cleaned!L$1)</f>
        <v>87898</v>
      </c>
      <c r="M269">
        <f>VLOOKUP($A269,Transpose!$A$1:$S$859,Cleaned!M$1)</f>
        <v>3773</v>
      </c>
      <c r="N269">
        <f>VLOOKUP($A269,Transpose!$A$1:$S$859,Cleaned!N$1)</f>
        <v>2743</v>
      </c>
      <c r="O269">
        <f>VLOOKUP($A269,Transpose!$A$1:$S$859,Cleaned!O$1)</f>
        <v>81080</v>
      </c>
      <c r="P269">
        <f>VLOOKUP($A269,Transpose!$A$1:$S$859,Cleaned!P$1)</f>
        <v>302</v>
      </c>
      <c r="Q269">
        <f>VLOOKUP($A269,Transpose!$A$1:$S$859,Cleaned!Q$1)</f>
        <v>24</v>
      </c>
      <c r="R269">
        <f>VLOOKUP($A269,Transpose!$A$1:$S$859,Cleaned!R$1)</f>
        <v>2</v>
      </c>
      <c r="S269">
        <f>VLOOKUP($A269,Transpose!$A$1:$S$859,Cleaned!S$1)</f>
        <v>189</v>
      </c>
    </row>
    <row r="270" spans="1:19" x14ac:dyDescent="0.25">
      <c r="A270" s="2">
        <f t="shared" si="5"/>
        <v>41000</v>
      </c>
      <c r="B270">
        <f>VLOOKUP($A270,Transpose!$A$1:$S$859,Cleaned!B$1)</f>
        <v>141934</v>
      </c>
      <c r="C270">
        <f>VLOOKUP($A270,Transpose!$A$1:$S$859,Cleaned!C$1)</f>
        <v>136027</v>
      </c>
      <c r="D270">
        <f>VLOOKUP($A270,Transpose!$A$1:$S$859,Cleaned!D$1)</f>
        <v>2271</v>
      </c>
      <c r="E270">
        <f>VLOOKUP($A270,Transpose!$A$1:$S$859,Cleaned!E$1)</f>
        <v>3565</v>
      </c>
      <c r="F270">
        <f>VLOOKUP($A270,Transpose!$A$1:$S$859,Cleaned!F$1)</f>
        <v>71</v>
      </c>
      <c r="G270">
        <f>VLOOKUP($A270,Transpose!$A$1:$S$859,Cleaned!G$1)</f>
        <v>12518</v>
      </c>
      <c r="H270">
        <f>VLOOKUP($A270,Transpose!$A$1:$S$859,Cleaned!H$1)</f>
        <v>2004</v>
      </c>
      <c r="I270">
        <f>VLOOKUP($A270,Transpose!$A$1:$S$859,Cleaned!I$1)</f>
        <v>7744</v>
      </c>
      <c r="J270">
        <f>VLOOKUP($A270,Transpose!$A$1:$S$859,Cleaned!J$1)</f>
        <v>2753</v>
      </c>
      <c r="K270">
        <f>VLOOKUP($A270,Transpose!$A$1:$S$859,Cleaned!K$1)</f>
        <v>17</v>
      </c>
      <c r="L270">
        <f>VLOOKUP($A270,Transpose!$A$1:$S$859,Cleaned!L$1)</f>
        <v>88332</v>
      </c>
      <c r="M270">
        <f>VLOOKUP($A270,Transpose!$A$1:$S$859,Cleaned!M$1)</f>
        <v>3966</v>
      </c>
      <c r="N270">
        <f>VLOOKUP($A270,Transpose!$A$1:$S$859,Cleaned!N$1)</f>
        <v>2669</v>
      </c>
      <c r="O270">
        <f>VLOOKUP($A270,Transpose!$A$1:$S$859,Cleaned!O$1)</f>
        <v>81391</v>
      </c>
      <c r="P270">
        <f>VLOOKUP($A270,Transpose!$A$1:$S$859,Cleaned!P$1)</f>
        <v>306</v>
      </c>
      <c r="Q270">
        <f>VLOOKUP($A270,Transpose!$A$1:$S$859,Cleaned!Q$1)</f>
        <v>24</v>
      </c>
      <c r="R270">
        <f>VLOOKUP($A270,Transpose!$A$1:$S$859,Cleaned!R$1)</f>
        <v>2</v>
      </c>
      <c r="S270">
        <f>VLOOKUP($A270,Transpose!$A$1:$S$859,Cleaned!S$1)</f>
        <v>189</v>
      </c>
    </row>
    <row r="271" spans="1:19" x14ac:dyDescent="0.25">
      <c r="A271" s="2">
        <f t="shared" si="5"/>
        <v>41030</v>
      </c>
      <c r="B271">
        <f>VLOOKUP($A271,Transpose!$A$1:$S$859,Cleaned!B$1)</f>
        <v>142302</v>
      </c>
      <c r="C271">
        <f>VLOOKUP($A271,Transpose!$A$1:$S$859,Cleaned!C$1)</f>
        <v>136289</v>
      </c>
      <c r="D271">
        <f>VLOOKUP($A271,Transpose!$A$1:$S$859,Cleaned!D$1)</f>
        <v>2263</v>
      </c>
      <c r="E271">
        <f>VLOOKUP($A271,Transpose!$A$1:$S$859,Cleaned!E$1)</f>
        <v>3693</v>
      </c>
      <c r="F271">
        <f>VLOOKUP($A271,Transpose!$A$1:$S$859,Cleaned!F$1)</f>
        <v>58</v>
      </c>
      <c r="G271">
        <f>VLOOKUP($A271,Transpose!$A$1:$S$859,Cleaned!G$1)</f>
        <v>12695</v>
      </c>
      <c r="H271">
        <f>VLOOKUP($A271,Transpose!$A$1:$S$859,Cleaned!H$1)</f>
        <v>1950</v>
      </c>
      <c r="I271">
        <f>VLOOKUP($A271,Transpose!$A$1:$S$859,Cleaned!I$1)</f>
        <v>7644</v>
      </c>
      <c r="J271">
        <f>VLOOKUP($A271,Transpose!$A$1:$S$859,Cleaned!J$1)</f>
        <v>3092</v>
      </c>
      <c r="K271">
        <f>VLOOKUP($A271,Transpose!$A$1:$S$859,Cleaned!K$1)</f>
        <v>10</v>
      </c>
      <c r="L271">
        <f>VLOOKUP($A271,Transpose!$A$1:$S$859,Cleaned!L$1)</f>
        <v>87968</v>
      </c>
      <c r="M271">
        <f>VLOOKUP($A271,Transpose!$A$1:$S$859,Cleaned!M$1)</f>
        <v>3672</v>
      </c>
      <c r="N271">
        <f>VLOOKUP($A271,Transpose!$A$1:$S$859,Cleaned!N$1)</f>
        <v>2610</v>
      </c>
      <c r="O271">
        <f>VLOOKUP($A271,Transpose!$A$1:$S$859,Cleaned!O$1)</f>
        <v>81358</v>
      </c>
      <c r="P271">
        <f>VLOOKUP($A271,Transpose!$A$1:$S$859,Cleaned!P$1)</f>
        <v>328</v>
      </c>
      <c r="Q271">
        <f>VLOOKUP($A271,Transpose!$A$1:$S$859,Cleaned!Q$1)</f>
        <v>24</v>
      </c>
      <c r="R271">
        <f>VLOOKUP($A271,Transpose!$A$1:$S$859,Cleaned!R$1)</f>
        <v>2</v>
      </c>
      <c r="S271">
        <f>VLOOKUP($A271,Transpose!$A$1:$S$859,Cleaned!S$1)</f>
        <v>189</v>
      </c>
    </row>
    <row r="272" spans="1:19" x14ac:dyDescent="0.25">
      <c r="A272" s="2">
        <f t="shared" si="5"/>
        <v>41061</v>
      </c>
      <c r="B272">
        <f>VLOOKUP($A272,Transpose!$A$1:$S$859,Cleaned!B$1)</f>
        <v>142448</v>
      </c>
      <c r="C272">
        <f>VLOOKUP($A272,Transpose!$A$1:$S$859,Cleaned!C$1)</f>
        <v>136461</v>
      </c>
      <c r="D272">
        <f>VLOOKUP($A272,Transpose!$A$1:$S$859,Cleaned!D$1)</f>
        <v>2284</v>
      </c>
      <c r="E272">
        <f>VLOOKUP($A272,Transpose!$A$1:$S$859,Cleaned!E$1)</f>
        <v>3634</v>
      </c>
      <c r="F272">
        <f>VLOOKUP($A272,Transpose!$A$1:$S$859,Cleaned!F$1)</f>
        <v>69</v>
      </c>
      <c r="G272">
        <f>VLOOKUP($A272,Transpose!$A$1:$S$859,Cleaned!G$1)</f>
        <v>12701</v>
      </c>
      <c r="H272">
        <f>VLOOKUP($A272,Transpose!$A$1:$S$859,Cleaned!H$1)</f>
        <v>2068</v>
      </c>
      <c r="I272">
        <f>VLOOKUP($A272,Transpose!$A$1:$S$859,Cleaned!I$1)</f>
        <v>7742</v>
      </c>
      <c r="J272">
        <f>VLOOKUP($A272,Transpose!$A$1:$S$859,Cleaned!J$1)</f>
        <v>2862</v>
      </c>
      <c r="K272">
        <f>VLOOKUP($A272,Transpose!$A$1:$S$859,Cleaned!K$1)</f>
        <v>28</v>
      </c>
      <c r="L272">
        <f>VLOOKUP($A272,Transpose!$A$1:$S$859,Cleaned!L$1)</f>
        <v>88006</v>
      </c>
      <c r="M272">
        <f>VLOOKUP($A272,Transpose!$A$1:$S$859,Cleaned!M$1)</f>
        <v>3750</v>
      </c>
      <c r="N272">
        <f>VLOOKUP($A272,Transpose!$A$1:$S$859,Cleaned!N$1)</f>
        <v>2667</v>
      </c>
      <c r="O272">
        <f>VLOOKUP($A272,Transpose!$A$1:$S$859,Cleaned!O$1)</f>
        <v>81283</v>
      </c>
      <c r="P272">
        <f>VLOOKUP($A272,Transpose!$A$1:$S$859,Cleaned!P$1)</f>
        <v>307</v>
      </c>
      <c r="Q272">
        <f>VLOOKUP($A272,Transpose!$A$1:$S$859,Cleaned!Q$1)</f>
        <v>24</v>
      </c>
      <c r="R272">
        <f>VLOOKUP($A272,Transpose!$A$1:$S$859,Cleaned!R$1)</f>
        <v>2</v>
      </c>
      <c r="S272">
        <f>VLOOKUP($A272,Transpose!$A$1:$S$859,Cleaned!S$1)</f>
        <v>189</v>
      </c>
    </row>
    <row r="273" spans="1:19" x14ac:dyDescent="0.25">
      <c r="A273" s="2">
        <f t="shared" si="5"/>
        <v>41091</v>
      </c>
      <c r="B273">
        <f>VLOOKUP($A273,Transpose!$A$1:$S$859,Cleaned!B$1)</f>
        <v>142250</v>
      </c>
      <c r="C273">
        <f>VLOOKUP($A273,Transpose!$A$1:$S$859,Cleaned!C$1)</f>
        <v>136308</v>
      </c>
      <c r="D273">
        <f>VLOOKUP($A273,Transpose!$A$1:$S$859,Cleaned!D$1)</f>
        <v>2280</v>
      </c>
      <c r="E273">
        <f>VLOOKUP($A273,Transpose!$A$1:$S$859,Cleaned!E$1)</f>
        <v>3629</v>
      </c>
      <c r="F273">
        <f>VLOOKUP($A273,Transpose!$A$1:$S$859,Cleaned!F$1)</f>
        <v>34</v>
      </c>
      <c r="G273">
        <f>VLOOKUP($A273,Transpose!$A$1:$S$859,Cleaned!G$1)</f>
        <v>12745</v>
      </c>
      <c r="H273">
        <f>VLOOKUP($A273,Transpose!$A$1:$S$859,Cleaned!H$1)</f>
        <v>2160</v>
      </c>
      <c r="I273">
        <f>VLOOKUP($A273,Transpose!$A$1:$S$859,Cleaned!I$1)</f>
        <v>7721</v>
      </c>
      <c r="J273">
        <f>VLOOKUP($A273,Transpose!$A$1:$S$859,Cleaned!J$1)</f>
        <v>2852</v>
      </c>
      <c r="K273">
        <f>VLOOKUP($A273,Transpose!$A$1:$S$859,Cleaned!K$1)</f>
        <v>11</v>
      </c>
      <c r="L273">
        <f>VLOOKUP($A273,Transpose!$A$1:$S$859,Cleaned!L$1)</f>
        <v>88359</v>
      </c>
      <c r="M273">
        <f>VLOOKUP($A273,Transpose!$A$1:$S$859,Cleaned!M$1)</f>
        <v>3896</v>
      </c>
      <c r="N273">
        <f>VLOOKUP($A273,Transpose!$A$1:$S$859,Cleaned!N$1)</f>
        <v>2693</v>
      </c>
      <c r="O273">
        <f>VLOOKUP($A273,Transpose!$A$1:$S$859,Cleaned!O$1)</f>
        <v>81300</v>
      </c>
      <c r="P273">
        <f>VLOOKUP($A273,Transpose!$A$1:$S$859,Cleaned!P$1)</f>
        <v>470</v>
      </c>
      <c r="Q273">
        <f>VLOOKUP($A273,Transpose!$A$1:$S$859,Cleaned!Q$1)</f>
        <v>84</v>
      </c>
      <c r="R273">
        <f>VLOOKUP($A273,Transpose!$A$1:$S$859,Cleaned!R$1)</f>
        <v>7</v>
      </c>
      <c r="S273">
        <f>VLOOKUP($A273,Transpose!$A$1:$S$859,Cleaned!S$1)</f>
        <v>225</v>
      </c>
    </row>
    <row r="274" spans="1:19" x14ac:dyDescent="0.25">
      <c r="A274" s="2">
        <f t="shared" si="5"/>
        <v>41122</v>
      </c>
      <c r="B274">
        <f>VLOOKUP($A274,Transpose!$A$1:$S$859,Cleaned!B$1)</f>
        <v>142164</v>
      </c>
      <c r="C274">
        <f>VLOOKUP($A274,Transpose!$A$1:$S$859,Cleaned!C$1)</f>
        <v>136017</v>
      </c>
      <c r="D274">
        <f>VLOOKUP($A274,Transpose!$A$1:$S$859,Cleaned!D$1)</f>
        <v>2291</v>
      </c>
      <c r="E274">
        <f>VLOOKUP($A274,Transpose!$A$1:$S$859,Cleaned!E$1)</f>
        <v>3802</v>
      </c>
      <c r="F274">
        <f>VLOOKUP($A274,Transpose!$A$1:$S$859,Cleaned!F$1)</f>
        <v>55</v>
      </c>
      <c r="G274">
        <f>VLOOKUP($A274,Transpose!$A$1:$S$859,Cleaned!G$1)</f>
        <v>12483</v>
      </c>
      <c r="H274">
        <f>VLOOKUP($A274,Transpose!$A$1:$S$859,Cleaned!H$1)</f>
        <v>2130</v>
      </c>
      <c r="I274">
        <f>VLOOKUP($A274,Transpose!$A$1:$S$859,Cleaned!I$1)</f>
        <v>7519</v>
      </c>
      <c r="J274">
        <f>VLOOKUP($A274,Transpose!$A$1:$S$859,Cleaned!J$1)</f>
        <v>2825</v>
      </c>
      <c r="K274">
        <f>VLOOKUP($A274,Transpose!$A$1:$S$859,Cleaned!K$1)</f>
        <v>9</v>
      </c>
      <c r="L274">
        <f>VLOOKUP($A274,Transpose!$A$1:$S$859,Cleaned!L$1)</f>
        <v>88919</v>
      </c>
      <c r="M274">
        <f>VLOOKUP($A274,Transpose!$A$1:$S$859,Cleaned!M$1)</f>
        <v>4080</v>
      </c>
      <c r="N274">
        <f>VLOOKUP($A274,Transpose!$A$1:$S$859,Cleaned!N$1)</f>
        <v>2933</v>
      </c>
      <c r="O274">
        <f>VLOOKUP($A274,Transpose!$A$1:$S$859,Cleaned!O$1)</f>
        <v>81543</v>
      </c>
      <c r="P274">
        <f>VLOOKUP($A274,Transpose!$A$1:$S$859,Cleaned!P$1)</f>
        <v>363</v>
      </c>
      <c r="Q274">
        <f>VLOOKUP($A274,Transpose!$A$1:$S$859,Cleaned!Q$1)</f>
        <v>24</v>
      </c>
      <c r="R274">
        <f>VLOOKUP($A274,Transpose!$A$1:$S$859,Cleaned!R$1)</f>
        <v>2</v>
      </c>
      <c r="S274">
        <f>VLOOKUP($A274,Transpose!$A$1:$S$859,Cleaned!S$1)</f>
        <v>190</v>
      </c>
    </row>
    <row r="275" spans="1:19" x14ac:dyDescent="0.25">
      <c r="A275" s="2">
        <f t="shared" si="5"/>
        <v>41153</v>
      </c>
      <c r="B275">
        <f>VLOOKUP($A275,Transpose!$A$1:$S$859,Cleaned!B$1)</f>
        <v>142974</v>
      </c>
      <c r="C275">
        <f>VLOOKUP($A275,Transpose!$A$1:$S$859,Cleaned!C$1)</f>
        <v>136776</v>
      </c>
      <c r="D275">
        <f>VLOOKUP($A275,Transpose!$A$1:$S$859,Cleaned!D$1)</f>
        <v>2392</v>
      </c>
      <c r="E275">
        <f>VLOOKUP($A275,Transpose!$A$1:$S$859,Cleaned!E$1)</f>
        <v>3746</v>
      </c>
      <c r="F275">
        <f>VLOOKUP($A275,Transpose!$A$1:$S$859,Cleaned!F$1)</f>
        <v>59</v>
      </c>
      <c r="G275">
        <f>VLOOKUP($A275,Transpose!$A$1:$S$859,Cleaned!G$1)</f>
        <v>12082</v>
      </c>
      <c r="H275">
        <f>VLOOKUP($A275,Transpose!$A$1:$S$859,Cleaned!H$1)</f>
        <v>1897</v>
      </c>
      <c r="I275">
        <f>VLOOKUP($A275,Transpose!$A$1:$S$859,Cleaned!I$1)</f>
        <v>7306</v>
      </c>
      <c r="J275">
        <f>VLOOKUP($A275,Transpose!$A$1:$S$859,Cleaned!J$1)</f>
        <v>2865</v>
      </c>
      <c r="K275">
        <f>VLOOKUP($A275,Transpose!$A$1:$S$859,Cleaned!K$1)</f>
        <v>13</v>
      </c>
      <c r="L275">
        <f>VLOOKUP($A275,Transpose!$A$1:$S$859,Cleaned!L$1)</f>
        <v>88716</v>
      </c>
      <c r="M275">
        <f>VLOOKUP($A275,Transpose!$A$1:$S$859,Cleaned!M$1)</f>
        <v>3466</v>
      </c>
      <c r="N275">
        <f>VLOOKUP($A275,Transpose!$A$1:$S$859,Cleaned!N$1)</f>
        <v>2783</v>
      </c>
      <c r="O275">
        <f>VLOOKUP($A275,Transpose!$A$1:$S$859,Cleaned!O$1)</f>
        <v>82118</v>
      </c>
      <c r="P275">
        <f>VLOOKUP($A275,Transpose!$A$1:$S$859,Cleaned!P$1)</f>
        <v>349</v>
      </c>
      <c r="Q275">
        <f>VLOOKUP($A275,Transpose!$A$1:$S$859,Cleaned!Q$1)</f>
        <v>24</v>
      </c>
      <c r="R275">
        <f>VLOOKUP($A275,Transpose!$A$1:$S$859,Cleaned!R$1)</f>
        <v>2</v>
      </c>
      <c r="S275">
        <f>VLOOKUP($A275,Transpose!$A$1:$S$859,Cleaned!S$1)</f>
        <v>190</v>
      </c>
    </row>
    <row r="276" spans="1:19" x14ac:dyDescent="0.25">
      <c r="A276" s="2">
        <f t="shared" si="5"/>
        <v>41183</v>
      </c>
      <c r="B276">
        <f>VLOOKUP($A276,Transpose!$A$1:$S$859,Cleaned!B$1)</f>
        <v>143328</v>
      </c>
      <c r="C276">
        <f>VLOOKUP($A276,Transpose!$A$1:$S$859,Cleaned!C$1)</f>
        <v>137261</v>
      </c>
      <c r="D276">
        <f>VLOOKUP($A276,Transpose!$A$1:$S$859,Cleaned!D$1)</f>
        <v>2253</v>
      </c>
      <c r="E276">
        <f>VLOOKUP($A276,Transpose!$A$1:$S$859,Cleaned!E$1)</f>
        <v>3715</v>
      </c>
      <c r="F276">
        <f>VLOOKUP($A276,Transpose!$A$1:$S$859,Cleaned!F$1)</f>
        <v>99</v>
      </c>
      <c r="G276">
        <f>VLOOKUP($A276,Transpose!$A$1:$S$859,Cleaned!G$1)</f>
        <v>12248</v>
      </c>
      <c r="H276">
        <f>VLOOKUP($A276,Transpose!$A$1:$S$859,Cleaned!H$1)</f>
        <v>2017</v>
      </c>
      <c r="I276">
        <f>VLOOKUP($A276,Transpose!$A$1:$S$859,Cleaned!I$1)</f>
        <v>7125</v>
      </c>
      <c r="J276">
        <f>VLOOKUP($A276,Transpose!$A$1:$S$859,Cleaned!J$1)</f>
        <v>3099</v>
      </c>
      <c r="K276">
        <f>VLOOKUP($A276,Transpose!$A$1:$S$859,Cleaned!K$1)</f>
        <v>8</v>
      </c>
      <c r="L276">
        <f>VLOOKUP($A276,Transpose!$A$1:$S$859,Cleaned!L$1)</f>
        <v>88407</v>
      </c>
      <c r="M276">
        <f>VLOOKUP($A276,Transpose!$A$1:$S$859,Cleaned!M$1)</f>
        <v>3673</v>
      </c>
      <c r="N276">
        <f>VLOOKUP($A276,Transpose!$A$1:$S$859,Cleaned!N$1)</f>
        <v>2702</v>
      </c>
      <c r="O276">
        <f>VLOOKUP($A276,Transpose!$A$1:$S$859,Cleaned!O$1)</f>
        <v>81713</v>
      </c>
      <c r="P276">
        <f>VLOOKUP($A276,Transpose!$A$1:$S$859,Cleaned!P$1)</f>
        <v>319</v>
      </c>
      <c r="Q276">
        <f>VLOOKUP($A276,Transpose!$A$1:$S$859,Cleaned!Q$1)</f>
        <v>24</v>
      </c>
      <c r="R276">
        <f>VLOOKUP($A276,Transpose!$A$1:$S$859,Cleaned!R$1)</f>
        <v>2</v>
      </c>
      <c r="S276">
        <f>VLOOKUP($A276,Transpose!$A$1:$S$859,Cleaned!S$1)</f>
        <v>190</v>
      </c>
    </row>
    <row r="277" spans="1:19" x14ac:dyDescent="0.25">
      <c r="A277" s="2">
        <f t="shared" si="5"/>
        <v>41214</v>
      </c>
      <c r="B277">
        <f>VLOOKUP($A277,Transpose!$A$1:$S$859,Cleaned!B$1)</f>
        <v>143277</v>
      </c>
      <c r="C277">
        <f>VLOOKUP($A277,Transpose!$A$1:$S$859,Cleaned!C$1)</f>
        <v>137457</v>
      </c>
      <c r="D277">
        <f>VLOOKUP($A277,Transpose!$A$1:$S$859,Cleaned!D$1)</f>
        <v>2157</v>
      </c>
      <c r="E277">
        <f>VLOOKUP($A277,Transpose!$A$1:$S$859,Cleaned!E$1)</f>
        <v>3628</v>
      </c>
      <c r="F277">
        <f>VLOOKUP($A277,Transpose!$A$1:$S$859,Cleaned!F$1)</f>
        <v>34</v>
      </c>
      <c r="G277">
        <f>VLOOKUP($A277,Transpose!$A$1:$S$859,Cleaned!G$1)</f>
        <v>12042</v>
      </c>
      <c r="H277">
        <f>VLOOKUP($A277,Transpose!$A$1:$S$859,Cleaned!H$1)</f>
        <v>1908</v>
      </c>
      <c r="I277">
        <f>VLOOKUP($A277,Transpose!$A$1:$S$859,Cleaned!I$1)</f>
        <v>7199</v>
      </c>
      <c r="J277">
        <f>VLOOKUP($A277,Transpose!$A$1:$S$859,Cleaned!J$1)</f>
        <v>2910</v>
      </c>
      <c r="K277">
        <f>VLOOKUP($A277,Transpose!$A$1:$S$859,Cleaned!K$1)</f>
        <v>25</v>
      </c>
      <c r="L277">
        <f>VLOOKUP($A277,Transpose!$A$1:$S$859,Cleaned!L$1)</f>
        <v>88855</v>
      </c>
      <c r="M277">
        <f>VLOOKUP($A277,Transpose!$A$1:$S$859,Cleaned!M$1)</f>
        <v>3939</v>
      </c>
      <c r="N277">
        <f>VLOOKUP($A277,Transpose!$A$1:$S$859,Cleaned!N$1)</f>
        <v>2890</v>
      </c>
      <c r="O277">
        <f>VLOOKUP($A277,Transpose!$A$1:$S$859,Cleaned!O$1)</f>
        <v>81678</v>
      </c>
      <c r="P277">
        <f>VLOOKUP($A277,Transpose!$A$1:$S$859,Cleaned!P$1)</f>
        <v>348</v>
      </c>
      <c r="Q277">
        <f>VLOOKUP($A277,Transpose!$A$1:$S$859,Cleaned!Q$1)</f>
        <v>24</v>
      </c>
      <c r="R277">
        <f>VLOOKUP($A277,Transpose!$A$1:$S$859,Cleaned!R$1)</f>
        <v>2</v>
      </c>
      <c r="S277">
        <f>VLOOKUP($A277,Transpose!$A$1:$S$859,Cleaned!S$1)</f>
        <v>190</v>
      </c>
    </row>
    <row r="278" spans="1:19" x14ac:dyDescent="0.25">
      <c r="A278" s="2">
        <f t="shared" si="5"/>
        <v>41244</v>
      </c>
      <c r="B278">
        <f>VLOOKUP($A278,Transpose!$A$1:$S$859,Cleaned!B$1)</f>
        <v>143305</v>
      </c>
      <c r="C278">
        <f>VLOOKUP($A278,Transpose!$A$1:$S$859,Cleaned!C$1)</f>
        <v>137376</v>
      </c>
      <c r="D278">
        <f>VLOOKUP($A278,Transpose!$A$1:$S$859,Cleaned!D$1)</f>
        <v>2175</v>
      </c>
      <c r="E278">
        <f>VLOOKUP($A278,Transpose!$A$1:$S$859,Cleaned!E$1)</f>
        <v>3684</v>
      </c>
      <c r="F278">
        <f>VLOOKUP($A278,Transpose!$A$1:$S$859,Cleaned!F$1)</f>
        <v>69</v>
      </c>
      <c r="G278">
        <f>VLOOKUP($A278,Transpose!$A$1:$S$859,Cleaned!G$1)</f>
        <v>12206</v>
      </c>
      <c r="H278">
        <f>VLOOKUP($A278,Transpose!$A$1:$S$859,Cleaned!H$1)</f>
        <v>2123</v>
      </c>
      <c r="I278">
        <f>VLOOKUP($A278,Transpose!$A$1:$S$859,Cleaned!I$1)</f>
        <v>7131</v>
      </c>
      <c r="J278">
        <f>VLOOKUP($A278,Transpose!$A$1:$S$859,Cleaned!J$1)</f>
        <v>2945</v>
      </c>
      <c r="K278">
        <f>VLOOKUP($A278,Transpose!$A$1:$S$859,Cleaned!K$1)</f>
        <v>8</v>
      </c>
      <c r="L278">
        <f>VLOOKUP($A278,Transpose!$A$1:$S$859,Cleaned!L$1)</f>
        <v>88839</v>
      </c>
      <c r="M278">
        <f>VLOOKUP($A278,Transpose!$A$1:$S$859,Cleaned!M$1)</f>
        <v>3754</v>
      </c>
      <c r="N278">
        <f>VLOOKUP($A278,Transpose!$A$1:$S$859,Cleaned!N$1)</f>
        <v>2735</v>
      </c>
      <c r="O278">
        <f>VLOOKUP($A278,Transpose!$A$1:$S$859,Cleaned!O$1)</f>
        <v>82036</v>
      </c>
      <c r="P278">
        <f>VLOOKUP($A278,Transpose!$A$1:$S$859,Cleaned!P$1)</f>
        <v>314</v>
      </c>
      <c r="Q278">
        <f>VLOOKUP($A278,Transpose!$A$1:$S$859,Cleaned!Q$1)</f>
        <v>24</v>
      </c>
      <c r="R278">
        <f>VLOOKUP($A278,Transpose!$A$1:$S$859,Cleaned!R$1)</f>
        <v>2</v>
      </c>
      <c r="S278">
        <f>VLOOKUP($A278,Transpose!$A$1:$S$859,Cleaned!S$1)</f>
        <v>190</v>
      </c>
    </row>
    <row r="279" spans="1:19" x14ac:dyDescent="0.25">
      <c r="A279" s="2">
        <f t="shared" si="5"/>
        <v>41275</v>
      </c>
      <c r="B279">
        <f>VLOOKUP($A279,Transpose!$A$1:$S$859,Cleaned!B$1)</f>
        <v>143322</v>
      </c>
      <c r="C279">
        <f>VLOOKUP($A279,Transpose!$A$1:$S$859,Cleaned!C$1)</f>
        <v>137431</v>
      </c>
      <c r="D279">
        <f>VLOOKUP($A279,Transpose!$A$1:$S$859,Cleaned!D$1)</f>
        <v>2249</v>
      </c>
      <c r="E279">
        <f>VLOOKUP($A279,Transpose!$A$1:$S$859,Cleaned!E$1)</f>
        <v>3566</v>
      </c>
      <c r="F279">
        <f>VLOOKUP($A279,Transpose!$A$1:$S$859,Cleaned!F$1)</f>
        <v>76</v>
      </c>
      <c r="G279">
        <f>VLOOKUP($A279,Transpose!$A$1:$S$859,Cleaned!G$1)</f>
        <v>12332</v>
      </c>
      <c r="H279">
        <f>VLOOKUP($A279,Transpose!$A$1:$S$859,Cleaned!H$1)</f>
        <v>2104</v>
      </c>
      <c r="I279">
        <f>VLOOKUP($A279,Transpose!$A$1:$S$859,Cleaned!I$1)</f>
        <v>7393</v>
      </c>
      <c r="J279">
        <f>VLOOKUP($A279,Transpose!$A$1:$S$859,Cleaned!J$1)</f>
        <v>2811</v>
      </c>
      <c r="K279">
        <f>VLOOKUP($A279,Transpose!$A$1:$S$859,Cleaned!K$1)</f>
        <v>24</v>
      </c>
      <c r="L279">
        <f>VLOOKUP($A279,Transpose!$A$1:$S$859,Cleaned!L$1)</f>
        <v>89008</v>
      </c>
      <c r="M279">
        <f>VLOOKUP($A279,Transpose!$A$1:$S$859,Cleaned!M$1)</f>
        <v>3745</v>
      </c>
      <c r="N279">
        <f>VLOOKUP($A279,Transpose!$A$1:$S$859,Cleaned!N$1)</f>
        <v>2563</v>
      </c>
      <c r="O279">
        <f>VLOOKUP($A279,Transpose!$A$1:$S$859,Cleaned!O$1)</f>
        <v>82271</v>
      </c>
      <c r="P279">
        <f>VLOOKUP($A279,Transpose!$A$1:$S$859,Cleaned!P$1)</f>
        <v>429</v>
      </c>
      <c r="Q279">
        <f>VLOOKUP($A279,Transpose!$A$1:$S$859,Cleaned!Q$1)</f>
        <v>24</v>
      </c>
      <c r="R279">
        <f>VLOOKUP($A279,Transpose!$A$1:$S$859,Cleaned!R$1)</f>
        <v>2</v>
      </c>
      <c r="S279">
        <f>VLOOKUP($A279,Transpose!$A$1:$S$859,Cleaned!S$1)</f>
        <v>190</v>
      </c>
    </row>
    <row r="280" spans="1:19" x14ac:dyDescent="0.25">
      <c r="A280" s="2">
        <f t="shared" si="5"/>
        <v>41306</v>
      </c>
      <c r="B280">
        <f>VLOOKUP($A280,Transpose!$A$1:$S$859,Cleaned!B$1)</f>
        <v>143492</v>
      </c>
      <c r="C280">
        <f>VLOOKUP($A280,Transpose!$A$1:$S$859,Cleaned!C$1)</f>
        <v>137400</v>
      </c>
      <c r="D280">
        <f>VLOOKUP($A280,Transpose!$A$1:$S$859,Cleaned!D$1)</f>
        <v>2311</v>
      </c>
      <c r="E280">
        <f>VLOOKUP($A280,Transpose!$A$1:$S$859,Cleaned!E$1)</f>
        <v>3716</v>
      </c>
      <c r="F280">
        <f>VLOOKUP($A280,Transpose!$A$1:$S$859,Cleaned!F$1)</f>
        <v>65</v>
      </c>
      <c r="G280">
        <f>VLOOKUP($A280,Transpose!$A$1:$S$859,Cleaned!G$1)</f>
        <v>12032</v>
      </c>
      <c r="H280">
        <f>VLOOKUP($A280,Transpose!$A$1:$S$859,Cleaned!H$1)</f>
        <v>1884</v>
      </c>
      <c r="I280">
        <f>VLOOKUP($A280,Transpose!$A$1:$S$859,Cleaned!I$1)</f>
        <v>7257</v>
      </c>
      <c r="J280">
        <f>VLOOKUP($A280,Transpose!$A$1:$S$859,Cleaned!J$1)</f>
        <v>2881</v>
      </c>
      <c r="K280">
        <f>VLOOKUP($A280,Transpose!$A$1:$S$859,Cleaned!K$1)</f>
        <v>9</v>
      </c>
      <c r="L280">
        <f>VLOOKUP($A280,Transpose!$A$1:$S$859,Cleaned!L$1)</f>
        <v>89304</v>
      </c>
      <c r="M280">
        <f>VLOOKUP($A280,Transpose!$A$1:$S$859,Cleaned!M$1)</f>
        <v>4015</v>
      </c>
      <c r="N280">
        <f>VLOOKUP($A280,Transpose!$A$1:$S$859,Cleaned!N$1)</f>
        <v>2762</v>
      </c>
      <c r="O280">
        <f>VLOOKUP($A280,Transpose!$A$1:$S$859,Cleaned!O$1)</f>
        <v>82220</v>
      </c>
      <c r="P280">
        <f>VLOOKUP($A280,Transpose!$A$1:$S$859,Cleaned!P$1)</f>
        <v>307</v>
      </c>
      <c r="Q280">
        <f>VLOOKUP($A280,Transpose!$A$1:$S$859,Cleaned!Q$1)</f>
        <v>24</v>
      </c>
      <c r="R280">
        <f>VLOOKUP($A280,Transpose!$A$1:$S$859,Cleaned!R$1)</f>
        <v>2</v>
      </c>
      <c r="S280">
        <f>VLOOKUP($A280,Transpose!$A$1:$S$859,Cleaned!S$1)</f>
        <v>191</v>
      </c>
    </row>
    <row r="281" spans="1:19" x14ac:dyDescent="0.25">
      <c r="A281" s="2">
        <f t="shared" si="5"/>
        <v>41334</v>
      </c>
      <c r="B281">
        <f>VLOOKUP($A281,Transpose!$A$1:$S$859,Cleaned!B$1)</f>
        <v>143286</v>
      </c>
      <c r="C281">
        <f>VLOOKUP($A281,Transpose!$A$1:$S$859,Cleaned!C$1)</f>
        <v>137362</v>
      </c>
      <c r="D281">
        <f>VLOOKUP($A281,Transpose!$A$1:$S$859,Cleaned!D$1)</f>
        <v>2153</v>
      </c>
      <c r="E281">
        <f>VLOOKUP($A281,Transpose!$A$1:$S$859,Cleaned!E$1)</f>
        <v>3724</v>
      </c>
      <c r="F281">
        <f>VLOOKUP($A281,Transpose!$A$1:$S$859,Cleaned!F$1)</f>
        <v>47</v>
      </c>
      <c r="G281">
        <f>VLOOKUP($A281,Transpose!$A$1:$S$859,Cleaned!G$1)</f>
        <v>11742</v>
      </c>
      <c r="H281">
        <f>VLOOKUP($A281,Transpose!$A$1:$S$859,Cleaned!H$1)</f>
        <v>1902</v>
      </c>
      <c r="I281">
        <f>VLOOKUP($A281,Transpose!$A$1:$S$859,Cleaned!I$1)</f>
        <v>7133</v>
      </c>
      <c r="J281">
        <f>VLOOKUP($A281,Transpose!$A$1:$S$859,Cleaned!J$1)</f>
        <v>2685</v>
      </c>
      <c r="K281">
        <f>VLOOKUP($A281,Transpose!$A$1:$S$859,Cleaned!K$1)</f>
        <v>22</v>
      </c>
      <c r="L281">
        <f>VLOOKUP($A281,Transpose!$A$1:$S$859,Cleaned!L$1)</f>
        <v>89967</v>
      </c>
      <c r="M281">
        <f>VLOOKUP($A281,Transpose!$A$1:$S$859,Cleaned!M$1)</f>
        <v>4204</v>
      </c>
      <c r="N281">
        <f>VLOOKUP($A281,Transpose!$A$1:$S$859,Cleaned!N$1)</f>
        <v>2745</v>
      </c>
      <c r="O281">
        <f>VLOOKUP($A281,Transpose!$A$1:$S$859,Cleaned!O$1)</f>
        <v>82704</v>
      </c>
      <c r="P281">
        <f>VLOOKUP($A281,Transpose!$A$1:$S$859,Cleaned!P$1)</f>
        <v>315</v>
      </c>
      <c r="Q281">
        <f>VLOOKUP($A281,Transpose!$A$1:$S$859,Cleaned!Q$1)</f>
        <v>24</v>
      </c>
      <c r="R281">
        <f>VLOOKUP($A281,Transpose!$A$1:$S$859,Cleaned!R$1)</f>
        <v>2</v>
      </c>
      <c r="S281">
        <f>VLOOKUP($A281,Transpose!$A$1:$S$859,Cleaned!S$1)</f>
        <v>191</v>
      </c>
    </row>
    <row r="282" spans="1:19" x14ac:dyDescent="0.25">
      <c r="A282" s="2">
        <f t="shared" si="5"/>
        <v>41365</v>
      </c>
      <c r="B282">
        <f>VLOOKUP($A282,Transpose!$A$1:$S$859,Cleaned!B$1)</f>
        <v>143579</v>
      </c>
      <c r="C282">
        <f>VLOOKUP($A282,Transpose!$A$1:$S$859,Cleaned!C$1)</f>
        <v>137312</v>
      </c>
      <c r="D282">
        <f>VLOOKUP($A282,Transpose!$A$1:$S$859,Cleaned!D$1)</f>
        <v>2260</v>
      </c>
      <c r="E282">
        <f>VLOOKUP($A282,Transpose!$A$1:$S$859,Cleaned!E$1)</f>
        <v>3912</v>
      </c>
      <c r="F282">
        <f>VLOOKUP($A282,Transpose!$A$1:$S$859,Cleaned!F$1)</f>
        <v>95</v>
      </c>
      <c r="G282">
        <f>VLOOKUP($A282,Transpose!$A$1:$S$859,Cleaned!G$1)</f>
        <v>11659</v>
      </c>
      <c r="H282">
        <f>VLOOKUP($A282,Transpose!$A$1:$S$859,Cleaned!H$1)</f>
        <v>2008</v>
      </c>
      <c r="I282">
        <f>VLOOKUP($A282,Transpose!$A$1:$S$859,Cleaned!I$1)</f>
        <v>7012</v>
      </c>
      <c r="J282">
        <f>VLOOKUP($A282,Transpose!$A$1:$S$859,Cleaned!J$1)</f>
        <v>2625</v>
      </c>
      <c r="K282">
        <f>VLOOKUP($A282,Transpose!$A$1:$S$859,Cleaned!K$1)</f>
        <v>14</v>
      </c>
      <c r="L282">
        <f>VLOOKUP($A282,Transpose!$A$1:$S$859,Cleaned!L$1)</f>
        <v>89936</v>
      </c>
      <c r="M282">
        <f>VLOOKUP($A282,Transpose!$A$1:$S$859,Cleaned!M$1)</f>
        <v>3941</v>
      </c>
      <c r="N282">
        <f>VLOOKUP($A282,Transpose!$A$1:$S$859,Cleaned!N$1)</f>
        <v>2469</v>
      </c>
      <c r="O282">
        <f>VLOOKUP($A282,Transpose!$A$1:$S$859,Cleaned!O$1)</f>
        <v>83240</v>
      </c>
      <c r="P282">
        <f>VLOOKUP($A282,Transpose!$A$1:$S$859,Cleaned!P$1)</f>
        <v>286</v>
      </c>
      <c r="Q282">
        <f>VLOOKUP($A282,Transpose!$A$1:$S$859,Cleaned!Q$1)</f>
        <v>24</v>
      </c>
      <c r="R282">
        <f>VLOOKUP($A282,Transpose!$A$1:$S$859,Cleaned!R$1)</f>
        <v>2</v>
      </c>
      <c r="S282">
        <f>VLOOKUP($A282,Transpose!$A$1:$S$859,Cleaned!S$1)</f>
        <v>191</v>
      </c>
    </row>
    <row r="283" spans="1:19" x14ac:dyDescent="0.25">
      <c r="A283" s="2">
        <f t="shared" si="5"/>
        <v>41395</v>
      </c>
      <c r="B283">
        <f>VLOOKUP($A283,Transpose!$A$1:$S$859,Cleaned!B$1)</f>
        <v>143898</v>
      </c>
      <c r="C283">
        <f>VLOOKUP($A283,Transpose!$A$1:$S$859,Cleaned!C$1)</f>
        <v>137769</v>
      </c>
      <c r="D283">
        <f>VLOOKUP($A283,Transpose!$A$1:$S$859,Cleaned!D$1)</f>
        <v>2251</v>
      </c>
      <c r="E283">
        <f>VLOOKUP($A283,Transpose!$A$1:$S$859,Cleaned!E$1)</f>
        <v>3806</v>
      </c>
      <c r="F283">
        <f>VLOOKUP($A283,Transpose!$A$1:$S$859,Cleaned!F$1)</f>
        <v>71</v>
      </c>
      <c r="G283">
        <f>VLOOKUP($A283,Transpose!$A$1:$S$859,Cleaned!G$1)</f>
        <v>11760</v>
      </c>
      <c r="H283">
        <f>VLOOKUP($A283,Transpose!$A$1:$S$859,Cleaned!H$1)</f>
        <v>1961</v>
      </c>
      <c r="I283">
        <f>VLOOKUP($A283,Transpose!$A$1:$S$859,Cleaned!I$1)</f>
        <v>6990</v>
      </c>
      <c r="J283">
        <f>VLOOKUP($A283,Transpose!$A$1:$S$859,Cleaned!J$1)</f>
        <v>2777</v>
      </c>
      <c r="K283">
        <f>VLOOKUP($A283,Transpose!$A$1:$S$859,Cleaned!K$1)</f>
        <v>32</v>
      </c>
      <c r="L283">
        <f>VLOOKUP($A283,Transpose!$A$1:$S$859,Cleaned!L$1)</f>
        <v>89705</v>
      </c>
      <c r="M283">
        <f>VLOOKUP($A283,Transpose!$A$1:$S$859,Cleaned!M$1)</f>
        <v>3825</v>
      </c>
      <c r="N283">
        <f>VLOOKUP($A283,Transpose!$A$1:$S$859,Cleaned!N$1)</f>
        <v>2416</v>
      </c>
      <c r="O283">
        <f>VLOOKUP($A283,Transpose!$A$1:$S$859,Cleaned!O$1)</f>
        <v>83162</v>
      </c>
      <c r="P283">
        <f>VLOOKUP($A283,Transpose!$A$1:$S$859,Cleaned!P$1)</f>
        <v>302</v>
      </c>
      <c r="Q283">
        <f>VLOOKUP($A283,Transpose!$A$1:$S$859,Cleaned!Q$1)</f>
        <v>24</v>
      </c>
      <c r="R283">
        <f>VLOOKUP($A283,Transpose!$A$1:$S$859,Cleaned!R$1)</f>
        <v>2</v>
      </c>
      <c r="S283">
        <f>VLOOKUP($A283,Transpose!$A$1:$S$859,Cleaned!S$1)</f>
        <v>191</v>
      </c>
    </row>
    <row r="284" spans="1:19" x14ac:dyDescent="0.25">
      <c r="A284" s="2">
        <f t="shared" si="5"/>
        <v>41426</v>
      </c>
      <c r="B284">
        <f>VLOOKUP($A284,Transpose!$A$1:$S$859,Cleaned!B$1)</f>
        <v>144058</v>
      </c>
      <c r="C284">
        <f>VLOOKUP($A284,Transpose!$A$1:$S$859,Cleaned!C$1)</f>
        <v>137757</v>
      </c>
      <c r="D284">
        <f>VLOOKUP($A284,Transpose!$A$1:$S$859,Cleaned!D$1)</f>
        <v>2330</v>
      </c>
      <c r="E284">
        <f>VLOOKUP($A284,Transpose!$A$1:$S$859,Cleaned!E$1)</f>
        <v>3907</v>
      </c>
      <c r="F284">
        <f>VLOOKUP($A284,Transpose!$A$1:$S$859,Cleaned!F$1)</f>
        <v>64</v>
      </c>
      <c r="G284">
        <f>VLOOKUP($A284,Transpose!$A$1:$S$859,Cleaned!G$1)</f>
        <v>11777</v>
      </c>
      <c r="H284">
        <f>VLOOKUP($A284,Transpose!$A$1:$S$859,Cleaned!H$1)</f>
        <v>2114</v>
      </c>
      <c r="I284">
        <f>VLOOKUP($A284,Transpose!$A$1:$S$859,Cleaned!I$1)</f>
        <v>6947</v>
      </c>
      <c r="J284">
        <f>VLOOKUP($A284,Transpose!$A$1:$S$859,Cleaned!J$1)</f>
        <v>2686</v>
      </c>
      <c r="K284">
        <f>VLOOKUP($A284,Transpose!$A$1:$S$859,Cleaned!K$1)</f>
        <v>30</v>
      </c>
      <c r="L284">
        <f>VLOOKUP($A284,Transpose!$A$1:$S$859,Cleaned!L$1)</f>
        <v>89717</v>
      </c>
      <c r="M284">
        <f>VLOOKUP($A284,Transpose!$A$1:$S$859,Cleaned!M$1)</f>
        <v>4003</v>
      </c>
      <c r="N284">
        <f>VLOOKUP($A284,Transpose!$A$1:$S$859,Cleaned!N$1)</f>
        <v>2481</v>
      </c>
      <c r="O284">
        <f>VLOOKUP($A284,Transpose!$A$1:$S$859,Cleaned!O$1)</f>
        <v>82920</v>
      </c>
      <c r="P284">
        <f>VLOOKUP($A284,Transpose!$A$1:$S$859,Cleaned!P$1)</f>
        <v>312</v>
      </c>
      <c r="Q284">
        <f>VLOOKUP($A284,Transpose!$A$1:$S$859,Cleaned!Q$1)</f>
        <v>24</v>
      </c>
      <c r="R284">
        <f>VLOOKUP($A284,Transpose!$A$1:$S$859,Cleaned!R$1)</f>
        <v>2</v>
      </c>
      <c r="S284">
        <f>VLOOKUP($A284,Transpose!$A$1:$S$859,Cleaned!S$1)</f>
        <v>191</v>
      </c>
    </row>
    <row r="285" spans="1:19" x14ac:dyDescent="0.25">
      <c r="A285" s="2">
        <f t="shared" si="5"/>
        <v>41456</v>
      </c>
      <c r="B285">
        <f>VLOOKUP($A285,Transpose!$A$1:$S$859,Cleaned!B$1)</f>
        <v>144285</v>
      </c>
      <c r="C285">
        <f>VLOOKUP($A285,Transpose!$A$1:$S$859,Cleaned!C$1)</f>
        <v>138155</v>
      </c>
      <c r="D285">
        <f>VLOOKUP($A285,Transpose!$A$1:$S$859,Cleaned!D$1)</f>
        <v>2337</v>
      </c>
      <c r="E285">
        <f>VLOOKUP($A285,Transpose!$A$1:$S$859,Cleaned!E$1)</f>
        <v>3774</v>
      </c>
      <c r="F285">
        <f>VLOOKUP($A285,Transpose!$A$1:$S$859,Cleaned!F$1)</f>
        <v>19</v>
      </c>
      <c r="G285">
        <f>VLOOKUP($A285,Transpose!$A$1:$S$859,Cleaned!G$1)</f>
        <v>11514</v>
      </c>
      <c r="H285">
        <f>VLOOKUP($A285,Transpose!$A$1:$S$859,Cleaned!H$1)</f>
        <v>1957</v>
      </c>
      <c r="I285">
        <f>VLOOKUP($A285,Transpose!$A$1:$S$859,Cleaned!I$1)</f>
        <v>6814</v>
      </c>
      <c r="J285">
        <f>VLOOKUP($A285,Transpose!$A$1:$S$859,Cleaned!J$1)</f>
        <v>2719</v>
      </c>
      <c r="K285">
        <f>VLOOKUP($A285,Transpose!$A$1:$S$859,Cleaned!K$1)</f>
        <v>23</v>
      </c>
      <c r="L285">
        <f>VLOOKUP($A285,Transpose!$A$1:$S$859,Cleaned!L$1)</f>
        <v>89957</v>
      </c>
      <c r="M285">
        <f>VLOOKUP($A285,Transpose!$A$1:$S$859,Cleaned!M$1)</f>
        <v>3854</v>
      </c>
      <c r="N285">
        <f>VLOOKUP($A285,Transpose!$A$1:$S$859,Cleaned!N$1)</f>
        <v>2619</v>
      </c>
      <c r="O285">
        <f>VLOOKUP($A285,Transpose!$A$1:$S$859,Cleaned!O$1)</f>
        <v>82996</v>
      </c>
      <c r="P285">
        <f>VLOOKUP($A285,Transpose!$A$1:$S$859,Cleaned!P$1)</f>
        <v>488</v>
      </c>
      <c r="Q285">
        <f>VLOOKUP($A285,Transpose!$A$1:$S$859,Cleaned!Q$1)</f>
        <v>92</v>
      </c>
      <c r="R285">
        <f>VLOOKUP($A285,Transpose!$A$1:$S$859,Cleaned!R$1)</f>
        <v>7</v>
      </c>
      <c r="S285">
        <f>VLOOKUP($A285,Transpose!$A$1:$S$859,Cleaned!S$1)</f>
        <v>228</v>
      </c>
    </row>
    <row r="286" spans="1:19" x14ac:dyDescent="0.25">
      <c r="A286" s="2">
        <f t="shared" si="5"/>
        <v>41487</v>
      </c>
      <c r="B286">
        <f>VLOOKUP($A286,Transpose!$A$1:$S$859,Cleaned!B$1)</f>
        <v>144170</v>
      </c>
      <c r="C286">
        <f>VLOOKUP($A286,Transpose!$A$1:$S$859,Cleaned!C$1)</f>
        <v>138185</v>
      </c>
      <c r="D286">
        <f>VLOOKUP($A286,Transpose!$A$1:$S$859,Cleaned!D$1)</f>
        <v>2243</v>
      </c>
      <c r="E286">
        <f>VLOOKUP($A286,Transpose!$A$1:$S$859,Cleaned!E$1)</f>
        <v>3711</v>
      </c>
      <c r="F286">
        <f>VLOOKUP($A286,Transpose!$A$1:$S$859,Cleaned!F$1)</f>
        <v>31</v>
      </c>
      <c r="G286">
        <f>VLOOKUP($A286,Transpose!$A$1:$S$859,Cleaned!G$1)</f>
        <v>11316</v>
      </c>
      <c r="H286">
        <f>VLOOKUP($A286,Transpose!$A$1:$S$859,Cleaned!H$1)</f>
        <v>2007</v>
      </c>
      <c r="I286">
        <f>VLOOKUP($A286,Transpose!$A$1:$S$859,Cleaned!I$1)</f>
        <v>6611</v>
      </c>
      <c r="J286">
        <f>VLOOKUP($A286,Transpose!$A$1:$S$859,Cleaned!J$1)</f>
        <v>2652</v>
      </c>
      <c r="K286">
        <f>VLOOKUP($A286,Transpose!$A$1:$S$859,Cleaned!K$1)</f>
        <v>46</v>
      </c>
      <c r="L286">
        <f>VLOOKUP($A286,Transpose!$A$1:$S$859,Cleaned!L$1)</f>
        <v>90473</v>
      </c>
      <c r="M286">
        <f>VLOOKUP($A286,Transpose!$A$1:$S$859,Cleaned!M$1)</f>
        <v>4068</v>
      </c>
      <c r="N286">
        <f>VLOOKUP($A286,Transpose!$A$1:$S$859,Cleaned!N$1)</f>
        <v>2658</v>
      </c>
      <c r="O286">
        <f>VLOOKUP($A286,Transpose!$A$1:$S$859,Cleaned!O$1)</f>
        <v>83403</v>
      </c>
      <c r="P286">
        <f>VLOOKUP($A286,Transpose!$A$1:$S$859,Cleaned!P$1)</f>
        <v>344</v>
      </c>
      <c r="Q286">
        <f>VLOOKUP($A286,Transpose!$A$1:$S$859,Cleaned!Q$1)</f>
        <v>24</v>
      </c>
      <c r="R286">
        <f>VLOOKUP($A286,Transpose!$A$1:$S$859,Cleaned!R$1)</f>
        <v>2</v>
      </c>
      <c r="S286">
        <f>VLOOKUP($A286,Transpose!$A$1:$S$859,Cleaned!S$1)</f>
        <v>191</v>
      </c>
    </row>
    <row r="287" spans="1:19" x14ac:dyDescent="0.25">
      <c r="A287" s="2">
        <f t="shared" si="5"/>
        <v>41518</v>
      </c>
      <c r="B287">
        <f>VLOOKUP($A287,Transpose!$A$1:$S$859,Cleaned!B$1)</f>
        <v>144303</v>
      </c>
      <c r="C287">
        <f>VLOOKUP($A287,Transpose!$A$1:$S$859,Cleaned!C$1)</f>
        <v>138304</v>
      </c>
      <c r="D287">
        <f>VLOOKUP($A287,Transpose!$A$1:$S$859,Cleaned!D$1)</f>
        <v>2137</v>
      </c>
      <c r="E287">
        <f>VLOOKUP($A287,Transpose!$A$1:$S$859,Cleaned!E$1)</f>
        <v>3790</v>
      </c>
      <c r="F287">
        <f>VLOOKUP($A287,Transpose!$A$1:$S$859,Cleaned!F$1)</f>
        <v>72</v>
      </c>
      <c r="G287">
        <f>VLOOKUP($A287,Transpose!$A$1:$S$859,Cleaned!G$1)</f>
        <v>11255</v>
      </c>
      <c r="H287">
        <f>VLOOKUP($A287,Transpose!$A$1:$S$859,Cleaned!H$1)</f>
        <v>1887</v>
      </c>
      <c r="I287">
        <f>VLOOKUP($A287,Transpose!$A$1:$S$859,Cleaned!I$1)</f>
        <v>6753</v>
      </c>
      <c r="J287">
        <f>VLOOKUP($A287,Transpose!$A$1:$S$859,Cleaned!J$1)</f>
        <v>2596</v>
      </c>
      <c r="K287">
        <f>VLOOKUP($A287,Transpose!$A$1:$S$859,Cleaned!K$1)</f>
        <v>20</v>
      </c>
      <c r="L287">
        <f>VLOOKUP($A287,Transpose!$A$1:$S$859,Cleaned!L$1)</f>
        <v>90609</v>
      </c>
      <c r="M287">
        <f>VLOOKUP($A287,Transpose!$A$1:$S$859,Cleaned!M$1)</f>
        <v>3955</v>
      </c>
      <c r="N287">
        <f>VLOOKUP($A287,Transpose!$A$1:$S$859,Cleaned!N$1)</f>
        <v>2425</v>
      </c>
      <c r="O287">
        <f>VLOOKUP($A287,Transpose!$A$1:$S$859,Cleaned!O$1)</f>
        <v>83896</v>
      </c>
      <c r="P287">
        <f>VLOOKUP($A287,Transpose!$A$1:$S$859,Cleaned!P$1)</f>
        <v>334</v>
      </c>
      <c r="Q287">
        <f>VLOOKUP($A287,Transpose!$A$1:$S$859,Cleaned!Q$1)</f>
        <v>24</v>
      </c>
      <c r="R287">
        <f>VLOOKUP($A287,Transpose!$A$1:$S$859,Cleaned!R$1)</f>
        <v>2</v>
      </c>
      <c r="S287">
        <f>VLOOKUP($A287,Transpose!$A$1:$S$859,Cleaned!S$1)</f>
        <v>192</v>
      </c>
    </row>
    <row r="288" spans="1:19" x14ac:dyDescent="0.25">
      <c r="A288" s="2">
        <f t="shared" si="5"/>
        <v>41548</v>
      </c>
      <c r="B288" t="e">
        <f>VLOOKUP($A288,Transpose!$A$1:$S$859,Cleaned!B$1)</f>
        <v>#N/A</v>
      </c>
      <c r="C288" t="e">
        <f>VLOOKUP($A288,Transpose!$A$1:$S$859,Cleaned!C$1)</f>
        <v>#N/A</v>
      </c>
      <c r="D288" t="e">
        <f>VLOOKUP($A288,Transpose!$A$1:$S$859,Cleaned!D$1)</f>
        <v>#N/A</v>
      </c>
      <c r="E288" t="e">
        <f>VLOOKUP($A288,Transpose!$A$1:$S$859,Cleaned!E$1)</f>
        <v>#N/A</v>
      </c>
      <c r="F288" t="e">
        <f>VLOOKUP($A288,Transpose!$A$1:$S$859,Cleaned!F$1)</f>
        <v>#N/A</v>
      </c>
      <c r="G288" t="e">
        <f>VLOOKUP($A288,Transpose!$A$1:$S$859,Cleaned!G$1)</f>
        <v>#N/A</v>
      </c>
      <c r="H288" t="e">
        <f>VLOOKUP($A288,Transpose!$A$1:$S$859,Cleaned!H$1)</f>
        <v>#N/A</v>
      </c>
      <c r="I288" t="e">
        <f>VLOOKUP($A288,Transpose!$A$1:$S$859,Cleaned!I$1)</f>
        <v>#N/A</v>
      </c>
      <c r="J288" t="e">
        <f>VLOOKUP($A288,Transpose!$A$1:$S$859,Cleaned!J$1)</f>
        <v>#N/A</v>
      </c>
      <c r="K288" t="e">
        <f>VLOOKUP($A288,Transpose!$A$1:$S$859,Cleaned!K$1)</f>
        <v>#N/A</v>
      </c>
      <c r="L288" t="e">
        <f>VLOOKUP($A288,Transpose!$A$1:$S$859,Cleaned!L$1)</f>
        <v>#N/A</v>
      </c>
      <c r="M288" t="e">
        <f>VLOOKUP($A288,Transpose!$A$1:$S$859,Cleaned!M$1)</f>
        <v>#N/A</v>
      </c>
      <c r="N288" t="e">
        <f>VLOOKUP($A288,Transpose!$A$1:$S$859,Cleaned!N$1)</f>
        <v>#N/A</v>
      </c>
      <c r="O288" t="e">
        <f>VLOOKUP($A288,Transpose!$A$1:$S$859,Cleaned!O$1)</f>
        <v>#N/A</v>
      </c>
      <c r="P288" t="e">
        <f>VLOOKUP($A288,Transpose!$A$1:$S$859,Cleaned!P$1)</f>
        <v>#N/A</v>
      </c>
      <c r="Q288" t="e">
        <f>VLOOKUP($A288,Transpose!$A$1:$S$859,Cleaned!Q$1)</f>
        <v>#N/A</v>
      </c>
      <c r="R288" t="e">
        <f>VLOOKUP($A288,Transpose!$A$1:$S$859,Cleaned!R$1)</f>
        <v>#N/A</v>
      </c>
      <c r="S288" t="e">
        <f>VLOOKUP($A288,Transpose!$A$1:$S$859,Cleaned!S$1)</f>
        <v>#N/A</v>
      </c>
    </row>
    <row r="289" spans="1:19" x14ac:dyDescent="0.25">
      <c r="A289" s="2">
        <f t="shared" si="5"/>
        <v>41579</v>
      </c>
      <c r="B289" t="e">
        <f>VLOOKUP($A289,Transpose!$A$1:$S$859,Cleaned!B$1)</f>
        <v>#N/A</v>
      </c>
      <c r="C289" t="e">
        <f>VLOOKUP($A289,Transpose!$A$1:$S$859,Cleaned!C$1)</f>
        <v>#N/A</v>
      </c>
      <c r="D289" t="e">
        <f>VLOOKUP($A289,Transpose!$A$1:$S$859,Cleaned!D$1)</f>
        <v>#N/A</v>
      </c>
      <c r="E289" t="e">
        <f>VLOOKUP($A289,Transpose!$A$1:$S$859,Cleaned!E$1)</f>
        <v>#N/A</v>
      </c>
      <c r="F289" t="e">
        <f>VLOOKUP($A289,Transpose!$A$1:$S$859,Cleaned!F$1)</f>
        <v>#N/A</v>
      </c>
      <c r="G289" t="e">
        <f>VLOOKUP($A289,Transpose!$A$1:$S$859,Cleaned!G$1)</f>
        <v>#N/A</v>
      </c>
      <c r="H289" t="e">
        <f>VLOOKUP($A289,Transpose!$A$1:$S$859,Cleaned!H$1)</f>
        <v>#N/A</v>
      </c>
      <c r="I289" t="e">
        <f>VLOOKUP($A289,Transpose!$A$1:$S$859,Cleaned!I$1)</f>
        <v>#N/A</v>
      </c>
      <c r="J289" t="e">
        <f>VLOOKUP($A289,Transpose!$A$1:$S$859,Cleaned!J$1)</f>
        <v>#N/A</v>
      </c>
      <c r="K289" t="e">
        <f>VLOOKUP($A289,Transpose!$A$1:$S$859,Cleaned!K$1)</f>
        <v>#N/A</v>
      </c>
      <c r="L289" t="e">
        <f>VLOOKUP($A289,Transpose!$A$1:$S$859,Cleaned!L$1)</f>
        <v>#N/A</v>
      </c>
      <c r="M289" t="e">
        <f>VLOOKUP($A289,Transpose!$A$1:$S$859,Cleaned!M$1)</f>
        <v>#N/A</v>
      </c>
      <c r="N289" t="e">
        <f>VLOOKUP($A289,Transpose!$A$1:$S$859,Cleaned!N$1)</f>
        <v>#N/A</v>
      </c>
      <c r="O289" t="e">
        <f>VLOOKUP($A289,Transpose!$A$1:$S$859,Cleaned!O$1)</f>
        <v>#N/A</v>
      </c>
      <c r="P289" t="e">
        <f>VLOOKUP($A289,Transpose!$A$1:$S$859,Cleaned!P$1)</f>
        <v>#N/A</v>
      </c>
      <c r="Q289" t="e">
        <f>VLOOKUP($A289,Transpose!$A$1:$S$859,Cleaned!Q$1)</f>
        <v>#N/A</v>
      </c>
      <c r="R289" t="e">
        <f>VLOOKUP($A289,Transpose!$A$1:$S$859,Cleaned!R$1)</f>
        <v>#N/A</v>
      </c>
      <c r="S289" t="e">
        <f>VLOOKUP($A289,Transpose!$A$1:$S$859,Cleaned!S$1)</f>
        <v>#N/A</v>
      </c>
    </row>
    <row r="290" spans="1:19" x14ac:dyDescent="0.25">
      <c r="A290" s="2">
        <f t="shared" si="5"/>
        <v>41609</v>
      </c>
      <c r="B290" t="e">
        <f>VLOOKUP($A290,Transpose!$A$1:$S$859,Cleaned!B$1)</f>
        <v>#N/A</v>
      </c>
      <c r="C290" t="e">
        <f>VLOOKUP($A290,Transpose!$A$1:$S$859,Cleaned!C$1)</f>
        <v>#N/A</v>
      </c>
      <c r="D290" t="e">
        <f>VLOOKUP($A290,Transpose!$A$1:$S$859,Cleaned!D$1)</f>
        <v>#N/A</v>
      </c>
      <c r="E290" t="e">
        <f>VLOOKUP($A290,Transpose!$A$1:$S$859,Cleaned!E$1)</f>
        <v>#N/A</v>
      </c>
      <c r="F290" t="e">
        <f>VLOOKUP($A290,Transpose!$A$1:$S$859,Cleaned!F$1)</f>
        <v>#N/A</v>
      </c>
      <c r="G290" t="e">
        <f>VLOOKUP($A290,Transpose!$A$1:$S$859,Cleaned!G$1)</f>
        <v>#N/A</v>
      </c>
      <c r="H290" t="e">
        <f>VLOOKUP($A290,Transpose!$A$1:$S$859,Cleaned!H$1)</f>
        <v>#N/A</v>
      </c>
      <c r="I290" t="e">
        <f>VLOOKUP($A290,Transpose!$A$1:$S$859,Cleaned!I$1)</f>
        <v>#N/A</v>
      </c>
      <c r="J290" t="e">
        <f>VLOOKUP($A290,Transpose!$A$1:$S$859,Cleaned!J$1)</f>
        <v>#N/A</v>
      </c>
      <c r="K290" t="e">
        <f>VLOOKUP($A290,Transpose!$A$1:$S$859,Cleaned!K$1)</f>
        <v>#N/A</v>
      </c>
      <c r="L290" t="e">
        <f>VLOOKUP($A290,Transpose!$A$1:$S$859,Cleaned!L$1)</f>
        <v>#N/A</v>
      </c>
      <c r="M290" t="e">
        <f>VLOOKUP($A290,Transpose!$A$1:$S$859,Cleaned!M$1)</f>
        <v>#N/A</v>
      </c>
      <c r="N290" t="e">
        <f>VLOOKUP($A290,Transpose!$A$1:$S$859,Cleaned!N$1)</f>
        <v>#N/A</v>
      </c>
      <c r="O290" t="e">
        <f>VLOOKUP($A290,Transpose!$A$1:$S$859,Cleaned!O$1)</f>
        <v>#N/A</v>
      </c>
      <c r="P290" t="e">
        <f>VLOOKUP($A290,Transpose!$A$1:$S$859,Cleaned!P$1)</f>
        <v>#N/A</v>
      </c>
      <c r="Q290" t="e">
        <f>VLOOKUP($A290,Transpose!$A$1:$S$859,Cleaned!Q$1)</f>
        <v>#N/A</v>
      </c>
      <c r="R290" t="e">
        <f>VLOOKUP($A290,Transpose!$A$1:$S$859,Cleaned!R$1)</f>
        <v>#N/A</v>
      </c>
      <c r="S290" t="e">
        <f>VLOOKUP($A290,Transpose!$A$1:$S$859,Cleaned!S$1)</f>
        <v>#N/A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91"/>
  <sheetViews>
    <sheetView workbookViewId="0">
      <pane xSplit="1" ySplit="3" topLeftCell="B4" activePane="bottomRight" state="frozen"/>
      <selection activeCell="A8" sqref="A8:AGA26"/>
      <selection pane="topRight" activeCell="A8" sqref="A8:AGA26"/>
      <selection pane="bottomLeft" activeCell="A8" sqref="A8:AGA26"/>
      <selection pane="bottomRight" activeCell="B4" sqref="B4"/>
    </sheetView>
  </sheetViews>
  <sheetFormatPr defaultColWidth="11" defaultRowHeight="15.75" x14ac:dyDescent="0.25"/>
  <sheetData>
    <row r="1" spans="1:21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P1">
        <v>8</v>
      </c>
      <c r="Q1">
        <v>9</v>
      </c>
      <c r="R1">
        <v>10</v>
      </c>
      <c r="S1">
        <v>11</v>
      </c>
      <c r="T1">
        <v>12</v>
      </c>
      <c r="U1">
        <v>13</v>
      </c>
    </row>
    <row r="2" spans="1:21" x14ac:dyDescent="0.25">
      <c r="B2" s="10" t="s">
        <v>126</v>
      </c>
      <c r="C2" s="10"/>
      <c r="D2" s="10"/>
      <c r="E2" s="10"/>
      <c r="F2" s="10"/>
      <c r="G2" s="10"/>
      <c r="H2" s="10" t="s">
        <v>127</v>
      </c>
      <c r="I2" s="10"/>
      <c r="J2" s="10"/>
      <c r="K2" s="10"/>
      <c r="L2" s="10"/>
      <c r="M2" s="10"/>
      <c r="P2" s="10" t="s">
        <v>128</v>
      </c>
      <c r="Q2" s="10"/>
      <c r="R2" s="10"/>
      <c r="S2" s="10"/>
      <c r="T2" s="10"/>
      <c r="U2" s="10"/>
    </row>
    <row r="3" spans="1:21" x14ac:dyDescent="0.25">
      <c r="B3" t="s">
        <v>122</v>
      </c>
      <c r="C3" t="s">
        <v>120</v>
      </c>
      <c r="D3" t="s">
        <v>123</v>
      </c>
      <c r="E3" t="s">
        <v>125</v>
      </c>
      <c r="F3" t="s">
        <v>124</v>
      </c>
      <c r="G3" t="s">
        <v>121</v>
      </c>
      <c r="H3" t="s">
        <v>122</v>
      </c>
      <c r="I3" t="s">
        <v>120</v>
      </c>
      <c r="J3" t="s">
        <v>123</v>
      </c>
      <c r="K3" t="s">
        <v>125</v>
      </c>
      <c r="L3" t="s">
        <v>124</v>
      </c>
      <c r="M3" t="s">
        <v>121</v>
      </c>
      <c r="P3" t="s">
        <v>122</v>
      </c>
      <c r="Q3" t="s">
        <v>120</v>
      </c>
      <c r="R3" t="s">
        <v>123</v>
      </c>
      <c r="S3" t="s">
        <v>125</v>
      </c>
      <c r="T3" t="s">
        <v>124</v>
      </c>
      <c r="U3" t="s">
        <v>121</v>
      </c>
    </row>
    <row r="4" spans="1:21" x14ac:dyDescent="0.25">
      <c r="A4" s="2">
        <v>32874</v>
      </c>
      <c r="B4" t="e">
        <f>NA()</f>
        <v>#N/A</v>
      </c>
      <c r="C4" t="e">
        <f>NA()</f>
        <v>#N/A</v>
      </c>
      <c r="D4" t="e">
        <f>NA()</f>
        <v>#N/A</v>
      </c>
      <c r="E4" t="e">
        <f>NA()</f>
        <v>#N/A</v>
      </c>
      <c r="F4" t="e">
        <f>NA()</f>
        <v>#N/A</v>
      </c>
      <c r="G4" t="e">
        <f>NA()</f>
        <v>#N/A</v>
      </c>
      <c r="H4" t="e">
        <f>NA()</f>
        <v>#N/A</v>
      </c>
      <c r="I4" t="e">
        <f>NA()</f>
        <v>#N/A</v>
      </c>
      <c r="J4" t="e">
        <f>NA()</f>
        <v>#N/A</v>
      </c>
      <c r="K4" t="e">
        <f>NA()</f>
        <v>#N/A</v>
      </c>
      <c r="L4" t="e">
        <f>NA()</f>
        <v>#N/A</v>
      </c>
      <c r="M4" t="e">
        <f>NA()</f>
        <v>#N/A</v>
      </c>
      <c r="O4" s="2">
        <v>33025</v>
      </c>
      <c r="P4">
        <f>VLOOKUP($O4,$A$1:$M$291,P$1)</f>
        <v>1.4892585346788981E-2</v>
      </c>
      <c r="Q4">
        <f t="shared" ref="Q4:U19" si="0">VLOOKUP($O4,$A$1:$M$291,Q$1)</f>
        <v>0.28184916348486971</v>
      </c>
      <c r="R4">
        <f t="shared" si="0"/>
        <v>2.3214891398246489E-2</v>
      </c>
      <c r="S4">
        <f t="shared" si="0"/>
        <v>0.20368828362201449</v>
      </c>
      <c r="T4">
        <f t="shared" si="0"/>
        <v>2.8018612355289425E-2</v>
      </c>
      <c r="U4">
        <f t="shared" si="0"/>
        <v>4.8964268348802159E-2</v>
      </c>
    </row>
    <row r="5" spans="1:21" x14ac:dyDescent="0.25">
      <c r="A5" s="2">
        <f>DATE(YEAR(A4),MONTH(A4)+1,1)</f>
        <v>32905</v>
      </c>
      <c r="B5">
        <f>Cleaned!H4/Cleaned!B3</f>
        <v>1.5308907382369983E-2</v>
      </c>
      <c r="C5">
        <f>Cleaned!D4/Cleaned!G3</f>
        <v>0.31872037914691942</v>
      </c>
      <c r="D5">
        <f>Cleaned!J4/Cleaned!L3</f>
        <v>2.5135826142537551E-2</v>
      </c>
      <c r="E5">
        <f>Cleaned!N4/Cleaned!G3</f>
        <v>0.2014218009478673</v>
      </c>
      <c r="F5">
        <f>Cleaned!M4/Cleaned!B3</f>
        <v>3.0088763110823726E-2</v>
      </c>
      <c r="G5">
        <f>Cleaned!E4/Cleaned!L3</f>
        <v>5.1198465963566635E-2</v>
      </c>
      <c r="H5" t="e">
        <f>NA()</f>
        <v>#N/A</v>
      </c>
      <c r="I5" t="e">
        <f>NA()</f>
        <v>#N/A</v>
      </c>
      <c r="J5" t="e">
        <f>NA()</f>
        <v>#N/A</v>
      </c>
      <c r="K5" t="e">
        <f>NA()</f>
        <v>#N/A</v>
      </c>
      <c r="L5" t="e">
        <f>NA()</f>
        <v>#N/A</v>
      </c>
      <c r="M5" t="e">
        <f>NA()</f>
        <v>#N/A</v>
      </c>
      <c r="O5" s="2">
        <f>DATE(YEAR(O4),MONTH(O4)+3,1)</f>
        <v>33117</v>
      </c>
      <c r="P5">
        <f t="shared" ref="P5:U36" si="1">VLOOKUP($O5,$A$1:$M$291,P$1)</f>
        <v>1.5619604928668783E-2</v>
      </c>
      <c r="Q5">
        <f t="shared" si="0"/>
        <v>0.26718245609836727</v>
      </c>
      <c r="R5">
        <f t="shared" si="0"/>
        <v>2.513470718663938E-2</v>
      </c>
      <c r="S5">
        <f t="shared" si="0"/>
        <v>0.19951282183883437</v>
      </c>
      <c r="T5">
        <f t="shared" si="0"/>
        <v>2.7367034724870166E-2</v>
      </c>
      <c r="U5">
        <f t="shared" si="0"/>
        <v>4.7972480977368871E-2</v>
      </c>
    </row>
    <row r="6" spans="1:21" x14ac:dyDescent="0.25">
      <c r="A6" s="2">
        <f t="shared" ref="A6:A69" si="2">DATE(YEAR(A5),MONTH(A5)+1,1)</f>
        <v>32933</v>
      </c>
      <c r="B6">
        <f>Cleaned!H5/Cleaned!B4</f>
        <v>1.4816183572850436E-2</v>
      </c>
      <c r="C6">
        <f>Cleaned!D5/Cleaned!G4</f>
        <v>0.29529394076078785</v>
      </c>
      <c r="D6">
        <f>Cleaned!J5/Cleaned!L4</f>
        <v>2.5538961245740854E-2</v>
      </c>
      <c r="E6">
        <f>Cleaned!N5/Cleaned!G4</f>
        <v>0.22041798225830703</v>
      </c>
      <c r="F6">
        <f>Cleaned!M5/Cleaned!B4</f>
        <v>2.8280096422781981E-2</v>
      </c>
      <c r="G6">
        <f>Cleaned!E5/Cleaned!L4</f>
        <v>5.1651116135401076E-2</v>
      </c>
      <c r="H6" t="e">
        <f>AVERAGE(B4:B6)</f>
        <v>#N/A</v>
      </c>
      <c r="I6" t="e">
        <f t="shared" ref="I6:M6" si="3">AVERAGE(C4:C6)</f>
        <v>#N/A</v>
      </c>
      <c r="J6" t="e">
        <f t="shared" si="3"/>
        <v>#N/A</v>
      </c>
      <c r="K6" t="e">
        <f t="shared" si="3"/>
        <v>#N/A</v>
      </c>
      <c r="L6" t="e">
        <f t="shared" si="3"/>
        <v>#N/A</v>
      </c>
      <c r="M6" t="e">
        <f t="shared" si="3"/>
        <v>#N/A</v>
      </c>
      <c r="O6" s="2">
        <f t="shared" ref="O6:O69" si="4">DATE(YEAR(O5),MONTH(O5)+3,1)</f>
        <v>33208</v>
      </c>
      <c r="P6">
        <f t="shared" si="1"/>
        <v>1.6349001801623141E-2</v>
      </c>
      <c r="Q6">
        <f t="shared" si="0"/>
        <v>0.26433147145469443</v>
      </c>
      <c r="R6">
        <f t="shared" si="0"/>
        <v>2.6015303750173756E-2</v>
      </c>
      <c r="S6">
        <f t="shared" si="0"/>
        <v>0.19291766432215143</v>
      </c>
      <c r="T6">
        <f t="shared" si="0"/>
        <v>2.7377110817222116E-2</v>
      </c>
      <c r="U6">
        <f t="shared" si="0"/>
        <v>4.753315581700563E-2</v>
      </c>
    </row>
    <row r="7" spans="1:21" x14ac:dyDescent="0.25">
      <c r="A7" s="2">
        <f t="shared" si="2"/>
        <v>32964</v>
      </c>
      <c r="B7">
        <f>Cleaned!H6/Cleaned!B5</f>
        <v>1.5712691794669598E-2</v>
      </c>
      <c r="C7">
        <f>Cleaned!D6/Cleaned!G5</f>
        <v>0.27296150348590481</v>
      </c>
      <c r="D7">
        <f>Cleaned!J6/Cleaned!L5</f>
        <v>2.4033487720638558E-2</v>
      </c>
      <c r="E7">
        <f>Cleaned!N6/Cleaned!G5</f>
        <v>0.21127614428614733</v>
      </c>
      <c r="F7">
        <f>Cleaned!M6/Cleaned!B5</f>
        <v>2.9319731885942467E-2</v>
      </c>
      <c r="G7">
        <f>Cleaned!E6/Cleaned!L5</f>
        <v>5.0104251221569654E-2</v>
      </c>
      <c r="H7">
        <f t="shared" ref="H7:H70" si="5">AVERAGE(B5:B7)</f>
        <v>1.5279260916630006E-2</v>
      </c>
      <c r="I7">
        <f t="shared" ref="I7:I70" si="6">AVERAGE(C5:C7)</f>
        <v>0.29565860779787068</v>
      </c>
      <c r="J7">
        <f t="shared" ref="J7:J70" si="7">AVERAGE(D5:D7)</f>
        <v>2.4902758369638987E-2</v>
      </c>
      <c r="K7">
        <f t="shared" ref="K7:K70" si="8">AVERAGE(E5:E7)</f>
        <v>0.21103864249744056</v>
      </c>
      <c r="L7">
        <f t="shared" ref="L7:L70" si="9">AVERAGE(F5:F7)</f>
        <v>2.9229530473182729E-2</v>
      </c>
      <c r="M7">
        <f t="shared" ref="M7:M70" si="10">AVERAGE(G5:G7)</f>
        <v>5.0984611106845788E-2</v>
      </c>
      <c r="O7" s="2">
        <f t="shared" si="4"/>
        <v>33298</v>
      </c>
      <c r="P7">
        <f t="shared" si="1"/>
        <v>1.7495650507017287E-2</v>
      </c>
      <c r="Q7">
        <f t="shared" si="0"/>
        <v>0.25434973278063805</v>
      </c>
      <c r="R7">
        <f t="shared" si="0"/>
        <v>2.6983475297423093E-2</v>
      </c>
      <c r="S7">
        <f t="shared" si="0"/>
        <v>0.19093996424373261</v>
      </c>
      <c r="T7">
        <f t="shared" si="0"/>
        <v>2.6390825105797211E-2</v>
      </c>
      <c r="U7">
        <f t="shared" si="0"/>
        <v>4.5102319726449576E-2</v>
      </c>
    </row>
    <row r="8" spans="1:21" x14ac:dyDescent="0.25">
      <c r="A8" s="2">
        <f t="shared" si="2"/>
        <v>32994</v>
      </c>
      <c r="B8">
        <f>Cleaned!H7/Cleaned!B6</f>
        <v>1.4101571702621747E-2</v>
      </c>
      <c r="C8">
        <f>Cleaned!D7/Cleaned!G6</f>
        <v>0.28409592467264971</v>
      </c>
      <c r="D8">
        <f>Cleaned!J7/Cleaned!L6</f>
        <v>2.369750827670326E-2</v>
      </c>
      <c r="E8">
        <f>Cleaned!N7/Cleaned!G6</f>
        <v>0.19317345887891718</v>
      </c>
      <c r="F8">
        <f>Cleaned!M7/Cleaned!B6</f>
        <v>2.6293204994446876E-2</v>
      </c>
      <c r="G8">
        <f>Cleaned!E7/Cleaned!L6</f>
        <v>4.9406770264062476E-2</v>
      </c>
      <c r="H8">
        <f t="shared" si="5"/>
        <v>1.4876815690047259E-2</v>
      </c>
      <c r="I8">
        <f t="shared" si="6"/>
        <v>0.28411712297311414</v>
      </c>
      <c r="J8">
        <f t="shared" si="7"/>
        <v>2.4423319081027559E-2</v>
      </c>
      <c r="K8">
        <f t="shared" si="8"/>
        <v>0.20828919514112387</v>
      </c>
      <c r="L8">
        <f t="shared" si="9"/>
        <v>2.7964344434390442E-2</v>
      </c>
      <c r="M8">
        <f t="shared" si="10"/>
        <v>5.0387379207011064E-2</v>
      </c>
      <c r="O8" s="2">
        <f t="shared" si="4"/>
        <v>33390</v>
      </c>
      <c r="P8">
        <f t="shared" si="1"/>
        <v>1.6821953818956754E-2</v>
      </c>
      <c r="Q8">
        <f t="shared" si="0"/>
        <v>0.25295888245971287</v>
      </c>
      <c r="R8">
        <f t="shared" si="0"/>
        <v>2.7664492958463183E-2</v>
      </c>
      <c r="S8">
        <f t="shared" si="0"/>
        <v>0.18318264143120064</v>
      </c>
      <c r="T8">
        <f t="shared" si="0"/>
        <v>2.6849627196015958E-2</v>
      </c>
      <c r="U8">
        <f t="shared" si="0"/>
        <v>4.5175501013461981E-2</v>
      </c>
    </row>
    <row r="9" spans="1:21" x14ac:dyDescent="0.25">
      <c r="A9" s="2">
        <f t="shared" si="2"/>
        <v>33025</v>
      </c>
      <c r="B9">
        <f>Cleaned!H8/Cleaned!B7</f>
        <v>1.4863492543075594E-2</v>
      </c>
      <c r="C9">
        <f>Cleaned!D8/Cleaned!G7</f>
        <v>0.28849006229605456</v>
      </c>
      <c r="D9">
        <f>Cleaned!J8/Cleaned!L7</f>
        <v>2.1913678197397653E-2</v>
      </c>
      <c r="E9">
        <f>Cleaned!N8/Cleaned!G7</f>
        <v>0.20661524770097894</v>
      </c>
      <c r="F9">
        <f>Cleaned!M8/Cleaned!B7</f>
        <v>2.8442900185478931E-2</v>
      </c>
      <c r="G9">
        <f>Cleaned!E8/Cleaned!L7</f>
        <v>4.7381783560774354E-2</v>
      </c>
      <c r="H9">
        <f t="shared" si="5"/>
        <v>1.4892585346788981E-2</v>
      </c>
      <c r="I9">
        <f t="shared" si="6"/>
        <v>0.28184916348486971</v>
      </c>
      <c r="J9">
        <f t="shared" si="7"/>
        <v>2.3214891398246489E-2</v>
      </c>
      <c r="K9">
        <f t="shared" si="8"/>
        <v>0.20368828362201449</v>
      </c>
      <c r="L9">
        <f t="shared" si="9"/>
        <v>2.8018612355289425E-2</v>
      </c>
      <c r="M9">
        <f t="shared" si="10"/>
        <v>4.8964268348802159E-2</v>
      </c>
      <c r="O9" s="2">
        <f t="shared" si="4"/>
        <v>33482</v>
      </c>
      <c r="P9">
        <f t="shared" si="1"/>
        <v>1.6867474064175356E-2</v>
      </c>
      <c r="Q9">
        <f t="shared" si="0"/>
        <v>0.24870609131373178</v>
      </c>
      <c r="R9">
        <f t="shared" si="0"/>
        <v>2.7421862050452116E-2</v>
      </c>
      <c r="S9">
        <f t="shared" si="0"/>
        <v>0.18743829228791251</v>
      </c>
      <c r="T9">
        <f t="shared" si="0"/>
        <v>2.6073450164540921E-2</v>
      </c>
      <c r="U9">
        <f t="shared" si="0"/>
        <v>4.5336479395421937E-2</v>
      </c>
    </row>
    <row r="10" spans="1:21" x14ac:dyDescent="0.25">
      <c r="A10" s="2">
        <f t="shared" si="2"/>
        <v>33055</v>
      </c>
      <c r="B10">
        <f>Cleaned!H9/Cleaned!B8</f>
        <v>1.6313254834724289E-2</v>
      </c>
      <c r="C10">
        <f>Cleaned!D9/Cleaned!G8</f>
        <v>0.27587253414264035</v>
      </c>
      <c r="D10">
        <f>Cleaned!J9/Cleaned!L8</f>
        <v>2.466724423092069E-2</v>
      </c>
      <c r="E10">
        <f>Cleaned!N9/Cleaned!G8</f>
        <v>0.2110773899848255</v>
      </c>
      <c r="F10">
        <f>Cleaned!M9/Cleaned!B8</f>
        <v>2.770984090164141E-2</v>
      </c>
      <c r="G10">
        <f>Cleaned!E9/Cleaned!L8</f>
        <v>5.0295345357170985E-2</v>
      </c>
      <c r="H10">
        <f t="shared" si="5"/>
        <v>1.5092773026807211E-2</v>
      </c>
      <c r="I10">
        <f t="shared" si="6"/>
        <v>0.28281950703711484</v>
      </c>
      <c r="J10">
        <f t="shared" si="7"/>
        <v>2.3426143568340534E-2</v>
      </c>
      <c r="K10">
        <f t="shared" si="8"/>
        <v>0.20362203218824057</v>
      </c>
      <c r="L10">
        <f t="shared" si="9"/>
        <v>2.7481982027189072E-2</v>
      </c>
      <c r="M10">
        <f t="shared" si="10"/>
        <v>4.9027966394002608E-2</v>
      </c>
      <c r="O10" s="2">
        <f t="shared" si="4"/>
        <v>33573</v>
      </c>
      <c r="P10">
        <f t="shared" si="1"/>
        <v>1.6772245784994998E-2</v>
      </c>
      <c r="Q10">
        <f t="shared" si="0"/>
        <v>0.2329313593690561</v>
      </c>
      <c r="R10">
        <f t="shared" si="0"/>
        <v>2.8735358682032513E-2</v>
      </c>
      <c r="S10">
        <f t="shared" si="0"/>
        <v>0.18658573640542042</v>
      </c>
      <c r="T10">
        <f t="shared" si="0"/>
        <v>2.5734061783397513E-2</v>
      </c>
      <c r="U10">
        <f t="shared" si="0"/>
        <v>4.2112779475208417E-2</v>
      </c>
    </row>
    <row r="11" spans="1:21" x14ac:dyDescent="0.25">
      <c r="A11" s="2">
        <f t="shared" si="2"/>
        <v>33086</v>
      </c>
      <c r="B11">
        <f>Cleaned!H10/Cleaned!B9</f>
        <v>1.5798333473613334E-2</v>
      </c>
      <c r="C11">
        <f>Cleaned!D10/Cleaned!G9</f>
        <v>0.28026581912741982</v>
      </c>
      <c r="D11">
        <f>Cleaned!J10/Cleaned!L9</f>
        <v>2.6128340897629852E-2</v>
      </c>
      <c r="E11">
        <f>Cleaned!N10/Cleaned!G9</f>
        <v>0.19575267263796592</v>
      </c>
      <c r="F11">
        <f>Cleaned!M10/Cleaned!B9</f>
        <v>2.6142580590859357E-2</v>
      </c>
      <c r="G11">
        <f>Cleaned!E10/Cleaned!L9</f>
        <v>4.6662254160363084E-2</v>
      </c>
      <c r="H11">
        <f t="shared" si="5"/>
        <v>1.5658360283804407E-2</v>
      </c>
      <c r="I11">
        <f t="shared" si="6"/>
        <v>0.28154280518870495</v>
      </c>
      <c r="J11">
        <f t="shared" si="7"/>
        <v>2.42364211086494E-2</v>
      </c>
      <c r="K11">
        <f t="shared" si="8"/>
        <v>0.20448177010792346</v>
      </c>
      <c r="L11">
        <f t="shared" si="9"/>
        <v>2.74317738926599E-2</v>
      </c>
      <c r="M11">
        <f t="shared" si="10"/>
        <v>4.8113127692769465E-2</v>
      </c>
      <c r="O11" s="2">
        <f t="shared" si="4"/>
        <v>33664</v>
      </c>
      <c r="P11">
        <f t="shared" si="1"/>
        <v>1.6869696141333223E-2</v>
      </c>
      <c r="Q11">
        <f t="shared" si="0"/>
        <v>0.23591936342234945</v>
      </c>
      <c r="R11">
        <f t="shared" si="0"/>
        <v>2.8801532921056961E-2</v>
      </c>
      <c r="S11">
        <f t="shared" si="0"/>
        <v>0.17115794232066472</v>
      </c>
      <c r="T11">
        <f t="shared" si="0"/>
        <v>2.508779415853454E-2</v>
      </c>
      <c r="U11">
        <f t="shared" si="0"/>
        <v>4.4998729734933872E-2</v>
      </c>
    </row>
    <row r="12" spans="1:21" x14ac:dyDescent="0.25">
      <c r="A12" s="2">
        <f t="shared" si="2"/>
        <v>33117</v>
      </c>
      <c r="B12">
        <f>Cleaned!H11/Cleaned!B10</f>
        <v>1.4747226477668726E-2</v>
      </c>
      <c r="C12">
        <f>Cleaned!D11/Cleaned!G10</f>
        <v>0.24540901502504173</v>
      </c>
      <c r="D12">
        <f>Cleaned!J11/Cleaned!L10</f>
        <v>2.4608536431367598E-2</v>
      </c>
      <c r="E12">
        <f>Cleaned!N11/Cleaned!G10</f>
        <v>0.19170840289371174</v>
      </c>
      <c r="F12">
        <f>Cleaned!M11/Cleaned!B10</f>
        <v>2.824868268210973E-2</v>
      </c>
      <c r="G12">
        <f>Cleaned!E11/Cleaned!L10</f>
        <v>4.6959843414572544E-2</v>
      </c>
      <c r="H12">
        <f t="shared" si="5"/>
        <v>1.5619604928668783E-2</v>
      </c>
      <c r="I12">
        <f t="shared" si="6"/>
        <v>0.26718245609836727</v>
      </c>
      <c r="J12">
        <f t="shared" si="7"/>
        <v>2.513470718663938E-2</v>
      </c>
      <c r="K12">
        <f t="shared" si="8"/>
        <v>0.19951282183883437</v>
      </c>
      <c r="L12">
        <f t="shared" si="9"/>
        <v>2.7367034724870166E-2</v>
      </c>
      <c r="M12">
        <f t="shared" si="10"/>
        <v>4.7972480977368871E-2</v>
      </c>
      <c r="O12" s="2">
        <f t="shared" si="4"/>
        <v>33756</v>
      </c>
      <c r="P12">
        <f t="shared" si="1"/>
        <v>1.6903543628638124E-2</v>
      </c>
      <c r="Q12">
        <f t="shared" si="0"/>
        <v>0.22920055446352761</v>
      </c>
      <c r="R12">
        <f t="shared" si="0"/>
        <v>3.1205701598464763E-2</v>
      </c>
      <c r="S12">
        <f t="shared" si="0"/>
        <v>0.17478450762827691</v>
      </c>
      <c r="T12">
        <f t="shared" si="0"/>
        <v>2.5391767182498668E-2</v>
      </c>
      <c r="U12">
        <f t="shared" si="0"/>
        <v>4.4176061200369265E-2</v>
      </c>
    </row>
    <row r="13" spans="1:21" x14ac:dyDescent="0.25">
      <c r="A13" s="2">
        <f t="shared" si="2"/>
        <v>33147</v>
      </c>
      <c r="B13">
        <f>Cleaned!H12/Cleaned!B11</f>
        <v>1.6047382808545105E-2</v>
      </c>
      <c r="C13">
        <f>Cleaned!D12/Cleaned!G11</f>
        <v>0.27538002171552661</v>
      </c>
      <c r="D13">
        <f>Cleaned!J12/Cleaned!L11</f>
        <v>2.5347287698786851E-2</v>
      </c>
      <c r="E13">
        <f>Cleaned!N12/Cleaned!G11</f>
        <v>0.19177524429967427</v>
      </c>
      <c r="F13">
        <f>Cleaned!M12/Cleaned!B11</f>
        <v>2.7302487259964228E-2</v>
      </c>
      <c r="G13">
        <f>Cleaned!E12/Cleaned!L11</f>
        <v>4.7645986548494564E-2</v>
      </c>
      <c r="H13">
        <f t="shared" si="5"/>
        <v>1.5530980919942388E-2</v>
      </c>
      <c r="I13">
        <f t="shared" si="6"/>
        <v>0.26701828528932942</v>
      </c>
      <c r="J13">
        <f t="shared" si="7"/>
        <v>2.5361388342594771E-2</v>
      </c>
      <c r="K13">
        <f t="shared" si="8"/>
        <v>0.19307877327711731</v>
      </c>
      <c r="L13">
        <f t="shared" si="9"/>
        <v>2.7231250177644439E-2</v>
      </c>
      <c r="M13">
        <f t="shared" si="10"/>
        <v>4.7089361374476731E-2</v>
      </c>
      <c r="O13" s="2">
        <f t="shared" si="4"/>
        <v>33848</v>
      </c>
      <c r="P13">
        <f t="shared" si="1"/>
        <v>1.6790724356915341E-2</v>
      </c>
      <c r="Q13">
        <f t="shared" si="0"/>
        <v>0.22676415376674239</v>
      </c>
      <c r="R13">
        <f t="shared" si="0"/>
        <v>2.9916409633088448E-2</v>
      </c>
      <c r="S13">
        <f t="shared" si="0"/>
        <v>0.18070403781108044</v>
      </c>
      <c r="T13">
        <f t="shared" si="0"/>
        <v>2.5858937632051559E-2</v>
      </c>
      <c r="U13">
        <f t="shared" si="0"/>
        <v>4.4320965370400749E-2</v>
      </c>
    </row>
    <row r="14" spans="1:21" x14ac:dyDescent="0.25">
      <c r="A14" s="2">
        <f t="shared" si="2"/>
        <v>33178</v>
      </c>
      <c r="B14">
        <f>Cleaned!H13/Cleaned!B12</f>
        <v>1.7159343996760477E-2</v>
      </c>
      <c r="C14">
        <f>Cleaned!D13/Cleaned!G12</f>
        <v>0.26478080171604773</v>
      </c>
      <c r="D14">
        <f>Cleaned!J13/Cleaned!L12</f>
        <v>2.6179078709879934E-2</v>
      </c>
      <c r="E14">
        <f>Cleaned!N13/Cleaned!G12</f>
        <v>0.1950663627832149</v>
      </c>
      <c r="F14">
        <f>Cleaned!M13/Cleaned!B12</f>
        <v>2.7907133697779578E-2</v>
      </c>
      <c r="G14">
        <f>Cleaned!E13/Cleaned!L12</f>
        <v>4.8528603939417721E-2</v>
      </c>
      <c r="H14">
        <f t="shared" si="5"/>
        <v>1.5984651094324769E-2</v>
      </c>
      <c r="I14">
        <f t="shared" si="6"/>
        <v>0.26185661281887201</v>
      </c>
      <c r="J14">
        <f t="shared" si="7"/>
        <v>2.5378300946678128E-2</v>
      </c>
      <c r="K14">
        <f t="shared" si="8"/>
        <v>0.19285000332553362</v>
      </c>
      <c r="L14">
        <f t="shared" si="9"/>
        <v>2.7819434546617849E-2</v>
      </c>
      <c r="M14">
        <f t="shared" si="10"/>
        <v>4.771147796749494E-2</v>
      </c>
      <c r="O14" s="2">
        <f t="shared" si="4"/>
        <v>33939</v>
      </c>
      <c r="P14">
        <f t="shared" si="1"/>
        <v>1.6663569454335558E-2</v>
      </c>
      <c r="Q14">
        <f t="shared" si="0"/>
        <v>0.23533786752870864</v>
      </c>
      <c r="R14">
        <f t="shared" si="0"/>
        <v>3.0099484872550555E-2</v>
      </c>
      <c r="S14">
        <f t="shared" si="0"/>
        <v>0.18530872473392254</v>
      </c>
      <c r="T14">
        <f t="shared" si="0"/>
        <v>2.6570298205744563E-2</v>
      </c>
      <c r="U14">
        <f t="shared" si="0"/>
        <v>4.4323193149694413E-2</v>
      </c>
    </row>
    <row r="15" spans="1:21" x14ac:dyDescent="0.25">
      <c r="A15" s="2">
        <f t="shared" si="2"/>
        <v>33208</v>
      </c>
      <c r="B15">
        <f>Cleaned!H14/Cleaned!B13</f>
        <v>1.5840278599563842E-2</v>
      </c>
      <c r="C15">
        <f>Cleaned!D14/Cleaned!G13</f>
        <v>0.25283359093250901</v>
      </c>
      <c r="D15">
        <f>Cleaned!J14/Cleaned!L13</f>
        <v>2.6519544841854488E-2</v>
      </c>
      <c r="E15">
        <f>Cleaned!N14/Cleaned!G13</f>
        <v>0.19191138588356518</v>
      </c>
      <c r="F15">
        <f>Cleaned!M14/Cleaned!B13</f>
        <v>2.6921711493922539E-2</v>
      </c>
      <c r="G15">
        <f>Cleaned!E14/Cleaned!L13</f>
        <v>4.6424876963104607E-2</v>
      </c>
      <c r="H15">
        <f t="shared" si="5"/>
        <v>1.6349001801623141E-2</v>
      </c>
      <c r="I15">
        <f t="shared" si="6"/>
        <v>0.26433147145469443</v>
      </c>
      <c r="J15">
        <f t="shared" si="7"/>
        <v>2.6015303750173756E-2</v>
      </c>
      <c r="K15">
        <f t="shared" si="8"/>
        <v>0.19291766432215143</v>
      </c>
      <c r="L15">
        <f t="shared" si="9"/>
        <v>2.7377110817222116E-2</v>
      </c>
      <c r="M15">
        <f t="shared" si="10"/>
        <v>4.753315581700563E-2</v>
      </c>
      <c r="O15" s="2">
        <f t="shared" si="4"/>
        <v>34029</v>
      </c>
      <c r="P15">
        <f t="shared" si="1"/>
        <v>1.581343814534791E-2</v>
      </c>
      <c r="Q15">
        <f t="shared" si="0"/>
        <v>0.23034156237261935</v>
      </c>
      <c r="R15">
        <f t="shared" si="0"/>
        <v>2.8339426997330622E-2</v>
      </c>
      <c r="S15">
        <f t="shared" si="0"/>
        <v>0.18978993418191778</v>
      </c>
      <c r="T15">
        <f t="shared" si="0"/>
        <v>2.6526595398555192E-2</v>
      </c>
      <c r="U15">
        <f t="shared" si="0"/>
        <v>4.5944301113895941E-2</v>
      </c>
    </row>
    <row r="16" spans="1:21" x14ac:dyDescent="0.25">
      <c r="A16" s="2">
        <f t="shared" si="2"/>
        <v>33239</v>
      </c>
      <c r="B16">
        <f>Cleaned!H15/Cleaned!B14</f>
        <v>1.6728545935842897E-2</v>
      </c>
      <c r="C16">
        <f>Cleaned!D15/Cleaned!G14</f>
        <v>0.25515757499050751</v>
      </c>
      <c r="D16">
        <f>Cleaned!J15/Cleaned!L14</f>
        <v>2.658317025440313E-2</v>
      </c>
      <c r="E16">
        <f>Cleaned!N15/Cleaned!G14</f>
        <v>0.20022781926338437</v>
      </c>
      <c r="F16">
        <f>Cleaned!M15/Cleaned!B14</f>
        <v>2.7376290795916813E-2</v>
      </c>
      <c r="G16">
        <f>Cleaned!E15/Cleaned!L14</f>
        <v>4.4399217221135032E-2</v>
      </c>
      <c r="H16">
        <f t="shared" si="5"/>
        <v>1.6576056177389071E-2</v>
      </c>
      <c r="I16">
        <f t="shared" si="6"/>
        <v>0.2575906558796881</v>
      </c>
      <c r="J16">
        <f t="shared" si="7"/>
        <v>2.642726460204585E-2</v>
      </c>
      <c r="K16">
        <f t="shared" si="8"/>
        <v>0.19573518931005482</v>
      </c>
      <c r="L16">
        <f t="shared" si="9"/>
        <v>2.7401711995872977E-2</v>
      </c>
      <c r="M16">
        <f t="shared" si="10"/>
        <v>4.6450899374552455E-2</v>
      </c>
      <c r="O16" s="2">
        <f t="shared" si="4"/>
        <v>34121</v>
      </c>
      <c r="P16">
        <f t="shared" si="1"/>
        <v>1.5763353240351427E-2</v>
      </c>
      <c r="Q16">
        <f t="shared" si="0"/>
        <v>0.23705531823418527</v>
      </c>
      <c r="R16">
        <f t="shared" si="0"/>
        <v>2.8241824588035605E-2</v>
      </c>
      <c r="S16">
        <f t="shared" si="0"/>
        <v>0.17431826224022498</v>
      </c>
      <c r="T16">
        <f t="shared" si="0"/>
        <v>2.5741216144721555E-2</v>
      </c>
      <c r="U16">
        <f t="shared" si="0"/>
        <v>4.5654929396624279E-2</v>
      </c>
    </row>
    <row r="17" spans="1:21" x14ac:dyDescent="0.25">
      <c r="A17" s="2">
        <f t="shared" si="2"/>
        <v>33270</v>
      </c>
      <c r="B17">
        <f>Cleaned!H16/Cleaned!B15</f>
        <v>1.7670001695777513E-2</v>
      </c>
      <c r="C17">
        <f>Cleaned!D16/Cleaned!G15</f>
        <v>0.25489706799750467</v>
      </c>
      <c r="D17">
        <f>Cleaned!J16/Cleaned!L15</f>
        <v>2.675679043109893E-2</v>
      </c>
      <c r="E17">
        <f>Cleaned!N16/Cleaned!G15</f>
        <v>0.1898939488459139</v>
      </c>
      <c r="F17">
        <f>Cleaned!M16/Cleaned!B15</f>
        <v>2.5623198236391385E-2</v>
      </c>
      <c r="G17">
        <f>Cleaned!E16/Cleaned!L15</f>
        <v>4.4496012957886868E-2</v>
      </c>
      <c r="H17">
        <f t="shared" si="5"/>
        <v>1.6746275410394751E-2</v>
      </c>
      <c r="I17">
        <f t="shared" si="6"/>
        <v>0.25429607797350706</v>
      </c>
      <c r="J17">
        <f t="shared" si="7"/>
        <v>2.6619835175785516E-2</v>
      </c>
      <c r="K17">
        <f t="shared" si="8"/>
        <v>0.1940110513309545</v>
      </c>
      <c r="L17">
        <f t="shared" si="9"/>
        <v>2.6640400175410247E-2</v>
      </c>
      <c r="M17">
        <f t="shared" si="10"/>
        <v>4.5106702380708831E-2</v>
      </c>
      <c r="O17" s="2">
        <f t="shared" si="4"/>
        <v>34213</v>
      </c>
      <c r="P17">
        <f t="shared" si="1"/>
        <v>1.5442324412967752E-2</v>
      </c>
      <c r="Q17">
        <f t="shared" si="0"/>
        <v>0.23764774772836819</v>
      </c>
      <c r="R17">
        <f t="shared" si="0"/>
        <v>2.7619818009977714E-2</v>
      </c>
      <c r="S17">
        <f t="shared" si="0"/>
        <v>0.19143777267744524</v>
      </c>
      <c r="T17">
        <f t="shared" si="0"/>
        <v>2.6453711539221089E-2</v>
      </c>
      <c r="U17">
        <f t="shared" si="0"/>
        <v>4.4918518718128686E-2</v>
      </c>
    </row>
    <row r="18" spans="1:21" x14ac:dyDescent="0.25">
      <c r="A18" s="2">
        <f t="shared" si="2"/>
        <v>33298</v>
      </c>
      <c r="B18">
        <f>Cleaned!H17/Cleaned!B16</f>
        <v>1.8088403889431448E-2</v>
      </c>
      <c r="C18">
        <f>Cleaned!D17/Cleaned!G16</f>
        <v>0.25299455535390197</v>
      </c>
      <c r="D18">
        <f>Cleaned!J17/Cleaned!L16</f>
        <v>2.7610465206767208E-2</v>
      </c>
      <c r="E18">
        <f>Cleaned!N17/Cleaned!G16</f>
        <v>0.18269812462189958</v>
      </c>
      <c r="F18">
        <f>Cleaned!M17/Cleaned!B16</f>
        <v>2.6172986285083435E-2</v>
      </c>
      <c r="G18">
        <f>Cleaned!E17/Cleaned!L16</f>
        <v>4.6411729000326842E-2</v>
      </c>
      <c r="H18">
        <f t="shared" si="5"/>
        <v>1.7495650507017287E-2</v>
      </c>
      <c r="I18">
        <f t="shared" si="6"/>
        <v>0.25434973278063805</v>
      </c>
      <c r="J18">
        <f t="shared" si="7"/>
        <v>2.6983475297423093E-2</v>
      </c>
      <c r="K18">
        <f t="shared" si="8"/>
        <v>0.19093996424373261</v>
      </c>
      <c r="L18">
        <f t="shared" si="9"/>
        <v>2.6390825105797211E-2</v>
      </c>
      <c r="M18">
        <f t="shared" si="10"/>
        <v>4.5102319726449576E-2</v>
      </c>
      <c r="O18" s="2">
        <f t="shared" si="4"/>
        <v>34304</v>
      </c>
      <c r="P18">
        <f t="shared" si="1"/>
        <v>1.5420948085832798E-2</v>
      </c>
      <c r="Q18">
        <f t="shared" si="0"/>
        <v>0.2496228746334542</v>
      </c>
      <c r="R18">
        <f t="shared" si="0"/>
        <v>2.8334708927121074E-2</v>
      </c>
      <c r="S18">
        <f t="shared" si="0"/>
        <v>0.19240897955906741</v>
      </c>
      <c r="T18">
        <f t="shared" si="0"/>
        <v>2.5587412471793834E-2</v>
      </c>
      <c r="U18">
        <f t="shared" si="0"/>
        <v>4.5885542345558382E-2</v>
      </c>
    </row>
    <row r="19" spans="1:21" x14ac:dyDescent="0.25">
      <c r="A19" s="2">
        <f t="shared" si="2"/>
        <v>33329</v>
      </c>
      <c r="B19">
        <f>Cleaned!H18/Cleaned!B17</f>
        <v>1.6625301737327031E-2</v>
      </c>
      <c r="C19">
        <f>Cleaned!D18/Cleaned!G17</f>
        <v>0.27265315630095505</v>
      </c>
      <c r="D19">
        <f>Cleaned!J18/Cleaned!L17</f>
        <v>2.6581232558502099E-2</v>
      </c>
      <c r="E19">
        <f>Cleaned!N18/Cleaned!G17</f>
        <v>0.17388772420218962</v>
      </c>
      <c r="F19">
        <f>Cleaned!M18/Cleaned!B17</f>
        <v>2.5141944038350388E-2</v>
      </c>
      <c r="G19">
        <f>Cleaned!E18/Cleaned!L17</f>
        <v>4.6333972530127998E-2</v>
      </c>
      <c r="H19">
        <f t="shared" si="5"/>
        <v>1.7461235774178661E-2</v>
      </c>
      <c r="I19">
        <f t="shared" si="6"/>
        <v>0.26018159321745388</v>
      </c>
      <c r="J19">
        <f t="shared" si="7"/>
        <v>2.6982829398789415E-2</v>
      </c>
      <c r="K19">
        <f t="shared" si="8"/>
        <v>0.18215993255666771</v>
      </c>
      <c r="L19">
        <f t="shared" si="9"/>
        <v>2.5646042853275069E-2</v>
      </c>
      <c r="M19">
        <f t="shared" si="10"/>
        <v>4.5747238162780569E-2</v>
      </c>
      <c r="O19" s="2">
        <f t="shared" si="4"/>
        <v>34394</v>
      </c>
      <c r="P19">
        <f t="shared" si="1"/>
        <v>1.5414039021001085E-2</v>
      </c>
      <c r="Q19">
        <f t="shared" si="0"/>
        <v>0.25585933725424531</v>
      </c>
      <c r="R19">
        <f t="shared" si="0"/>
        <v>3.1643092054617988E-2</v>
      </c>
      <c r="S19">
        <f t="shared" si="0"/>
        <v>0.208438769429967</v>
      </c>
      <c r="T19">
        <f t="shared" si="0"/>
        <v>2.79017276500142E-2</v>
      </c>
      <c r="U19">
        <f t="shared" si="0"/>
        <v>4.8312806903133776E-2</v>
      </c>
    </row>
    <row r="20" spans="1:21" x14ac:dyDescent="0.25">
      <c r="A20" s="2">
        <f t="shared" si="2"/>
        <v>33359</v>
      </c>
      <c r="B20">
        <f>Cleaned!H19/Cleaned!B18</f>
        <v>1.7585450727717618E-2</v>
      </c>
      <c r="C20">
        <f>Cleaned!D19/Cleaned!G18</f>
        <v>0.23450645811115062</v>
      </c>
      <c r="D20">
        <f>Cleaned!J19/Cleaned!L18</f>
        <v>2.7966671356438273E-2</v>
      </c>
      <c r="E20">
        <f>Cleaned!N19/Cleaned!G18</f>
        <v>0.19113639056760279</v>
      </c>
      <c r="F20">
        <f>Cleaned!M19/Cleaned!B18</f>
        <v>2.8414430737708388E-2</v>
      </c>
      <c r="G20">
        <f>Cleaned!E19/Cleaned!L18</f>
        <v>4.2770717066078885E-2</v>
      </c>
      <c r="H20">
        <f t="shared" si="5"/>
        <v>1.7433052118158699E-2</v>
      </c>
      <c r="I20">
        <f t="shared" si="6"/>
        <v>0.2533847232553359</v>
      </c>
      <c r="J20">
        <f t="shared" si="7"/>
        <v>2.7386123040569189E-2</v>
      </c>
      <c r="K20">
        <f t="shared" si="8"/>
        <v>0.18257407979723064</v>
      </c>
      <c r="L20">
        <f t="shared" si="9"/>
        <v>2.6576453687047405E-2</v>
      </c>
      <c r="M20">
        <f t="shared" si="10"/>
        <v>4.5172139532177906E-2</v>
      </c>
      <c r="O20" s="2">
        <f t="shared" si="4"/>
        <v>34486</v>
      </c>
      <c r="P20">
        <f t="shared" si="1"/>
        <v>1.5116646729270973E-2</v>
      </c>
      <c r="Q20">
        <f t="shared" si="1"/>
        <v>0.26239663747319536</v>
      </c>
      <c r="R20">
        <f t="shared" si="1"/>
        <v>3.0914487061706467E-2</v>
      </c>
      <c r="S20">
        <f t="shared" si="1"/>
        <v>0.23369498469599073</v>
      </c>
      <c r="T20">
        <f t="shared" si="1"/>
        <v>2.6324408452308112E-2</v>
      </c>
      <c r="U20">
        <f t="shared" si="1"/>
        <v>4.6307947729778524E-2</v>
      </c>
    </row>
    <row r="21" spans="1:21" x14ac:dyDescent="0.25">
      <c r="A21" s="2">
        <f t="shared" si="2"/>
        <v>33390</v>
      </c>
      <c r="B21">
        <f>Cleaned!H20/Cleaned!B19</f>
        <v>1.6255108991825612E-2</v>
      </c>
      <c r="C21">
        <f>Cleaned!D20/Cleaned!G19</f>
        <v>0.25171703296703296</v>
      </c>
      <c r="D21">
        <f>Cleaned!J20/Cleaned!L19</f>
        <v>2.8445574960449173E-2</v>
      </c>
      <c r="E21">
        <f>Cleaned!N20/Cleaned!G19</f>
        <v>0.18452380952380953</v>
      </c>
      <c r="F21">
        <f>Cleaned!M20/Cleaned!B19</f>
        <v>2.69925068119891E-2</v>
      </c>
      <c r="G21">
        <f>Cleaned!E20/Cleaned!L19</f>
        <v>4.6421813444179047E-2</v>
      </c>
      <c r="H21">
        <f t="shared" si="5"/>
        <v>1.6821953818956754E-2</v>
      </c>
      <c r="I21">
        <f t="shared" si="6"/>
        <v>0.25295888245971287</v>
      </c>
      <c r="J21">
        <f t="shared" si="7"/>
        <v>2.7664492958463183E-2</v>
      </c>
      <c r="K21">
        <f t="shared" si="8"/>
        <v>0.18318264143120064</v>
      </c>
      <c r="L21">
        <f t="shared" si="9"/>
        <v>2.6849627196015958E-2</v>
      </c>
      <c r="M21">
        <f t="shared" si="10"/>
        <v>4.5175501013461981E-2</v>
      </c>
      <c r="O21" s="2">
        <f t="shared" si="4"/>
        <v>34578</v>
      </c>
      <c r="P21">
        <f t="shared" si="1"/>
        <v>1.5030309667942054E-2</v>
      </c>
      <c r="Q21">
        <f t="shared" si="1"/>
        <v>0.27383510272034178</v>
      </c>
      <c r="R21">
        <f t="shared" si="1"/>
        <v>3.0712837057270289E-2</v>
      </c>
      <c r="S21">
        <f t="shared" si="1"/>
        <v>0.22607999362313436</v>
      </c>
      <c r="T21">
        <f t="shared" si="1"/>
        <v>2.6174939673203012E-2</v>
      </c>
      <c r="U21">
        <f t="shared" si="1"/>
        <v>4.7648387259083248E-2</v>
      </c>
    </row>
    <row r="22" spans="1:21" x14ac:dyDescent="0.25">
      <c r="A22" s="2">
        <f t="shared" si="2"/>
        <v>33420</v>
      </c>
      <c r="B22">
        <f>Cleaned!H21/Cleaned!B20</f>
        <v>1.6550633718409712E-2</v>
      </c>
      <c r="C22">
        <f>Cleaned!D21/Cleaned!G20</f>
        <v>0.23665439484583525</v>
      </c>
      <c r="D22">
        <f>Cleaned!J21/Cleaned!L20</f>
        <v>2.5562673533015869E-2</v>
      </c>
      <c r="E22">
        <f>Cleaned!N21/Cleaned!G20</f>
        <v>0.19155545329038196</v>
      </c>
      <c r="F22">
        <f>Cleaned!M21/Cleaned!B20</f>
        <v>2.682783770688292E-2</v>
      </c>
      <c r="G22">
        <f>Cleaned!E21/Cleaned!L20</f>
        <v>4.484325799996898E-2</v>
      </c>
      <c r="H22">
        <f t="shared" si="5"/>
        <v>1.6797064479317645E-2</v>
      </c>
      <c r="I22">
        <f t="shared" si="6"/>
        <v>0.24095929530800628</v>
      </c>
      <c r="J22">
        <f t="shared" si="7"/>
        <v>2.7324973283301107E-2</v>
      </c>
      <c r="K22">
        <f t="shared" si="8"/>
        <v>0.18907188446059808</v>
      </c>
      <c r="L22">
        <f t="shared" si="9"/>
        <v>2.741159175219347E-2</v>
      </c>
      <c r="M22">
        <f t="shared" si="10"/>
        <v>4.4678596170075635E-2</v>
      </c>
      <c r="O22" s="2">
        <f t="shared" si="4"/>
        <v>34669</v>
      </c>
      <c r="P22">
        <f t="shared" si="1"/>
        <v>1.4136319791482809E-2</v>
      </c>
      <c r="Q22">
        <f t="shared" si="1"/>
        <v>0.27997622207360368</v>
      </c>
      <c r="R22">
        <f t="shared" si="1"/>
        <v>2.9264635211334173E-2</v>
      </c>
      <c r="S22">
        <f t="shared" si="1"/>
        <v>0.23094844692150521</v>
      </c>
      <c r="T22">
        <f t="shared" si="1"/>
        <v>2.7020313230669963E-2</v>
      </c>
      <c r="U22">
        <f t="shared" si="1"/>
        <v>4.8984650118290694E-2</v>
      </c>
    </row>
    <row r="23" spans="1:21" x14ac:dyDescent="0.25">
      <c r="A23" s="2">
        <f t="shared" si="2"/>
        <v>33451</v>
      </c>
      <c r="B23">
        <f>Cleaned!H22/Cleaned!B21</f>
        <v>1.7377177463255306E-2</v>
      </c>
      <c r="C23">
        <f>Cleaned!D22/Cleaned!G21</f>
        <v>0.2501747030048917</v>
      </c>
      <c r="D23">
        <f>Cleaned!J22/Cleaned!L21</f>
        <v>2.736448944314113E-2</v>
      </c>
      <c r="E23">
        <f>Cleaned!N22/Cleaned!G21</f>
        <v>0.18751455858374097</v>
      </c>
      <c r="F23">
        <f>Cleaned!M22/Cleaned!B21</f>
        <v>2.6214616222101254E-2</v>
      </c>
      <c r="G23">
        <f>Cleaned!E22/Cleaned!L21</f>
        <v>4.4264724040004942E-2</v>
      </c>
      <c r="H23">
        <f t="shared" si="5"/>
        <v>1.6727640057830211E-2</v>
      </c>
      <c r="I23">
        <f t="shared" si="6"/>
        <v>0.24618204360591997</v>
      </c>
      <c r="J23">
        <f t="shared" si="7"/>
        <v>2.7124245978868724E-2</v>
      </c>
      <c r="K23">
        <f t="shared" si="8"/>
        <v>0.18786460713264416</v>
      </c>
      <c r="L23">
        <f t="shared" si="9"/>
        <v>2.6678320246991089E-2</v>
      </c>
      <c r="M23">
        <f t="shared" si="10"/>
        <v>4.5176598494717661E-2</v>
      </c>
      <c r="O23" s="2">
        <f t="shared" si="4"/>
        <v>34759</v>
      </c>
      <c r="P23">
        <f t="shared" si="1"/>
        <v>1.4688144906753289E-2</v>
      </c>
      <c r="Q23">
        <f t="shared" si="1"/>
        <v>0.28410493695569594</v>
      </c>
      <c r="R23">
        <f t="shared" si="1"/>
        <v>2.7744586141790647E-2</v>
      </c>
      <c r="S23">
        <f t="shared" si="1"/>
        <v>0.22666116978680093</v>
      </c>
      <c r="T23">
        <f t="shared" si="1"/>
        <v>2.5948493333726536E-2</v>
      </c>
      <c r="U23">
        <f t="shared" si="1"/>
        <v>4.6506990661272563E-2</v>
      </c>
    </row>
    <row r="24" spans="1:21" x14ac:dyDescent="0.25">
      <c r="A24" s="2">
        <f t="shared" si="2"/>
        <v>33482</v>
      </c>
      <c r="B24">
        <f>Cleaned!H23/Cleaned!B22</f>
        <v>1.6674611010861054E-2</v>
      </c>
      <c r="C24">
        <f>Cleaned!D23/Cleaned!G22</f>
        <v>0.25928917609046848</v>
      </c>
      <c r="D24">
        <f>Cleaned!J23/Cleaned!L22</f>
        <v>2.9338423175199337E-2</v>
      </c>
      <c r="E24">
        <f>Cleaned!N23/Cleaned!G22</f>
        <v>0.18324486498961459</v>
      </c>
      <c r="F24">
        <f>Cleaned!M23/Cleaned!B22</f>
        <v>2.5177896564638588E-2</v>
      </c>
      <c r="G24">
        <f>Cleaned!E23/Cleaned!L22</f>
        <v>4.6901456146291903E-2</v>
      </c>
      <c r="H24">
        <f t="shared" si="5"/>
        <v>1.6867474064175356E-2</v>
      </c>
      <c r="I24">
        <f t="shared" si="6"/>
        <v>0.24870609131373178</v>
      </c>
      <c r="J24">
        <f t="shared" si="7"/>
        <v>2.7421862050452116E-2</v>
      </c>
      <c r="K24">
        <f t="shared" si="8"/>
        <v>0.18743829228791251</v>
      </c>
      <c r="L24">
        <f t="shared" si="9"/>
        <v>2.6073450164540921E-2</v>
      </c>
      <c r="M24">
        <f t="shared" si="10"/>
        <v>4.5336479395421937E-2</v>
      </c>
      <c r="O24" s="2">
        <f t="shared" si="4"/>
        <v>34851</v>
      </c>
      <c r="P24">
        <f t="shared" si="1"/>
        <v>1.4768444347384224E-2</v>
      </c>
      <c r="Q24">
        <f t="shared" si="1"/>
        <v>0.27544048139242938</v>
      </c>
      <c r="R24">
        <f t="shared" si="1"/>
        <v>2.9598723073074984E-2</v>
      </c>
      <c r="S24">
        <f t="shared" si="1"/>
        <v>0.22749334519735778</v>
      </c>
      <c r="T24">
        <f t="shared" si="1"/>
        <v>2.7679242185635361E-2</v>
      </c>
      <c r="U24">
        <f t="shared" si="1"/>
        <v>4.5665717122460946E-2</v>
      </c>
    </row>
    <row r="25" spans="1:21" x14ac:dyDescent="0.25">
      <c r="A25" s="2">
        <f t="shared" si="2"/>
        <v>33512</v>
      </c>
      <c r="B25">
        <f>Cleaned!H24/Cleaned!B23</f>
        <v>1.7120615969065871E-2</v>
      </c>
      <c r="C25">
        <f>Cleaned!D24/Cleaned!G23</f>
        <v>0.24191699151570742</v>
      </c>
      <c r="D25">
        <f>Cleaned!J24/Cleaned!L23</f>
        <v>2.8692074491121697E-2</v>
      </c>
      <c r="E25">
        <f>Cleaned!N24/Cleaned!G23</f>
        <v>0.1920431093785829</v>
      </c>
      <c r="F25">
        <f>Cleaned!M24/Cleaned!B23</f>
        <v>2.6168509599077402E-2</v>
      </c>
      <c r="G25">
        <f>Cleaned!E24/Cleaned!L23</f>
        <v>4.3401596238322092E-2</v>
      </c>
      <c r="H25">
        <f t="shared" si="5"/>
        <v>1.7057468147727409E-2</v>
      </c>
      <c r="I25">
        <f t="shared" si="6"/>
        <v>0.25046029020368921</v>
      </c>
      <c r="J25">
        <f t="shared" si="7"/>
        <v>2.8464995703154056E-2</v>
      </c>
      <c r="K25">
        <f t="shared" si="8"/>
        <v>0.18760084431731283</v>
      </c>
      <c r="L25">
        <f t="shared" si="9"/>
        <v>2.5853674128605748E-2</v>
      </c>
      <c r="M25">
        <f t="shared" si="10"/>
        <v>4.4855925474872986E-2</v>
      </c>
      <c r="O25" s="2">
        <f t="shared" si="4"/>
        <v>34943</v>
      </c>
      <c r="P25">
        <f t="shared" si="1"/>
        <v>1.5032129067474033E-2</v>
      </c>
      <c r="Q25">
        <f t="shared" si="1"/>
        <v>0.28092573599041304</v>
      </c>
      <c r="R25">
        <f t="shared" si="1"/>
        <v>2.9094855161656261E-2</v>
      </c>
      <c r="S25">
        <f t="shared" si="1"/>
        <v>0.22902529673234159</v>
      </c>
      <c r="T25">
        <f t="shared" si="1"/>
        <v>2.656371203756976E-2</v>
      </c>
      <c r="U25">
        <f t="shared" si="1"/>
        <v>4.79147785509993E-2</v>
      </c>
    </row>
    <row r="26" spans="1:21" x14ac:dyDescent="0.25">
      <c r="A26" s="2">
        <f t="shared" si="2"/>
        <v>33543</v>
      </c>
      <c r="B26">
        <f>Cleaned!H25/Cleaned!B24</f>
        <v>1.6426146010186757E-2</v>
      </c>
      <c r="C26">
        <f>Cleaned!D25/Cleaned!G24</f>
        <v>0.24010404885772449</v>
      </c>
      <c r="D26">
        <f>Cleaned!J25/Cleaned!L24</f>
        <v>2.8509752524863156E-2</v>
      </c>
      <c r="E26">
        <f>Cleaned!N25/Cleaned!G24</f>
        <v>0.18038905225062205</v>
      </c>
      <c r="F26">
        <f>Cleaned!M25/Cleaned!B24</f>
        <v>2.5466893039049237E-2</v>
      </c>
      <c r="G26">
        <f>Cleaned!E25/Cleaned!L24</f>
        <v>4.1970549687765014E-2</v>
      </c>
      <c r="H26">
        <f t="shared" si="5"/>
        <v>1.674045766337123E-2</v>
      </c>
      <c r="I26">
        <f t="shared" si="6"/>
        <v>0.2471034054879668</v>
      </c>
      <c r="J26">
        <f t="shared" si="7"/>
        <v>2.8846750063728065E-2</v>
      </c>
      <c r="K26">
        <f t="shared" si="8"/>
        <v>0.18522567553960653</v>
      </c>
      <c r="L26">
        <f t="shared" si="9"/>
        <v>2.5604433067588406E-2</v>
      </c>
      <c r="M26">
        <f t="shared" si="10"/>
        <v>4.4091200690793003E-2</v>
      </c>
      <c r="O26" s="2">
        <f t="shared" si="4"/>
        <v>35034</v>
      </c>
      <c r="P26">
        <f t="shared" si="1"/>
        <v>1.413859771838206E-2</v>
      </c>
      <c r="Q26">
        <f t="shared" si="1"/>
        <v>0.27099946131958202</v>
      </c>
      <c r="R26">
        <f t="shared" si="1"/>
        <v>2.9026137441482681E-2</v>
      </c>
      <c r="S26">
        <f t="shared" si="1"/>
        <v>0.23489816272747835</v>
      </c>
      <c r="T26">
        <f t="shared" si="1"/>
        <v>2.6804959346833471E-2</v>
      </c>
      <c r="U26">
        <f t="shared" si="1"/>
        <v>4.5113747364590617E-2</v>
      </c>
    </row>
    <row r="27" spans="1:21" x14ac:dyDescent="0.25">
      <c r="A27" s="2">
        <f t="shared" si="2"/>
        <v>33573</v>
      </c>
      <c r="B27">
        <f>Cleaned!H26/Cleaned!B25</f>
        <v>1.6769975375732361E-2</v>
      </c>
      <c r="C27">
        <f>Cleaned!D26/Cleaned!G25</f>
        <v>0.21677303773373643</v>
      </c>
      <c r="D27">
        <f>Cleaned!J26/Cleaned!L25</f>
        <v>2.9004249030112693E-2</v>
      </c>
      <c r="E27">
        <f>Cleaned!N26/Cleaned!G25</f>
        <v>0.18732504758705631</v>
      </c>
      <c r="F27">
        <f>Cleaned!M26/Cleaned!B25</f>
        <v>2.5566782712065892E-2</v>
      </c>
      <c r="G27">
        <f>Cleaned!E26/Cleaned!L25</f>
        <v>4.0966192499538145E-2</v>
      </c>
      <c r="H27">
        <f t="shared" si="5"/>
        <v>1.6772245784994998E-2</v>
      </c>
      <c r="I27">
        <f t="shared" si="6"/>
        <v>0.2329313593690561</v>
      </c>
      <c r="J27">
        <f t="shared" si="7"/>
        <v>2.8735358682032513E-2</v>
      </c>
      <c r="K27">
        <f t="shared" si="8"/>
        <v>0.18658573640542042</v>
      </c>
      <c r="L27">
        <f t="shared" si="9"/>
        <v>2.5734061783397513E-2</v>
      </c>
      <c r="M27">
        <f t="shared" si="10"/>
        <v>4.2112779475208417E-2</v>
      </c>
      <c r="O27" s="2">
        <f t="shared" si="4"/>
        <v>35125</v>
      </c>
      <c r="P27">
        <f t="shared" si="1"/>
        <v>1.4090934824926205E-2</v>
      </c>
      <c r="Q27">
        <f t="shared" si="1"/>
        <v>0.27450086661003481</v>
      </c>
      <c r="R27">
        <f t="shared" si="1"/>
        <v>2.8745276620183668E-2</v>
      </c>
      <c r="S27">
        <f t="shared" si="1"/>
        <v>0.23078890003067731</v>
      </c>
      <c r="T27">
        <f t="shared" si="1"/>
        <v>2.5698671252153221E-2</v>
      </c>
      <c r="U27">
        <f t="shared" si="1"/>
        <v>4.6948358949443346E-2</v>
      </c>
    </row>
    <row r="28" spans="1:21" x14ac:dyDescent="0.25">
      <c r="A28" s="2">
        <f t="shared" si="2"/>
        <v>33604</v>
      </c>
      <c r="B28">
        <f>Cleaned!H27/Cleaned!B26</f>
        <v>1.8303168576439141E-2</v>
      </c>
      <c r="C28">
        <f>Cleaned!D27/Cleaned!G26</f>
        <v>0.26364427049358558</v>
      </c>
      <c r="D28">
        <f>Cleaned!J27/Cleaned!L26</f>
        <v>2.9953634046734425E-2</v>
      </c>
      <c r="E28">
        <f>Cleaned!N27/Cleaned!G26</f>
        <v>0.17569036747118938</v>
      </c>
      <c r="F28">
        <f>Cleaned!M27/Cleaned!B26</f>
        <v>2.4977440280591831E-2</v>
      </c>
      <c r="G28">
        <f>Cleaned!E27/Cleaned!L26</f>
        <v>4.8100838271870297E-2</v>
      </c>
      <c r="H28">
        <f t="shared" si="5"/>
        <v>1.7166429987452752E-2</v>
      </c>
      <c r="I28">
        <f t="shared" si="6"/>
        <v>0.24017378569501549</v>
      </c>
      <c r="J28">
        <f t="shared" si="7"/>
        <v>2.9155878533903428E-2</v>
      </c>
      <c r="K28">
        <f t="shared" si="8"/>
        <v>0.18113482243628923</v>
      </c>
      <c r="L28">
        <f t="shared" si="9"/>
        <v>2.5337038677235652E-2</v>
      </c>
      <c r="M28">
        <f t="shared" si="10"/>
        <v>4.3679193486391155E-2</v>
      </c>
      <c r="O28" s="2">
        <f t="shared" si="4"/>
        <v>35217</v>
      </c>
      <c r="P28">
        <f t="shared" si="1"/>
        <v>1.3993687294820053E-2</v>
      </c>
      <c r="Q28">
        <f t="shared" si="1"/>
        <v>0.27061461211884047</v>
      </c>
      <c r="R28">
        <f t="shared" si="1"/>
        <v>2.8247900008812291E-2</v>
      </c>
      <c r="S28">
        <f t="shared" si="1"/>
        <v>0.23617754492329937</v>
      </c>
      <c r="T28">
        <f t="shared" si="1"/>
        <v>2.5350227686326308E-2</v>
      </c>
      <c r="U28">
        <f t="shared" si="1"/>
        <v>4.6595715356480195E-2</v>
      </c>
    </row>
    <row r="29" spans="1:21" x14ac:dyDescent="0.25">
      <c r="A29" s="2">
        <f t="shared" si="2"/>
        <v>33635</v>
      </c>
      <c r="B29">
        <f>Cleaned!H28/Cleaned!B27</f>
        <v>1.7248978623133127E-2</v>
      </c>
      <c r="C29">
        <f>Cleaned!D28/Cleaned!G27</f>
        <v>0.22018743940536464</v>
      </c>
      <c r="D29">
        <f>Cleaned!J28/Cleaned!L27</f>
        <v>2.6247449452791689E-2</v>
      </c>
      <c r="E29">
        <f>Cleaned!N28/Cleaned!G27</f>
        <v>0.16611009371970267</v>
      </c>
      <c r="F29">
        <f>Cleaned!M28/Cleaned!B27</f>
        <v>2.5241994270118157E-2</v>
      </c>
      <c r="G29">
        <f>Cleaned!E28/Cleaned!L27</f>
        <v>4.1859889940023494E-2</v>
      </c>
      <c r="H29">
        <f t="shared" si="5"/>
        <v>1.7440707525101542E-2</v>
      </c>
      <c r="I29">
        <f t="shared" si="6"/>
        <v>0.23353491587756223</v>
      </c>
      <c r="J29">
        <f t="shared" si="7"/>
        <v>2.84017775098796E-2</v>
      </c>
      <c r="K29">
        <f t="shared" si="8"/>
        <v>0.17637516959264946</v>
      </c>
      <c r="L29">
        <f t="shared" si="9"/>
        <v>2.5262072420925291E-2</v>
      </c>
      <c r="M29">
        <f t="shared" si="10"/>
        <v>4.364230690381065E-2</v>
      </c>
      <c r="O29" s="2">
        <f t="shared" si="4"/>
        <v>35309</v>
      </c>
      <c r="P29">
        <f t="shared" si="1"/>
        <v>1.3634664463406223E-2</v>
      </c>
      <c r="Q29">
        <f t="shared" si="1"/>
        <v>0.28645214070745867</v>
      </c>
      <c r="R29">
        <f t="shared" si="1"/>
        <v>2.8236764355975368E-2</v>
      </c>
      <c r="S29">
        <f t="shared" si="1"/>
        <v>0.23056814931440259</v>
      </c>
      <c r="T29">
        <f t="shared" si="1"/>
        <v>2.5838918769868668E-2</v>
      </c>
      <c r="U29">
        <f t="shared" si="1"/>
        <v>4.7628057107379856E-2</v>
      </c>
    </row>
    <row r="30" spans="1:21" x14ac:dyDescent="0.25">
      <c r="A30" s="2">
        <f t="shared" si="2"/>
        <v>33664</v>
      </c>
      <c r="B30">
        <f>Cleaned!H29/Cleaned!B28</f>
        <v>1.5056941224427403E-2</v>
      </c>
      <c r="C30">
        <f>Cleaned!D29/Cleaned!G28</f>
        <v>0.22392638036809817</v>
      </c>
      <c r="D30">
        <f>Cleaned!J29/Cleaned!L28</f>
        <v>3.0203515263644773E-2</v>
      </c>
      <c r="E30">
        <f>Cleaned!N29/Cleaned!G28</f>
        <v>0.17167336577110218</v>
      </c>
      <c r="F30">
        <f>Cleaned!M29/Cleaned!B28</f>
        <v>2.5043947924893634E-2</v>
      </c>
      <c r="G30">
        <f>Cleaned!E29/Cleaned!L28</f>
        <v>4.5035460992907804E-2</v>
      </c>
      <c r="H30">
        <f t="shared" si="5"/>
        <v>1.6869696141333223E-2</v>
      </c>
      <c r="I30">
        <f t="shared" si="6"/>
        <v>0.23591936342234945</v>
      </c>
      <c r="J30">
        <f t="shared" si="7"/>
        <v>2.8801532921056961E-2</v>
      </c>
      <c r="K30">
        <f t="shared" si="8"/>
        <v>0.17115794232066472</v>
      </c>
      <c r="L30">
        <f t="shared" si="9"/>
        <v>2.508779415853454E-2</v>
      </c>
      <c r="M30">
        <f t="shared" si="10"/>
        <v>4.4998729734933872E-2</v>
      </c>
      <c r="O30" s="2">
        <f t="shared" si="4"/>
        <v>35400</v>
      </c>
      <c r="P30">
        <f t="shared" si="1"/>
        <v>1.3358141594943593E-2</v>
      </c>
      <c r="Q30">
        <f t="shared" si="1"/>
        <v>0.27859173792651099</v>
      </c>
      <c r="R30">
        <f t="shared" si="1"/>
        <v>2.8487206382962271E-2</v>
      </c>
      <c r="S30">
        <f t="shared" si="1"/>
        <v>0.21996764594963233</v>
      </c>
      <c r="T30">
        <f t="shared" si="1"/>
        <v>2.4953359599745688E-2</v>
      </c>
      <c r="U30">
        <f t="shared" si="1"/>
        <v>4.3860679572827486E-2</v>
      </c>
    </row>
    <row r="31" spans="1:21" x14ac:dyDescent="0.25">
      <c r="A31" s="2">
        <f t="shared" si="2"/>
        <v>33695</v>
      </c>
      <c r="B31">
        <f>Cleaned!H30/Cleaned!B29</f>
        <v>1.6209033044420368E-2</v>
      </c>
      <c r="C31">
        <f>Cleaned!D30/Cleaned!G29</f>
        <v>0.23054968287526428</v>
      </c>
      <c r="D31">
        <f>Cleaned!J30/Cleaned!L29</f>
        <v>2.9736842105263159E-2</v>
      </c>
      <c r="E31">
        <f>Cleaned!N30/Cleaned!G29</f>
        <v>0.1839323467230444</v>
      </c>
      <c r="F31">
        <f>Cleaned!M30/Cleaned!B29</f>
        <v>2.4283924702058503E-2</v>
      </c>
      <c r="G31">
        <f>Cleaned!E30/Cleaned!L29</f>
        <v>4.3900928792569661E-2</v>
      </c>
      <c r="H31">
        <f t="shared" si="5"/>
        <v>1.6171650963993634E-2</v>
      </c>
      <c r="I31">
        <f t="shared" si="6"/>
        <v>0.22488783421624237</v>
      </c>
      <c r="J31">
        <f t="shared" si="7"/>
        <v>2.872926894056654E-2</v>
      </c>
      <c r="K31">
        <f t="shared" si="8"/>
        <v>0.17390526873794976</v>
      </c>
      <c r="L31">
        <f t="shared" si="9"/>
        <v>2.4856622299023429E-2</v>
      </c>
      <c r="M31">
        <f t="shared" si="10"/>
        <v>4.3598759908500317E-2</v>
      </c>
      <c r="O31" s="2">
        <f t="shared" si="4"/>
        <v>35490</v>
      </c>
      <c r="P31">
        <f t="shared" si="1"/>
        <v>1.3791802245201582E-2</v>
      </c>
      <c r="Q31">
        <f t="shared" si="1"/>
        <v>0.29359068562991325</v>
      </c>
      <c r="R31">
        <f t="shared" si="1"/>
        <v>2.7483405341590401E-2</v>
      </c>
      <c r="S31">
        <f t="shared" si="1"/>
        <v>0.2242618642775509</v>
      </c>
      <c r="T31">
        <f t="shared" si="1"/>
        <v>2.6242289597381868E-2</v>
      </c>
      <c r="U31">
        <f t="shared" si="1"/>
        <v>4.792851082693967E-2</v>
      </c>
    </row>
    <row r="32" spans="1:21" x14ac:dyDescent="0.25">
      <c r="A32" s="2">
        <f t="shared" si="2"/>
        <v>33725</v>
      </c>
      <c r="B32">
        <f>Cleaned!H31/Cleaned!B30</f>
        <v>1.7124617904851976E-2</v>
      </c>
      <c r="C32">
        <f>Cleaned!D31/Cleaned!G30</f>
        <v>0.22952734997344662</v>
      </c>
      <c r="D32">
        <f>Cleaned!J31/Cleaned!L30</f>
        <v>3.204005394261622E-2</v>
      </c>
      <c r="E32">
        <f>Cleaned!N31/Cleaned!G30</f>
        <v>0.17344662772172065</v>
      </c>
      <c r="F32">
        <f>Cleaned!M31/Cleaned!B30</f>
        <v>2.6632665124212588E-2</v>
      </c>
      <c r="G32">
        <f>Cleaned!E31/Cleaned!L30</f>
        <v>4.5138189202176306E-2</v>
      </c>
      <c r="H32">
        <f t="shared" si="5"/>
        <v>1.613019739123325E-2</v>
      </c>
      <c r="I32">
        <f t="shared" si="6"/>
        <v>0.22800113773893635</v>
      </c>
      <c r="J32">
        <f t="shared" si="7"/>
        <v>3.0660137103841384E-2</v>
      </c>
      <c r="K32">
        <f t="shared" si="8"/>
        <v>0.17635078007195573</v>
      </c>
      <c r="L32">
        <f t="shared" si="9"/>
        <v>2.532017925038824E-2</v>
      </c>
      <c r="M32">
        <f t="shared" si="10"/>
        <v>4.4691526329217919E-2</v>
      </c>
      <c r="O32" s="2">
        <f t="shared" si="4"/>
        <v>35582</v>
      </c>
      <c r="P32">
        <f t="shared" si="1"/>
        <v>1.3490849886799097E-2</v>
      </c>
      <c r="Q32">
        <f t="shared" si="1"/>
        <v>0.29324102971391136</v>
      </c>
      <c r="R32">
        <f t="shared" si="1"/>
        <v>2.6490838559674105E-2</v>
      </c>
      <c r="S32">
        <f t="shared" si="1"/>
        <v>0.23257936413978561</v>
      </c>
      <c r="T32">
        <f t="shared" si="1"/>
        <v>2.5840091782915187E-2</v>
      </c>
      <c r="U32">
        <f t="shared" si="1"/>
        <v>4.7312161335325897E-2</v>
      </c>
    </row>
    <row r="33" spans="1:21" x14ac:dyDescent="0.25">
      <c r="A33" s="2">
        <f t="shared" si="2"/>
        <v>33756</v>
      </c>
      <c r="B33">
        <f>Cleaned!H32/Cleaned!B31</f>
        <v>1.7376979936642029E-2</v>
      </c>
      <c r="C33">
        <f>Cleaned!D32/Cleaned!G31</f>
        <v>0.22752463054187191</v>
      </c>
      <c r="D33">
        <f>Cleaned!J32/Cleaned!L31</f>
        <v>3.1840208747514913E-2</v>
      </c>
      <c r="E33">
        <f>Cleaned!N32/Cleaned!G31</f>
        <v>0.16697454844006568</v>
      </c>
      <c r="F33">
        <f>Cleaned!M32/Cleaned!B31</f>
        <v>2.525871172122492E-2</v>
      </c>
      <c r="G33">
        <f>Cleaned!E32/Cleaned!L31</f>
        <v>4.3489065606361829E-2</v>
      </c>
      <c r="H33">
        <f t="shared" si="5"/>
        <v>1.6903543628638124E-2</v>
      </c>
      <c r="I33">
        <f t="shared" si="6"/>
        <v>0.22920055446352761</v>
      </c>
      <c r="J33">
        <f t="shared" si="7"/>
        <v>3.1205701598464763E-2</v>
      </c>
      <c r="K33">
        <f t="shared" si="8"/>
        <v>0.17478450762827691</v>
      </c>
      <c r="L33">
        <f t="shared" si="9"/>
        <v>2.5391767182498668E-2</v>
      </c>
      <c r="M33">
        <f t="shared" si="10"/>
        <v>4.4176061200369265E-2</v>
      </c>
      <c r="O33" s="2">
        <f t="shared" si="4"/>
        <v>35674</v>
      </c>
      <c r="P33">
        <f t="shared" si="1"/>
        <v>1.266587538738456E-2</v>
      </c>
      <c r="Q33">
        <f t="shared" si="1"/>
        <v>0.28613298905450363</v>
      </c>
      <c r="R33">
        <f t="shared" si="1"/>
        <v>2.6795204240232805E-2</v>
      </c>
      <c r="S33">
        <f t="shared" si="1"/>
        <v>0.23683021951474773</v>
      </c>
      <c r="T33">
        <f t="shared" si="1"/>
        <v>2.5196371992046756E-2</v>
      </c>
      <c r="U33">
        <f t="shared" si="1"/>
        <v>4.6508116581220692E-2</v>
      </c>
    </row>
    <row r="34" spans="1:21" x14ac:dyDescent="0.25">
      <c r="A34" s="2">
        <f t="shared" si="2"/>
        <v>33786</v>
      </c>
      <c r="B34">
        <f>Cleaned!H33/Cleaned!B32</f>
        <v>1.6382506185662775E-2</v>
      </c>
      <c r="C34">
        <f>Cleaned!D33/Cleaned!G32</f>
        <v>0.22918326693227092</v>
      </c>
      <c r="D34">
        <f>Cleaned!J33/Cleaned!L32</f>
        <v>3.0714597221356926E-2</v>
      </c>
      <c r="E34">
        <f>Cleaned!N33/Cleaned!G32</f>
        <v>0.18316733067729082</v>
      </c>
      <c r="F34">
        <f>Cleaned!M33/Cleaned!B32</f>
        <v>2.5080434727535277E-2</v>
      </c>
      <c r="G34">
        <f>Cleaned!E33/Cleaned!L32</f>
        <v>4.5682511993022243E-2</v>
      </c>
      <c r="H34">
        <f t="shared" si="5"/>
        <v>1.696136800905226E-2</v>
      </c>
      <c r="I34">
        <f t="shared" si="6"/>
        <v>0.22874508248252981</v>
      </c>
      <c r="J34">
        <f t="shared" si="7"/>
        <v>3.1531619970496021E-2</v>
      </c>
      <c r="K34">
        <f t="shared" si="8"/>
        <v>0.17452950227969241</v>
      </c>
      <c r="L34">
        <f t="shared" si="9"/>
        <v>2.565727052432426E-2</v>
      </c>
      <c r="M34">
        <f t="shared" si="10"/>
        <v>4.476992226718679E-2</v>
      </c>
      <c r="O34" s="2">
        <f t="shared" si="4"/>
        <v>35765</v>
      </c>
      <c r="P34">
        <f t="shared" si="1"/>
        <v>1.3218364501560257E-2</v>
      </c>
      <c r="Q34">
        <f t="shared" si="1"/>
        <v>0.30146422146715018</v>
      </c>
      <c r="R34">
        <f t="shared" si="1"/>
        <v>2.4964060503863902E-2</v>
      </c>
      <c r="S34">
        <f t="shared" si="1"/>
        <v>0.23561850340418708</v>
      </c>
      <c r="T34">
        <f t="shared" si="1"/>
        <v>2.6041383553190037E-2</v>
      </c>
      <c r="U34">
        <f t="shared" si="1"/>
        <v>4.922961971271067E-2</v>
      </c>
    </row>
    <row r="35" spans="1:21" x14ac:dyDescent="0.25">
      <c r="A35" s="2">
        <f t="shared" si="2"/>
        <v>33817</v>
      </c>
      <c r="B35">
        <f>Cleaned!H34/Cleaned!B33</f>
        <v>1.6426170680548888E-2</v>
      </c>
      <c r="C35">
        <f>Cleaned!D34/Cleaned!G33</f>
        <v>0.22213197969543147</v>
      </c>
      <c r="D35">
        <f>Cleaned!J34/Cleaned!L33</f>
        <v>2.9052487434449062E-2</v>
      </c>
      <c r="E35">
        <f>Cleaned!N34/Cleaned!G33</f>
        <v>0.1747208121827411</v>
      </c>
      <c r="F35">
        <f>Cleaned!M34/Cleaned!B33</f>
        <v>2.5970197029811393E-2</v>
      </c>
      <c r="G35">
        <f>Cleaned!E34/Cleaned!L33</f>
        <v>4.4317881206915336E-2</v>
      </c>
      <c r="H35">
        <f t="shared" si="5"/>
        <v>1.6728552267617897E-2</v>
      </c>
      <c r="I35">
        <f t="shared" si="6"/>
        <v>0.22627995905652476</v>
      </c>
      <c r="J35">
        <f t="shared" si="7"/>
        <v>3.0535764467773632E-2</v>
      </c>
      <c r="K35">
        <f t="shared" si="8"/>
        <v>0.17495423043336586</v>
      </c>
      <c r="L35">
        <f t="shared" si="9"/>
        <v>2.543644782619053E-2</v>
      </c>
      <c r="M35">
        <f t="shared" si="10"/>
        <v>4.4496486268766476E-2</v>
      </c>
      <c r="O35" s="2">
        <f t="shared" si="4"/>
        <v>35855</v>
      </c>
      <c r="P35">
        <f t="shared" si="1"/>
        <v>1.3298816285358535E-2</v>
      </c>
      <c r="Q35">
        <f t="shared" si="1"/>
        <v>0.29903816675367262</v>
      </c>
      <c r="R35">
        <f t="shared" si="1"/>
        <v>2.5542831109698797E-2</v>
      </c>
      <c r="S35">
        <f t="shared" si="1"/>
        <v>0.24783922693713922</v>
      </c>
      <c r="T35">
        <f t="shared" si="1"/>
        <v>2.6164437317676953E-2</v>
      </c>
      <c r="U35">
        <f t="shared" si="1"/>
        <v>4.8168769961310066E-2</v>
      </c>
    </row>
    <row r="36" spans="1:21" x14ac:dyDescent="0.25">
      <c r="A36" s="2">
        <f t="shared" si="2"/>
        <v>33848</v>
      </c>
      <c r="B36">
        <f>Cleaned!H35/Cleaned!B34</f>
        <v>1.756349620453436E-2</v>
      </c>
      <c r="C36">
        <f>Cleaned!D35/Cleaned!G34</f>
        <v>0.22897721467252477</v>
      </c>
      <c r="D36">
        <f>Cleaned!J35/Cleaned!L34</f>
        <v>2.9982144243459359E-2</v>
      </c>
      <c r="E36">
        <f>Cleaned!N35/Cleaned!G34</f>
        <v>0.18422397057320936</v>
      </c>
      <c r="F36">
        <f>Cleaned!M35/Cleaned!B34</f>
        <v>2.6526181138808006E-2</v>
      </c>
      <c r="G36">
        <f>Cleaned!E35/Cleaned!L34</f>
        <v>4.2962502911264654E-2</v>
      </c>
      <c r="H36">
        <f t="shared" si="5"/>
        <v>1.6790724356915341E-2</v>
      </c>
      <c r="I36">
        <f t="shared" si="6"/>
        <v>0.22676415376674239</v>
      </c>
      <c r="J36">
        <f t="shared" si="7"/>
        <v>2.9916409633088448E-2</v>
      </c>
      <c r="K36">
        <f t="shared" si="8"/>
        <v>0.18070403781108044</v>
      </c>
      <c r="L36">
        <f t="shared" si="9"/>
        <v>2.5858937632051559E-2</v>
      </c>
      <c r="M36">
        <f t="shared" si="10"/>
        <v>4.4320965370400749E-2</v>
      </c>
      <c r="O36" s="2">
        <f t="shared" si="4"/>
        <v>35947</v>
      </c>
      <c r="P36">
        <f t="shared" si="1"/>
        <v>1.2464393560837351E-2</v>
      </c>
      <c r="Q36">
        <f t="shared" si="1"/>
        <v>0.30991095580960321</v>
      </c>
      <c r="R36">
        <f t="shared" si="1"/>
        <v>2.4146866438311782E-2</v>
      </c>
      <c r="S36">
        <f t="shared" si="1"/>
        <v>0.23582890378074661</v>
      </c>
      <c r="T36">
        <f t="shared" si="1"/>
        <v>2.6693441135577034E-2</v>
      </c>
      <c r="U36">
        <f t="shared" si="1"/>
        <v>4.848870099924598E-2</v>
      </c>
    </row>
    <row r="37" spans="1:21" x14ac:dyDescent="0.25">
      <c r="A37" s="2">
        <f t="shared" si="2"/>
        <v>33878</v>
      </c>
      <c r="B37">
        <f>Cleaned!H36/Cleaned!B35</f>
        <v>1.6197776280323449E-2</v>
      </c>
      <c r="C37">
        <f>Cleaned!D36/Cleaned!G35</f>
        <v>0.23146917493098865</v>
      </c>
      <c r="D37">
        <f>Cleaned!J36/Cleaned!L35</f>
        <v>2.8550241008527995E-2</v>
      </c>
      <c r="E37">
        <f>Cleaned!N36/Cleaned!G35</f>
        <v>0.19517431755444228</v>
      </c>
      <c r="F37">
        <f>Cleaned!M36/Cleaned!B35</f>
        <v>2.7889150943396227E-2</v>
      </c>
      <c r="G37">
        <f>Cleaned!E36/Cleaned!L35</f>
        <v>4.3474230626622173E-2</v>
      </c>
      <c r="H37">
        <f t="shared" si="5"/>
        <v>1.6729147721802232E-2</v>
      </c>
      <c r="I37">
        <f t="shared" si="6"/>
        <v>0.22752612309964829</v>
      </c>
      <c r="J37">
        <f t="shared" si="7"/>
        <v>2.9194957562145473E-2</v>
      </c>
      <c r="K37">
        <f t="shared" si="8"/>
        <v>0.18470636677013089</v>
      </c>
      <c r="L37">
        <f t="shared" si="9"/>
        <v>2.6795176370671876E-2</v>
      </c>
      <c r="M37">
        <f t="shared" si="10"/>
        <v>4.3584871581600716E-2</v>
      </c>
      <c r="O37" s="2">
        <f t="shared" si="4"/>
        <v>36039</v>
      </c>
      <c r="P37">
        <f t="shared" ref="P37:U68" si="11">VLOOKUP($O37,$A$1:$M$291,P$1)</f>
        <v>1.3150967113570618E-2</v>
      </c>
      <c r="Q37">
        <f t="shared" si="11"/>
        <v>0.30917558755309038</v>
      </c>
      <c r="R37">
        <f t="shared" si="11"/>
        <v>2.466160360685167E-2</v>
      </c>
      <c r="S37">
        <f t="shared" si="11"/>
        <v>0.23490861921194939</v>
      </c>
      <c r="T37">
        <f t="shared" si="11"/>
        <v>2.7941582158783267E-2</v>
      </c>
      <c r="U37">
        <f t="shared" si="11"/>
        <v>5.3325900869707683E-2</v>
      </c>
    </row>
    <row r="38" spans="1:21" x14ac:dyDescent="0.25">
      <c r="A38" s="2">
        <f t="shared" si="2"/>
        <v>33909</v>
      </c>
      <c r="B38">
        <f>Cleaned!H37/Cleaned!B36</f>
        <v>1.6808847826819975E-2</v>
      </c>
      <c r="C38">
        <f>Cleaned!D37/Cleaned!G36</f>
        <v>0.23962545222387743</v>
      </c>
      <c r="D38">
        <f>Cleaned!J37/Cleaned!L36</f>
        <v>3.0726427785251316E-2</v>
      </c>
      <c r="E38">
        <f>Cleaned!N37/Cleaned!G36</f>
        <v>0.17120663971057673</v>
      </c>
      <c r="F38">
        <f>Cleaned!M37/Cleaned!B36</f>
        <v>2.5651616818963482E-2</v>
      </c>
      <c r="G38">
        <f>Cleaned!E37/Cleaned!L36</f>
        <v>4.5310015898251191E-2</v>
      </c>
      <c r="H38">
        <f t="shared" si="5"/>
        <v>1.6856706770559261E-2</v>
      </c>
      <c r="I38">
        <f t="shared" si="6"/>
        <v>0.23335728060913027</v>
      </c>
      <c r="J38">
        <f t="shared" si="7"/>
        <v>2.975293767907956E-2</v>
      </c>
      <c r="K38">
        <f t="shared" si="8"/>
        <v>0.18353497594607612</v>
      </c>
      <c r="L38">
        <f t="shared" si="9"/>
        <v>2.6688982967055908E-2</v>
      </c>
      <c r="M38">
        <f t="shared" si="10"/>
        <v>4.3915583145379335E-2</v>
      </c>
      <c r="O38" s="2">
        <f t="shared" si="4"/>
        <v>36130</v>
      </c>
      <c r="P38">
        <f t="shared" si="11"/>
        <v>1.2814355281980995E-2</v>
      </c>
      <c r="Q38">
        <f t="shared" si="11"/>
        <v>0.30734848924313268</v>
      </c>
      <c r="R38">
        <f t="shared" si="11"/>
        <v>2.4747408703264081E-2</v>
      </c>
      <c r="S38">
        <f t="shared" si="11"/>
        <v>0.25072760576623998</v>
      </c>
      <c r="T38">
        <f t="shared" si="11"/>
        <v>2.7926123994780071E-2</v>
      </c>
      <c r="U38">
        <f t="shared" si="11"/>
        <v>5.2444208513999141E-2</v>
      </c>
    </row>
    <row r="39" spans="1:21" x14ac:dyDescent="0.25">
      <c r="A39" s="2">
        <f t="shared" si="2"/>
        <v>33939</v>
      </c>
      <c r="B39">
        <f>Cleaned!H38/Cleaned!B37</f>
        <v>1.6984084255863254E-2</v>
      </c>
      <c r="C39">
        <f>Cleaned!D38/Cleaned!G37</f>
        <v>0.23491897543125981</v>
      </c>
      <c r="D39">
        <f>Cleaned!J38/Cleaned!L37</f>
        <v>3.1021785823872352E-2</v>
      </c>
      <c r="E39">
        <f>Cleaned!N38/Cleaned!G37</f>
        <v>0.18954521693674856</v>
      </c>
      <c r="F39">
        <f>Cleaned!M38/Cleaned!B37</f>
        <v>2.6170126854873986E-2</v>
      </c>
      <c r="G39">
        <f>Cleaned!E38/Cleaned!L37</f>
        <v>4.4185332924209883E-2</v>
      </c>
      <c r="H39">
        <f t="shared" si="5"/>
        <v>1.6663569454335558E-2</v>
      </c>
      <c r="I39">
        <f t="shared" si="6"/>
        <v>0.23533786752870864</v>
      </c>
      <c r="J39">
        <f t="shared" si="7"/>
        <v>3.0099484872550555E-2</v>
      </c>
      <c r="K39">
        <f t="shared" si="8"/>
        <v>0.18530872473392254</v>
      </c>
      <c r="L39">
        <f t="shared" si="9"/>
        <v>2.6570298205744563E-2</v>
      </c>
      <c r="M39">
        <f t="shared" si="10"/>
        <v>4.4323193149694413E-2</v>
      </c>
      <c r="O39" s="2">
        <f t="shared" si="4"/>
        <v>36220</v>
      </c>
      <c r="P39">
        <f t="shared" si="11"/>
        <v>1.2303514811397418E-2</v>
      </c>
      <c r="Q39">
        <f t="shared" si="11"/>
        <v>0.3186998425697623</v>
      </c>
      <c r="R39">
        <f t="shared" si="11"/>
        <v>2.435963994603112E-2</v>
      </c>
      <c r="S39">
        <f t="shared" si="11"/>
        <v>0.24289878169777435</v>
      </c>
      <c r="T39">
        <f t="shared" si="11"/>
        <v>2.792299616644545E-2</v>
      </c>
      <c r="U39">
        <f t="shared" si="11"/>
        <v>5.0987537070209137E-2</v>
      </c>
    </row>
    <row r="40" spans="1:21" x14ac:dyDescent="0.25">
      <c r="A40" s="2">
        <f t="shared" si="2"/>
        <v>33970</v>
      </c>
      <c r="B40">
        <f>Cleaned!H39/Cleaned!B38</f>
        <v>1.5277696076371673E-2</v>
      </c>
      <c r="C40">
        <f>Cleaned!D39/Cleaned!G38</f>
        <v>0.22810505388720309</v>
      </c>
      <c r="D40">
        <f>Cleaned!J39/Cleaned!L38</f>
        <v>2.8345853135060554E-2</v>
      </c>
      <c r="E40">
        <f>Cleaned!N39/Cleaned!G38</f>
        <v>0.18279794914722194</v>
      </c>
      <c r="F40">
        <f>Cleaned!M39/Cleaned!B38</f>
        <v>2.6782187786246713E-2</v>
      </c>
      <c r="G40">
        <f>Cleaned!E39/Cleaned!L38</f>
        <v>4.3998160355664569E-2</v>
      </c>
      <c r="H40">
        <f t="shared" si="5"/>
        <v>1.6356876053018301E-2</v>
      </c>
      <c r="I40">
        <f t="shared" si="6"/>
        <v>0.23421649384744678</v>
      </c>
      <c r="J40">
        <f t="shared" si="7"/>
        <v>3.0031355581394737E-2</v>
      </c>
      <c r="K40">
        <f t="shared" si="8"/>
        <v>0.18118326859818243</v>
      </c>
      <c r="L40">
        <f t="shared" si="9"/>
        <v>2.6201310486694728E-2</v>
      </c>
      <c r="M40">
        <f t="shared" si="10"/>
        <v>4.4497836392708545E-2</v>
      </c>
      <c r="O40" s="2">
        <f t="shared" si="4"/>
        <v>36312</v>
      </c>
      <c r="P40">
        <f t="shared" si="11"/>
        <v>1.2597402454095909E-2</v>
      </c>
      <c r="Q40">
        <f t="shared" si="11"/>
        <v>0.30429305177582644</v>
      </c>
      <c r="R40">
        <f t="shared" si="11"/>
        <v>2.2927723968068216E-2</v>
      </c>
      <c r="S40">
        <f t="shared" si="11"/>
        <v>0.243403335739065</v>
      </c>
      <c r="T40">
        <f t="shared" si="11"/>
        <v>2.7952475255944475E-2</v>
      </c>
      <c r="U40">
        <f t="shared" si="11"/>
        <v>5.4030765503425338E-2</v>
      </c>
    </row>
    <row r="41" spans="1:21" x14ac:dyDescent="0.25">
      <c r="A41" s="2">
        <f t="shared" si="2"/>
        <v>34001</v>
      </c>
      <c r="B41">
        <f>Cleaned!H40/Cleaned!B39</f>
        <v>1.5981524249422632E-2</v>
      </c>
      <c r="C41">
        <f>Cleaned!D40/Cleaned!G39</f>
        <v>0.22541554959785523</v>
      </c>
      <c r="D41">
        <f>Cleaned!J40/Cleaned!L39</f>
        <v>2.8919190994783562E-2</v>
      </c>
      <c r="E41">
        <f>Cleaned!N40/Cleaned!G39</f>
        <v>0.19796246648793567</v>
      </c>
      <c r="F41">
        <f>Cleaned!M40/Cleaned!B39</f>
        <v>2.7167751417174049E-2</v>
      </c>
      <c r="G41">
        <f>Cleaned!E40/Cleaned!L39</f>
        <v>4.8305420823037737E-2</v>
      </c>
      <c r="H41">
        <f t="shared" si="5"/>
        <v>1.6081101527219185E-2</v>
      </c>
      <c r="I41">
        <f t="shared" si="6"/>
        <v>0.22947985963877271</v>
      </c>
      <c r="J41">
        <f t="shared" si="7"/>
        <v>2.9428943317905489E-2</v>
      </c>
      <c r="K41">
        <f t="shared" si="8"/>
        <v>0.1901018775239687</v>
      </c>
      <c r="L41">
        <f t="shared" si="9"/>
        <v>2.670668868609825E-2</v>
      </c>
      <c r="M41">
        <f t="shared" si="10"/>
        <v>4.5496304700970734E-2</v>
      </c>
      <c r="O41" s="2">
        <f t="shared" si="4"/>
        <v>36404</v>
      </c>
      <c r="P41">
        <f t="shared" si="11"/>
        <v>1.1841365078213718E-2</v>
      </c>
      <c r="Q41">
        <f t="shared" si="11"/>
        <v>0.31789270466350844</v>
      </c>
      <c r="R41">
        <f t="shared" si="11"/>
        <v>2.3841985018033345E-2</v>
      </c>
      <c r="S41">
        <f t="shared" si="11"/>
        <v>0.22812150286305252</v>
      </c>
      <c r="T41">
        <f t="shared" si="11"/>
        <v>2.8575293135697798E-2</v>
      </c>
      <c r="U41">
        <f t="shared" si="11"/>
        <v>5.2017267829326197E-2</v>
      </c>
    </row>
    <row r="42" spans="1:21" x14ac:dyDescent="0.25">
      <c r="A42" s="2">
        <f t="shared" si="2"/>
        <v>34029</v>
      </c>
      <c r="B42">
        <f>Cleaned!H41/Cleaned!B40</f>
        <v>1.6181094110249424E-2</v>
      </c>
      <c r="C42">
        <f>Cleaned!D41/Cleaned!G40</f>
        <v>0.23750408363279973</v>
      </c>
      <c r="D42">
        <f>Cleaned!J41/Cleaned!L40</f>
        <v>2.7753236862147753E-2</v>
      </c>
      <c r="E42">
        <f>Cleaned!N41/Cleaned!G40</f>
        <v>0.18860938691059567</v>
      </c>
      <c r="F42">
        <f>Cleaned!M41/Cleaned!B40</f>
        <v>2.5629846992244812E-2</v>
      </c>
      <c r="G42">
        <f>Cleaned!E41/Cleaned!L40</f>
        <v>4.5529322162985532E-2</v>
      </c>
      <c r="H42">
        <f t="shared" si="5"/>
        <v>1.581343814534791E-2</v>
      </c>
      <c r="I42">
        <f t="shared" si="6"/>
        <v>0.23034156237261935</v>
      </c>
      <c r="J42">
        <f t="shared" si="7"/>
        <v>2.8339426997330622E-2</v>
      </c>
      <c r="K42">
        <f t="shared" si="8"/>
        <v>0.18978993418191778</v>
      </c>
      <c r="L42">
        <f t="shared" si="9"/>
        <v>2.6526595398555192E-2</v>
      </c>
      <c r="M42">
        <f t="shared" si="10"/>
        <v>4.5944301113895941E-2</v>
      </c>
      <c r="O42" s="2">
        <f t="shared" si="4"/>
        <v>36495</v>
      </c>
      <c r="P42">
        <f t="shared" si="11"/>
        <v>1.2054457338541233E-2</v>
      </c>
      <c r="Q42">
        <f t="shared" si="11"/>
        <v>0.33130091714817039</v>
      </c>
      <c r="R42">
        <f t="shared" si="11"/>
        <v>2.3573051944531891E-2</v>
      </c>
      <c r="S42">
        <f t="shared" si="11"/>
        <v>0.24480501054203638</v>
      </c>
      <c r="T42">
        <f t="shared" si="11"/>
        <v>2.7434513831367635E-2</v>
      </c>
      <c r="U42">
        <f t="shared" si="11"/>
        <v>5.2195635278849017E-2</v>
      </c>
    </row>
    <row r="43" spans="1:21" x14ac:dyDescent="0.25">
      <c r="A43" s="2">
        <f t="shared" si="2"/>
        <v>34060</v>
      </c>
      <c r="B43">
        <f>Cleaned!H42/Cleaned!B41</f>
        <v>1.5843803851366047E-2</v>
      </c>
      <c r="C43">
        <f>Cleaned!D42/Cleaned!G41</f>
        <v>0.23619699646643111</v>
      </c>
      <c r="D43">
        <f>Cleaned!J42/Cleaned!L41</f>
        <v>2.9246001523229245E-2</v>
      </c>
      <c r="E43">
        <f>Cleaned!N42/Cleaned!G41</f>
        <v>0.18231007067137808</v>
      </c>
      <c r="F43">
        <f>Cleaned!M42/Cleaned!B41</f>
        <v>2.7003061685432733E-2</v>
      </c>
      <c r="G43">
        <f>Cleaned!E42/Cleaned!L41</f>
        <v>4.373191165270373E-2</v>
      </c>
      <c r="H43">
        <f t="shared" si="5"/>
        <v>1.6002140737012702E-2</v>
      </c>
      <c r="I43">
        <f t="shared" si="6"/>
        <v>0.23303887656569536</v>
      </c>
      <c r="J43">
        <f t="shared" si="7"/>
        <v>2.863947646005352E-2</v>
      </c>
      <c r="K43">
        <f t="shared" si="8"/>
        <v>0.18962730802330316</v>
      </c>
      <c r="L43">
        <f t="shared" si="9"/>
        <v>2.6600220031617199E-2</v>
      </c>
      <c r="M43">
        <f t="shared" si="10"/>
        <v>4.585555154624233E-2</v>
      </c>
      <c r="O43" s="2">
        <f t="shared" si="4"/>
        <v>36586</v>
      </c>
      <c r="P43">
        <f t="shared" si="11"/>
        <v>1.2111878075742608E-2</v>
      </c>
      <c r="Q43">
        <f t="shared" si="11"/>
        <v>0.33012352058111744</v>
      </c>
      <c r="R43">
        <f t="shared" si="11"/>
        <v>2.3184357784090042E-2</v>
      </c>
      <c r="S43">
        <f t="shared" si="11"/>
        <v>0.23809073471530551</v>
      </c>
      <c r="T43">
        <f t="shared" si="11"/>
        <v>2.7292880173988732E-2</v>
      </c>
      <c r="U43">
        <f t="shared" si="11"/>
        <v>5.2456698515497634E-2</v>
      </c>
    </row>
    <row r="44" spans="1:21" x14ac:dyDescent="0.25">
      <c r="A44" s="2">
        <f t="shared" si="2"/>
        <v>34090</v>
      </c>
      <c r="B44">
        <f>Cleaned!H43/Cleaned!B42</f>
        <v>1.5861191556321878E-2</v>
      </c>
      <c r="C44">
        <f>Cleaned!D43/Cleaned!G42</f>
        <v>0.24335894621295279</v>
      </c>
      <c r="D44">
        <f>Cleaned!J43/Cleaned!L42</f>
        <v>2.839821314613912E-2</v>
      </c>
      <c r="E44">
        <f>Cleaned!N43/Cleaned!G42</f>
        <v>0.1681668496158068</v>
      </c>
      <c r="F44">
        <f>Cleaned!M43/Cleaned!B42</f>
        <v>2.5344426402397174E-2</v>
      </c>
      <c r="G44">
        <f>Cleaned!E43/Cleaned!L42</f>
        <v>4.9700671589631387E-2</v>
      </c>
      <c r="H44">
        <f t="shared" si="5"/>
        <v>1.5962029839312452E-2</v>
      </c>
      <c r="I44">
        <f t="shared" si="6"/>
        <v>0.23902000877072785</v>
      </c>
      <c r="J44">
        <f t="shared" si="7"/>
        <v>2.8465817177172042E-2</v>
      </c>
      <c r="K44">
        <f t="shared" si="8"/>
        <v>0.1796954357325935</v>
      </c>
      <c r="L44">
        <f t="shared" si="9"/>
        <v>2.5992445026691572E-2</v>
      </c>
      <c r="M44">
        <f t="shared" si="10"/>
        <v>4.632063513510689E-2</v>
      </c>
      <c r="O44" s="2">
        <f t="shared" si="4"/>
        <v>36678</v>
      </c>
      <c r="P44">
        <f t="shared" si="11"/>
        <v>1.1730791846733445E-2</v>
      </c>
      <c r="Q44">
        <f t="shared" si="11"/>
        <v>0.32084944102549651</v>
      </c>
      <c r="R44">
        <f t="shared" si="11"/>
        <v>2.2843604657009992E-2</v>
      </c>
      <c r="S44">
        <f t="shared" si="11"/>
        <v>0.25146396284118</v>
      </c>
      <c r="T44">
        <f t="shared" si="11"/>
        <v>2.7359890884546142E-2</v>
      </c>
      <c r="U44">
        <f t="shared" si="11"/>
        <v>5.0536804631419269E-2</v>
      </c>
    </row>
    <row r="45" spans="1:21" x14ac:dyDescent="0.25">
      <c r="A45" s="2">
        <f t="shared" si="2"/>
        <v>34121</v>
      </c>
      <c r="B45">
        <f>Cleaned!H44/Cleaned!B43</f>
        <v>1.5585064313366358E-2</v>
      </c>
      <c r="C45">
        <f>Cleaned!D44/Cleaned!G43</f>
        <v>0.23161001202317194</v>
      </c>
      <c r="D45">
        <f>Cleaned!J44/Cleaned!L43</f>
        <v>2.7081259094738453E-2</v>
      </c>
      <c r="E45">
        <f>Cleaned!N44/Cleaned!G43</f>
        <v>0.17247786643349</v>
      </c>
      <c r="F45">
        <f>Cleaned!M44/Cleaned!B43</f>
        <v>2.4876160346334761E-2</v>
      </c>
      <c r="G45">
        <f>Cleaned!E44/Cleaned!L43</f>
        <v>4.353220494753772E-2</v>
      </c>
      <c r="H45">
        <f t="shared" si="5"/>
        <v>1.5763353240351427E-2</v>
      </c>
      <c r="I45">
        <f t="shared" si="6"/>
        <v>0.23705531823418527</v>
      </c>
      <c r="J45">
        <f t="shared" si="7"/>
        <v>2.8241824588035605E-2</v>
      </c>
      <c r="K45">
        <f t="shared" si="8"/>
        <v>0.17431826224022498</v>
      </c>
      <c r="L45">
        <f t="shared" si="9"/>
        <v>2.5741216144721555E-2</v>
      </c>
      <c r="M45">
        <f t="shared" si="10"/>
        <v>4.5654929396624279E-2</v>
      </c>
      <c r="O45" s="2">
        <f t="shared" si="4"/>
        <v>36770</v>
      </c>
      <c r="P45">
        <f t="shared" si="11"/>
        <v>1.2464068825062893E-2</v>
      </c>
      <c r="Q45">
        <f t="shared" si="11"/>
        <v>0.32429091595553089</v>
      </c>
      <c r="R45">
        <f t="shared" si="11"/>
        <v>2.167265836149419E-2</v>
      </c>
      <c r="S45">
        <f t="shared" si="11"/>
        <v>0.2437669794214592</v>
      </c>
      <c r="T45">
        <f t="shared" si="11"/>
        <v>2.8053579365648926E-2</v>
      </c>
      <c r="U45">
        <f t="shared" si="11"/>
        <v>5.0732085607992104E-2</v>
      </c>
    </row>
    <row r="46" spans="1:21" x14ac:dyDescent="0.25">
      <c r="A46" s="2">
        <f t="shared" si="2"/>
        <v>34151</v>
      </c>
      <c r="B46">
        <f>Cleaned!H45/Cleaned!B44</f>
        <v>1.6002992767478592E-2</v>
      </c>
      <c r="C46">
        <f>Cleaned!D45/Cleaned!G44</f>
        <v>0.2459160179804846</v>
      </c>
      <c r="D46">
        <f>Cleaned!J45/Cleaned!L44</f>
        <v>2.7806700557358975E-2</v>
      </c>
      <c r="E46">
        <f>Cleaned!N45/Cleaned!G44</f>
        <v>0.18912399956145159</v>
      </c>
      <c r="F46">
        <f>Cleaned!M45/Cleaned!B44</f>
        <v>2.5164186549172834E-2</v>
      </c>
      <c r="G46">
        <f>Cleaned!E45/Cleaned!L44</f>
        <v>4.3256568873644881E-2</v>
      </c>
      <c r="H46">
        <f t="shared" si="5"/>
        <v>1.5816416212388943E-2</v>
      </c>
      <c r="I46">
        <f t="shared" si="6"/>
        <v>0.24029499207220309</v>
      </c>
      <c r="J46">
        <f t="shared" si="7"/>
        <v>2.7762057599412183E-2</v>
      </c>
      <c r="K46">
        <f t="shared" si="8"/>
        <v>0.17658957187024948</v>
      </c>
      <c r="L46">
        <f t="shared" si="9"/>
        <v>2.5128257765968259E-2</v>
      </c>
      <c r="M46">
        <f t="shared" si="10"/>
        <v>4.549648180360466E-2</v>
      </c>
      <c r="O46" s="2">
        <f t="shared" si="4"/>
        <v>36861</v>
      </c>
      <c r="P46">
        <f t="shared" si="11"/>
        <v>1.0856039383091367E-2</v>
      </c>
      <c r="Q46">
        <f t="shared" si="11"/>
        <v>0.31507462718544743</v>
      </c>
      <c r="R46">
        <f t="shared" si="11"/>
        <v>2.1607103293370844E-2</v>
      </c>
      <c r="S46">
        <f t="shared" si="11"/>
        <v>0.2267997597620898</v>
      </c>
      <c r="T46">
        <f t="shared" si="11"/>
        <v>2.8133291659483538E-2</v>
      </c>
      <c r="U46">
        <f t="shared" si="11"/>
        <v>5.3252688619681875E-2</v>
      </c>
    </row>
    <row r="47" spans="1:21" x14ac:dyDescent="0.25">
      <c r="A47" s="2">
        <f t="shared" si="2"/>
        <v>34182</v>
      </c>
      <c r="B47">
        <f>Cleaned!H46/Cleaned!B45</f>
        <v>1.4999958494857513E-2</v>
      </c>
      <c r="C47">
        <f>Cleaned!D46/Cleaned!G45</f>
        <v>0.23617021276595745</v>
      </c>
      <c r="D47">
        <f>Cleaned!J46/Cleaned!L45</f>
        <v>2.7502481484309383E-2</v>
      </c>
      <c r="E47">
        <f>Cleaned!N46/Cleaned!G45</f>
        <v>0.18913773796192609</v>
      </c>
      <c r="F47">
        <f>Cleaned!M46/Cleaned!B45</f>
        <v>2.5774693484522732E-2</v>
      </c>
      <c r="G47">
        <f>Cleaned!E46/Cleaned!L45</f>
        <v>4.7323814614033746E-2</v>
      </c>
      <c r="H47">
        <f t="shared" si="5"/>
        <v>1.5529338525234157E-2</v>
      </c>
      <c r="I47">
        <f t="shared" si="6"/>
        <v>0.23789874758987137</v>
      </c>
      <c r="J47">
        <f t="shared" si="7"/>
        <v>2.7463480378802269E-2</v>
      </c>
      <c r="K47">
        <f t="shared" si="8"/>
        <v>0.18357986798562256</v>
      </c>
      <c r="L47">
        <f t="shared" si="9"/>
        <v>2.5271680126676774E-2</v>
      </c>
      <c r="M47">
        <f t="shared" si="10"/>
        <v>4.4704196145072116E-2</v>
      </c>
      <c r="O47" s="2">
        <f t="shared" si="4"/>
        <v>36951</v>
      </c>
      <c r="P47">
        <f t="shared" si="11"/>
        <v>1.2757829471036592E-2</v>
      </c>
      <c r="Q47">
        <f t="shared" si="11"/>
        <v>0.31045816746208721</v>
      </c>
      <c r="R47">
        <f t="shared" si="11"/>
        <v>2.3028986887352786E-2</v>
      </c>
      <c r="S47">
        <f t="shared" si="11"/>
        <v>0.23481312470823454</v>
      </c>
      <c r="T47">
        <f t="shared" si="11"/>
        <v>2.8812698596064664E-2</v>
      </c>
      <c r="U47">
        <f t="shared" si="11"/>
        <v>5.5239856277694795E-2</v>
      </c>
    </row>
    <row r="48" spans="1:21" x14ac:dyDescent="0.25">
      <c r="A48" s="2">
        <f t="shared" si="2"/>
        <v>34213</v>
      </c>
      <c r="B48">
        <f>Cleaned!H47/Cleaned!B46</f>
        <v>1.5324021976567154E-2</v>
      </c>
      <c r="C48">
        <f>Cleaned!D47/Cleaned!G46</f>
        <v>0.23085701243866255</v>
      </c>
      <c r="D48">
        <f>Cleaned!J47/Cleaned!L46</f>
        <v>2.7550271988264777E-2</v>
      </c>
      <c r="E48">
        <f>Cleaned!N47/Cleaned!G46</f>
        <v>0.19605158050895813</v>
      </c>
      <c r="F48">
        <f>Cleaned!M47/Cleaned!B46</f>
        <v>2.8422254583967698E-2</v>
      </c>
      <c r="G48">
        <f>Cleaned!E47/Cleaned!L46</f>
        <v>4.4175172666707417E-2</v>
      </c>
      <c r="H48">
        <f t="shared" si="5"/>
        <v>1.5442324412967752E-2</v>
      </c>
      <c r="I48">
        <f t="shared" si="6"/>
        <v>0.23764774772836819</v>
      </c>
      <c r="J48">
        <f t="shared" si="7"/>
        <v>2.7619818009977714E-2</v>
      </c>
      <c r="K48">
        <f t="shared" si="8"/>
        <v>0.19143777267744524</v>
      </c>
      <c r="L48">
        <f t="shared" si="9"/>
        <v>2.6453711539221089E-2</v>
      </c>
      <c r="M48">
        <f t="shared" si="10"/>
        <v>4.4918518718128686E-2</v>
      </c>
      <c r="O48" s="2">
        <f t="shared" si="4"/>
        <v>37043</v>
      </c>
      <c r="P48">
        <f t="shared" si="11"/>
        <v>1.3378141421118504E-2</v>
      </c>
      <c r="Q48">
        <f t="shared" si="11"/>
        <v>0.31128254593778887</v>
      </c>
      <c r="R48">
        <f t="shared" si="11"/>
        <v>2.3403366682107057E-2</v>
      </c>
      <c r="S48">
        <f t="shared" si="11"/>
        <v>0.23802169564774323</v>
      </c>
      <c r="T48">
        <f t="shared" si="11"/>
        <v>2.9874573685950839E-2</v>
      </c>
      <c r="U48">
        <f t="shared" si="11"/>
        <v>5.1355401873508705E-2</v>
      </c>
    </row>
    <row r="49" spans="1:21" x14ac:dyDescent="0.25">
      <c r="A49" s="2">
        <f t="shared" si="2"/>
        <v>34243</v>
      </c>
      <c r="B49">
        <f>Cleaned!H48/Cleaned!B47</f>
        <v>1.5362410206214643E-2</v>
      </c>
      <c r="C49">
        <f>Cleaned!D48/Cleaned!G47</f>
        <v>0.2427128758319945</v>
      </c>
      <c r="D49">
        <f>Cleaned!J48/Cleaned!L47</f>
        <v>2.8867572850843296E-2</v>
      </c>
      <c r="E49">
        <f>Cleaned!N48/Cleaned!G47</f>
        <v>0.18694055542804683</v>
      </c>
      <c r="F49">
        <f>Cleaned!M48/Cleaned!B47</f>
        <v>2.497635914196128E-2</v>
      </c>
      <c r="G49">
        <f>Cleaned!E48/Cleaned!L47</f>
        <v>4.5021290782076347E-2</v>
      </c>
      <c r="H49">
        <f t="shared" si="5"/>
        <v>1.5228796892546437E-2</v>
      </c>
      <c r="I49">
        <f t="shared" si="6"/>
        <v>0.23658003367887151</v>
      </c>
      <c r="J49">
        <f t="shared" si="7"/>
        <v>2.7973442107805817E-2</v>
      </c>
      <c r="K49">
        <f t="shared" si="8"/>
        <v>0.19070995796631038</v>
      </c>
      <c r="L49">
        <f t="shared" si="9"/>
        <v>2.6391102403483902E-2</v>
      </c>
      <c r="M49">
        <f t="shared" si="10"/>
        <v>4.5506759354272501E-2</v>
      </c>
      <c r="O49" s="2">
        <f t="shared" si="4"/>
        <v>37135</v>
      </c>
      <c r="P49">
        <f t="shared" si="11"/>
        <v>1.3656566287204618E-2</v>
      </c>
      <c r="Q49">
        <f t="shared" si="11"/>
        <v>0.29427166386317644</v>
      </c>
      <c r="R49">
        <f t="shared" si="11"/>
        <v>2.4982868424584196E-2</v>
      </c>
      <c r="S49">
        <f t="shared" si="11"/>
        <v>0.22184420399581484</v>
      </c>
      <c r="T49">
        <f t="shared" si="11"/>
        <v>3.0201415415696431E-2</v>
      </c>
      <c r="U49">
        <f t="shared" si="11"/>
        <v>5.4765335212976919E-2</v>
      </c>
    </row>
    <row r="50" spans="1:21" x14ac:dyDescent="0.25">
      <c r="A50" s="2">
        <f t="shared" si="2"/>
        <v>34274</v>
      </c>
      <c r="B50">
        <f>Cleaned!H49/Cleaned!B48</f>
        <v>1.4955761734106917E-2</v>
      </c>
      <c r="C50">
        <f>Cleaned!D49/Cleaned!G48</f>
        <v>0.2472</v>
      </c>
      <c r="D50">
        <f>Cleaned!J49/Cleaned!L48</f>
        <v>2.7553855262558637E-2</v>
      </c>
      <c r="E50">
        <f>Cleaned!N49/Cleaned!G48</f>
        <v>0.19314285714285714</v>
      </c>
      <c r="F50">
        <f>Cleaned!M49/Cleaned!B48</f>
        <v>2.5558047722701805E-2</v>
      </c>
      <c r="G50">
        <f>Cleaned!E49/Cleaned!L48</f>
        <v>4.5710555479649619E-2</v>
      </c>
      <c r="H50">
        <f t="shared" si="5"/>
        <v>1.5214064638962905E-2</v>
      </c>
      <c r="I50">
        <f t="shared" si="6"/>
        <v>0.24025662942355233</v>
      </c>
      <c r="J50">
        <f t="shared" si="7"/>
        <v>2.799056670055557E-2</v>
      </c>
      <c r="K50">
        <f t="shared" si="8"/>
        <v>0.19204499769328739</v>
      </c>
      <c r="L50">
        <f t="shared" si="9"/>
        <v>2.6318887149543595E-2</v>
      </c>
      <c r="M50">
        <f t="shared" si="10"/>
        <v>4.4969006309477789E-2</v>
      </c>
      <c r="O50" s="2">
        <f t="shared" si="4"/>
        <v>37226</v>
      </c>
      <c r="P50">
        <f t="shared" si="11"/>
        <v>1.4945956724267824E-2</v>
      </c>
      <c r="Q50">
        <f t="shared" si="11"/>
        <v>0.26994933624105372</v>
      </c>
      <c r="R50">
        <f t="shared" si="11"/>
        <v>2.7589760386876643E-2</v>
      </c>
      <c r="S50">
        <f t="shared" si="11"/>
        <v>0.21323369602850342</v>
      </c>
      <c r="T50">
        <f t="shared" si="11"/>
        <v>2.8064900652832844E-2</v>
      </c>
      <c r="U50">
        <f t="shared" si="11"/>
        <v>4.8516102494061325E-2</v>
      </c>
    </row>
    <row r="51" spans="1:21" x14ac:dyDescent="0.25">
      <c r="A51" s="2">
        <f t="shared" si="2"/>
        <v>34304</v>
      </c>
      <c r="B51">
        <f>Cleaned!H50/Cleaned!B49</f>
        <v>1.5944672317176837E-2</v>
      </c>
      <c r="C51">
        <f>Cleaned!D50/Cleaned!G49</f>
        <v>0.25895574806836807</v>
      </c>
      <c r="D51">
        <f>Cleaned!J50/Cleaned!L49</f>
        <v>2.8582698667961284E-2</v>
      </c>
      <c r="E51">
        <f>Cleaned!N50/Cleaned!G49</f>
        <v>0.19714352610629829</v>
      </c>
      <c r="F51">
        <f>Cleaned!M50/Cleaned!B49</f>
        <v>2.6227830550718419E-2</v>
      </c>
      <c r="G51">
        <f>Cleaned!E50/Cleaned!L49</f>
        <v>4.6924780774949174E-2</v>
      </c>
      <c r="H51">
        <f t="shared" si="5"/>
        <v>1.5420948085832798E-2</v>
      </c>
      <c r="I51">
        <f t="shared" si="6"/>
        <v>0.2496228746334542</v>
      </c>
      <c r="J51">
        <f t="shared" si="7"/>
        <v>2.8334708927121074E-2</v>
      </c>
      <c r="K51">
        <f t="shared" si="8"/>
        <v>0.19240897955906741</v>
      </c>
      <c r="L51">
        <f t="shared" si="9"/>
        <v>2.5587412471793834E-2</v>
      </c>
      <c r="M51">
        <f t="shared" si="10"/>
        <v>4.5885542345558382E-2</v>
      </c>
      <c r="O51" s="2">
        <f t="shared" si="4"/>
        <v>37316</v>
      </c>
      <c r="P51">
        <f t="shared" si="11"/>
        <v>1.4611550539466847E-2</v>
      </c>
      <c r="Q51">
        <f t="shared" si="11"/>
        <v>0.2691995865133206</v>
      </c>
      <c r="R51">
        <f t="shared" si="11"/>
        <v>2.6440811761235722E-2</v>
      </c>
      <c r="S51">
        <f t="shared" si="11"/>
        <v>0.20515859422568594</v>
      </c>
      <c r="T51">
        <f t="shared" si="11"/>
        <v>2.7699440506971335E-2</v>
      </c>
      <c r="U51">
        <f t="shared" si="11"/>
        <v>4.9308946679156307E-2</v>
      </c>
    </row>
    <row r="52" spans="1:21" x14ac:dyDescent="0.25">
      <c r="A52" s="2">
        <f t="shared" si="2"/>
        <v>34335</v>
      </c>
      <c r="B52">
        <f>Cleaned!H51/Cleaned!B50</f>
        <v>1.5510768622801818E-2</v>
      </c>
      <c r="C52">
        <f>Cleaned!D51/Cleaned!G50</f>
        <v>0.25610475404034444</v>
      </c>
      <c r="D52">
        <f>Cleaned!J51/Cleaned!L50</f>
        <v>3.1524759692041368E-2</v>
      </c>
      <c r="E52">
        <f>Cleaned!N51/Cleaned!G50</f>
        <v>0.19617789312256695</v>
      </c>
      <c r="F52">
        <f>Cleaned!M51/Cleaned!B50</f>
        <v>2.5332608838832905E-2</v>
      </c>
      <c r="G52">
        <f>Cleaned!E51/Cleaned!L50</f>
        <v>4.9018267960457385E-2</v>
      </c>
      <c r="H52">
        <f t="shared" si="5"/>
        <v>1.5470400891361856E-2</v>
      </c>
      <c r="I52">
        <f t="shared" si="6"/>
        <v>0.2540868340362375</v>
      </c>
      <c r="J52">
        <f t="shared" si="7"/>
        <v>2.9220437874187096E-2</v>
      </c>
      <c r="K52">
        <f t="shared" si="8"/>
        <v>0.19548809212390747</v>
      </c>
      <c r="L52">
        <f t="shared" si="9"/>
        <v>2.5706162370751046E-2</v>
      </c>
      <c r="M52">
        <f t="shared" si="10"/>
        <v>4.7217868071685397E-2</v>
      </c>
      <c r="O52" s="2">
        <f t="shared" si="4"/>
        <v>37408</v>
      </c>
      <c r="P52">
        <f t="shared" si="11"/>
        <v>1.4171262158272496E-2</v>
      </c>
      <c r="Q52">
        <f t="shared" si="11"/>
        <v>0.24551781236523337</v>
      </c>
      <c r="R52">
        <f t="shared" si="11"/>
        <v>2.6248522454127052E-2</v>
      </c>
      <c r="S52">
        <f t="shared" si="11"/>
        <v>0.20747299015438839</v>
      </c>
      <c r="T52">
        <f t="shared" si="11"/>
        <v>2.838672423044164E-2</v>
      </c>
      <c r="U52">
        <f t="shared" si="11"/>
        <v>5.1889971831253733E-2</v>
      </c>
    </row>
    <row r="53" spans="1:21" x14ac:dyDescent="0.25">
      <c r="A53" s="2">
        <f t="shared" si="2"/>
        <v>34366</v>
      </c>
      <c r="B53">
        <f>Cleaned!H52/Cleaned!B51</f>
        <v>1.5561713920272863E-2</v>
      </c>
      <c r="C53">
        <f>Cleaned!D52/Cleaned!G51</f>
        <v>0.25585168018539978</v>
      </c>
      <c r="D53">
        <f>Cleaned!J52/Cleaned!L51</f>
        <v>3.1044876600823171E-2</v>
      </c>
      <c r="E53">
        <f>Cleaned!N52/Cleaned!G51</f>
        <v>0.20648899188876013</v>
      </c>
      <c r="F53">
        <f>Cleaned!M52/Cleaned!B51</f>
        <v>2.8950691176229441E-2</v>
      </c>
      <c r="G53">
        <f>Cleaned!E52/Cleaned!L51</f>
        <v>4.987989044784797E-2</v>
      </c>
      <c r="H53">
        <f t="shared" si="5"/>
        <v>1.5672384953417173E-2</v>
      </c>
      <c r="I53">
        <f t="shared" si="6"/>
        <v>0.25697072743137078</v>
      </c>
      <c r="J53">
        <f t="shared" si="7"/>
        <v>3.0384111653608607E-2</v>
      </c>
      <c r="K53">
        <f t="shared" si="8"/>
        <v>0.1999368037058751</v>
      </c>
      <c r="L53">
        <f t="shared" si="9"/>
        <v>2.6837043521926923E-2</v>
      </c>
      <c r="M53">
        <f t="shared" si="10"/>
        <v>4.8607646394418176E-2</v>
      </c>
      <c r="O53" s="2">
        <f t="shared" si="4"/>
        <v>37500</v>
      </c>
      <c r="P53">
        <f t="shared" si="11"/>
        <v>1.4033267231403855E-2</v>
      </c>
      <c r="Q53">
        <f t="shared" si="11"/>
        <v>0.25450272599271911</v>
      </c>
      <c r="R53">
        <f t="shared" si="11"/>
        <v>2.670056251655915E-2</v>
      </c>
      <c r="S53">
        <f t="shared" si="11"/>
        <v>0.21529777584268658</v>
      </c>
      <c r="T53">
        <f t="shared" si="11"/>
        <v>2.6411596462747797E-2</v>
      </c>
      <c r="U53">
        <f t="shared" si="11"/>
        <v>4.9893125904612867E-2</v>
      </c>
    </row>
    <row r="54" spans="1:21" x14ac:dyDescent="0.25">
      <c r="A54" s="2">
        <f t="shared" si="2"/>
        <v>34394</v>
      </c>
      <c r="B54">
        <f>Cleaned!H53/Cleaned!B52</f>
        <v>1.5169634519928575E-2</v>
      </c>
      <c r="C54">
        <f>Cleaned!D53/Cleaned!G52</f>
        <v>0.25562157753699172</v>
      </c>
      <c r="D54">
        <f>Cleaned!J53/Cleaned!L52</f>
        <v>3.2359639870989436E-2</v>
      </c>
      <c r="E54">
        <f>Cleaned!N53/Cleaned!G52</f>
        <v>0.22264942327857393</v>
      </c>
      <c r="F54">
        <f>Cleaned!M53/Cleaned!B52</f>
        <v>2.942188293498026E-2</v>
      </c>
      <c r="G54">
        <f>Cleaned!E53/Cleaned!L52</f>
        <v>4.604026230109598E-2</v>
      </c>
      <c r="H54">
        <f t="shared" si="5"/>
        <v>1.5414039021001085E-2</v>
      </c>
      <c r="I54">
        <f t="shared" si="6"/>
        <v>0.25585933725424531</v>
      </c>
      <c r="J54">
        <f t="shared" si="7"/>
        <v>3.1643092054617988E-2</v>
      </c>
      <c r="K54">
        <f t="shared" si="8"/>
        <v>0.208438769429967</v>
      </c>
      <c r="L54">
        <f t="shared" si="9"/>
        <v>2.79017276500142E-2</v>
      </c>
      <c r="M54">
        <f t="shared" si="10"/>
        <v>4.8312806903133776E-2</v>
      </c>
      <c r="O54" s="2">
        <f t="shared" si="4"/>
        <v>37591</v>
      </c>
      <c r="P54">
        <f t="shared" si="11"/>
        <v>1.4518679823312156E-2</v>
      </c>
      <c r="Q54">
        <f t="shared" si="11"/>
        <v>0.23841047235381851</v>
      </c>
      <c r="R54">
        <f t="shared" si="11"/>
        <v>2.5936836237816285E-2</v>
      </c>
      <c r="S54">
        <f t="shared" si="11"/>
        <v>0.21434301937207259</v>
      </c>
      <c r="T54">
        <f t="shared" si="11"/>
        <v>2.8469703530591906E-2</v>
      </c>
      <c r="U54">
        <f t="shared" si="11"/>
        <v>4.8703459853011645E-2</v>
      </c>
    </row>
    <row r="55" spans="1:21" x14ac:dyDescent="0.25">
      <c r="A55" s="2">
        <f t="shared" si="2"/>
        <v>34425</v>
      </c>
      <c r="B55">
        <f>Cleaned!H54/Cleaned!B53</f>
        <v>1.5566308537685557E-2</v>
      </c>
      <c r="C55">
        <f>Cleaned!D54/Cleaned!G53</f>
        <v>0.25962219598583236</v>
      </c>
      <c r="D55">
        <f>Cleaned!J54/Cleaned!L53</f>
        <v>3.1164055733669638E-2</v>
      </c>
      <c r="E55">
        <f>Cleaned!N54/Cleaned!G53</f>
        <v>0.22538370720188902</v>
      </c>
      <c r="F55">
        <f>Cleaned!M54/Cleaned!B53</f>
        <v>2.5678668088247356E-2</v>
      </c>
      <c r="G55">
        <f>Cleaned!E54/Cleaned!L53</f>
        <v>4.7133545044292159E-2</v>
      </c>
      <c r="H55">
        <f t="shared" si="5"/>
        <v>1.543255232596233E-2</v>
      </c>
      <c r="I55">
        <f t="shared" si="6"/>
        <v>0.25703181790274127</v>
      </c>
      <c r="J55">
        <f t="shared" si="7"/>
        <v>3.1522857401827413E-2</v>
      </c>
      <c r="K55">
        <f t="shared" si="8"/>
        <v>0.21817404078974104</v>
      </c>
      <c r="L55">
        <f t="shared" si="9"/>
        <v>2.8017080733152355E-2</v>
      </c>
      <c r="M55">
        <f t="shared" si="10"/>
        <v>4.7684565931078698E-2</v>
      </c>
      <c r="O55" s="2">
        <f t="shared" si="4"/>
        <v>37681</v>
      </c>
      <c r="P55">
        <f t="shared" si="11"/>
        <v>1.4230796142722005E-2</v>
      </c>
      <c r="Q55">
        <f t="shared" si="11"/>
        <v>0.23814778658167915</v>
      </c>
      <c r="R55">
        <f t="shared" si="11"/>
        <v>2.6713037537957413E-2</v>
      </c>
      <c r="S55">
        <f t="shared" si="11"/>
        <v>0.22490122143286936</v>
      </c>
      <c r="T55">
        <f t="shared" si="11"/>
        <v>2.724098010866732E-2</v>
      </c>
      <c r="U55">
        <f t="shared" si="11"/>
        <v>5.0299270059516489E-2</v>
      </c>
    </row>
    <row r="56" spans="1:21" x14ac:dyDescent="0.25">
      <c r="A56" s="2">
        <f t="shared" si="2"/>
        <v>34455</v>
      </c>
      <c r="B56">
        <f>Cleaned!H55/Cleaned!B54</f>
        <v>1.4522855507400442E-2</v>
      </c>
      <c r="C56">
        <f>Cleaned!D55/Cleaned!G54</f>
        <v>0.26995558756451804</v>
      </c>
      <c r="D56">
        <f>Cleaned!J55/Cleaned!L54</f>
        <v>2.9463660977761551E-2</v>
      </c>
      <c r="E56">
        <f>Cleaned!N55/Cleaned!G54</f>
        <v>0.22794382427079582</v>
      </c>
      <c r="F56">
        <f>Cleaned!M55/Cleaned!B54</f>
        <v>2.6101888952489983E-2</v>
      </c>
      <c r="G56">
        <f>Cleaned!E55/Cleaned!L54</f>
        <v>4.8355693468406805E-2</v>
      </c>
      <c r="H56">
        <f t="shared" si="5"/>
        <v>1.5086266188338191E-2</v>
      </c>
      <c r="I56">
        <f t="shared" si="6"/>
        <v>0.26173312036244739</v>
      </c>
      <c r="J56">
        <f t="shared" si="7"/>
        <v>3.0995785527473545E-2</v>
      </c>
      <c r="K56">
        <f t="shared" si="8"/>
        <v>0.22532565158375292</v>
      </c>
      <c r="L56">
        <f t="shared" si="9"/>
        <v>2.7067479991905865E-2</v>
      </c>
      <c r="M56">
        <f t="shared" si="10"/>
        <v>4.7176500271264986E-2</v>
      </c>
      <c r="O56" s="2">
        <f t="shared" si="4"/>
        <v>37773</v>
      </c>
      <c r="P56">
        <f t="shared" si="11"/>
        <v>1.4364590883476559E-2</v>
      </c>
      <c r="Q56">
        <f t="shared" si="11"/>
        <v>0.23684513136134941</v>
      </c>
      <c r="R56">
        <f t="shared" si="11"/>
        <v>2.8948374396327314E-2</v>
      </c>
      <c r="S56">
        <f t="shared" si="11"/>
        <v>0.20855449324536535</v>
      </c>
      <c r="T56">
        <f t="shared" si="11"/>
        <v>2.6843571343708569E-2</v>
      </c>
      <c r="U56">
        <f t="shared" si="11"/>
        <v>4.8927142549928609E-2</v>
      </c>
    </row>
    <row r="57" spans="1:21" x14ac:dyDescent="0.25">
      <c r="A57" s="2">
        <f t="shared" si="2"/>
        <v>34486</v>
      </c>
      <c r="B57">
        <f>Cleaned!H56/Cleaned!B55</f>
        <v>1.5260776142726917E-2</v>
      </c>
      <c r="C57">
        <f>Cleaned!D56/Cleaned!G55</f>
        <v>0.25761212886923562</v>
      </c>
      <c r="D57">
        <f>Cleaned!J56/Cleaned!L55</f>
        <v>3.2115744473688215E-2</v>
      </c>
      <c r="E57">
        <f>Cleaned!N56/Cleaned!G55</f>
        <v>0.24775742261528744</v>
      </c>
      <c r="F57">
        <f>Cleaned!M56/Cleaned!B55</f>
        <v>2.7192668316187003E-2</v>
      </c>
      <c r="G57">
        <f>Cleaned!E56/Cleaned!L55</f>
        <v>4.3434604676636596E-2</v>
      </c>
      <c r="H57">
        <f t="shared" si="5"/>
        <v>1.5116646729270973E-2</v>
      </c>
      <c r="I57">
        <f t="shared" si="6"/>
        <v>0.26239663747319536</v>
      </c>
      <c r="J57">
        <f t="shared" si="7"/>
        <v>3.0914487061706467E-2</v>
      </c>
      <c r="K57">
        <f t="shared" si="8"/>
        <v>0.23369498469599073</v>
      </c>
      <c r="L57">
        <f t="shared" si="9"/>
        <v>2.6324408452308112E-2</v>
      </c>
      <c r="M57">
        <f t="shared" si="10"/>
        <v>4.6307947729778524E-2</v>
      </c>
      <c r="O57" s="2">
        <f t="shared" si="4"/>
        <v>37865</v>
      </c>
      <c r="P57">
        <f t="shared" si="11"/>
        <v>1.418118099252764E-2</v>
      </c>
      <c r="Q57">
        <f t="shared" si="11"/>
        <v>0.23204892668495355</v>
      </c>
      <c r="R57">
        <f t="shared" si="11"/>
        <v>2.6743320927909629E-2</v>
      </c>
      <c r="S57">
        <f t="shared" si="11"/>
        <v>0.21834569584807814</v>
      </c>
      <c r="T57">
        <f t="shared" si="11"/>
        <v>2.8460008606087817E-2</v>
      </c>
      <c r="U57">
        <f t="shared" si="11"/>
        <v>4.8886887322460819E-2</v>
      </c>
    </row>
    <row r="58" spans="1:21" x14ac:dyDescent="0.25">
      <c r="A58" s="2">
        <f t="shared" si="2"/>
        <v>34516</v>
      </c>
      <c r="B58">
        <f>Cleaned!H57/Cleaned!B56</f>
        <v>1.5574799810819186E-2</v>
      </c>
      <c r="C58">
        <f>Cleaned!D57/Cleaned!G56</f>
        <v>0.27008956730162736</v>
      </c>
      <c r="D58">
        <f>Cleaned!J57/Cleaned!L56</f>
        <v>3.1089336478558036E-2</v>
      </c>
      <c r="E58">
        <f>Cleaned!N57/Cleaned!G56</f>
        <v>0.23110886842437239</v>
      </c>
      <c r="F58">
        <f>Cleaned!M57/Cleaned!B56</f>
        <v>2.7031655169039583E-2</v>
      </c>
      <c r="G58">
        <f>Cleaned!E57/Cleaned!L56</f>
        <v>4.6286215447892097E-2</v>
      </c>
      <c r="H58">
        <f t="shared" si="5"/>
        <v>1.511947715364885E-2</v>
      </c>
      <c r="I58">
        <f t="shared" si="6"/>
        <v>0.26588576124512703</v>
      </c>
      <c r="J58">
        <f t="shared" si="7"/>
        <v>3.0889580643335936E-2</v>
      </c>
      <c r="K58">
        <f t="shared" si="8"/>
        <v>0.23560337177015189</v>
      </c>
      <c r="L58">
        <f t="shared" si="9"/>
        <v>2.6775404145905523E-2</v>
      </c>
      <c r="M58">
        <f t="shared" si="10"/>
        <v>4.6025504530978499E-2</v>
      </c>
      <c r="O58" s="2">
        <f t="shared" si="4"/>
        <v>37956</v>
      </c>
      <c r="P58">
        <f t="shared" si="11"/>
        <v>1.3251810052099099E-2</v>
      </c>
      <c r="Q58">
        <f t="shared" si="11"/>
        <v>0.24538653869078153</v>
      </c>
      <c r="R58">
        <f t="shared" si="11"/>
        <v>2.6637130014997689E-2</v>
      </c>
      <c r="S58">
        <f t="shared" si="11"/>
        <v>0.21858709998760847</v>
      </c>
      <c r="T58">
        <f t="shared" si="11"/>
        <v>2.7970833027312691E-2</v>
      </c>
      <c r="U58">
        <f t="shared" si="11"/>
        <v>4.9899466387517771E-2</v>
      </c>
    </row>
    <row r="59" spans="1:21" x14ac:dyDescent="0.25">
      <c r="A59" s="2">
        <f t="shared" si="2"/>
        <v>34547</v>
      </c>
      <c r="B59">
        <f>Cleaned!H58/Cleaned!B57</f>
        <v>1.5060388245073591E-2</v>
      </c>
      <c r="C59">
        <f>Cleaned!D58/Cleaned!G57</f>
        <v>0.27837905864585955</v>
      </c>
      <c r="D59">
        <f>Cleaned!J58/Cleaned!L57</f>
        <v>3.1703596296464118E-2</v>
      </c>
      <c r="E59">
        <f>Cleaned!N58/Cleaned!G57</f>
        <v>0.22376038258243142</v>
      </c>
      <c r="F59">
        <f>Cleaned!M58/Cleaned!B57</f>
        <v>2.5581471158704547E-2</v>
      </c>
      <c r="G59">
        <f>Cleaned!E58/Cleaned!L57</f>
        <v>4.9964505263793861E-2</v>
      </c>
      <c r="H59">
        <f t="shared" si="5"/>
        <v>1.5298654732873231E-2</v>
      </c>
      <c r="I59">
        <f t="shared" si="6"/>
        <v>0.26869358493890749</v>
      </c>
      <c r="J59">
        <f t="shared" si="7"/>
        <v>3.1636225749570125E-2</v>
      </c>
      <c r="K59">
        <f t="shared" si="8"/>
        <v>0.23420889120736374</v>
      </c>
      <c r="L59">
        <f t="shared" si="9"/>
        <v>2.6601931547977044E-2</v>
      </c>
      <c r="M59">
        <f t="shared" si="10"/>
        <v>4.6561775129440854E-2</v>
      </c>
      <c r="O59" s="2">
        <f t="shared" si="4"/>
        <v>38047</v>
      </c>
      <c r="P59">
        <f t="shared" si="11"/>
        <v>1.2979335719515763E-2</v>
      </c>
      <c r="Q59">
        <f t="shared" si="11"/>
        <v>0.24006223144580952</v>
      </c>
      <c r="R59">
        <f t="shared" si="11"/>
        <v>2.7322925155240305E-2</v>
      </c>
      <c r="S59">
        <f t="shared" si="11"/>
        <v>0.22051336209131603</v>
      </c>
      <c r="T59">
        <f t="shared" si="11"/>
        <v>2.7496976919118413E-2</v>
      </c>
      <c r="U59">
        <f t="shared" si="11"/>
        <v>4.8606427934002487E-2</v>
      </c>
    </row>
    <row r="60" spans="1:21" x14ac:dyDescent="0.25">
      <c r="A60" s="2">
        <f t="shared" si="2"/>
        <v>34578</v>
      </c>
      <c r="B60">
        <f>Cleaned!H59/Cleaned!B58</f>
        <v>1.4455740947933388E-2</v>
      </c>
      <c r="C60">
        <f>Cleaned!D59/Cleaned!G58</f>
        <v>0.27303668221353838</v>
      </c>
      <c r="D60">
        <f>Cleaned!J59/Cleaned!L58</f>
        <v>2.934557839678871E-2</v>
      </c>
      <c r="E60">
        <f>Cleaned!N59/Cleaned!G58</f>
        <v>0.22337072986259926</v>
      </c>
      <c r="F60">
        <f>Cleaned!M59/Cleaned!B58</f>
        <v>2.5911692691864895E-2</v>
      </c>
      <c r="G60">
        <f>Cleaned!E59/Cleaned!L58</f>
        <v>4.6694441065563801E-2</v>
      </c>
      <c r="H60">
        <f t="shared" si="5"/>
        <v>1.5030309667942054E-2</v>
      </c>
      <c r="I60">
        <f t="shared" si="6"/>
        <v>0.27383510272034178</v>
      </c>
      <c r="J60">
        <f t="shared" si="7"/>
        <v>3.0712837057270289E-2</v>
      </c>
      <c r="K60">
        <f t="shared" si="8"/>
        <v>0.22607999362313436</v>
      </c>
      <c r="L60">
        <f t="shared" si="9"/>
        <v>2.6174939673203012E-2</v>
      </c>
      <c r="M60">
        <f t="shared" si="10"/>
        <v>4.7648387259083248E-2</v>
      </c>
      <c r="O60" s="2">
        <f t="shared" si="4"/>
        <v>38139</v>
      </c>
      <c r="P60">
        <f t="shared" si="11"/>
        <v>1.3017326811010943E-2</v>
      </c>
      <c r="Q60">
        <f t="shared" si="11"/>
        <v>0.251955962423073</v>
      </c>
      <c r="R60">
        <f t="shared" si="11"/>
        <v>2.6465114355550254E-2</v>
      </c>
      <c r="S60">
        <f t="shared" si="11"/>
        <v>0.21875863759585354</v>
      </c>
      <c r="T60">
        <f t="shared" si="11"/>
        <v>2.7153253709498244E-2</v>
      </c>
      <c r="U60">
        <f t="shared" si="11"/>
        <v>4.8404611071939142E-2</v>
      </c>
    </row>
    <row r="61" spans="1:21" x14ac:dyDescent="0.25">
      <c r="A61" s="2">
        <f t="shared" si="2"/>
        <v>34608</v>
      </c>
      <c r="B61">
        <f>Cleaned!H60/Cleaned!B59</f>
        <v>1.2984388011674629E-2</v>
      </c>
      <c r="C61">
        <f>Cleaned!D60/Cleaned!G59</f>
        <v>0.26027928626842511</v>
      </c>
      <c r="D61">
        <f>Cleaned!J60/Cleaned!L59</f>
        <v>3.0489009069226913E-2</v>
      </c>
      <c r="E61">
        <f>Cleaned!N60/Cleaned!G59</f>
        <v>0.22278251874838376</v>
      </c>
      <c r="F61">
        <f>Cleaned!M60/Cleaned!B59</f>
        <v>2.6106219732065616E-2</v>
      </c>
      <c r="G61">
        <f>Cleaned!E60/Cleaned!L59</f>
        <v>4.7472921445607427E-2</v>
      </c>
      <c r="H61">
        <f t="shared" si="5"/>
        <v>1.4166839068227202E-2</v>
      </c>
      <c r="I61">
        <f t="shared" si="6"/>
        <v>0.27056500904260766</v>
      </c>
      <c r="J61">
        <f t="shared" si="7"/>
        <v>3.0512727920826582E-2</v>
      </c>
      <c r="K61">
        <f t="shared" si="8"/>
        <v>0.22330454373113814</v>
      </c>
      <c r="L61">
        <f t="shared" si="9"/>
        <v>2.5866461194211685E-2</v>
      </c>
      <c r="M61">
        <f t="shared" si="10"/>
        <v>4.8043955924988363E-2</v>
      </c>
      <c r="O61" s="2">
        <f t="shared" si="4"/>
        <v>38231</v>
      </c>
      <c r="P61">
        <f t="shared" si="11"/>
        <v>1.3358487954349409E-2</v>
      </c>
      <c r="Q61">
        <f t="shared" si="11"/>
        <v>0.25750279251296648</v>
      </c>
      <c r="R61">
        <f t="shared" si="11"/>
        <v>2.6196922273067167E-2</v>
      </c>
      <c r="S61">
        <f t="shared" si="11"/>
        <v>0.233778386916911</v>
      </c>
      <c r="T61">
        <f t="shared" si="11"/>
        <v>2.8302093717761333E-2</v>
      </c>
      <c r="U61">
        <f t="shared" si="11"/>
        <v>4.932253575603366E-2</v>
      </c>
    </row>
    <row r="62" spans="1:21" x14ac:dyDescent="0.25">
      <c r="A62" s="2">
        <f t="shared" si="2"/>
        <v>34639</v>
      </c>
      <c r="B62">
        <f>Cleaned!H61/Cleaned!B60</f>
        <v>1.4430514374113704E-2</v>
      </c>
      <c r="C62">
        <f>Cleaned!D61/Cleaned!G60</f>
        <v>0.27659853249475891</v>
      </c>
      <c r="D62">
        <f>Cleaned!J61/Cleaned!L60</f>
        <v>2.8286088359772251E-2</v>
      </c>
      <c r="E62">
        <f>Cleaned!N61/Cleaned!G60</f>
        <v>0.23846960167714884</v>
      </c>
      <c r="F62">
        <f>Cleaned!M61/Cleaned!B60</f>
        <v>2.6588887456490913E-2</v>
      </c>
      <c r="G62">
        <f>Cleaned!E61/Cleaned!L60</f>
        <v>4.9843193374539477E-2</v>
      </c>
      <c r="H62">
        <f t="shared" si="5"/>
        <v>1.3956881111240575E-2</v>
      </c>
      <c r="I62">
        <f t="shared" si="6"/>
        <v>0.2699715003255741</v>
      </c>
      <c r="J62">
        <f t="shared" si="7"/>
        <v>2.9373558608595959E-2</v>
      </c>
      <c r="K62">
        <f t="shared" si="8"/>
        <v>0.22820761676271062</v>
      </c>
      <c r="L62">
        <f t="shared" si="9"/>
        <v>2.6202266626807146E-2</v>
      </c>
      <c r="M62">
        <f t="shared" si="10"/>
        <v>4.8003518628570239E-2</v>
      </c>
      <c r="O62" s="2">
        <f t="shared" si="4"/>
        <v>38322</v>
      </c>
      <c r="P62">
        <f t="shared" si="11"/>
        <v>1.3205621510021743E-2</v>
      </c>
      <c r="Q62">
        <f t="shared" si="11"/>
        <v>0.26613188594451126</v>
      </c>
      <c r="R62">
        <f t="shared" si="11"/>
        <v>2.6580797475383888E-2</v>
      </c>
      <c r="S62">
        <f t="shared" si="11"/>
        <v>0.22228997374483681</v>
      </c>
      <c r="T62">
        <f t="shared" si="11"/>
        <v>2.8484034260374293E-2</v>
      </c>
      <c r="U62">
        <f t="shared" si="11"/>
        <v>5.0346674079101185E-2</v>
      </c>
    </row>
    <row r="63" spans="1:21" x14ac:dyDescent="0.25">
      <c r="A63" s="2">
        <f t="shared" si="2"/>
        <v>34669</v>
      </c>
      <c r="B63">
        <f>Cleaned!H62/Cleaned!B61</f>
        <v>1.4994056988660092E-2</v>
      </c>
      <c r="C63">
        <f>Cleaned!D62/Cleaned!G61</f>
        <v>0.30305084745762711</v>
      </c>
      <c r="D63">
        <f>Cleaned!J62/Cleaned!L61</f>
        <v>2.9018808205003348E-2</v>
      </c>
      <c r="E63">
        <f>Cleaned!N62/Cleaned!G61</f>
        <v>0.23159322033898305</v>
      </c>
      <c r="F63">
        <f>Cleaned!M62/Cleaned!B61</f>
        <v>2.836583250345337E-2</v>
      </c>
      <c r="G63">
        <f>Cleaned!E62/Cleaned!L61</f>
        <v>4.9637835534725179E-2</v>
      </c>
      <c r="H63">
        <f t="shared" si="5"/>
        <v>1.4136319791482809E-2</v>
      </c>
      <c r="I63">
        <f t="shared" si="6"/>
        <v>0.27997622207360368</v>
      </c>
      <c r="J63">
        <f t="shared" si="7"/>
        <v>2.9264635211334173E-2</v>
      </c>
      <c r="K63">
        <f t="shared" si="8"/>
        <v>0.23094844692150521</v>
      </c>
      <c r="L63">
        <f t="shared" si="9"/>
        <v>2.7020313230669963E-2</v>
      </c>
      <c r="M63">
        <f t="shared" si="10"/>
        <v>4.8984650118290694E-2</v>
      </c>
      <c r="O63" s="2">
        <f t="shared" si="4"/>
        <v>38412</v>
      </c>
      <c r="P63">
        <f t="shared" si="11"/>
        <v>1.2827143485967946E-2</v>
      </c>
      <c r="Q63">
        <f t="shared" si="11"/>
        <v>0.25962809700345429</v>
      </c>
      <c r="R63">
        <f t="shared" si="11"/>
        <v>2.4926049441235509E-2</v>
      </c>
      <c r="S63">
        <f t="shared" si="11"/>
        <v>0.22078295931215139</v>
      </c>
      <c r="T63">
        <f t="shared" si="11"/>
        <v>2.7843108424187638E-2</v>
      </c>
      <c r="U63">
        <f t="shared" si="11"/>
        <v>4.9390896483535091E-2</v>
      </c>
    </row>
    <row r="64" spans="1:21" x14ac:dyDescent="0.25">
      <c r="A64" s="2">
        <f t="shared" si="2"/>
        <v>34700</v>
      </c>
      <c r="B64">
        <f>Cleaned!H63/Cleaned!B62</f>
        <v>1.5787237113236745E-2</v>
      </c>
      <c r="C64">
        <f>Cleaned!D63/Cleaned!G62</f>
        <v>0.28520055325034577</v>
      </c>
      <c r="D64">
        <f>Cleaned!J63/Cleaned!L62</f>
        <v>2.8747682863828363E-2</v>
      </c>
      <c r="E64">
        <f>Cleaned!N63/Cleaned!G62</f>
        <v>0.23208852005532504</v>
      </c>
      <c r="F64">
        <f>Cleaned!M63/Cleaned!B62</f>
        <v>2.6595360845406948E-2</v>
      </c>
      <c r="G64">
        <f>Cleaned!E63/Cleaned!L62</f>
        <v>4.8834594463184125E-2</v>
      </c>
      <c r="H64">
        <f t="shared" si="5"/>
        <v>1.5070602825336848E-2</v>
      </c>
      <c r="I64">
        <f t="shared" si="6"/>
        <v>0.28828331106757726</v>
      </c>
      <c r="J64">
        <f t="shared" si="7"/>
        <v>2.8684193142867988E-2</v>
      </c>
      <c r="K64">
        <f t="shared" si="8"/>
        <v>0.2340504473571523</v>
      </c>
      <c r="L64">
        <f t="shared" si="9"/>
        <v>2.7183360268450408E-2</v>
      </c>
      <c r="M64">
        <f t="shared" si="10"/>
        <v>4.9438541124149603E-2</v>
      </c>
      <c r="O64" s="2">
        <f t="shared" si="4"/>
        <v>38504</v>
      </c>
      <c r="P64">
        <f t="shared" si="11"/>
        <v>1.240000314947527E-2</v>
      </c>
      <c r="Q64">
        <f t="shared" si="11"/>
        <v>0.26091078574503856</v>
      </c>
      <c r="R64">
        <f t="shared" si="11"/>
        <v>2.5128052475003868E-2</v>
      </c>
      <c r="S64">
        <f t="shared" si="11"/>
        <v>0.23038652416642891</v>
      </c>
      <c r="T64">
        <f t="shared" si="11"/>
        <v>2.7437086311414241E-2</v>
      </c>
      <c r="U64">
        <f t="shared" si="11"/>
        <v>5.1057025958714995E-2</v>
      </c>
    </row>
    <row r="65" spans="1:21" x14ac:dyDescent="0.25">
      <c r="A65" s="2">
        <f t="shared" si="2"/>
        <v>34731</v>
      </c>
      <c r="B65">
        <f>Cleaned!H64/Cleaned!B63</f>
        <v>1.3636764717678862E-2</v>
      </c>
      <c r="C65">
        <f>Cleaned!D64/Cleaned!G63</f>
        <v>0.28271186440677964</v>
      </c>
      <c r="D65">
        <f>Cleaned!J64/Cleaned!L63</f>
        <v>2.8167085140378908E-2</v>
      </c>
      <c r="E65">
        <f>Cleaned!N64/Cleaned!G63</f>
        <v>0.22861016949152543</v>
      </c>
      <c r="F65">
        <f>Cleaned!M64/Cleaned!B63</f>
        <v>2.4810890159871011E-2</v>
      </c>
      <c r="G65">
        <f>Cleaned!E64/Cleaned!L63</f>
        <v>4.4419082401278245E-2</v>
      </c>
      <c r="H65">
        <f t="shared" si="5"/>
        <v>1.4806019606525235E-2</v>
      </c>
      <c r="I65">
        <f t="shared" si="6"/>
        <v>0.29032108837158416</v>
      </c>
      <c r="J65">
        <f t="shared" si="7"/>
        <v>2.8644525403070206E-2</v>
      </c>
      <c r="K65">
        <f t="shared" si="8"/>
        <v>0.23076396996194451</v>
      </c>
      <c r="L65">
        <f t="shared" si="9"/>
        <v>2.6590694502910444E-2</v>
      </c>
      <c r="M65">
        <f t="shared" si="10"/>
        <v>4.7630504133062523E-2</v>
      </c>
      <c r="O65" s="2">
        <f t="shared" si="4"/>
        <v>38596</v>
      </c>
      <c r="P65">
        <f t="shared" si="11"/>
        <v>1.2682226244374602E-2</v>
      </c>
      <c r="Q65">
        <f t="shared" si="11"/>
        <v>0.2655456280938886</v>
      </c>
      <c r="R65">
        <f t="shared" si="11"/>
        <v>2.5113343697283491E-2</v>
      </c>
      <c r="S65">
        <f t="shared" si="11"/>
        <v>0.23869395310312122</v>
      </c>
      <c r="T65">
        <f t="shared" si="11"/>
        <v>2.7693338251720889E-2</v>
      </c>
      <c r="U65">
        <f t="shared" si="11"/>
        <v>5.110511355879966E-2</v>
      </c>
    </row>
    <row r="66" spans="1:21" x14ac:dyDescent="0.25">
      <c r="A66" s="2">
        <f t="shared" si="2"/>
        <v>34759</v>
      </c>
      <c r="B66">
        <f>Cleaned!H65/Cleaned!B64</f>
        <v>1.4640432889344262E-2</v>
      </c>
      <c r="C66">
        <f>Cleaned!D65/Cleaned!G64</f>
        <v>0.28440239320996241</v>
      </c>
      <c r="D66">
        <f>Cleaned!J65/Cleaned!L64</f>
        <v>2.6318990421164666E-2</v>
      </c>
      <c r="E66">
        <f>Cleaned!N65/Cleaned!G64</f>
        <v>0.21928481981355225</v>
      </c>
      <c r="F66">
        <f>Cleaned!M65/Cleaned!B64</f>
        <v>2.6439228995901641E-2</v>
      </c>
      <c r="G66">
        <f>Cleaned!E65/Cleaned!L64</f>
        <v>4.6267295119355331E-2</v>
      </c>
      <c r="H66">
        <f t="shared" si="5"/>
        <v>1.4688144906753289E-2</v>
      </c>
      <c r="I66">
        <f t="shared" si="6"/>
        <v>0.28410493695569594</v>
      </c>
      <c r="J66">
        <f t="shared" si="7"/>
        <v>2.7744586141790647E-2</v>
      </c>
      <c r="K66">
        <f t="shared" si="8"/>
        <v>0.22666116978680093</v>
      </c>
      <c r="L66">
        <f t="shared" si="9"/>
        <v>2.5948493333726536E-2</v>
      </c>
      <c r="M66">
        <f t="shared" si="10"/>
        <v>4.6506990661272563E-2</v>
      </c>
      <c r="O66" s="2">
        <f t="shared" si="4"/>
        <v>38687</v>
      </c>
      <c r="P66">
        <f t="shared" si="11"/>
        <v>1.2055325539838428E-2</v>
      </c>
      <c r="Q66">
        <f t="shared" si="11"/>
        <v>0.26471384853410829</v>
      </c>
      <c r="R66">
        <f t="shared" si="11"/>
        <v>2.5888186008062114E-2</v>
      </c>
      <c r="S66">
        <f t="shared" si="11"/>
        <v>0.24504732410478458</v>
      </c>
      <c r="T66">
        <f t="shared" si="11"/>
        <v>2.8485335280420344E-2</v>
      </c>
      <c r="U66">
        <f t="shared" si="11"/>
        <v>5.0138119930369984E-2</v>
      </c>
    </row>
    <row r="67" spans="1:21" x14ac:dyDescent="0.25">
      <c r="A67" s="2">
        <f t="shared" si="2"/>
        <v>34790</v>
      </c>
      <c r="B67">
        <f>Cleaned!H66/Cleaned!B65</f>
        <v>1.4989396182625745E-2</v>
      </c>
      <c r="C67">
        <f>Cleaned!D66/Cleaned!G65</f>
        <v>0.28086117712847758</v>
      </c>
      <c r="D67">
        <f>Cleaned!J66/Cleaned!L65</f>
        <v>3.2534636337425454E-2</v>
      </c>
      <c r="E67">
        <f>Cleaned!N66/Cleaned!G65</f>
        <v>0.21445547322801622</v>
      </c>
      <c r="F67">
        <f>Cleaned!M66/Cleaned!B65</f>
        <v>2.7145772478092113E-2</v>
      </c>
      <c r="G67">
        <f>Cleaned!E66/Cleaned!L65</f>
        <v>4.7800421857691316E-2</v>
      </c>
      <c r="H67">
        <f t="shared" si="5"/>
        <v>1.4422197929882955E-2</v>
      </c>
      <c r="I67">
        <f t="shared" si="6"/>
        <v>0.28265847824840656</v>
      </c>
      <c r="J67">
        <f t="shared" si="7"/>
        <v>2.9006903966323008E-2</v>
      </c>
      <c r="K67">
        <f t="shared" si="8"/>
        <v>0.22078348751103127</v>
      </c>
      <c r="L67">
        <f t="shared" si="9"/>
        <v>2.6131963877954922E-2</v>
      </c>
      <c r="M67">
        <f t="shared" si="10"/>
        <v>4.6162266459441631E-2</v>
      </c>
      <c r="O67" s="2">
        <f t="shared" si="4"/>
        <v>38777</v>
      </c>
      <c r="P67">
        <f t="shared" si="11"/>
        <v>1.1679471413711166E-2</v>
      </c>
      <c r="Q67">
        <f t="shared" si="11"/>
        <v>0.26974072475078431</v>
      </c>
      <c r="R67">
        <f t="shared" si="11"/>
        <v>2.4725508857975226E-2</v>
      </c>
      <c r="S67">
        <f t="shared" si="11"/>
        <v>0.2422935659364864</v>
      </c>
      <c r="T67">
        <f t="shared" si="11"/>
        <v>2.7335865381688931E-2</v>
      </c>
      <c r="U67">
        <f t="shared" si="11"/>
        <v>5.143363306939211E-2</v>
      </c>
    </row>
    <row r="68" spans="1:21" x14ac:dyDescent="0.25">
      <c r="A68" s="2">
        <f t="shared" si="2"/>
        <v>34820</v>
      </c>
      <c r="B68">
        <f>Cleaned!H67/Cleaned!B66</f>
        <v>1.4278282444275481E-2</v>
      </c>
      <c r="C68">
        <f>Cleaned!D67/Cleaned!G66</f>
        <v>0.26618705035971224</v>
      </c>
      <c r="D68">
        <f>Cleaned!J67/Cleaned!L66</f>
        <v>2.8204033069953324E-2</v>
      </c>
      <c r="E68">
        <f>Cleaned!N67/Cleaned!G66</f>
        <v>0.23989535644211904</v>
      </c>
      <c r="F68">
        <f>Cleaned!M67/Cleaned!B66</f>
        <v>2.8372483892912883E-2</v>
      </c>
      <c r="G68">
        <f>Cleaned!E67/Cleaned!L66</f>
        <v>4.0803563256963299E-2</v>
      </c>
      <c r="H68">
        <f t="shared" si="5"/>
        <v>1.4636037172081831E-2</v>
      </c>
      <c r="I68">
        <f t="shared" si="6"/>
        <v>0.27715020689938408</v>
      </c>
      <c r="J68">
        <f t="shared" si="7"/>
        <v>2.9019219942847813E-2</v>
      </c>
      <c r="K68">
        <f t="shared" si="8"/>
        <v>0.22454521649456249</v>
      </c>
      <c r="L68">
        <f t="shared" si="9"/>
        <v>2.7319161788968881E-2</v>
      </c>
      <c r="M68">
        <f t="shared" si="10"/>
        <v>4.4957093411336656E-2</v>
      </c>
      <c r="O68" s="2">
        <f t="shared" si="4"/>
        <v>38869</v>
      </c>
      <c r="P68">
        <f t="shared" si="11"/>
        <v>1.2484316929108124E-2</v>
      </c>
      <c r="Q68">
        <f t="shared" si="11"/>
        <v>0.28323850308809462</v>
      </c>
      <c r="R68">
        <f t="shared" si="11"/>
        <v>2.4503762726809392E-2</v>
      </c>
      <c r="S68">
        <f t="shared" si="11"/>
        <v>0.24618641446940173</v>
      </c>
      <c r="T68">
        <f t="shared" si="11"/>
        <v>2.8955867376168804E-2</v>
      </c>
      <c r="U68">
        <f t="shared" si="11"/>
        <v>5.2946281987405086E-2</v>
      </c>
    </row>
    <row r="69" spans="1:21" x14ac:dyDescent="0.25">
      <c r="A69" s="2">
        <f t="shared" si="2"/>
        <v>34851</v>
      </c>
      <c r="B69">
        <f>Cleaned!H68/Cleaned!B67</f>
        <v>1.5037654415251445E-2</v>
      </c>
      <c r="C69">
        <f>Cleaned!D68/Cleaned!G67</f>
        <v>0.27927321668909827</v>
      </c>
      <c r="D69">
        <f>Cleaned!J68/Cleaned!L67</f>
        <v>2.8057499811846166E-2</v>
      </c>
      <c r="E69">
        <f>Cleaned!N68/Cleaned!G67</f>
        <v>0.22812920592193808</v>
      </c>
      <c r="F69">
        <f>Cleaned!M68/Cleaned!B67</f>
        <v>2.7519470185901094E-2</v>
      </c>
      <c r="G69">
        <f>Cleaned!E68/Cleaned!L67</f>
        <v>4.8393166252728229E-2</v>
      </c>
      <c r="H69">
        <f t="shared" si="5"/>
        <v>1.4768444347384224E-2</v>
      </c>
      <c r="I69">
        <f t="shared" si="6"/>
        <v>0.27544048139242938</v>
      </c>
      <c r="J69">
        <f t="shared" si="7"/>
        <v>2.9598723073074984E-2</v>
      </c>
      <c r="K69">
        <f t="shared" si="8"/>
        <v>0.22749334519735778</v>
      </c>
      <c r="L69">
        <f t="shared" si="9"/>
        <v>2.7679242185635361E-2</v>
      </c>
      <c r="M69">
        <f t="shared" si="10"/>
        <v>4.5665717122460946E-2</v>
      </c>
      <c r="O69" s="2">
        <f t="shared" si="4"/>
        <v>38961</v>
      </c>
      <c r="P69">
        <f t="shared" ref="P69:U98" si="12">VLOOKUP($O69,$A$1:$M$291,P$1)</f>
        <v>1.2433627662252242E-2</v>
      </c>
      <c r="Q69">
        <f t="shared" si="12"/>
        <v>0.29001890629057453</v>
      </c>
      <c r="R69">
        <f t="shared" si="12"/>
        <v>2.4373703704600427E-2</v>
      </c>
      <c r="S69">
        <f t="shared" si="12"/>
        <v>0.24132224473046704</v>
      </c>
      <c r="T69">
        <f t="shared" si="12"/>
        <v>2.8819320432490841E-2</v>
      </c>
      <c r="U69">
        <f t="shared" si="12"/>
        <v>5.1319654684126866E-2</v>
      </c>
    </row>
    <row r="70" spans="1:21" x14ac:dyDescent="0.25">
      <c r="A70" s="2">
        <f t="shared" ref="A70:A133" si="13">DATE(YEAR(A69),MONTH(A69)+1,1)</f>
        <v>34881</v>
      </c>
      <c r="B70">
        <f>Cleaned!H69/Cleaned!B68</f>
        <v>1.4615891167825766E-2</v>
      </c>
      <c r="C70">
        <f>Cleaned!D69/Cleaned!G68</f>
        <v>0.2773663659620304</v>
      </c>
      <c r="D70">
        <f>Cleaned!J69/Cleaned!L68</f>
        <v>2.9712498496331046E-2</v>
      </c>
      <c r="E70">
        <f>Cleaned!N69/Cleaned!G68</f>
        <v>0.22364346304025851</v>
      </c>
      <c r="F70">
        <f>Cleaned!M69/Cleaned!B68</f>
        <v>2.6115867075697467E-2</v>
      </c>
      <c r="G70">
        <f>Cleaned!E69/Cleaned!L68</f>
        <v>4.828281005653795E-2</v>
      </c>
      <c r="H70">
        <f t="shared" si="5"/>
        <v>1.4643942675784232E-2</v>
      </c>
      <c r="I70">
        <f t="shared" si="6"/>
        <v>0.27427554433694695</v>
      </c>
      <c r="J70">
        <f t="shared" si="7"/>
        <v>2.8658010459376843E-2</v>
      </c>
      <c r="K70">
        <f t="shared" si="8"/>
        <v>0.2305560084681052</v>
      </c>
      <c r="L70">
        <f t="shared" si="9"/>
        <v>2.7335940384837148E-2</v>
      </c>
      <c r="M70">
        <f t="shared" si="10"/>
        <v>4.5826513188743166E-2</v>
      </c>
      <c r="O70" s="2">
        <f t="shared" ref="O70:O98" si="14">DATE(YEAR(O69),MONTH(O69)+3,1)</f>
        <v>39052</v>
      </c>
      <c r="P70">
        <f t="shared" si="12"/>
        <v>1.2355486313480877E-2</v>
      </c>
      <c r="Q70">
        <f t="shared" si="12"/>
        <v>0.28805355510680636</v>
      </c>
      <c r="R70">
        <f t="shared" si="12"/>
        <v>2.2208144609444744E-2</v>
      </c>
      <c r="S70">
        <f t="shared" si="12"/>
        <v>0.23600229088322591</v>
      </c>
      <c r="T70">
        <f t="shared" si="12"/>
        <v>2.8038588875936517E-2</v>
      </c>
      <c r="U70">
        <f t="shared" si="12"/>
        <v>5.4460229895393904E-2</v>
      </c>
    </row>
    <row r="71" spans="1:21" x14ac:dyDescent="0.25">
      <c r="A71" s="2">
        <f t="shared" si="13"/>
        <v>34912</v>
      </c>
      <c r="B71">
        <f>Cleaned!H70/Cleaned!B69</f>
        <v>1.5302525317267017E-2</v>
      </c>
      <c r="C71">
        <f>Cleaned!D70/Cleaned!G69</f>
        <v>0.28988973030423809</v>
      </c>
      <c r="D71">
        <f>Cleaned!J70/Cleaned!L69</f>
        <v>2.8639546112988894E-2</v>
      </c>
      <c r="E71">
        <f>Cleaned!N70/Cleaned!G69</f>
        <v>0.22492360834329747</v>
      </c>
      <c r="F71">
        <f>Cleaned!M70/Cleaned!B69</f>
        <v>2.7208050249967954E-2</v>
      </c>
      <c r="G71">
        <f>Cleaned!E70/Cleaned!L69</f>
        <v>4.5856470304200869E-2</v>
      </c>
      <c r="H71">
        <f t="shared" ref="H71:H134" si="15">AVERAGE(B69:B71)</f>
        <v>1.498535696678141E-2</v>
      </c>
      <c r="I71">
        <f t="shared" ref="I71:I134" si="16">AVERAGE(C69:C71)</f>
        <v>0.28217643765178896</v>
      </c>
      <c r="J71">
        <f t="shared" ref="J71:J134" si="17">AVERAGE(D69:D71)</f>
        <v>2.8803181473722034E-2</v>
      </c>
      <c r="K71">
        <f t="shared" ref="K71:K134" si="18">AVERAGE(E69:E71)</f>
        <v>0.22556542576849803</v>
      </c>
      <c r="L71">
        <f t="shared" ref="L71:L134" si="19">AVERAGE(F69:F71)</f>
        <v>2.6947795837188839E-2</v>
      </c>
      <c r="M71">
        <f t="shared" ref="M71:M134" si="20">AVERAGE(G69:G71)</f>
        <v>4.7510815537822347E-2</v>
      </c>
      <c r="O71" s="2">
        <f t="shared" si="14"/>
        <v>39142</v>
      </c>
      <c r="P71">
        <f t="shared" si="12"/>
        <v>1.2443786959700482E-2</v>
      </c>
      <c r="Q71">
        <f t="shared" si="12"/>
        <v>0.295896268594525</v>
      </c>
      <c r="R71">
        <f t="shared" si="12"/>
        <v>2.365527403124516E-2</v>
      </c>
      <c r="S71">
        <f t="shared" si="12"/>
        <v>0.23610194499226086</v>
      </c>
      <c r="T71">
        <f t="shared" si="12"/>
        <v>2.9236104677211824E-2</v>
      </c>
      <c r="U71">
        <f t="shared" si="12"/>
        <v>5.2456841142725585E-2</v>
      </c>
    </row>
    <row r="72" spans="1:21" x14ac:dyDescent="0.25">
      <c r="A72" s="2">
        <f t="shared" si="13"/>
        <v>34943</v>
      </c>
      <c r="B72">
        <f>Cleaned!H71/Cleaned!B70</f>
        <v>1.5177970717329318E-2</v>
      </c>
      <c r="C72">
        <f>Cleaned!D71/Cleaned!G70</f>
        <v>0.27552111170497062</v>
      </c>
      <c r="D72">
        <f>Cleaned!J71/Cleaned!L70</f>
        <v>2.8932520875648838E-2</v>
      </c>
      <c r="E72">
        <f>Cleaned!N71/Cleaned!G70</f>
        <v>0.23850881881346872</v>
      </c>
      <c r="F72">
        <f>Cleaned!M71/Cleaned!B70</f>
        <v>2.6367218787043858E-2</v>
      </c>
      <c r="G72">
        <f>Cleaned!E71/Cleaned!L70</f>
        <v>4.9605055292259087E-2</v>
      </c>
      <c r="H72">
        <f t="shared" si="15"/>
        <v>1.5032129067474033E-2</v>
      </c>
      <c r="I72">
        <f t="shared" si="16"/>
        <v>0.28092573599041304</v>
      </c>
      <c r="J72">
        <f t="shared" si="17"/>
        <v>2.9094855161656261E-2</v>
      </c>
      <c r="K72">
        <f t="shared" si="18"/>
        <v>0.22902529673234159</v>
      </c>
      <c r="L72">
        <f t="shared" si="19"/>
        <v>2.656371203756976E-2</v>
      </c>
      <c r="M72">
        <f t="shared" si="20"/>
        <v>4.79147785509993E-2</v>
      </c>
      <c r="O72" s="2">
        <f t="shared" si="14"/>
        <v>39234</v>
      </c>
      <c r="P72">
        <f t="shared" si="12"/>
        <v>1.1989023108182119E-2</v>
      </c>
      <c r="Q72">
        <f t="shared" si="12"/>
        <v>0.27442764386934332</v>
      </c>
      <c r="R72">
        <f t="shared" si="12"/>
        <v>2.1967151430470316E-2</v>
      </c>
      <c r="S72">
        <f t="shared" si="12"/>
        <v>0.22897292679034689</v>
      </c>
      <c r="T72">
        <f t="shared" si="12"/>
        <v>2.8543608605287249E-2</v>
      </c>
      <c r="U72">
        <f t="shared" si="12"/>
        <v>4.9519592346396267E-2</v>
      </c>
    </row>
    <row r="73" spans="1:21" x14ac:dyDescent="0.25">
      <c r="A73" s="2">
        <f t="shared" si="13"/>
        <v>34973</v>
      </c>
      <c r="B73">
        <f>Cleaned!H72/Cleaned!B71</f>
        <v>1.4840210016542399E-2</v>
      </c>
      <c r="C73">
        <f>Cleaned!D72/Cleaned!G71</f>
        <v>0.28857983418026212</v>
      </c>
      <c r="D73">
        <f>Cleaned!J72/Cleaned!L71</f>
        <v>2.872247492243275E-2</v>
      </c>
      <c r="E73">
        <f>Cleaned!N72/Cleaned!G71</f>
        <v>0.24217705268788445</v>
      </c>
      <c r="F73">
        <f>Cleaned!M72/Cleaned!B71</f>
        <v>2.6979294031150857E-2</v>
      </c>
      <c r="G73">
        <f>Cleaned!E72/Cleaned!L71</f>
        <v>4.8423050275627315E-2</v>
      </c>
      <c r="H73">
        <f t="shared" si="15"/>
        <v>1.5106902017046245E-2</v>
      </c>
      <c r="I73">
        <f t="shared" si="16"/>
        <v>0.28466355872982363</v>
      </c>
      <c r="J73">
        <f t="shared" si="17"/>
        <v>2.8764847303690163E-2</v>
      </c>
      <c r="K73">
        <f t="shared" si="18"/>
        <v>0.23520315994821686</v>
      </c>
      <c r="L73">
        <f t="shared" si="19"/>
        <v>2.6851521022720887E-2</v>
      </c>
      <c r="M73">
        <f t="shared" si="20"/>
        <v>4.7961525290695757E-2</v>
      </c>
      <c r="O73" s="2">
        <f t="shared" si="14"/>
        <v>39326</v>
      </c>
      <c r="P73">
        <f t="shared" si="12"/>
        <v>1.2228856775586184E-2</v>
      </c>
      <c r="Q73">
        <f t="shared" si="12"/>
        <v>0.27292599731485839</v>
      </c>
      <c r="R73">
        <f t="shared" si="12"/>
        <v>2.243948798059615E-2</v>
      </c>
      <c r="S73">
        <f t="shared" si="12"/>
        <v>0.22554065315422664</v>
      </c>
      <c r="T73">
        <f t="shared" si="12"/>
        <v>2.7635141606579348E-2</v>
      </c>
      <c r="U73">
        <f t="shared" si="12"/>
        <v>4.9290649199018377E-2</v>
      </c>
    </row>
    <row r="74" spans="1:21" x14ac:dyDescent="0.25">
      <c r="A74" s="2">
        <f t="shared" si="13"/>
        <v>35004</v>
      </c>
      <c r="B74">
        <f>Cleaned!H73/Cleaned!B72</f>
        <v>1.4339490222349826E-2</v>
      </c>
      <c r="C74">
        <f>Cleaned!D73/Cleaned!G72</f>
        <v>0.26869541484716158</v>
      </c>
      <c r="D74">
        <f>Cleaned!J73/Cleaned!L72</f>
        <v>2.9183464709067936E-2</v>
      </c>
      <c r="E74">
        <f>Cleaned!N73/Cleaned!G72</f>
        <v>0.23116812227074235</v>
      </c>
      <c r="F74">
        <f>Cleaned!M73/Cleaned!B72</f>
        <v>2.7530545187737263E-2</v>
      </c>
      <c r="G74">
        <f>Cleaned!E73/Cleaned!L72</f>
        <v>4.5309585414284856E-2</v>
      </c>
      <c r="H74">
        <f t="shared" si="15"/>
        <v>1.4785890318740516E-2</v>
      </c>
      <c r="I74">
        <f t="shared" si="16"/>
        <v>0.27759878691079809</v>
      </c>
      <c r="J74">
        <f t="shared" si="17"/>
        <v>2.8946153502383175E-2</v>
      </c>
      <c r="K74">
        <f t="shared" si="18"/>
        <v>0.23728466459069852</v>
      </c>
      <c r="L74">
        <f t="shared" si="19"/>
        <v>2.6959019335310658E-2</v>
      </c>
      <c r="M74">
        <f t="shared" si="20"/>
        <v>4.7779230327390419E-2</v>
      </c>
      <c r="O74" s="2">
        <f t="shared" si="14"/>
        <v>39417</v>
      </c>
      <c r="P74">
        <f t="shared" si="12"/>
        <v>1.2326555465997752E-2</v>
      </c>
      <c r="Q74">
        <f t="shared" si="12"/>
        <v>0.26857406470441852</v>
      </c>
      <c r="R74">
        <f t="shared" si="12"/>
        <v>2.3770473812219747E-2</v>
      </c>
      <c r="S74">
        <f t="shared" si="12"/>
        <v>0.22314389213564234</v>
      </c>
      <c r="T74">
        <f t="shared" si="12"/>
        <v>2.782277417399422E-2</v>
      </c>
      <c r="U74">
        <f t="shared" si="12"/>
        <v>4.8832441197140065E-2</v>
      </c>
    </row>
    <row r="75" spans="1:21" x14ac:dyDescent="0.25">
      <c r="A75" s="2">
        <f t="shared" si="13"/>
        <v>35034</v>
      </c>
      <c r="B75">
        <f>Cleaned!H74/Cleaned!B73</f>
        <v>1.3236092916253954E-2</v>
      </c>
      <c r="C75">
        <f>Cleaned!D74/Cleaned!G73</f>
        <v>0.25572313493132237</v>
      </c>
      <c r="D75">
        <f>Cleaned!J74/Cleaned!L73</f>
        <v>2.9172472692947364E-2</v>
      </c>
      <c r="E75">
        <f>Cleaned!N74/Cleaned!G73</f>
        <v>0.23134931322380825</v>
      </c>
      <c r="F75">
        <f>Cleaned!M74/Cleaned!B73</f>
        <v>2.5905038821612294E-2</v>
      </c>
      <c r="G75">
        <f>Cleaned!E74/Cleaned!L73</f>
        <v>4.1608606403859695E-2</v>
      </c>
      <c r="H75">
        <f t="shared" si="15"/>
        <v>1.413859771838206E-2</v>
      </c>
      <c r="I75">
        <f t="shared" si="16"/>
        <v>0.27099946131958202</v>
      </c>
      <c r="J75">
        <f t="shared" si="17"/>
        <v>2.9026137441482681E-2</v>
      </c>
      <c r="K75">
        <f t="shared" si="18"/>
        <v>0.23489816272747835</v>
      </c>
      <c r="L75">
        <f t="shared" si="19"/>
        <v>2.6804959346833471E-2</v>
      </c>
      <c r="M75">
        <f t="shared" si="20"/>
        <v>4.5113747364590617E-2</v>
      </c>
      <c r="O75" s="2">
        <f t="shared" si="14"/>
        <v>39508</v>
      </c>
      <c r="P75">
        <f t="shared" si="12"/>
        <v>1.2766770945466412E-2</v>
      </c>
      <c r="Q75">
        <f t="shared" si="12"/>
        <v>0.26266299448008334</v>
      </c>
      <c r="R75">
        <f t="shared" si="12"/>
        <v>2.3944349367306317E-2</v>
      </c>
      <c r="S75">
        <f t="shared" si="12"/>
        <v>0.22568337144288222</v>
      </c>
      <c r="T75">
        <f t="shared" si="12"/>
        <v>2.651495017515532E-2</v>
      </c>
      <c r="U75">
        <f t="shared" si="12"/>
        <v>4.82710569434045E-2</v>
      </c>
    </row>
    <row r="76" spans="1:21" x14ac:dyDescent="0.25">
      <c r="A76" s="2">
        <f t="shared" si="13"/>
        <v>35065</v>
      </c>
      <c r="B76">
        <f>Cleaned!H75/Cleaned!B74</f>
        <v>1.4925492453312868E-2</v>
      </c>
      <c r="C76">
        <f>Cleaned!D75/Cleaned!G74</f>
        <v>0.27414791863128113</v>
      </c>
      <c r="D76">
        <f>Cleaned!J75/Cleaned!L74</f>
        <v>2.8210218367986626E-2</v>
      </c>
      <c r="E76">
        <f>Cleaned!N75/Cleaned!G74</f>
        <v>0.22659302168934392</v>
      </c>
      <c r="F76">
        <f>Cleaned!M75/Cleaned!B74</f>
        <v>2.5374136607828088E-2</v>
      </c>
      <c r="G76">
        <f>Cleaned!E75/Cleaned!L74</f>
        <v>4.4613937937519589E-2</v>
      </c>
      <c r="H76">
        <f t="shared" si="15"/>
        <v>1.4167025197305552E-2</v>
      </c>
      <c r="I76">
        <f t="shared" si="16"/>
        <v>0.26618882280325501</v>
      </c>
      <c r="J76">
        <f t="shared" si="17"/>
        <v>2.885538525666731E-2</v>
      </c>
      <c r="K76">
        <f t="shared" si="18"/>
        <v>0.22970348572796484</v>
      </c>
      <c r="L76">
        <f t="shared" si="19"/>
        <v>2.6269906872392546E-2</v>
      </c>
      <c r="M76">
        <f t="shared" si="20"/>
        <v>4.3844043251888044E-2</v>
      </c>
      <c r="O76" s="2">
        <f t="shared" si="14"/>
        <v>39600</v>
      </c>
      <c r="P76">
        <f t="shared" si="12"/>
        <v>1.3614785007292589E-2</v>
      </c>
      <c r="Q76">
        <f t="shared" si="12"/>
        <v>0.25340594990686638</v>
      </c>
      <c r="R76">
        <f t="shared" si="12"/>
        <v>2.5924753100892688E-2</v>
      </c>
      <c r="S76">
        <f t="shared" si="12"/>
        <v>0.22612297717128382</v>
      </c>
      <c r="T76">
        <f t="shared" si="12"/>
        <v>2.6787224525104528E-2</v>
      </c>
      <c r="U76">
        <f t="shared" si="12"/>
        <v>4.7029601381628233E-2</v>
      </c>
    </row>
    <row r="77" spans="1:21" x14ac:dyDescent="0.25">
      <c r="A77" s="2">
        <f t="shared" si="13"/>
        <v>35096</v>
      </c>
      <c r="B77">
        <f>Cleaned!H76/Cleaned!B75</f>
        <v>1.3402597402597402E-2</v>
      </c>
      <c r="C77">
        <f>Cleaned!D76/Cleaned!G75</f>
        <v>0.27286076625283673</v>
      </c>
      <c r="D77">
        <f>Cleaned!J76/Cleaned!L75</f>
        <v>2.8932525590139962E-2</v>
      </c>
      <c r="E77">
        <f>Cleaned!N76/Cleaned!G75</f>
        <v>0.23481511146709386</v>
      </c>
      <c r="F77">
        <f>Cleaned!M76/Cleaned!B75</f>
        <v>2.5846153846153845E-2</v>
      </c>
      <c r="G77">
        <f>Cleaned!E76/Cleaned!L75</f>
        <v>4.96732221194306E-2</v>
      </c>
      <c r="H77">
        <f t="shared" si="15"/>
        <v>1.3854727590721408E-2</v>
      </c>
      <c r="I77">
        <f t="shared" si="16"/>
        <v>0.26757727327181341</v>
      </c>
      <c r="J77">
        <f t="shared" si="17"/>
        <v>2.877173888369132E-2</v>
      </c>
      <c r="K77">
        <f t="shared" si="18"/>
        <v>0.23091914879341535</v>
      </c>
      <c r="L77">
        <f t="shared" si="19"/>
        <v>2.5708443091864746E-2</v>
      </c>
      <c r="M77">
        <f t="shared" si="20"/>
        <v>4.5298588820269964E-2</v>
      </c>
      <c r="O77" s="2">
        <f t="shared" si="14"/>
        <v>39692</v>
      </c>
      <c r="P77">
        <f t="shared" si="12"/>
        <v>1.4652177138993699E-2</v>
      </c>
      <c r="Q77">
        <f t="shared" si="12"/>
        <v>0.23859262033057449</v>
      </c>
      <c r="R77">
        <f t="shared" si="12"/>
        <v>2.7806792097889724E-2</v>
      </c>
      <c r="S77">
        <f t="shared" si="12"/>
        <v>0.21290848500197057</v>
      </c>
      <c r="T77">
        <f t="shared" si="12"/>
        <v>2.6746342815849533E-2</v>
      </c>
      <c r="U77">
        <f t="shared" si="12"/>
        <v>4.5786211288632229E-2</v>
      </c>
    </row>
    <row r="78" spans="1:21" x14ac:dyDescent="0.25">
      <c r="A78" s="2">
        <f t="shared" si="13"/>
        <v>35125</v>
      </c>
      <c r="B78">
        <f>Cleaned!H77/Cleaned!B76</f>
        <v>1.3944714618868346E-2</v>
      </c>
      <c r="C78">
        <f>Cleaned!D77/Cleaned!G76</f>
        <v>0.27649391494598657</v>
      </c>
      <c r="D78">
        <f>Cleaned!J77/Cleaned!L76</f>
        <v>2.9093085902424425E-2</v>
      </c>
      <c r="E78">
        <f>Cleaned!N77/Cleaned!G76</f>
        <v>0.23095856693559413</v>
      </c>
      <c r="F78">
        <f>Cleaned!M77/Cleaned!B76</f>
        <v>2.5875723302477734E-2</v>
      </c>
      <c r="G78">
        <f>Cleaned!E77/Cleaned!L76</f>
        <v>4.6557916791379828E-2</v>
      </c>
      <c r="H78">
        <f t="shared" si="15"/>
        <v>1.4090934824926205E-2</v>
      </c>
      <c r="I78">
        <f t="shared" si="16"/>
        <v>0.27450086661003481</v>
      </c>
      <c r="J78">
        <f t="shared" si="17"/>
        <v>2.8745276620183668E-2</v>
      </c>
      <c r="K78">
        <f t="shared" si="18"/>
        <v>0.23078890003067731</v>
      </c>
      <c r="L78">
        <f t="shared" si="19"/>
        <v>2.5698671252153221E-2</v>
      </c>
      <c r="M78">
        <f t="shared" si="20"/>
        <v>4.6948358949443346E-2</v>
      </c>
      <c r="O78" s="2">
        <f t="shared" si="14"/>
        <v>39783</v>
      </c>
      <c r="P78">
        <f t="shared" si="12"/>
        <v>1.6786151913764338E-2</v>
      </c>
      <c r="Q78">
        <f t="shared" si="12"/>
        <v>0.21031332701431502</v>
      </c>
      <c r="R78">
        <f t="shared" si="12"/>
        <v>2.9456177156411661E-2</v>
      </c>
      <c r="S78">
        <f t="shared" si="12"/>
        <v>0.21015917303846102</v>
      </c>
      <c r="T78">
        <f t="shared" si="12"/>
        <v>2.6188652043015719E-2</v>
      </c>
      <c r="U78">
        <f t="shared" si="12"/>
        <v>4.3548631477350504E-2</v>
      </c>
    </row>
    <row r="79" spans="1:21" x14ac:dyDescent="0.25">
      <c r="A79" s="2">
        <f t="shared" si="13"/>
        <v>35156</v>
      </c>
      <c r="B79">
        <f>Cleaned!H78/Cleaned!B77</f>
        <v>1.3904117207735456E-2</v>
      </c>
      <c r="C79">
        <f>Cleaned!D78/Cleaned!G77</f>
        <v>0.26824268925936046</v>
      </c>
      <c r="D79">
        <f>Cleaned!J78/Cleaned!L77</f>
        <v>2.8992673169416103E-2</v>
      </c>
      <c r="E79">
        <f>Cleaned!N78/Cleaned!G77</f>
        <v>0.22424159606449851</v>
      </c>
      <c r="F79">
        <f>Cleaned!M78/Cleaned!B77</f>
        <v>2.5122753491919721E-2</v>
      </c>
      <c r="G79">
        <f>Cleaned!E78/Cleaned!L77</f>
        <v>4.488994770830524E-2</v>
      </c>
      <c r="H79">
        <f t="shared" si="15"/>
        <v>1.3750476409733736E-2</v>
      </c>
      <c r="I79">
        <f t="shared" si="16"/>
        <v>0.27253245681939459</v>
      </c>
      <c r="J79">
        <f t="shared" si="17"/>
        <v>2.900609488732683E-2</v>
      </c>
      <c r="K79">
        <f t="shared" si="18"/>
        <v>0.2300050914890622</v>
      </c>
      <c r="L79">
        <f t="shared" si="19"/>
        <v>2.5614876880183768E-2</v>
      </c>
      <c r="M79">
        <f t="shared" si="20"/>
        <v>4.7040362206371887E-2</v>
      </c>
      <c r="O79" s="2">
        <f t="shared" si="14"/>
        <v>39873</v>
      </c>
      <c r="P79">
        <f t="shared" si="12"/>
        <v>1.9293960826636897E-2</v>
      </c>
      <c r="Q79">
        <f t="shared" si="12"/>
        <v>0.18669636141181015</v>
      </c>
      <c r="R79">
        <f t="shared" si="12"/>
        <v>3.1723110987201437E-2</v>
      </c>
      <c r="S79">
        <f t="shared" si="12"/>
        <v>0.19440505074017911</v>
      </c>
      <c r="T79">
        <f t="shared" si="12"/>
        <v>2.6657682200605909E-2</v>
      </c>
      <c r="U79">
        <f t="shared" si="12"/>
        <v>4.3336453786143515E-2</v>
      </c>
    </row>
    <row r="80" spans="1:21" x14ac:dyDescent="0.25">
      <c r="A80" s="2">
        <f t="shared" si="13"/>
        <v>35186</v>
      </c>
      <c r="B80">
        <f>Cleaned!H79/Cleaned!B78</f>
        <v>1.4183215073733669E-2</v>
      </c>
      <c r="C80">
        <f>Cleaned!D79/Cleaned!G78</f>
        <v>0.26891436277815239</v>
      </c>
      <c r="D80">
        <f>Cleaned!J79/Cleaned!L78</f>
        <v>2.9238889222095603E-2</v>
      </c>
      <c r="E80">
        <f>Cleaned!N79/Cleaned!G78</f>
        <v>0.23654753877275791</v>
      </c>
      <c r="F80">
        <f>Cleaned!M79/Cleaned!B78</f>
        <v>2.5382161055288347E-2</v>
      </c>
      <c r="G80">
        <f>Cleaned!E79/Cleaned!L78</f>
        <v>4.6947160079169915E-2</v>
      </c>
      <c r="H80">
        <f t="shared" si="15"/>
        <v>1.4010682300112492E-2</v>
      </c>
      <c r="I80">
        <f t="shared" si="16"/>
        <v>0.27121698899449981</v>
      </c>
      <c r="J80">
        <f t="shared" si="17"/>
        <v>2.9108216097978711E-2</v>
      </c>
      <c r="K80">
        <f t="shared" si="18"/>
        <v>0.23058256725761686</v>
      </c>
      <c r="L80">
        <f t="shared" si="19"/>
        <v>2.5460212616561933E-2</v>
      </c>
      <c r="M80">
        <f t="shared" si="20"/>
        <v>4.6131674859618325E-2</v>
      </c>
      <c r="O80" s="2">
        <f t="shared" si="14"/>
        <v>39965</v>
      </c>
      <c r="P80">
        <f t="shared" si="12"/>
        <v>1.8241509842731807E-2</v>
      </c>
      <c r="Q80">
        <f t="shared" si="12"/>
        <v>0.17657126939789256</v>
      </c>
      <c r="R80">
        <f t="shared" si="12"/>
        <v>3.4852973794884626E-2</v>
      </c>
      <c r="S80">
        <f t="shared" si="12"/>
        <v>0.18136711643752956</v>
      </c>
      <c r="T80">
        <f t="shared" si="12"/>
        <v>2.5558580783481815E-2</v>
      </c>
      <c r="U80">
        <f t="shared" si="12"/>
        <v>4.233333926395582E-2</v>
      </c>
    </row>
    <row r="81" spans="1:21" x14ac:dyDescent="0.25">
      <c r="A81" s="2">
        <f t="shared" si="13"/>
        <v>35217</v>
      </c>
      <c r="B81">
        <f>Cleaned!H80/Cleaned!B79</f>
        <v>1.3893729602991033E-2</v>
      </c>
      <c r="C81">
        <f>Cleaned!D80/Cleaned!G79</f>
        <v>0.2746867843190085</v>
      </c>
      <c r="D81">
        <f>Cleaned!J80/Cleaned!L79</f>
        <v>2.6512137634925163E-2</v>
      </c>
      <c r="E81">
        <f>Cleaned!N80/Cleaned!G79</f>
        <v>0.24774349993264178</v>
      </c>
      <c r="F81">
        <f>Cleaned!M80/Cleaned!B79</f>
        <v>2.5545768511770855E-2</v>
      </c>
      <c r="G81">
        <f>Cleaned!E80/Cleaned!L79</f>
        <v>4.7950038281965444E-2</v>
      </c>
      <c r="H81">
        <f t="shared" si="15"/>
        <v>1.3993687294820053E-2</v>
      </c>
      <c r="I81">
        <f t="shared" si="16"/>
        <v>0.27061461211884047</v>
      </c>
      <c r="J81">
        <f t="shared" si="17"/>
        <v>2.8247900008812291E-2</v>
      </c>
      <c r="K81">
        <f t="shared" si="18"/>
        <v>0.23617754492329937</v>
      </c>
      <c r="L81">
        <f t="shared" si="19"/>
        <v>2.5350227686326308E-2</v>
      </c>
      <c r="M81">
        <f t="shared" si="20"/>
        <v>4.6595715356480195E-2</v>
      </c>
      <c r="O81" s="2">
        <f t="shared" si="14"/>
        <v>40057</v>
      </c>
      <c r="P81">
        <f t="shared" si="12"/>
        <v>1.8270357356839045E-2</v>
      </c>
      <c r="Q81">
        <f t="shared" si="12"/>
        <v>0.17121704576549659</v>
      </c>
      <c r="R81">
        <f t="shared" si="12"/>
        <v>3.4626480798358228E-2</v>
      </c>
      <c r="S81">
        <f t="shared" si="12"/>
        <v>0.18823199777518637</v>
      </c>
      <c r="T81">
        <f t="shared" si="12"/>
        <v>2.6459244043914087E-2</v>
      </c>
      <c r="U81">
        <f t="shared" si="12"/>
        <v>4.0759697665859795E-2</v>
      </c>
    </row>
    <row r="82" spans="1:21" x14ac:dyDescent="0.25">
      <c r="A82" s="2">
        <f t="shared" si="13"/>
        <v>35247</v>
      </c>
      <c r="B82">
        <f>Cleaned!H81/Cleaned!B80</f>
        <v>1.3941327941106776E-2</v>
      </c>
      <c r="C82">
        <f>Cleaned!D81/Cleaned!G80</f>
        <v>0.2828752642706131</v>
      </c>
      <c r="D82">
        <f>Cleaned!J81/Cleaned!L80</f>
        <v>3.0870854677810731E-2</v>
      </c>
      <c r="E82">
        <f>Cleaned!N81/Cleaned!G80</f>
        <v>0.22565186751233263</v>
      </c>
      <c r="F82">
        <f>Cleaned!M81/Cleaned!B80</f>
        <v>2.6176521697919463E-2</v>
      </c>
      <c r="G82">
        <f>Cleaned!E81/Cleaned!L80</f>
        <v>4.9579101884305442E-2</v>
      </c>
      <c r="H82">
        <f t="shared" si="15"/>
        <v>1.4006090872610491E-2</v>
      </c>
      <c r="I82">
        <f t="shared" si="16"/>
        <v>0.27549213712259135</v>
      </c>
      <c r="J82">
        <f t="shared" si="17"/>
        <v>2.8873960511610498E-2</v>
      </c>
      <c r="K82">
        <f t="shared" si="18"/>
        <v>0.23664763540591074</v>
      </c>
      <c r="L82">
        <f t="shared" si="19"/>
        <v>2.5701483754992888E-2</v>
      </c>
      <c r="M82">
        <f t="shared" si="20"/>
        <v>4.815876674848027E-2</v>
      </c>
      <c r="O82" s="2">
        <f t="shared" si="14"/>
        <v>40148</v>
      </c>
      <c r="P82">
        <f t="shared" si="12"/>
        <v>1.7270378037682544E-2</v>
      </c>
      <c r="Q82">
        <f t="shared" si="12"/>
        <v>0.1589677551410443</v>
      </c>
      <c r="R82">
        <f t="shared" si="12"/>
        <v>3.4760421670416534E-2</v>
      </c>
      <c r="S82">
        <f t="shared" si="12"/>
        <v>0.18652854841752772</v>
      </c>
      <c r="T82">
        <f t="shared" si="12"/>
        <v>2.6097097846457942E-2</v>
      </c>
      <c r="U82">
        <f t="shared" si="12"/>
        <v>3.9838728933004386E-2</v>
      </c>
    </row>
    <row r="83" spans="1:21" x14ac:dyDescent="0.25">
      <c r="A83" s="2">
        <f t="shared" si="13"/>
        <v>35278</v>
      </c>
      <c r="B83">
        <f>Cleaned!H82/Cleaned!B81</f>
        <v>1.2871513308703631E-2</v>
      </c>
      <c r="C83">
        <f>Cleaned!D82/Cleaned!G81</f>
        <v>0.2893553223388306</v>
      </c>
      <c r="D83">
        <f>Cleaned!J82/Cleaned!L81</f>
        <v>2.5453230254532302E-2</v>
      </c>
      <c r="E83">
        <f>Cleaned!N82/Cleaned!G81</f>
        <v>0.22774976148289491</v>
      </c>
      <c r="F83">
        <f>Cleaned!M82/Cleaned!B81</f>
        <v>2.6845849055117488E-2</v>
      </c>
      <c r="G83">
        <f>Cleaned!E82/Cleaned!L81</f>
        <v>4.6159410461594101E-2</v>
      </c>
      <c r="H83">
        <f t="shared" si="15"/>
        <v>1.3568856950933813E-2</v>
      </c>
      <c r="I83">
        <f t="shared" si="16"/>
        <v>0.28230579030948405</v>
      </c>
      <c r="J83">
        <f t="shared" si="17"/>
        <v>2.7612074189089397E-2</v>
      </c>
      <c r="K83">
        <f t="shared" si="18"/>
        <v>0.23371504297595644</v>
      </c>
      <c r="L83">
        <f t="shared" si="19"/>
        <v>2.6189379754935935E-2</v>
      </c>
      <c r="M83">
        <f t="shared" si="20"/>
        <v>4.7896183542621658E-2</v>
      </c>
      <c r="O83" s="2">
        <f t="shared" si="14"/>
        <v>40238</v>
      </c>
      <c r="P83">
        <f t="shared" si="12"/>
        <v>1.658643391925323E-2</v>
      </c>
      <c r="Q83">
        <f t="shared" si="12"/>
        <v>0.16864338449242164</v>
      </c>
      <c r="R83">
        <f t="shared" si="12"/>
        <v>3.7030615663764643E-2</v>
      </c>
      <c r="S83">
        <f t="shared" si="12"/>
        <v>0.18740989422817131</v>
      </c>
      <c r="T83">
        <f t="shared" si="12"/>
        <v>2.593288079914971E-2</v>
      </c>
      <c r="U83">
        <f t="shared" si="12"/>
        <v>4.3203049711113252E-2</v>
      </c>
    </row>
    <row r="84" spans="1:21" x14ac:dyDescent="0.25">
      <c r="A84" s="2">
        <f t="shared" si="13"/>
        <v>35309</v>
      </c>
      <c r="B84">
        <f>Cleaned!H83/Cleaned!B82</f>
        <v>1.4091152140408266E-2</v>
      </c>
      <c r="C84">
        <f>Cleaned!D83/Cleaned!G82</f>
        <v>0.2871258355129323</v>
      </c>
      <c r="D84">
        <f>Cleaned!J83/Cleaned!L82</f>
        <v>2.8386208135583069E-2</v>
      </c>
      <c r="E84">
        <f>Cleaned!N83/Cleaned!G82</f>
        <v>0.23830281894798025</v>
      </c>
      <c r="F84">
        <f>Cleaned!M83/Cleaned!B82</f>
        <v>2.4494385556569055E-2</v>
      </c>
      <c r="G84">
        <f>Cleaned!E83/Cleaned!L82</f>
        <v>4.7145658976240026E-2</v>
      </c>
      <c r="H84">
        <f t="shared" si="15"/>
        <v>1.3634664463406223E-2</v>
      </c>
      <c r="I84">
        <f t="shared" si="16"/>
        <v>0.28645214070745867</v>
      </c>
      <c r="J84">
        <f t="shared" si="17"/>
        <v>2.8236764355975368E-2</v>
      </c>
      <c r="K84">
        <f t="shared" si="18"/>
        <v>0.23056814931440259</v>
      </c>
      <c r="L84">
        <f t="shared" si="19"/>
        <v>2.5838918769868668E-2</v>
      </c>
      <c r="M84">
        <f t="shared" si="20"/>
        <v>4.7628057107379856E-2</v>
      </c>
      <c r="O84" s="2">
        <f t="shared" si="14"/>
        <v>40330</v>
      </c>
      <c r="P84">
        <f t="shared" si="12"/>
        <v>1.6311363290553407E-2</v>
      </c>
      <c r="Q84">
        <f t="shared" si="12"/>
        <v>0.1724699823418849</v>
      </c>
      <c r="R84">
        <f t="shared" si="12"/>
        <v>3.6311306139039067E-2</v>
      </c>
      <c r="S84">
        <f t="shared" si="12"/>
        <v>0.19398861544249299</v>
      </c>
      <c r="T84">
        <f t="shared" si="12"/>
        <v>2.6103465520545443E-2</v>
      </c>
      <c r="U84">
        <f t="shared" si="12"/>
        <v>4.084167780415509E-2</v>
      </c>
    </row>
    <row r="85" spans="1:21" x14ac:dyDescent="0.25">
      <c r="A85" s="2">
        <f t="shared" si="13"/>
        <v>35339</v>
      </c>
      <c r="B85">
        <f>Cleaned!H84/Cleaned!B83</f>
        <v>1.3062978296324175E-2</v>
      </c>
      <c r="C85">
        <f>Cleaned!D84/Cleaned!G83</f>
        <v>0.2914457658690357</v>
      </c>
      <c r="D85">
        <f>Cleaned!J84/Cleaned!L83</f>
        <v>2.8055780963544014E-2</v>
      </c>
      <c r="E85">
        <f>Cleaned!N84/Cleaned!G83</f>
        <v>0.20977217366384868</v>
      </c>
      <c r="F85">
        <f>Cleaned!M84/Cleaned!B83</f>
        <v>2.5318341487893616E-2</v>
      </c>
      <c r="G85">
        <f>Cleaned!E84/Cleaned!L83</f>
        <v>4.6283773630270787E-2</v>
      </c>
      <c r="H85">
        <f t="shared" si="15"/>
        <v>1.3341881248478691E-2</v>
      </c>
      <c r="I85">
        <f t="shared" si="16"/>
        <v>0.28930897457359955</v>
      </c>
      <c r="J85">
        <f t="shared" si="17"/>
        <v>2.7298406451219795E-2</v>
      </c>
      <c r="K85">
        <f t="shared" si="18"/>
        <v>0.22527491803157462</v>
      </c>
      <c r="L85">
        <f t="shared" si="19"/>
        <v>2.5552858699860053E-2</v>
      </c>
      <c r="M85">
        <f t="shared" si="20"/>
        <v>4.6529614356034969E-2</v>
      </c>
      <c r="O85" s="2">
        <f t="shared" si="14"/>
        <v>40422</v>
      </c>
      <c r="P85">
        <f t="shared" si="12"/>
        <v>1.6659867102592023E-2</v>
      </c>
      <c r="Q85">
        <f t="shared" si="12"/>
        <v>0.16782521161865546</v>
      </c>
      <c r="R85">
        <f t="shared" si="12"/>
        <v>3.6127922036411936E-2</v>
      </c>
      <c r="S85">
        <f t="shared" si="12"/>
        <v>0.19877689891257011</v>
      </c>
      <c r="T85">
        <f t="shared" si="12"/>
        <v>2.549081538149044E-2</v>
      </c>
      <c r="U85">
        <f t="shared" si="12"/>
        <v>4.1470614619570807E-2</v>
      </c>
    </row>
    <row r="86" spans="1:21" x14ac:dyDescent="0.25">
      <c r="A86" s="2">
        <f t="shared" si="13"/>
        <v>35370</v>
      </c>
      <c r="B86">
        <f>Cleaned!H85/Cleaned!B84</f>
        <v>1.4457737117835641E-2</v>
      </c>
      <c r="C86">
        <f>Cleaned!D85/Cleaned!G84</f>
        <v>0.27691651258711419</v>
      </c>
      <c r="D86">
        <f>Cleaned!J85/Cleaned!L84</f>
        <v>2.8484446587894865E-2</v>
      </c>
      <c r="E86">
        <f>Cleaned!N85/Cleaned!G84</f>
        <v>0.22998151045370502</v>
      </c>
      <c r="F86">
        <f>Cleaned!M85/Cleaned!B84</f>
        <v>2.5232621784345922E-2</v>
      </c>
      <c r="G86">
        <f>Cleaned!E85/Cleaned!L84</f>
        <v>4.4052929828791901E-2</v>
      </c>
      <c r="H86">
        <f t="shared" si="15"/>
        <v>1.387062251818936E-2</v>
      </c>
      <c r="I86">
        <f t="shared" si="16"/>
        <v>0.28516270465636073</v>
      </c>
      <c r="J86">
        <f t="shared" si="17"/>
        <v>2.8308811895673983E-2</v>
      </c>
      <c r="K86">
        <f t="shared" si="18"/>
        <v>0.22601883435517797</v>
      </c>
      <c r="L86">
        <f t="shared" si="19"/>
        <v>2.5015116276269529E-2</v>
      </c>
      <c r="M86">
        <f t="shared" si="20"/>
        <v>4.58274541451009E-2</v>
      </c>
      <c r="O86" s="2">
        <f t="shared" si="14"/>
        <v>40513</v>
      </c>
      <c r="P86">
        <f t="shared" si="12"/>
        <v>1.6830275787102913E-2</v>
      </c>
      <c r="Q86">
        <f t="shared" si="12"/>
        <v>0.16936101172198134</v>
      </c>
      <c r="R86">
        <f t="shared" si="12"/>
        <v>3.5584396480559111E-2</v>
      </c>
      <c r="S86">
        <f t="shared" si="12"/>
        <v>0.19983853422652909</v>
      </c>
      <c r="T86">
        <f t="shared" si="12"/>
        <v>2.6957305473928387E-2</v>
      </c>
      <c r="U86">
        <f t="shared" si="12"/>
        <v>4.1557639296148634E-2</v>
      </c>
    </row>
    <row r="87" spans="1:21" x14ac:dyDescent="0.25">
      <c r="A87" s="2">
        <f t="shared" si="13"/>
        <v>35400</v>
      </c>
      <c r="B87">
        <f>Cleaned!H86/Cleaned!B85</f>
        <v>1.2553709370670966E-2</v>
      </c>
      <c r="C87">
        <f>Cleaned!D86/Cleaned!G85</f>
        <v>0.26741293532338306</v>
      </c>
      <c r="D87">
        <f>Cleaned!J86/Cleaned!L85</f>
        <v>2.8921391597447936E-2</v>
      </c>
      <c r="E87">
        <f>Cleaned!N86/Cleaned!G85</f>
        <v>0.22014925373134328</v>
      </c>
      <c r="F87">
        <f>Cleaned!M86/Cleaned!B85</f>
        <v>2.4309115526997518E-2</v>
      </c>
      <c r="G87">
        <f>Cleaned!E86/Cleaned!L85</f>
        <v>4.1245335259419764E-2</v>
      </c>
      <c r="H87">
        <f t="shared" si="15"/>
        <v>1.3358141594943593E-2</v>
      </c>
      <c r="I87">
        <f t="shared" si="16"/>
        <v>0.27859173792651099</v>
      </c>
      <c r="J87">
        <f t="shared" si="17"/>
        <v>2.8487206382962271E-2</v>
      </c>
      <c r="K87">
        <f t="shared" si="18"/>
        <v>0.21996764594963233</v>
      </c>
      <c r="L87">
        <f t="shared" si="19"/>
        <v>2.4953359599745688E-2</v>
      </c>
      <c r="M87">
        <f t="shared" si="20"/>
        <v>4.3860679572827486E-2</v>
      </c>
      <c r="O87" s="2">
        <f t="shared" si="14"/>
        <v>40603</v>
      </c>
      <c r="P87">
        <f t="shared" si="12"/>
        <v>1.5097287909580514E-2</v>
      </c>
      <c r="Q87">
        <f t="shared" si="12"/>
        <v>0.16746727925683438</v>
      </c>
      <c r="R87">
        <f t="shared" si="12"/>
        <v>3.4325629046389243E-2</v>
      </c>
      <c r="S87">
        <f t="shared" si="12"/>
        <v>0.20676418852210224</v>
      </c>
      <c r="T87">
        <f t="shared" si="12"/>
        <v>2.6075682444699145E-2</v>
      </c>
      <c r="U87">
        <f t="shared" si="12"/>
        <v>4.1716661279074536E-2</v>
      </c>
    </row>
    <row r="88" spans="1:21" x14ac:dyDescent="0.25">
      <c r="A88" s="2">
        <f t="shared" si="13"/>
        <v>35431</v>
      </c>
      <c r="B88">
        <f>Cleaned!H87/Cleaned!B86</f>
        <v>1.4570624120131393E-2</v>
      </c>
      <c r="C88">
        <f>Cleaned!D87/Cleaned!G86</f>
        <v>0.30153040121329105</v>
      </c>
      <c r="D88">
        <f>Cleaned!J87/Cleaned!L86</f>
        <v>2.7674638846714669E-2</v>
      </c>
      <c r="E88">
        <f>Cleaned!N87/Cleaned!G86</f>
        <v>0.22707845029642906</v>
      </c>
      <c r="F88">
        <f>Cleaned!M87/Cleaned!B86</f>
        <v>2.6255279211637728E-2</v>
      </c>
      <c r="G88">
        <f>Cleaned!E87/Cleaned!L86</f>
        <v>4.6510229544668762E-2</v>
      </c>
      <c r="H88">
        <f t="shared" si="15"/>
        <v>1.3860690202879333E-2</v>
      </c>
      <c r="I88">
        <f t="shared" si="16"/>
        <v>0.28195328304126277</v>
      </c>
      <c r="J88">
        <f t="shared" si="17"/>
        <v>2.8360159010685823E-2</v>
      </c>
      <c r="K88">
        <f t="shared" si="18"/>
        <v>0.22573640482715909</v>
      </c>
      <c r="L88">
        <f t="shared" si="19"/>
        <v>2.5265672174327056E-2</v>
      </c>
      <c r="M88">
        <f t="shared" si="20"/>
        <v>4.3936164877626811E-2</v>
      </c>
      <c r="O88" s="2">
        <f t="shared" si="14"/>
        <v>40695</v>
      </c>
      <c r="P88">
        <f t="shared" si="12"/>
        <v>1.5847550272842108E-2</v>
      </c>
      <c r="Q88">
        <f t="shared" si="12"/>
        <v>0.16973840353583181</v>
      </c>
      <c r="R88">
        <f t="shared" si="12"/>
        <v>3.5168868208010823E-2</v>
      </c>
      <c r="S88">
        <f t="shared" si="12"/>
        <v>0.20370803236796242</v>
      </c>
      <c r="T88">
        <f t="shared" si="12"/>
        <v>2.6710831343990219E-2</v>
      </c>
      <c r="U88">
        <f t="shared" si="12"/>
        <v>4.0639546973736985E-2</v>
      </c>
    </row>
    <row r="89" spans="1:21" x14ac:dyDescent="0.25">
      <c r="A89" s="2">
        <f t="shared" si="13"/>
        <v>35462</v>
      </c>
      <c r="B89">
        <f>Cleaned!H88/Cleaned!B87</f>
        <v>1.3944098894760636E-2</v>
      </c>
      <c r="C89">
        <f>Cleaned!D88/Cleaned!G87</f>
        <v>0.28974573903324952</v>
      </c>
      <c r="D89">
        <f>Cleaned!J88/Cleaned!L87</f>
        <v>2.7084050337428361E-2</v>
      </c>
      <c r="E89">
        <f>Cleaned!N88/Cleaned!G87</f>
        <v>0.22478345906677843</v>
      </c>
      <c r="F89">
        <f>Cleaned!M88/Cleaned!B87</f>
        <v>2.6469625403357809E-2</v>
      </c>
      <c r="G89">
        <f>Cleaned!E88/Cleaned!L87</f>
        <v>4.5773541426626166E-2</v>
      </c>
      <c r="H89">
        <f t="shared" si="15"/>
        <v>1.3689477461854331E-2</v>
      </c>
      <c r="I89">
        <f t="shared" si="16"/>
        <v>0.28622969185664121</v>
      </c>
      <c r="J89">
        <f t="shared" si="17"/>
        <v>2.7893360260530322E-2</v>
      </c>
      <c r="K89">
        <f t="shared" si="18"/>
        <v>0.22400372103151692</v>
      </c>
      <c r="L89">
        <f t="shared" si="19"/>
        <v>2.5678006713997687E-2</v>
      </c>
      <c r="M89">
        <f t="shared" si="20"/>
        <v>4.450970207690489E-2</v>
      </c>
      <c r="O89" s="2">
        <f t="shared" si="14"/>
        <v>40787</v>
      </c>
      <c r="P89">
        <f t="shared" si="12"/>
        <v>1.5667901333624487E-2</v>
      </c>
      <c r="Q89">
        <f t="shared" si="12"/>
        <v>0.17231273144791218</v>
      </c>
      <c r="R89">
        <f t="shared" si="12"/>
        <v>3.5533093768298607E-2</v>
      </c>
      <c r="S89">
        <f t="shared" si="12"/>
        <v>0.20847719254219702</v>
      </c>
      <c r="T89">
        <f t="shared" si="12"/>
        <v>2.5888066359584686E-2</v>
      </c>
      <c r="U89">
        <f t="shared" si="12"/>
        <v>4.2394004114016302E-2</v>
      </c>
    </row>
    <row r="90" spans="1:21" x14ac:dyDescent="0.25">
      <c r="A90" s="2">
        <f t="shared" si="13"/>
        <v>35490</v>
      </c>
      <c r="B90">
        <f>Cleaned!H89/Cleaned!B88</f>
        <v>1.2860683720712716E-2</v>
      </c>
      <c r="C90">
        <f>Cleaned!D89/Cleaned!G88</f>
        <v>0.28949591664319912</v>
      </c>
      <c r="D90">
        <f>Cleaned!J89/Cleaned!L88</f>
        <v>2.7691526840628172E-2</v>
      </c>
      <c r="E90">
        <f>Cleaned!N89/Cleaned!G88</f>
        <v>0.22092368346944521</v>
      </c>
      <c r="F90">
        <f>Cleaned!M89/Cleaned!B88</f>
        <v>2.6001964177150071E-2</v>
      </c>
      <c r="G90">
        <f>Cleaned!E89/Cleaned!L88</f>
        <v>5.1501761509524097E-2</v>
      </c>
      <c r="H90">
        <f t="shared" si="15"/>
        <v>1.3791802245201582E-2</v>
      </c>
      <c r="I90">
        <f t="shared" si="16"/>
        <v>0.29359068562991325</v>
      </c>
      <c r="J90">
        <f t="shared" si="17"/>
        <v>2.7483405341590401E-2</v>
      </c>
      <c r="K90">
        <f t="shared" si="18"/>
        <v>0.2242618642775509</v>
      </c>
      <c r="L90">
        <f t="shared" si="19"/>
        <v>2.6242289597381868E-2</v>
      </c>
      <c r="M90">
        <f t="shared" si="20"/>
        <v>4.792851082693967E-2</v>
      </c>
      <c r="O90" s="2">
        <f t="shared" si="14"/>
        <v>40878</v>
      </c>
      <c r="P90">
        <f t="shared" si="12"/>
        <v>1.5020257910728767E-2</v>
      </c>
      <c r="Q90">
        <f t="shared" si="12"/>
        <v>0.18170823579865922</v>
      </c>
      <c r="R90">
        <f t="shared" si="12"/>
        <v>3.2396239654405551E-2</v>
      </c>
      <c r="S90">
        <f t="shared" si="12"/>
        <v>0.20002997821360313</v>
      </c>
      <c r="T90">
        <f t="shared" si="12"/>
        <v>2.6721708746899765E-2</v>
      </c>
      <c r="U90">
        <f t="shared" si="12"/>
        <v>4.1519668313379415E-2</v>
      </c>
    </row>
    <row r="91" spans="1:21" x14ac:dyDescent="0.25">
      <c r="A91" s="2">
        <f t="shared" si="13"/>
        <v>35521</v>
      </c>
      <c r="B91">
        <f>Cleaned!H90/Cleaned!B89</f>
        <v>1.3375642985158002E-2</v>
      </c>
      <c r="C91">
        <f>Cleaned!D90/Cleaned!G89</f>
        <v>0.28228571428571431</v>
      </c>
      <c r="D91">
        <f>Cleaned!J90/Cleaned!L89</f>
        <v>2.6312629461739366E-2</v>
      </c>
      <c r="E91">
        <f>Cleaned!N90/Cleaned!G89</f>
        <v>0.23485714285714285</v>
      </c>
      <c r="F91">
        <f>Cleaned!M90/Cleaned!B89</f>
        <v>2.5851300711453865E-2</v>
      </c>
      <c r="G91">
        <f>Cleaned!E90/Cleaned!L89</f>
        <v>4.8257332412716521E-2</v>
      </c>
      <c r="H91">
        <f t="shared" si="15"/>
        <v>1.3393475200210453E-2</v>
      </c>
      <c r="I91">
        <f t="shared" si="16"/>
        <v>0.28717578998738763</v>
      </c>
      <c r="J91">
        <f t="shared" si="17"/>
        <v>2.7029402213265302E-2</v>
      </c>
      <c r="K91">
        <f t="shared" si="18"/>
        <v>0.22685476179778885</v>
      </c>
      <c r="L91">
        <f t="shared" si="19"/>
        <v>2.6107630097320578E-2</v>
      </c>
      <c r="M91">
        <f t="shared" si="20"/>
        <v>4.8510878449622263E-2</v>
      </c>
      <c r="O91" s="2">
        <f t="shared" si="14"/>
        <v>40969</v>
      </c>
      <c r="P91">
        <f t="shared" si="12"/>
        <v>1.4172856354699769E-2</v>
      </c>
      <c r="Q91">
        <f t="shared" si="12"/>
        <v>0.18355695734175434</v>
      </c>
      <c r="R91">
        <f t="shared" si="12"/>
        <v>3.3678069065789344E-2</v>
      </c>
      <c r="S91">
        <f t="shared" si="12"/>
        <v>0.21294897160722834</v>
      </c>
      <c r="T91">
        <f t="shared" si="12"/>
        <v>2.6587912485949439E-2</v>
      </c>
      <c r="U91">
        <f t="shared" si="12"/>
        <v>4.0035403674763097E-2</v>
      </c>
    </row>
    <row r="92" spans="1:21" x14ac:dyDescent="0.25">
      <c r="A92" s="2">
        <f t="shared" si="13"/>
        <v>35551</v>
      </c>
      <c r="B92">
        <f>Cleaned!H91/Cleaned!B90</f>
        <v>1.2691357642303494E-2</v>
      </c>
      <c r="C92">
        <f>Cleaned!D91/Cleaned!G90</f>
        <v>0.29841408409719189</v>
      </c>
      <c r="D92">
        <f>Cleaned!J91/Cleaned!L90</f>
        <v>2.6463440247232139E-2</v>
      </c>
      <c r="E92">
        <f>Cleaned!N91/Cleaned!G90</f>
        <v>0.2317765168048887</v>
      </c>
      <c r="F92">
        <f>Cleaned!M91/Cleaned!B90</f>
        <v>2.5769882997917038E-2</v>
      </c>
      <c r="G92">
        <f>Cleaned!E91/Cleaned!L90</f>
        <v>4.758618620420655E-2</v>
      </c>
      <c r="H92">
        <f t="shared" si="15"/>
        <v>1.2975894782724739E-2</v>
      </c>
      <c r="I92">
        <f t="shared" si="16"/>
        <v>0.29006523834203507</v>
      </c>
      <c r="J92">
        <f t="shared" si="17"/>
        <v>2.6822532183199892E-2</v>
      </c>
      <c r="K92">
        <f t="shared" si="18"/>
        <v>0.22918578104382559</v>
      </c>
      <c r="L92">
        <f t="shared" si="19"/>
        <v>2.5874382628840325E-2</v>
      </c>
      <c r="M92">
        <f t="shared" si="20"/>
        <v>4.9115093375482387E-2</v>
      </c>
      <c r="O92" s="2">
        <f t="shared" si="14"/>
        <v>41061</v>
      </c>
      <c r="P92">
        <f t="shared" si="12"/>
        <v>1.4127313940853104E-2</v>
      </c>
      <c r="Q92">
        <f t="shared" si="12"/>
        <v>0.17990308911700711</v>
      </c>
      <c r="R92">
        <f t="shared" si="12"/>
        <v>3.2953084688659866E-2</v>
      </c>
      <c r="S92">
        <f t="shared" si="12"/>
        <v>0.20965729190578652</v>
      </c>
      <c r="T92">
        <f t="shared" si="12"/>
        <v>2.6716409761785066E-2</v>
      </c>
      <c r="U92">
        <f t="shared" si="12"/>
        <v>4.1225676417695166E-2</v>
      </c>
    </row>
    <row r="93" spans="1:21" x14ac:dyDescent="0.25">
      <c r="A93" s="2">
        <f t="shared" si="13"/>
        <v>35582</v>
      </c>
      <c r="B93">
        <f>Cleaned!H92/Cleaned!B91</f>
        <v>1.4405549032935797E-2</v>
      </c>
      <c r="C93">
        <f>Cleaned!D92/Cleaned!G91</f>
        <v>0.29902329075882794</v>
      </c>
      <c r="D93">
        <f>Cleaned!J92/Cleaned!L91</f>
        <v>2.6696445970050813E-2</v>
      </c>
      <c r="E93">
        <f>Cleaned!N92/Cleaned!G91</f>
        <v>0.23110443275732531</v>
      </c>
      <c r="F93">
        <f>Cleaned!M92/Cleaned!B91</f>
        <v>2.5899091639374653E-2</v>
      </c>
      <c r="G93">
        <f>Cleaned!E92/Cleaned!L91</f>
        <v>4.6092965389054608E-2</v>
      </c>
      <c r="H93">
        <f t="shared" si="15"/>
        <v>1.3490849886799097E-2</v>
      </c>
      <c r="I93">
        <f t="shared" si="16"/>
        <v>0.29324102971391136</v>
      </c>
      <c r="J93">
        <f t="shared" si="17"/>
        <v>2.6490838559674105E-2</v>
      </c>
      <c r="K93">
        <f t="shared" si="18"/>
        <v>0.23257936413978561</v>
      </c>
      <c r="L93">
        <f t="shared" si="19"/>
        <v>2.5840091782915187E-2</v>
      </c>
      <c r="M93">
        <f t="shared" si="20"/>
        <v>4.7312161335325897E-2</v>
      </c>
      <c r="O93" s="2">
        <f t="shared" si="14"/>
        <v>41153</v>
      </c>
      <c r="P93">
        <f t="shared" si="12"/>
        <v>1.4493603288143425E-2</v>
      </c>
      <c r="Q93">
        <f t="shared" si="12"/>
        <v>0.18363026517368319</v>
      </c>
      <c r="R93">
        <f t="shared" si="12"/>
        <v>3.2199686284792021E-2</v>
      </c>
      <c r="S93">
        <f t="shared" si="12"/>
        <v>0.22170107135525399</v>
      </c>
      <c r="T93">
        <f t="shared" si="12"/>
        <v>2.680417419942964E-2</v>
      </c>
      <c r="U93">
        <f t="shared" si="12"/>
        <v>4.2131020186172652E-2</v>
      </c>
    </row>
    <row r="94" spans="1:21" x14ac:dyDescent="0.25">
      <c r="A94" s="2">
        <f t="shared" si="13"/>
        <v>35612</v>
      </c>
      <c r="B94">
        <f>Cleaned!H93/Cleaned!B92</f>
        <v>1.3020430871943869E-2</v>
      </c>
      <c r="C94">
        <f>Cleaned!D93/Cleaned!G92</f>
        <v>0.3084277099573467</v>
      </c>
      <c r="D94">
        <f>Cleaned!J93/Cleaned!L92</f>
        <v>2.6770875443561066E-2</v>
      </c>
      <c r="E94">
        <f>Cleaned!N93/Cleaned!G92</f>
        <v>0.22635681717899692</v>
      </c>
      <c r="F94">
        <f>Cleaned!M93/Cleaned!B92</f>
        <v>2.4394955645535191E-2</v>
      </c>
      <c r="G94">
        <f>Cleaned!E93/Cleaned!L92</f>
        <v>4.6354938687508424E-2</v>
      </c>
      <c r="H94">
        <f t="shared" si="15"/>
        <v>1.3372445849061054E-2</v>
      </c>
      <c r="I94">
        <f t="shared" si="16"/>
        <v>0.30195502827112214</v>
      </c>
      <c r="J94">
        <f t="shared" si="17"/>
        <v>2.6643587220281342E-2</v>
      </c>
      <c r="K94">
        <f t="shared" si="18"/>
        <v>0.22974592224707033</v>
      </c>
      <c r="L94">
        <f t="shared" si="19"/>
        <v>2.5354643427608958E-2</v>
      </c>
      <c r="M94">
        <f t="shared" si="20"/>
        <v>4.667803009358986E-2</v>
      </c>
      <c r="O94" s="2">
        <f t="shared" si="14"/>
        <v>41244</v>
      </c>
      <c r="P94">
        <f t="shared" si="12"/>
        <v>1.4079011616482416E-2</v>
      </c>
      <c r="Q94">
        <f t="shared" si="12"/>
        <v>0.18106799066190696</v>
      </c>
      <c r="R94">
        <f t="shared" si="12"/>
        <v>3.3663841272571243E-2</v>
      </c>
      <c r="S94">
        <f t="shared" si="12"/>
        <v>0.22890570064917801</v>
      </c>
      <c r="T94">
        <f t="shared" si="12"/>
        <v>2.6457799605702798E-2</v>
      </c>
      <c r="U94">
        <f t="shared" si="12"/>
        <v>4.1457826199815424E-2</v>
      </c>
    </row>
    <row r="95" spans="1:21" x14ac:dyDescent="0.25">
      <c r="A95" s="2">
        <f t="shared" si="13"/>
        <v>35643</v>
      </c>
      <c r="B95">
        <f>Cleaned!H94/Cleaned!B93</f>
        <v>1.2155104681795073E-2</v>
      </c>
      <c r="C95">
        <f>Cleaned!D94/Cleaned!G93</f>
        <v>0.27212622088655147</v>
      </c>
      <c r="D95">
        <f>Cleaned!J94/Cleaned!L93</f>
        <v>2.7530777189641469E-2</v>
      </c>
      <c r="E95">
        <f>Cleaned!N94/Cleaned!G93</f>
        <v>0.25199098422238919</v>
      </c>
      <c r="F95">
        <f>Cleaned!M94/Cleaned!B93</f>
        <v>2.5280769053011045E-2</v>
      </c>
      <c r="G95">
        <f>Cleaned!E94/Cleaned!L93</f>
        <v>4.7114216737392973E-2</v>
      </c>
      <c r="H95">
        <f t="shared" si="15"/>
        <v>1.3193694862224914E-2</v>
      </c>
      <c r="I95">
        <f t="shared" si="16"/>
        <v>0.29319240720090872</v>
      </c>
      <c r="J95">
        <f t="shared" si="17"/>
        <v>2.6999366201084452E-2</v>
      </c>
      <c r="K95">
        <f t="shared" si="18"/>
        <v>0.23648407805290381</v>
      </c>
      <c r="L95">
        <f t="shared" si="19"/>
        <v>2.5191605445973628E-2</v>
      </c>
      <c r="M95">
        <f t="shared" si="20"/>
        <v>4.652070693798533E-2</v>
      </c>
      <c r="O95" s="2">
        <f t="shared" si="14"/>
        <v>41334</v>
      </c>
      <c r="P95">
        <f t="shared" si="12"/>
        <v>1.3694097271605171E-2</v>
      </c>
      <c r="Q95">
        <f t="shared" si="12"/>
        <v>0.18353059270646832</v>
      </c>
      <c r="R95">
        <f t="shared" si="12"/>
        <v>3.1358409452341689E-2</v>
      </c>
      <c r="S95">
        <f t="shared" si="12"/>
        <v>0.22069682675900612</v>
      </c>
      <c r="T95">
        <f t="shared" si="12"/>
        <v>2.7814905448663992E-2</v>
      </c>
      <c r="U95">
        <f t="shared" si="12"/>
        <v>4.1196448214149278E-2</v>
      </c>
    </row>
    <row r="96" spans="1:21" x14ac:dyDescent="0.25">
      <c r="A96" s="2">
        <f t="shared" si="13"/>
        <v>35674</v>
      </c>
      <c r="B96">
        <f>Cleaned!H95/Cleaned!B94</f>
        <v>1.2822090608414737E-2</v>
      </c>
      <c r="C96">
        <f>Cleaned!D95/Cleaned!G94</f>
        <v>0.2778450363196126</v>
      </c>
      <c r="D96">
        <f>Cleaned!J95/Cleaned!L94</f>
        <v>2.6083960087495878E-2</v>
      </c>
      <c r="E96">
        <f>Cleaned!N95/Cleaned!G94</f>
        <v>0.23214285714285715</v>
      </c>
      <c r="F96">
        <f>Cleaned!M95/Cleaned!B94</f>
        <v>2.5913391277594032E-2</v>
      </c>
      <c r="G96">
        <f>Cleaned!E95/Cleaned!L94</f>
        <v>4.6055194318760678E-2</v>
      </c>
      <c r="H96">
        <f t="shared" si="15"/>
        <v>1.266587538738456E-2</v>
      </c>
      <c r="I96">
        <f t="shared" si="16"/>
        <v>0.28613298905450363</v>
      </c>
      <c r="J96">
        <f t="shared" si="17"/>
        <v>2.6795204240232805E-2</v>
      </c>
      <c r="K96">
        <f t="shared" si="18"/>
        <v>0.23683021951474773</v>
      </c>
      <c r="L96">
        <f t="shared" si="19"/>
        <v>2.5196371992046756E-2</v>
      </c>
      <c r="M96">
        <f t="shared" si="20"/>
        <v>4.6508116581220692E-2</v>
      </c>
      <c r="O96" s="2">
        <f t="shared" si="14"/>
        <v>41426</v>
      </c>
      <c r="P96">
        <f t="shared" si="12"/>
        <v>1.4120959343580363E-2</v>
      </c>
      <c r="Q96">
        <f t="shared" si="12"/>
        <v>0.19455681772517544</v>
      </c>
      <c r="R96">
        <f t="shared" si="12"/>
        <v>2.999915584371618E-2</v>
      </c>
      <c r="S96">
        <f t="shared" si="12"/>
        <v>0.20948736637086221</v>
      </c>
      <c r="T96">
        <f t="shared" si="12"/>
        <v>2.7321044525458072E-2</v>
      </c>
      <c r="U96">
        <f t="shared" si="12"/>
        <v>4.3118487899865852E-2</v>
      </c>
    </row>
    <row r="97" spans="1:21" x14ac:dyDescent="0.25">
      <c r="A97" s="2">
        <f t="shared" si="13"/>
        <v>35704</v>
      </c>
      <c r="B97">
        <f>Cleaned!H96/Cleaned!B95</f>
        <v>1.3005791461247971E-2</v>
      </c>
      <c r="C97">
        <f>Cleaned!D96/Cleaned!G95</f>
        <v>0.29341947115384615</v>
      </c>
      <c r="D97">
        <f>Cleaned!J96/Cleaned!L95</f>
        <v>2.4246954181926902E-2</v>
      </c>
      <c r="E97">
        <f>Cleaned!N96/Cleaned!G95</f>
        <v>0.23843149038461539</v>
      </c>
      <c r="F97">
        <f>Cleaned!M96/Cleaned!B95</f>
        <v>2.5403979418392696E-2</v>
      </c>
      <c r="G97">
        <f>Cleaned!E96/Cleaned!L95</f>
        <v>4.653561551685477E-2</v>
      </c>
      <c r="H97">
        <f t="shared" si="15"/>
        <v>1.266099558381926E-2</v>
      </c>
      <c r="I97">
        <f t="shared" si="16"/>
        <v>0.28113024278667009</v>
      </c>
      <c r="J97">
        <f t="shared" si="17"/>
        <v>2.5953897153021419E-2</v>
      </c>
      <c r="K97">
        <f t="shared" si="18"/>
        <v>0.24085511058328724</v>
      </c>
      <c r="L97">
        <f t="shared" si="19"/>
        <v>2.5532713249665922E-2</v>
      </c>
      <c r="M97">
        <f t="shared" si="20"/>
        <v>4.6568342191002809E-2</v>
      </c>
      <c r="O97" s="2">
        <f t="shared" si="14"/>
        <v>41518</v>
      </c>
      <c r="P97">
        <f t="shared" si="12"/>
        <v>1.3527830227630598E-2</v>
      </c>
      <c r="Q97">
        <f t="shared" si="12"/>
        <v>0.19403053491915045</v>
      </c>
      <c r="R97">
        <f t="shared" si="12"/>
        <v>2.9493601083125955E-2</v>
      </c>
      <c r="S97">
        <f t="shared" si="12"/>
        <v>0.22251011651249228</v>
      </c>
      <c r="T97">
        <f t="shared" si="12"/>
        <v>2.7460068011861117E-2</v>
      </c>
      <c r="U97">
        <f t="shared" si="12"/>
        <v>4.1736533435793061E-2</v>
      </c>
    </row>
    <row r="98" spans="1:21" x14ac:dyDescent="0.25">
      <c r="A98" s="2">
        <f t="shared" si="13"/>
        <v>35735</v>
      </c>
      <c r="B98">
        <f>Cleaned!H97/Cleaned!B96</f>
        <v>1.2260041942248751E-2</v>
      </c>
      <c r="C98">
        <f>Cleaned!D97/Cleaned!G96</f>
        <v>0.29439107530213821</v>
      </c>
      <c r="D98">
        <f>Cleaned!J97/Cleaned!L96</f>
        <v>2.4562814669169125E-2</v>
      </c>
      <c r="E98">
        <f>Cleaned!N97/Cleaned!G96</f>
        <v>0.23411837620080569</v>
      </c>
      <c r="F98">
        <f>Cleaned!M97/Cleaned!B96</f>
        <v>2.5418846357707463E-2</v>
      </c>
      <c r="G98">
        <f>Cleaned!E97/Cleaned!L96</f>
        <v>5.036196264188042E-2</v>
      </c>
      <c r="H98">
        <f t="shared" si="15"/>
        <v>1.2695974670637154E-2</v>
      </c>
      <c r="I98">
        <f t="shared" si="16"/>
        <v>0.28855186092519897</v>
      </c>
      <c r="J98">
        <f t="shared" si="17"/>
        <v>2.496457631286397E-2</v>
      </c>
      <c r="K98">
        <f t="shared" si="18"/>
        <v>0.23489757457609273</v>
      </c>
      <c r="L98">
        <f t="shared" si="19"/>
        <v>2.5578739017898061E-2</v>
      </c>
      <c r="M98">
        <f t="shared" si="20"/>
        <v>4.7650924159165296E-2</v>
      </c>
      <c r="O98" s="2">
        <f t="shared" si="14"/>
        <v>41609</v>
      </c>
      <c r="P98" t="e">
        <f t="shared" si="12"/>
        <v>#N/A</v>
      </c>
      <c r="Q98" t="e">
        <f t="shared" si="12"/>
        <v>#N/A</v>
      </c>
      <c r="R98" t="e">
        <f t="shared" si="12"/>
        <v>#N/A</v>
      </c>
      <c r="S98" t="e">
        <f t="shared" si="12"/>
        <v>#N/A</v>
      </c>
      <c r="T98" t="e">
        <f t="shared" si="12"/>
        <v>#N/A</v>
      </c>
      <c r="U98" t="e">
        <f t="shared" si="12"/>
        <v>#N/A</v>
      </c>
    </row>
    <row r="99" spans="1:21" x14ac:dyDescent="0.25">
      <c r="A99" s="2">
        <f t="shared" si="13"/>
        <v>35765</v>
      </c>
      <c r="B99">
        <f>Cleaned!H98/Cleaned!B97</f>
        <v>1.4389260101184052E-2</v>
      </c>
      <c r="C99">
        <f>Cleaned!D98/Cleaned!G97</f>
        <v>0.31658211794546609</v>
      </c>
      <c r="D99">
        <f>Cleaned!J98/Cleaned!L97</f>
        <v>2.6082412660495671E-2</v>
      </c>
      <c r="E99">
        <f>Cleaned!N98/Cleaned!G97</f>
        <v>0.23430564362714015</v>
      </c>
      <c r="F99">
        <f>Cleaned!M98/Cleaned!B97</f>
        <v>2.7301324883469955E-2</v>
      </c>
      <c r="G99">
        <f>Cleaned!E98/Cleaned!L97</f>
        <v>5.0791280979396836E-2</v>
      </c>
      <c r="H99">
        <f t="shared" si="15"/>
        <v>1.3218364501560257E-2</v>
      </c>
      <c r="I99">
        <f t="shared" si="16"/>
        <v>0.30146422146715018</v>
      </c>
      <c r="J99">
        <f t="shared" si="17"/>
        <v>2.4964060503863902E-2</v>
      </c>
      <c r="K99">
        <f t="shared" si="18"/>
        <v>0.23561850340418708</v>
      </c>
      <c r="L99">
        <f t="shared" si="19"/>
        <v>2.6041383553190037E-2</v>
      </c>
      <c r="M99">
        <f t="shared" si="20"/>
        <v>4.922961971271067E-2</v>
      </c>
    </row>
    <row r="100" spans="1:21" x14ac:dyDescent="0.25">
      <c r="A100" s="2">
        <f t="shared" si="13"/>
        <v>35796</v>
      </c>
      <c r="B100">
        <f>Cleaned!H99/Cleaned!B98</f>
        <v>1.2894191109512622E-2</v>
      </c>
      <c r="C100">
        <f>Cleaned!D99/Cleaned!G98</f>
        <v>0.29277331686226066</v>
      </c>
      <c r="D100">
        <f>Cleaned!J99/Cleaned!L98</f>
        <v>2.4513391990200618E-2</v>
      </c>
      <c r="E100">
        <f>Cleaned!N99/Cleaned!G98</f>
        <v>0.23965410747374924</v>
      </c>
      <c r="F100">
        <f>Cleaned!M99/Cleaned!B98</f>
        <v>2.6423526350829132E-2</v>
      </c>
      <c r="G100">
        <f>Cleaned!E99/Cleaned!L98</f>
        <v>4.8190251407914199E-2</v>
      </c>
      <c r="H100">
        <f t="shared" si="15"/>
        <v>1.3181164384315143E-2</v>
      </c>
      <c r="I100">
        <f t="shared" si="16"/>
        <v>0.30124883670328834</v>
      </c>
      <c r="J100">
        <f t="shared" si="17"/>
        <v>2.5052873106621808E-2</v>
      </c>
      <c r="K100">
        <f t="shared" si="18"/>
        <v>0.23602604243389835</v>
      </c>
      <c r="L100">
        <f t="shared" si="19"/>
        <v>2.638123253066885E-2</v>
      </c>
      <c r="M100">
        <f t="shared" si="20"/>
        <v>4.9781165009730483E-2</v>
      </c>
    </row>
    <row r="101" spans="1:21" x14ac:dyDescent="0.25">
      <c r="A101" s="2">
        <f t="shared" si="13"/>
        <v>35827</v>
      </c>
      <c r="B101">
        <f>Cleaned!H100/Cleaned!B99</f>
        <v>1.3386778452641402E-2</v>
      </c>
      <c r="C101">
        <f>Cleaned!D100/Cleaned!G99</f>
        <v>0.3068467336683417</v>
      </c>
      <c r="D101">
        <f>Cleaned!J100/Cleaned!L99</f>
        <v>2.5661647528409513E-2</v>
      </c>
      <c r="E101">
        <f>Cleaned!N100/Cleaned!G99</f>
        <v>0.25219849246231157</v>
      </c>
      <c r="F101">
        <f>Cleaned!M100/Cleaned!B99</f>
        <v>2.5832657619754295E-2</v>
      </c>
      <c r="G101">
        <f>Cleaned!E100/Cleaned!L99</f>
        <v>4.7689260235616517E-2</v>
      </c>
      <c r="H101">
        <f t="shared" si="15"/>
        <v>1.3556743221112694E-2</v>
      </c>
      <c r="I101">
        <f t="shared" si="16"/>
        <v>0.30540072282535619</v>
      </c>
      <c r="J101">
        <f t="shared" si="17"/>
        <v>2.5419150726368602E-2</v>
      </c>
      <c r="K101">
        <f t="shared" si="18"/>
        <v>0.24205274785440034</v>
      </c>
      <c r="L101">
        <f t="shared" si="19"/>
        <v>2.6519169618017795E-2</v>
      </c>
      <c r="M101">
        <f t="shared" si="20"/>
        <v>4.889026420764251E-2</v>
      </c>
    </row>
    <row r="102" spans="1:21" x14ac:dyDescent="0.25">
      <c r="A102" s="2">
        <f t="shared" si="13"/>
        <v>35855</v>
      </c>
      <c r="B102">
        <f>Cleaned!H101/Cleaned!B100</f>
        <v>1.361547929392158E-2</v>
      </c>
      <c r="C102">
        <f>Cleaned!D101/Cleaned!G100</f>
        <v>0.2974944497304155</v>
      </c>
      <c r="D102">
        <f>Cleaned!J101/Cleaned!L100</f>
        <v>2.6453453810486267E-2</v>
      </c>
      <c r="E102">
        <f>Cleaned!N101/Cleaned!G100</f>
        <v>0.25166508087535683</v>
      </c>
      <c r="F102">
        <f>Cleaned!M101/Cleaned!B100</f>
        <v>2.6237127982447421E-2</v>
      </c>
      <c r="G102">
        <f>Cleaned!E101/Cleaned!L100</f>
        <v>4.8626798240399477E-2</v>
      </c>
      <c r="H102">
        <f t="shared" si="15"/>
        <v>1.3298816285358535E-2</v>
      </c>
      <c r="I102">
        <f t="shared" si="16"/>
        <v>0.29903816675367262</v>
      </c>
      <c r="J102">
        <f t="shared" si="17"/>
        <v>2.5542831109698797E-2</v>
      </c>
      <c r="K102">
        <f t="shared" si="18"/>
        <v>0.24783922693713922</v>
      </c>
      <c r="L102">
        <f t="shared" si="19"/>
        <v>2.6164437317676953E-2</v>
      </c>
      <c r="M102">
        <f t="shared" si="20"/>
        <v>4.8168769961310066E-2</v>
      </c>
    </row>
    <row r="103" spans="1:21" x14ac:dyDescent="0.25">
      <c r="A103" s="2">
        <f t="shared" si="13"/>
        <v>35886</v>
      </c>
      <c r="B103">
        <f>Cleaned!H102/Cleaned!B101</f>
        <v>1.2124084578103262E-2</v>
      </c>
      <c r="C103">
        <f>Cleaned!D102/Cleaned!G101</f>
        <v>0.32077234506384306</v>
      </c>
      <c r="D103">
        <f>Cleaned!J102/Cleaned!L101</f>
        <v>2.3131434683781253E-2</v>
      </c>
      <c r="E103">
        <f>Cleaned!N102/Cleaned!G101</f>
        <v>0.24634070383058237</v>
      </c>
      <c r="F103">
        <f>Cleaned!M102/Cleaned!B101</f>
        <v>2.6472701698594951E-2</v>
      </c>
      <c r="G103">
        <f>Cleaned!E102/Cleaned!L101</f>
        <v>4.8847885189642108E-2</v>
      </c>
      <c r="H103">
        <f t="shared" si="15"/>
        <v>1.3042114108222079E-2</v>
      </c>
      <c r="I103">
        <f t="shared" si="16"/>
        <v>0.30837117615420007</v>
      </c>
      <c r="J103">
        <f t="shared" si="17"/>
        <v>2.5082178674225675E-2</v>
      </c>
      <c r="K103">
        <f t="shared" si="18"/>
        <v>0.25006809238941691</v>
      </c>
      <c r="L103">
        <f t="shared" si="19"/>
        <v>2.6180829100265552E-2</v>
      </c>
      <c r="M103">
        <f t="shared" si="20"/>
        <v>4.8387981221886034E-2</v>
      </c>
    </row>
    <row r="104" spans="1:21" x14ac:dyDescent="0.25">
      <c r="A104" s="2">
        <f t="shared" si="13"/>
        <v>35916</v>
      </c>
      <c r="B104">
        <f>Cleaned!H103/Cleaned!B102</f>
        <v>1.2621085443833883E-2</v>
      </c>
      <c r="C104">
        <f>Cleaned!D103/Cleaned!G102</f>
        <v>0.29607810132974249</v>
      </c>
      <c r="D104">
        <f>Cleaned!J103/Cleaned!L102</f>
        <v>2.4074813926991314E-2</v>
      </c>
      <c r="E104">
        <f>Cleaned!N103/Cleaned!G102</f>
        <v>0.24103686248106379</v>
      </c>
      <c r="F104">
        <f>Cleaned!M103/Cleaned!B102</f>
        <v>2.6042420870519552E-2</v>
      </c>
      <c r="G104">
        <f>Cleaned!E103/Cleaned!L102</f>
        <v>4.9289001346532309E-2</v>
      </c>
      <c r="H104">
        <f t="shared" si="15"/>
        <v>1.2786883105286242E-2</v>
      </c>
      <c r="I104">
        <f t="shared" si="16"/>
        <v>0.30478163204133368</v>
      </c>
      <c r="J104">
        <f t="shared" si="17"/>
        <v>2.4553234140419614E-2</v>
      </c>
      <c r="K104">
        <f t="shared" si="18"/>
        <v>0.24634754906233433</v>
      </c>
      <c r="L104">
        <f t="shared" si="19"/>
        <v>2.6250750183853977E-2</v>
      </c>
      <c r="M104">
        <f t="shared" si="20"/>
        <v>4.8921228258857967E-2</v>
      </c>
    </row>
    <row r="105" spans="1:21" x14ac:dyDescent="0.25">
      <c r="A105" s="2">
        <f t="shared" si="13"/>
        <v>35947</v>
      </c>
      <c r="B105">
        <f>Cleaned!H104/Cleaned!B103</f>
        <v>1.264801066057491E-2</v>
      </c>
      <c r="C105">
        <f>Cleaned!D104/Cleaned!G103</f>
        <v>0.31288242103522407</v>
      </c>
      <c r="D105">
        <f>Cleaned!J104/Cleaned!L103</f>
        <v>2.5234350704162779E-2</v>
      </c>
      <c r="E105">
        <f>Cleaned!N104/Cleaned!G103</f>
        <v>0.22010914503059367</v>
      </c>
      <c r="F105">
        <f>Cleaned!M104/Cleaned!B103</f>
        <v>2.7565200837616599E-2</v>
      </c>
      <c r="G105">
        <f>Cleaned!E104/Cleaned!L103</f>
        <v>4.7329216461563524E-2</v>
      </c>
      <c r="H105">
        <f t="shared" si="15"/>
        <v>1.2464393560837351E-2</v>
      </c>
      <c r="I105">
        <f t="shared" si="16"/>
        <v>0.30991095580960321</v>
      </c>
      <c r="J105">
        <f t="shared" si="17"/>
        <v>2.4146866438311782E-2</v>
      </c>
      <c r="K105">
        <f t="shared" si="18"/>
        <v>0.23582890378074661</v>
      </c>
      <c r="L105">
        <f t="shared" si="19"/>
        <v>2.6693441135577034E-2</v>
      </c>
      <c r="M105">
        <f t="shared" si="20"/>
        <v>4.848870099924598E-2</v>
      </c>
    </row>
    <row r="106" spans="1:21" x14ac:dyDescent="0.25">
      <c r="A106" s="2">
        <f t="shared" si="13"/>
        <v>35977</v>
      </c>
      <c r="B106">
        <f>Cleaned!H105/Cleaned!B104</f>
        <v>1.3250129529730884E-2</v>
      </c>
      <c r="C106">
        <f>Cleaned!D105/Cleaned!G104</f>
        <v>0.30312298776561492</v>
      </c>
      <c r="D106">
        <f>Cleaned!J105/Cleaned!L104</f>
        <v>2.4456602099659913E-2</v>
      </c>
      <c r="E106">
        <f>Cleaned!N105/Cleaned!G104</f>
        <v>0.2371216999356085</v>
      </c>
      <c r="F106">
        <f>Cleaned!M105/Cleaned!B104</f>
        <v>2.6904087043979154E-2</v>
      </c>
      <c r="G106">
        <f>Cleaned!E105/Cleaned!L104</f>
        <v>5.0140470205530092E-2</v>
      </c>
      <c r="H106">
        <f t="shared" si="15"/>
        <v>1.2839741878046559E-2</v>
      </c>
      <c r="I106">
        <f t="shared" si="16"/>
        <v>0.30402783671019384</v>
      </c>
      <c r="J106">
        <f t="shared" si="17"/>
        <v>2.4588588910271336E-2</v>
      </c>
      <c r="K106">
        <f t="shared" si="18"/>
        <v>0.23275590248242198</v>
      </c>
      <c r="L106">
        <f t="shared" si="19"/>
        <v>2.6837236250705099E-2</v>
      </c>
      <c r="M106">
        <f t="shared" si="20"/>
        <v>4.8919562671208644E-2</v>
      </c>
    </row>
    <row r="107" spans="1:21" x14ac:dyDescent="0.25">
      <c r="A107" s="2">
        <f t="shared" si="13"/>
        <v>36008</v>
      </c>
      <c r="B107">
        <f>Cleaned!H106/Cleaned!B105</f>
        <v>1.282275811130824E-2</v>
      </c>
      <c r="C107">
        <f>Cleaned!D106/Cleaned!G105</f>
        <v>0.31011343665122226</v>
      </c>
      <c r="D107">
        <f>Cleaned!J106/Cleaned!L105</f>
        <v>2.395023787713129E-2</v>
      </c>
      <c r="E107">
        <f>Cleaned!N106/Cleaned!G105</f>
        <v>0.23342386962773606</v>
      </c>
      <c r="F107">
        <f>Cleaned!M106/Cleaned!B105</f>
        <v>2.9597423265234641E-2</v>
      </c>
      <c r="G107">
        <f>Cleaned!E106/Cleaned!L105</f>
        <v>5.2835318105256934E-2</v>
      </c>
      <c r="H107">
        <f t="shared" si="15"/>
        <v>1.2906966100538009E-2</v>
      </c>
      <c r="I107">
        <f t="shared" si="16"/>
        <v>0.30870628181735377</v>
      </c>
      <c r="J107">
        <f t="shared" si="17"/>
        <v>2.4547063560317994E-2</v>
      </c>
      <c r="K107">
        <f t="shared" si="18"/>
        <v>0.2302182381979794</v>
      </c>
      <c r="L107">
        <f t="shared" si="19"/>
        <v>2.8022237048943466E-2</v>
      </c>
      <c r="M107">
        <f t="shared" si="20"/>
        <v>5.0101668257450181E-2</v>
      </c>
    </row>
    <row r="108" spans="1:21" x14ac:dyDescent="0.25">
      <c r="A108" s="2">
        <f t="shared" si="13"/>
        <v>36039</v>
      </c>
      <c r="B108">
        <f>Cleaned!H107/Cleaned!B106</f>
        <v>1.3380013699672731E-2</v>
      </c>
      <c r="C108">
        <f>Cleaned!D107/Cleaned!G106</f>
        <v>0.31429033824243408</v>
      </c>
      <c r="D108">
        <f>Cleaned!J107/Cleaned!L106</f>
        <v>2.5577970843763804E-2</v>
      </c>
      <c r="E108">
        <f>Cleaned!N107/Cleaned!G106</f>
        <v>0.23418028807250363</v>
      </c>
      <c r="F108">
        <f>Cleaned!M107/Cleaned!B106</f>
        <v>2.7323236167136007E-2</v>
      </c>
      <c r="G108">
        <f>Cleaned!E107/Cleaned!L106</f>
        <v>5.700191429833603E-2</v>
      </c>
      <c r="H108">
        <f t="shared" si="15"/>
        <v>1.3150967113570618E-2</v>
      </c>
      <c r="I108">
        <f t="shared" si="16"/>
        <v>0.30917558755309038</v>
      </c>
      <c r="J108">
        <f t="shared" si="17"/>
        <v>2.466160360685167E-2</v>
      </c>
      <c r="K108">
        <f t="shared" si="18"/>
        <v>0.23490861921194939</v>
      </c>
      <c r="L108">
        <f t="shared" si="19"/>
        <v>2.7941582158783267E-2</v>
      </c>
      <c r="M108">
        <f t="shared" si="20"/>
        <v>5.3325900869707683E-2</v>
      </c>
    </row>
    <row r="109" spans="1:21" x14ac:dyDescent="0.25">
      <c r="A109" s="2">
        <f t="shared" si="13"/>
        <v>36069</v>
      </c>
      <c r="B109">
        <f>Cleaned!H108/Cleaned!B107</f>
        <v>1.2758928977315776E-2</v>
      </c>
      <c r="C109">
        <f>Cleaned!D108/Cleaned!G107</f>
        <v>0.30444444444444446</v>
      </c>
      <c r="D109">
        <f>Cleaned!J108/Cleaned!L107</f>
        <v>2.5262189785352974E-2</v>
      </c>
      <c r="E109">
        <f>Cleaned!N108/Cleaned!G107</f>
        <v>0.23984126984126983</v>
      </c>
      <c r="F109">
        <f>Cleaned!M108/Cleaned!B107</f>
        <v>2.848786992559817E-2</v>
      </c>
      <c r="G109">
        <f>Cleaned!E108/Cleaned!L107</f>
        <v>5.0628217109459597E-2</v>
      </c>
      <c r="H109">
        <f t="shared" si="15"/>
        <v>1.2987233596098916E-2</v>
      </c>
      <c r="I109">
        <f t="shared" si="16"/>
        <v>0.30961607311270029</v>
      </c>
      <c r="J109">
        <f t="shared" si="17"/>
        <v>2.4930132835416025E-2</v>
      </c>
      <c r="K109">
        <f t="shared" si="18"/>
        <v>0.23581514251383651</v>
      </c>
      <c r="L109">
        <f t="shared" si="19"/>
        <v>2.8469509785989607E-2</v>
      </c>
      <c r="M109">
        <f t="shared" si="20"/>
        <v>5.348848317101753E-2</v>
      </c>
    </row>
    <row r="110" spans="1:21" x14ac:dyDescent="0.25">
      <c r="A110" s="2">
        <f t="shared" si="13"/>
        <v>36100</v>
      </c>
      <c r="B110">
        <f>Cleaned!H109/Cleaned!B108</f>
        <v>1.2447063992909038E-2</v>
      </c>
      <c r="C110">
        <f>Cleaned!D109/Cleaned!G108</f>
        <v>0.30907643312101912</v>
      </c>
      <c r="D110">
        <f>Cleaned!J109/Cleaned!L108</f>
        <v>2.5000000000000001E-2</v>
      </c>
      <c r="E110">
        <f>Cleaned!N109/Cleaned!G108</f>
        <v>0.25398089171974525</v>
      </c>
      <c r="F110">
        <f>Cleaned!M109/Cleaned!B108</f>
        <v>2.7856271638421502E-2</v>
      </c>
      <c r="G110">
        <f>Cleaned!E109/Cleaned!L108</f>
        <v>5.2321111768184506E-2</v>
      </c>
      <c r="H110">
        <f t="shared" si="15"/>
        <v>1.2862002223299182E-2</v>
      </c>
      <c r="I110">
        <f t="shared" si="16"/>
        <v>0.30927040526929922</v>
      </c>
      <c r="J110">
        <f t="shared" si="17"/>
        <v>2.5280053543038927E-2</v>
      </c>
      <c r="K110">
        <f t="shared" si="18"/>
        <v>0.2426674832111729</v>
      </c>
      <c r="L110">
        <f t="shared" si="19"/>
        <v>2.7889125910385226E-2</v>
      </c>
      <c r="M110">
        <f t="shared" si="20"/>
        <v>5.3317081058660044E-2</v>
      </c>
    </row>
    <row r="111" spans="1:21" x14ac:dyDescent="0.25">
      <c r="A111" s="2">
        <f t="shared" si="13"/>
        <v>36130</v>
      </c>
      <c r="B111">
        <f>Cleaned!H110/Cleaned!B109</f>
        <v>1.3237072875718174E-2</v>
      </c>
      <c r="C111">
        <f>Cleaned!D110/Cleaned!G109</f>
        <v>0.30852459016393441</v>
      </c>
      <c r="D111">
        <f>Cleaned!J110/Cleaned!L109</f>
        <v>2.398003632443926E-2</v>
      </c>
      <c r="E111">
        <f>Cleaned!N110/Cleaned!G109</f>
        <v>0.25836065573770489</v>
      </c>
      <c r="F111">
        <f>Cleaned!M110/Cleaned!B109</f>
        <v>2.7434230420320532E-2</v>
      </c>
      <c r="G111">
        <f>Cleaned!E110/Cleaned!L109</f>
        <v>5.438329666435332E-2</v>
      </c>
      <c r="H111">
        <f t="shared" si="15"/>
        <v>1.2814355281980995E-2</v>
      </c>
      <c r="I111">
        <f t="shared" si="16"/>
        <v>0.30734848924313268</v>
      </c>
      <c r="J111">
        <f t="shared" si="17"/>
        <v>2.4747408703264081E-2</v>
      </c>
      <c r="K111">
        <f t="shared" si="18"/>
        <v>0.25072760576623998</v>
      </c>
      <c r="L111">
        <f t="shared" si="19"/>
        <v>2.7926123994780071E-2</v>
      </c>
      <c r="M111">
        <f t="shared" si="20"/>
        <v>5.2444208513999141E-2</v>
      </c>
    </row>
    <row r="112" spans="1:21" x14ac:dyDescent="0.25">
      <c r="A112" s="2">
        <f t="shared" si="13"/>
        <v>36161</v>
      </c>
      <c r="B112">
        <f>Cleaned!H111/Cleaned!B110</f>
        <v>1.18851902686234E-2</v>
      </c>
      <c r="C112">
        <f>Cleaned!D111/Cleaned!G110</f>
        <v>0.30901856763925728</v>
      </c>
      <c r="D112">
        <f>Cleaned!J111/Cleaned!L110</f>
        <v>2.4824425223626819E-2</v>
      </c>
      <c r="E112">
        <f>Cleaned!N111/Cleaned!G110</f>
        <v>0.24668435013262599</v>
      </c>
      <c r="F112">
        <f>Cleaned!M111/Cleaned!B110</f>
        <v>2.7639100466056318E-2</v>
      </c>
      <c r="G112">
        <f>Cleaned!E111/Cleaned!L110</f>
        <v>5.3537369705034372E-2</v>
      </c>
      <c r="H112">
        <f t="shared" si="15"/>
        <v>1.2523109045750205E-2</v>
      </c>
      <c r="I112">
        <f t="shared" si="16"/>
        <v>0.30887319697473697</v>
      </c>
      <c r="J112">
        <f t="shared" si="17"/>
        <v>2.4601487182688692E-2</v>
      </c>
      <c r="K112">
        <f t="shared" si="18"/>
        <v>0.25300863253002542</v>
      </c>
      <c r="L112">
        <f t="shared" si="19"/>
        <v>2.764320084159945E-2</v>
      </c>
      <c r="M112">
        <f t="shared" si="20"/>
        <v>5.3413926045857402E-2</v>
      </c>
    </row>
    <row r="113" spans="1:13" x14ac:dyDescent="0.25">
      <c r="A113" s="2">
        <f t="shared" si="13"/>
        <v>36192</v>
      </c>
      <c r="B113">
        <f>Cleaned!H112/Cleaned!B111</f>
        <v>1.3049982334413315E-2</v>
      </c>
      <c r="C113">
        <f>Cleaned!D112/Cleaned!G111</f>
        <v>0.31342034805890229</v>
      </c>
      <c r="D113">
        <f>Cleaned!J112/Cleaned!L111</f>
        <v>2.4972310418666471E-2</v>
      </c>
      <c r="E113">
        <f>Cleaned!N112/Cleaned!G111</f>
        <v>0.24129852744310576</v>
      </c>
      <c r="F113">
        <f>Cleaned!M112/Cleaned!B111</f>
        <v>2.8114593278056335E-2</v>
      </c>
      <c r="G113">
        <f>Cleaned!E112/Cleaned!L111</f>
        <v>5.0107066381156314E-2</v>
      </c>
      <c r="H113">
        <f t="shared" si="15"/>
        <v>1.272408182625163E-2</v>
      </c>
      <c r="I113">
        <f t="shared" si="16"/>
        <v>0.31032116862069797</v>
      </c>
      <c r="J113">
        <f t="shared" si="17"/>
        <v>2.4592257322244182E-2</v>
      </c>
      <c r="K113">
        <f t="shared" si="18"/>
        <v>0.24878117777114553</v>
      </c>
      <c r="L113">
        <f t="shared" si="19"/>
        <v>2.7729308054811063E-2</v>
      </c>
      <c r="M113">
        <f t="shared" si="20"/>
        <v>5.2675910916848E-2</v>
      </c>
    </row>
    <row r="114" spans="1:13" x14ac:dyDescent="0.25">
      <c r="A114" s="2">
        <f t="shared" si="13"/>
        <v>36220</v>
      </c>
      <c r="B114">
        <f>Cleaned!H113/Cleaned!B112</f>
        <v>1.1975371831155537E-2</v>
      </c>
      <c r="C114">
        <f>Cleaned!D113/Cleaned!G112</f>
        <v>0.33366061201112746</v>
      </c>
      <c r="D114">
        <f>Cleaned!J113/Cleaned!L112</f>
        <v>2.3282184195800075E-2</v>
      </c>
      <c r="E114">
        <f>Cleaned!N113/Cleaned!G112</f>
        <v>0.24071346751759123</v>
      </c>
      <c r="F114">
        <f>Cleaned!M113/Cleaned!B112</f>
        <v>2.8015294755223699E-2</v>
      </c>
      <c r="G114">
        <f>Cleaned!E113/Cleaned!L112</f>
        <v>4.9318175124436724E-2</v>
      </c>
      <c r="H114">
        <f t="shared" si="15"/>
        <v>1.2303514811397418E-2</v>
      </c>
      <c r="I114">
        <f t="shared" si="16"/>
        <v>0.3186998425697623</v>
      </c>
      <c r="J114">
        <f t="shared" si="17"/>
        <v>2.435963994603112E-2</v>
      </c>
      <c r="K114">
        <f t="shared" si="18"/>
        <v>0.24289878169777435</v>
      </c>
      <c r="L114">
        <f t="shared" si="19"/>
        <v>2.792299616644545E-2</v>
      </c>
      <c r="M114">
        <f t="shared" si="20"/>
        <v>5.0987537070209137E-2</v>
      </c>
    </row>
    <row r="115" spans="1:13" x14ac:dyDescent="0.25">
      <c r="A115" s="2">
        <f t="shared" si="13"/>
        <v>36251</v>
      </c>
      <c r="B115">
        <f>Cleaned!H114/Cleaned!B113</f>
        <v>1.265165817957532E-2</v>
      </c>
      <c r="C115">
        <f>Cleaned!D114/Cleaned!G113</f>
        <v>0.28670240359674909</v>
      </c>
      <c r="D115">
        <f>Cleaned!J114/Cleaned!L113</f>
        <v>2.3467923754867802E-2</v>
      </c>
      <c r="E115">
        <f>Cleaned!N114/Cleaned!G113</f>
        <v>0.24865986512190905</v>
      </c>
      <c r="F115">
        <f>Cleaned!M114/Cleaned!B113</f>
        <v>2.8101423875679783E-2</v>
      </c>
      <c r="G115">
        <f>Cleaned!E114/Cleaned!L113</f>
        <v>5.46950487512078E-2</v>
      </c>
      <c r="H115">
        <f t="shared" si="15"/>
        <v>1.2559004115048058E-2</v>
      </c>
      <c r="I115">
        <f t="shared" si="16"/>
        <v>0.31126112122225963</v>
      </c>
      <c r="J115">
        <f t="shared" si="17"/>
        <v>2.3907472789778117E-2</v>
      </c>
      <c r="K115">
        <f t="shared" si="18"/>
        <v>0.24355728669420204</v>
      </c>
      <c r="L115">
        <f t="shared" si="19"/>
        <v>2.807710396965327E-2</v>
      </c>
      <c r="M115">
        <f t="shared" si="20"/>
        <v>5.1373430085600282E-2</v>
      </c>
    </row>
    <row r="116" spans="1:13" x14ac:dyDescent="0.25">
      <c r="A116" s="2">
        <f t="shared" si="13"/>
        <v>36281</v>
      </c>
      <c r="B116">
        <f>Cleaned!H115/Cleaned!B114</f>
        <v>1.2673460945432665E-2</v>
      </c>
      <c r="C116">
        <f>Cleaned!D115/Cleaned!G114</f>
        <v>0.31095936042638239</v>
      </c>
      <c r="D116">
        <f>Cleaned!J115/Cleaned!L114</f>
        <v>2.1808222388212721E-2</v>
      </c>
      <c r="E116">
        <f>Cleaned!N115/Cleaned!G114</f>
        <v>0.25449700199866754</v>
      </c>
      <c r="F116">
        <f>Cleaned!M115/Cleaned!B114</f>
        <v>2.7776315294648565E-2</v>
      </c>
      <c r="G116">
        <f>Cleaned!E115/Cleaned!L114</f>
        <v>5.5348067431199376E-2</v>
      </c>
      <c r="H116">
        <f t="shared" si="15"/>
        <v>1.2433496985387841E-2</v>
      </c>
      <c r="I116">
        <f t="shared" si="16"/>
        <v>0.31044079201141966</v>
      </c>
      <c r="J116">
        <f t="shared" si="17"/>
        <v>2.2852776779626865E-2</v>
      </c>
      <c r="K116">
        <f t="shared" si="18"/>
        <v>0.24795677821272263</v>
      </c>
      <c r="L116">
        <f t="shared" si="19"/>
        <v>2.7964344641850682E-2</v>
      </c>
      <c r="M116">
        <f t="shared" si="20"/>
        <v>5.3120430435614631E-2</v>
      </c>
    </row>
    <row r="117" spans="1:13" x14ac:dyDescent="0.25">
      <c r="A117" s="2">
        <f t="shared" si="13"/>
        <v>36312</v>
      </c>
      <c r="B117">
        <f>Cleaned!H116/Cleaned!B115</f>
        <v>1.2467088237279744E-2</v>
      </c>
      <c r="C117">
        <f>Cleaned!D116/Cleaned!G115</f>
        <v>0.31521739130434784</v>
      </c>
      <c r="D117">
        <f>Cleaned!J116/Cleaned!L115</f>
        <v>2.3507025761124123E-2</v>
      </c>
      <c r="E117">
        <f>Cleaned!N116/Cleaned!G115</f>
        <v>0.22705314009661837</v>
      </c>
      <c r="F117">
        <f>Cleaned!M116/Cleaned!B115</f>
        <v>2.7979686597505084E-2</v>
      </c>
      <c r="G117">
        <f>Cleaned!E116/Cleaned!L115</f>
        <v>5.2049180327868851E-2</v>
      </c>
      <c r="H117">
        <f t="shared" si="15"/>
        <v>1.2597402454095909E-2</v>
      </c>
      <c r="I117">
        <f t="shared" si="16"/>
        <v>0.30429305177582644</v>
      </c>
      <c r="J117">
        <f t="shared" si="17"/>
        <v>2.2927723968068216E-2</v>
      </c>
      <c r="K117">
        <f t="shared" si="18"/>
        <v>0.243403335739065</v>
      </c>
      <c r="L117">
        <f t="shared" si="19"/>
        <v>2.7952475255944475E-2</v>
      </c>
      <c r="M117">
        <f t="shared" si="20"/>
        <v>5.4030765503425338E-2</v>
      </c>
    </row>
    <row r="118" spans="1:13" x14ac:dyDescent="0.25">
      <c r="A118" s="2">
        <f t="shared" si="13"/>
        <v>36342</v>
      </c>
      <c r="B118">
        <f>Cleaned!H117/Cleaned!B116</f>
        <v>1.2078453718004468E-2</v>
      </c>
      <c r="C118">
        <f>Cleaned!D117/Cleaned!G116</f>
        <v>0.31053604436229204</v>
      </c>
      <c r="D118">
        <f>Cleaned!J117/Cleaned!L116</f>
        <v>2.4112789880534082E-2</v>
      </c>
      <c r="E118">
        <f>Cleaned!N117/Cleaned!G116</f>
        <v>0.22853301966056125</v>
      </c>
      <c r="F118">
        <f>Cleaned!M117/Cleaned!B116</f>
        <v>2.8872827602753077E-2</v>
      </c>
      <c r="G118">
        <f>Cleaned!E117/Cleaned!L116</f>
        <v>5.2851955961583506E-2</v>
      </c>
      <c r="H118">
        <f t="shared" si="15"/>
        <v>1.2406334300238958E-2</v>
      </c>
      <c r="I118">
        <f t="shared" si="16"/>
        <v>0.31223759869767403</v>
      </c>
      <c r="J118">
        <f t="shared" si="17"/>
        <v>2.3142679343290309E-2</v>
      </c>
      <c r="K118">
        <f t="shared" si="18"/>
        <v>0.23669438725194905</v>
      </c>
      <c r="L118">
        <f t="shared" si="19"/>
        <v>2.8209609831635576E-2</v>
      </c>
      <c r="M118">
        <f t="shared" si="20"/>
        <v>5.3416401240217244E-2</v>
      </c>
    </row>
    <row r="119" spans="1:13" x14ac:dyDescent="0.25">
      <c r="A119" s="2">
        <f t="shared" si="13"/>
        <v>36373</v>
      </c>
      <c r="B119">
        <f>Cleaned!H118/Cleaned!B117</f>
        <v>1.2015230785374848E-2</v>
      </c>
      <c r="C119">
        <f>Cleaned!D118/Cleaned!G117</f>
        <v>0.32265560165975105</v>
      </c>
      <c r="D119">
        <f>Cleaned!J118/Cleaned!L117</f>
        <v>2.269337622459424E-2</v>
      </c>
      <c r="E119">
        <f>Cleaned!N118/Cleaned!G117</f>
        <v>0.23452282157676349</v>
      </c>
      <c r="F119">
        <f>Cleaned!M118/Cleaned!B117</f>
        <v>2.8565218043083936E-2</v>
      </c>
      <c r="G119">
        <f>Cleaned!E118/Cleaned!L117</f>
        <v>5.2229858166398593E-2</v>
      </c>
      <c r="H119">
        <f t="shared" si="15"/>
        <v>1.2186924246886353E-2</v>
      </c>
      <c r="I119">
        <f t="shared" si="16"/>
        <v>0.31613634577546362</v>
      </c>
      <c r="J119">
        <f t="shared" si="17"/>
        <v>2.3437730622084152E-2</v>
      </c>
      <c r="K119">
        <f t="shared" si="18"/>
        <v>0.23003632711131439</v>
      </c>
      <c r="L119">
        <f t="shared" si="19"/>
        <v>2.8472577414447364E-2</v>
      </c>
      <c r="M119">
        <f t="shared" si="20"/>
        <v>5.2376998151950314E-2</v>
      </c>
    </row>
    <row r="120" spans="1:13" x14ac:dyDescent="0.25">
      <c r="A120" s="2">
        <f t="shared" si="13"/>
        <v>36404</v>
      </c>
      <c r="B120">
        <f>Cleaned!H119/Cleaned!B118</f>
        <v>1.1430410731261836E-2</v>
      </c>
      <c r="C120">
        <f>Cleaned!D119/Cleaned!G118</f>
        <v>0.32048646796848235</v>
      </c>
      <c r="D120">
        <f>Cleaned!J119/Cleaned!L118</f>
        <v>2.471978894897171E-2</v>
      </c>
      <c r="E120">
        <f>Cleaned!N119/Cleaned!G118</f>
        <v>0.22130866735183283</v>
      </c>
      <c r="F120">
        <f>Cleaned!M119/Cleaned!B118</f>
        <v>2.8287833761256372E-2</v>
      </c>
      <c r="G120">
        <f>Cleaned!E119/Cleaned!L118</f>
        <v>5.0969989359996505E-2</v>
      </c>
      <c r="H120">
        <f t="shared" si="15"/>
        <v>1.1841365078213718E-2</v>
      </c>
      <c r="I120">
        <f t="shared" si="16"/>
        <v>0.31789270466350844</v>
      </c>
      <c r="J120">
        <f t="shared" si="17"/>
        <v>2.3841985018033345E-2</v>
      </c>
      <c r="K120">
        <f t="shared" si="18"/>
        <v>0.22812150286305252</v>
      </c>
      <c r="L120">
        <f t="shared" si="19"/>
        <v>2.8575293135697798E-2</v>
      </c>
      <c r="M120">
        <f t="shared" si="20"/>
        <v>5.2017267829326197E-2</v>
      </c>
    </row>
    <row r="121" spans="1:13" x14ac:dyDescent="0.25">
      <c r="A121" s="2">
        <f t="shared" si="13"/>
        <v>36434</v>
      </c>
      <c r="B121">
        <f>Cleaned!H120/Cleaned!B119</f>
        <v>1.2063691504558475E-2</v>
      </c>
      <c r="C121">
        <f>Cleaned!D120/Cleaned!G119</f>
        <v>0.30887573964497039</v>
      </c>
      <c r="D121">
        <f>Cleaned!J120/Cleaned!L119</f>
        <v>2.2216718627079631E-2</v>
      </c>
      <c r="E121">
        <f>Cleaned!N120/Cleaned!G119</f>
        <v>0.2463229078613694</v>
      </c>
      <c r="F121">
        <f>Cleaned!M120/Cleaned!B119</f>
        <v>2.7343370205000488E-2</v>
      </c>
      <c r="G121">
        <f>Cleaned!E120/Cleaned!L119</f>
        <v>5.3087031263657818E-2</v>
      </c>
      <c r="H121">
        <f t="shared" si="15"/>
        <v>1.1836444340398386E-2</v>
      </c>
      <c r="I121">
        <f t="shared" si="16"/>
        <v>0.31733926975773458</v>
      </c>
      <c r="J121">
        <f t="shared" si="17"/>
        <v>2.3209961266881862E-2</v>
      </c>
      <c r="K121">
        <f t="shared" si="18"/>
        <v>0.23405146559665524</v>
      </c>
      <c r="L121">
        <f t="shared" si="19"/>
        <v>2.80654740031136E-2</v>
      </c>
      <c r="M121">
        <f t="shared" si="20"/>
        <v>5.2095626263350979E-2</v>
      </c>
    </row>
    <row r="122" spans="1:13" x14ac:dyDescent="0.25">
      <c r="A122" s="2">
        <f t="shared" si="13"/>
        <v>36465</v>
      </c>
      <c r="B122">
        <f>Cleaned!H121/Cleaned!B120</f>
        <v>1.2037942280566895E-2</v>
      </c>
      <c r="C122">
        <f>Cleaned!D121/Cleaned!G120</f>
        <v>0.34492904119072343</v>
      </c>
      <c r="D122">
        <f>Cleaned!J121/Cleaned!L120</f>
        <v>2.4566305739899871E-2</v>
      </c>
      <c r="E122">
        <f>Cleaned!N121/Cleaned!G120</f>
        <v>0.24299065420560748</v>
      </c>
      <c r="F122">
        <f>Cleaned!M121/Cleaned!B120</f>
        <v>2.7359638190054703E-2</v>
      </c>
      <c r="G122">
        <f>Cleaned!E121/Cleaned!L120</f>
        <v>5.1621259750844105E-2</v>
      </c>
      <c r="H122">
        <f t="shared" si="15"/>
        <v>1.1844014838795736E-2</v>
      </c>
      <c r="I122">
        <f t="shared" si="16"/>
        <v>0.32476374960139204</v>
      </c>
      <c r="J122">
        <f t="shared" si="17"/>
        <v>2.3834271105317068E-2</v>
      </c>
      <c r="K122">
        <f t="shared" si="18"/>
        <v>0.23687407647293657</v>
      </c>
      <c r="L122">
        <f t="shared" si="19"/>
        <v>2.7663614052103852E-2</v>
      </c>
      <c r="M122">
        <f t="shared" si="20"/>
        <v>5.1892760124832814E-2</v>
      </c>
    </row>
    <row r="123" spans="1:13" x14ac:dyDescent="0.25">
      <c r="A123" s="2">
        <f t="shared" si="13"/>
        <v>36495</v>
      </c>
      <c r="B123">
        <f>Cleaned!H122/Cleaned!B121</f>
        <v>1.2061738230498328E-2</v>
      </c>
      <c r="C123">
        <f>Cleaned!D122/Cleaned!G121</f>
        <v>0.34009797060881736</v>
      </c>
      <c r="D123">
        <f>Cleaned!J122/Cleaned!L121</f>
        <v>2.3936131466616162E-2</v>
      </c>
      <c r="E123">
        <f>Cleaned!N122/Cleaned!G121</f>
        <v>0.24510146955913226</v>
      </c>
      <c r="F123">
        <f>Cleaned!M122/Cleaned!B121</f>
        <v>2.7600533099047718E-2</v>
      </c>
      <c r="G123">
        <f>Cleaned!E122/Cleaned!L121</f>
        <v>5.1878614822045137E-2</v>
      </c>
      <c r="H123">
        <f t="shared" si="15"/>
        <v>1.2054457338541233E-2</v>
      </c>
      <c r="I123">
        <f t="shared" si="16"/>
        <v>0.33130091714817039</v>
      </c>
      <c r="J123">
        <f t="shared" si="17"/>
        <v>2.3573051944531891E-2</v>
      </c>
      <c r="K123">
        <f t="shared" si="18"/>
        <v>0.24480501054203638</v>
      </c>
      <c r="L123">
        <f t="shared" si="19"/>
        <v>2.7434513831367635E-2</v>
      </c>
      <c r="M123">
        <f t="shared" si="20"/>
        <v>5.2195635278849017E-2</v>
      </c>
    </row>
    <row r="124" spans="1:13" x14ac:dyDescent="0.25">
      <c r="A124" s="2">
        <f t="shared" si="13"/>
        <v>36526</v>
      </c>
      <c r="B124">
        <f>Cleaned!H123/Cleaned!B122</f>
        <v>1.1997948306237596E-2</v>
      </c>
      <c r="C124">
        <f>Cleaned!D123/Cleaned!G122</f>
        <v>0.35467893154077479</v>
      </c>
      <c r="D124">
        <f>Cleaned!J123/Cleaned!L122</f>
        <v>2.3712766732211784E-2</v>
      </c>
      <c r="E124">
        <f>Cleaned!N123/Cleaned!G122</f>
        <v>0.22218291172828586</v>
      </c>
      <c r="F124">
        <f>Cleaned!M123/Cleaned!B122</f>
        <v>2.6694319930420821E-2</v>
      </c>
      <c r="G124">
        <f>Cleaned!E123/Cleaned!L122</f>
        <v>5.2858495375427861E-2</v>
      </c>
      <c r="H124">
        <f t="shared" si="15"/>
        <v>1.2032542939100938E-2</v>
      </c>
      <c r="I124">
        <f t="shared" si="16"/>
        <v>0.34656864778010515</v>
      </c>
      <c r="J124">
        <f t="shared" si="17"/>
        <v>2.4071734646242609E-2</v>
      </c>
      <c r="K124">
        <f t="shared" si="18"/>
        <v>0.23675834516434188</v>
      </c>
      <c r="L124">
        <f t="shared" si="19"/>
        <v>2.7218163739841081E-2</v>
      </c>
      <c r="M124">
        <f t="shared" si="20"/>
        <v>5.2119456649439032E-2</v>
      </c>
    </row>
    <row r="125" spans="1:13" x14ac:dyDescent="0.25">
      <c r="A125" s="2">
        <f t="shared" si="13"/>
        <v>36557</v>
      </c>
      <c r="B125">
        <f>Cleaned!H124/Cleaned!B123</f>
        <v>1.2287729113423502E-2</v>
      </c>
      <c r="C125">
        <f>Cleaned!D124/Cleaned!G123</f>
        <v>0.31254379817799577</v>
      </c>
      <c r="D125">
        <f>Cleaned!J124/Cleaned!L123</f>
        <v>2.3545746434873161E-2</v>
      </c>
      <c r="E125">
        <f>Cleaned!N124/Cleaned!G123</f>
        <v>0.24439383321653818</v>
      </c>
      <c r="F125">
        <f>Cleaned!M124/Cleaned!B123</f>
        <v>2.7380106767038424E-2</v>
      </c>
      <c r="G125">
        <f>Cleaned!E124/Cleaned!L123</f>
        <v>5.2645280726620579E-2</v>
      </c>
      <c r="H125">
        <f t="shared" si="15"/>
        <v>1.2115805216719809E-2</v>
      </c>
      <c r="I125">
        <f t="shared" si="16"/>
        <v>0.33577356677586262</v>
      </c>
      <c r="J125">
        <f t="shared" si="17"/>
        <v>2.3731548211233702E-2</v>
      </c>
      <c r="K125">
        <f t="shared" si="18"/>
        <v>0.23722607150131877</v>
      </c>
      <c r="L125">
        <f t="shared" si="19"/>
        <v>2.7224986598835654E-2</v>
      </c>
      <c r="M125">
        <f t="shared" si="20"/>
        <v>5.2460796974697861E-2</v>
      </c>
    </row>
    <row r="126" spans="1:13" x14ac:dyDescent="0.25">
      <c r="A126" s="2">
        <f t="shared" si="13"/>
        <v>36586</v>
      </c>
      <c r="B126">
        <f>Cleaned!H125/Cleaned!B124</f>
        <v>1.2049956807566729E-2</v>
      </c>
      <c r="C126">
        <f>Cleaned!D125/Cleaned!G124</f>
        <v>0.32314783202458175</v>
      </c>
      <c r="D126">
        <f>Cleaned!J125/Cleaned!L124</f>
        <v>2.2294560185185185E-2</v>
      </c>
      <c r="E126">
        <f>Cleaned!N125/Cleaned!G124</f>
        <v>0.24769545920109251</v>
      </c>
      <c r="F126">
        <f>Cleaned!M125/Cleaned!B124</f>
        <v>2.7804213824506947E-2</v>
      </c>
      <c r="G126">
        <f>Cleaned!E125/Cleaned!L124</f>
        <v>5.1866319444444448E-2</v>
      </c>
      <c r="H126">
        <f t="shared" si="15"/>
        <v>1.2111878075742608E-2</v>
      </c>
      <c r="I126">
        <f t="shared" si="16"/>
        <v>0.33012352058111744</v>
      </c>
      <c r="J126">
        <f t="shared" si="17"/>
        <v>2.3184357784090042E-2</v>
      </c>
      <c r="K126">
        <f t="shared" si="18"/>
        <v>0.23809073471530551</v>
      </c>
      <c r="L126">
        <f t="shared" si="19"/>
        <v>2.7292880173988732E-2</v>
      </c>
      <c r="M126">
        <f t="shared" si="20"/>
        <v>5.2456698515497634E-2</v>
      </c>
    </row>
    <row r="127" spans="1:13" x14ac:dyDescent="0.25">
      <c r="A127" s="2">
        <f t="shared" si="13"/>
        <v>36617</v>
      </c>
      <c r="B127">
        <f>Cleaned!H126/Cleaned!B125</f>
        <v>1.1206940695386282E-2</v>
      </c>
      <c r="C127">
        <f>Cleaned!D126/Cleaned!G125</f>
        <v>0.33839176696319556</v>
      </c>
      <c r="D127">
        <f>Cleaned!J126/Cleaned!L125</f>
        <v>2.2109088811330006E-2</v>
      </c>
      <c r="E127">
        <f>Cleaned!N126/Cleaned!G125</f>
        <v>0.24385138670852957</v>
      </c>
      <c r="F127">
        <f>Cleaned!M126/Cleaned!B125</f>
        <v>2.59471401087044E-2</v>
      </c>
      <c r="G127">
        <f>Cleaned!E126/Cleaned!L125</f>
        <v>5.2078225504052611E-2</v>
      </c>
      <c r="H127">
        <f t="shared" si="15"/>
        <v>1.1848208872125504E-2</v>
      </c>
      <c r="I127">
        <f t="shared" si="16"/>
        <v>0.32469446572192434</v>
      </c>
      <c r="J127">
        <f t="shared" si="17"/>
        <v>2.2649798477129449E-2</v>
      </c>
      <c r="K127">
        <f t="shared" si="18"/>
        <v>0.24531355970872007</v>
      </c>
      <c r="L127">
        <f t="shared" si="19"/>
        <v>2.7043820233416588E-2</v>
      </c>
      <c r="M127">
        <f t="shared" si="20"/>
        <v>5.2196608558372548E-2</v>
      </c>
    </row>
    <row r="128" spans="1:13" x14ac:dyDescent="0.25">
      <c r="A128" s="2">
        <f t="shared" si="13"/>
        <v>36647</v>
      </c>
      <c r="B128">
        <f>Cleaned!H127/Cleaned!B126</f>
        <v>1.2296933051650033E-2</v>
      </c>
      <c r="C128">
        <f>Cleaned!D127/Cleaned!G126</f>
        <v>0.30286444079547525</v>
      </c>
      <c r="D128">
        <f>Cleaned!J127/Cleaned!L126</f>
        <v>2.3373323516248719E-2</v>
      </c>
      <c r="E128">
        <f>Cleaned!N127/Cleaned!G126</f>
        <v>0.25159642401021709</v>
      </c>
      <c r="F128">
        <f>Cleaned!M127/Cleaned!B126</f>
        <v>2.9081372477598892E-2</v>
      </c>
      <c r="G128">
        <f>Cleaned!E127/Cleaned!L126</f>
        <v>4.7136443039253899E-2</v>
      </c>
      <c r="H128">
        <f t="shared" si="15"/>
        <v>1.1851276851534349E-2</v>
      </c>
      <c r="I128">
        <f t="shared" si="16"/>
        <v>0.32146801326108415</v>
      </c>
      <c r="J128">
        <f t="shared" si="17"/>
        <v>2.2592324170921302E-2</v>
      </c>
      <c r="K128">
        <f t="shared" si="18"/>
        <v>0.24771442330661306</v>
      </c>
      <c r="L128">
        <f t="shared" si="19"/>
        <v>2.7610908803603413E-2</v>
      </c>
      <c r="M128">
        <f t="shared" si="20"/>
        <v>5.0360329329250324E-2</v>
      </c>
    </row>
    <row r="129" spans="1:13" x14ac:dyDescent="0.25">
      <c r="A129" s="2">
        <f t="shared" si="13"/>
        <v>36678</v>
      </c>
      <c r="B129">
        <f>Cleaned!H128/Cleaned!B127</f>
        <v>1.1688501793164019E-2</v>
      </c>
      <c r="C129">
        <f>Cleaned!D128/Cleaned!G127</f>
        <v>0.32129211531781871</v>
      </c>
      <c r="D129">
        <f>Cleaned!J128/Cleaned!L127</f>
        <v>2.3048401643451247E-2</v>
      </c>
      <c r="E129">
        <f>Cleaned!N128/Cleaned!G127</f>
        <v>0.25894407780479334</v>
      </c>
      <c r="F129">
        <f>Cleaned!M128/Cleaned!B127</f>
        <v>2.7051160067335139E-2</v>
      </c>
      <c r="G129">
        <f>Cleaned!E128/Cleaned!L127</f>
        <v>5.2395745350951282E-2</v>
      </c>
      <c r="H129">
        <f t="shared" si="15"/>
        <v>1.1730791846733445E-2</v>
      </c>
      <c r="I129">
        <f t="shared" si="16"/>
        <v>0.32084944102549651</v>
      </c>
      <c r="J129">
        <f t="shared" si="17"/>
        <v>2.2843604657009992E-2</v>
      </c>
      <c r="K129">
        <f t="shared" si="18"/>
        <v>0.25146396284118</v>
      </c>
      <c r="L129">
        <f t="shared" si="19"/>
        <v>2.7359890884546142E-2</v>
      </c>
      <c r="M129">
        <f t="shared" si="20"/>
        <v>5.0536804631419269E-2</v>
      </c>
    </row>
    <row r="130" spans="1:13" x14ac:dyDescent="0.25">
      <c r="A130" s="2">
        <f t="shared" si="13"/>
        <v>36708</v>
      </c>
      <c r="B130">
        <f>Cleaned!H129/Cleaned!B128</f>
        <v>1.2786621878194829E-2</v>
      </c>
      <c r="C130">
        <f>Cleaned!D129/Cleaned!G128</f>
        <v>0.33392319943372856</v>
      </c>
      <c r="D130">
        <f>Cleaned!J129/Cleaned!L128</f>
        <v>2.1452286908237448E-2</v>
      </c>
      <c r="E130">
        <f>Cleaned!N129/Cleaned!G128</f>
        <v>0.22810122102282782</v>
      </c>
      <c r="F130">
        <f>Cleaned!M129/Cleaned!B128</f>
        <v>2.8632977946545932E-2</v>
      </c>
      <c r="G130">
        <f>Cleaned!E129/Cleaned!L128</f>
        <v>4.6883049974240081E-2</v>
      </c>
      <c r="H130">
        <f t="shared" si="15"/>
        <v>1.225735224100296E-2</v>
      </c>
      <c r="I130">
        <f t="shared" si="16"/>
        <v>0.31935991851567419</v>
      </c>
      <c r="J130">
        <f t="shared" si="17"/>
        <v>2.2624670689312471E-2</v>
      </c>
      <c r="K130">
        <f t="shared" si="18"/>
        <v>0.24621390761261275</v>
      </c>
      <c r="L130">
        <f t="shared" si="19"/>
        <v>2.8255170163826653E-2</v>
      </c>
      <c r="M130">
        <f t="shared" si="20"/>
        <v>4.8805079454815083E-2</v>
      </c>
    </row>
    <row r="131" spans="1:13" x14ac:dyDescent="0.25">
      <c r="A131" s="2">
        <f t="shared" si="13"/>
        <v>36739</v>
      </c>
      <c r="B131">
        <f>Cleaned!H130/Cleaned!B129</f>
        <v>1.2583222857812512E-2</v>
      </c>
      <c r="C131">
        <f>Cleaned!D130/Cleaned!G129</f>
        <v>0.31860100922220291</v>
      </c>
      <c r="D131">
        <f>Cleaned!J130/Cleaned!L129</f>
        <v>2.2671098610755988E-2</v>
      </c>
      <c r="E131">
        <f>Cleaned!N130/Cleaned!G129</f>
        <v>0.24743344353575777</v>
      </c>
      <c r="F131">
        <f>Cleaned!M130/Cleaned!B129</f>
        <v>2.6982883008254535E-2</v>
      </c>
      <c r="G131">
        <f>Cleaned!E130/Cleaned!L129</f>
        <v>5.169180942640416E-2</v>
      </c>
      <c r="H131">
        <f t="shared" si="15"/>
        <v>1.2352782176390452E-2</v>
      </c>
      <c r="I131">
        <f t="shared" si="16"/>
        <v>0.32460544132458341</v>
      </c>
      <c r="J131">
        <f t="shared" si="17"/>
        <v>2.2390595720814893E-2</v>
      </c>
      <c r="K131">
        <f t="shared" si="18"/>
        <v>0.24482624745445966</v>
      </c>
      <c r="L131">
        <f t="shared" si="19"/>
        <v>2.7555673674045201E-2</v>
      </c>
      <c r="M131">
        <f t="shared" si="20"/>
        <v>5.0323534917198508E-2</v>
      </c>
    </row>
    <row r="132" spans="1:13" x14ac:dyDescent="0.25">
      <c r="A132" s="2">
        <f t="shared" si="13"/>
        <v>36770</v>
      </c>
      <c r="B132">
        <f>Cleaned!H131/Cleaned!B130</f>
        <v>1.2022361739181338E-2</v>
      </c>
      <c r="C132">
        <f>Cleaned!D131/Cleaned!G130</f>
        <v>0.3203485392106612</v>
      </c>
      <c r="D132">
        <f>Cleaned!J131/Cleaned!L130</f>
        <v>2.0894589565489126E-2</v>
      </c>
      <c r="E132">
        <f>Cleaned!N131/Cleaned!G130</f>
        <v>0.25576627370579191</v>
      </c>
      <c r="F132">
        <f>Cleaned!M131/Cleaned!B130</f>
        <v>2.8544877142146319E-2</v>
      </c>
      <c r="G132">
        <f>Cleaned!E131/Cleaned!L130</f>
        <v>5.3621397423332058E-2</v>
      </c>
      <c r="H132">
        <f t="shared" si="15"/>
        <v>1.2464068825062893E-2</v>
      </c>
      <c r="I132">
        <f t="shared" si="16"/>
        <v>0.32429091595553089</v>
      </c>
      <c r="J132">
        <f t="shared" si="17"/>
        <v>2.167265836149419E-2</v>
      </c>
      <c r="K132">
        <f t="shared" si="18"/>
        <v>0.2437669794214592</v>
      </c>
      <c r="L132">
        <f t="shared" si="19"/>
        <v>2.8053579365648926E-2</v>
      </c>
      <c r="M132">
        <f t="shared" si="20"/>
        <v>5.0732085607992104E-2</v>
      </c>
    </row>
    <row r="133" spans="1:13" x14ac:dyDescent="0.25">
      <c r="A133" s="2">
        <f t="shared" si="13"/>
        <v>36800</v>
      </c>
      <c r="B133">
        <f>Cleaned!H132/Cleaned!B131</f>
        <v>1.1315406923655702E-2</v>
      </c>
      <c r="C133">
        <f>Cleaned!D132/Cleaned!G131</f>
        <v>0.33511111111111114</v>
      </c>
      <c r="D133">
        <f>Cleaned!J132/Cleaned!L131</f>
        <v>2.1204614622407813E-2</v>
      </c>
      <c r="E133">
        <f>Cleaned!N132/Cleaned!G131</f>
        <v>0.2263111111111111</v>
      </c>
      <c r="F133">
        <f>Cleaned!M132/Cleaned!B131</f>
        <v>2.8701248420299065E-2</v>
      </c>
      <c r="G133">
        <f>Cleaned!E132/Cleaned!L131</f>
        <v>5.2247151249203767E-2</v>
      </c>
      <c r="H133">
        <f t="shared" si="15"/>
        <v>1.1973663840216517E-2</v>
      </c>
      <c r="I133">
        <f t="shared" si="16"/>
        <v>0.32468688651465843</v>
      </c>
      <c r="J133">
        <f t="shared" si="17"/>
        <v>2.1590100932884309E-2</v>
      </c>
      <c r="K133">
        <f t="shared" si="18"/>
        <v>0.2431702761175536</v>
      </c>
      <c r="L133">
        <f t="shared" si="19"/>
        <v>2.8076336190233309E-2</v>
      </c>
      <c r="M133">
        <f t="shared" si="20"/>
        <v>5.2520119366313324E-2</v>
      </c>
    </row>
    <row r="134" spans="1:13" x14ac:dyDescent="0.25">
      <c r="A134" s="2">
        <f t="shared" ref="A134:A197" si="21">DATE(YEAR(A133),MONTH(A133)+1,1)</f>
        <v>36831</v>
      </c>
      <c r="B134">
        <f>Cleaned!H133/Cleaned!B132</f>
        <v>1.0533380018674137E-2</v>
      </c>
      <c r="C134">
        <f>Cleaned!D133/Cleaned!G132</f>
        <v>0.30881821467293097</v>
      </c>
      <c r="D134">
        <f>Cleaned!J133/Cleaned!L132</f>
        <v>2.2548105450538272E-2</v>
      </c>
      <c r="E134">
        <f>Cleaned!N133/Cleaned!G132</f>
        <v>0.224792193711601</v>
      </c>
      <c r="F134">
        <f>Cleaned!M133/Cleaned!B132</f>
        <v>2.8405112044817927E-2</v>
      </c>
      <c r="G134">
        <f>Cleaned!E133/Cleaned!L132</f>
        <v>5.4123929812664236E-2</v>
      </c>
      <c r="H134">
        <f t="shared" si="15"/>
        <v>1.129038289383706E-2</v>
      </c>
      <c r="I134">
        <f t="shared" si="16"/>
        <v>0.3214259549982344</v>
      </c>
      <c r="J134">
        <f t="shared" si="17"/>
        <v>2.1549103212811737E-2</v>
      </c>
      <c r="K134">
        <f t="shared" si="18"/>
        <v>0.23562319284283464</v>
      </c>
      <c r="L134">
        <f t="shared" si="19"/>
        <v>2.8550412535754438E-2</v>
      </c>
      <c r="M134">
        <f t="shared" si="20"/>
        <v>5.3330826161733354E-2</v>
      </c>
    </row>
    <row r="135" spans="1:13" x14ac:dyDescent="0.25">
      <c r="A135" s="2">
        <f t="shared" si="21"/>
        <v>36861</v>
      </c>
      <c r="B135">
        <f>Cleaned!H134/Cleaned!B133</f>
        <v>1.0719331206944262E-2</v>
      </c>
      <c r="C135">
        <f>Cleaned!D134/Cleaned!G133</f>
        <v>0.30129455577230008</v>
      </c>
      <c r="D135">
        <f>Cleaned!J134/Cleaned!L133</f>
        <v>2.1068589807166437E-2</v>
      </c>
      <c r="E135">
        <f>Cleaned!N134/Cleaned!G133</f>
        <v>0.22929597446355737</v>
      </c>
      <c r="F135">
        <f>Cleaned!M134/Cleaned!B133</f>
        <v>2.7293514513333623E-2</v>
      </c>
      <c r="G135">
        <f>Cleaned!E134/Cleaned!L133</f>
        <v>5.3386984797177628E-2</v>
      </c>
      <c r="H135">
        <f t="shared" ref="H135:H198" si="22">AVERAGE(B133:B135)</f>
        <v>1.0856039383091367E-2</v>
      </c>
      <c r="I135">
        <f t="shared" ref="I135:I198" si="23">AVERAGE(C133:C135)</f>
        <v>0.31507462718544743</v>
      </c>
      <c r="J135">
        <f t="shared" ref="J135:J198" si="24">AVERAGE(D133:D135)</f>
        <v>2.1607103293370844E-2</v>
      </c>
      <c r="K135">
        <f t="shared" ref="K135:K198" si="25">AVERAGE(E133:E135)</f>
        <v>0.2267997597620898</v>
      </c>
      <c r="L135">
        <f t="shared" ref="L135:L198" si="26">AVERAGE(F133:F135)</f>
        <v>2.8133291659483538E-2</v>
      </c>
      <c r="M135">
        <f t="shared" ref="M135:M198" si="27">AVERAGE(G133:G135)</f>
        <v>5.3252688619681875E-2</v>
      </c>
    </row>
    <row r="136" spans="1:13" x14ac:dyDescent="0.25">
      <c r="A136" s="2">
        <f t="shared" si="21"/>
        <v>36892</v>
      </c>
      <c r="B136">
        <f>Cleaned!H135/Cleaned!B134</f>
        <v>1.2774863022657578E-2</v>
      </c>
      <c r="C136">
        <f>Cleaned!D135/Cleaned!G134</f>
        <v>0.3166489172878949</v>
      </c>
      <c r="D136">
        <f>Cleaned!J135/Cleaned!L134</f>
        <v>2.3550107819770742E-2</v>
      </c>
      <c r="E136">
        <f>Cleaned!N135/Cleaned!G134</f>
        <v>0.22328718494852681</v>
      </c>
      <c r="F136">
        <f>Cleaned!M135/Cleaned!B134</f>
        <v>2.8296539596262008E-2</v>
      </c>
      <c r="G136">
        <f>Cleaned!E135/Cleaned!L134</f>
        <v>5.6350017024174325E-2</v>
      </c>
      <c r="H136">
        <f t="shared" si="22"/>
        <v>1.1342524749425325E-2</v>
      </c>
      <c r="I136">
        <f t="shared" si="23"/>
        <v>0.30892056257770867</v>
      </c>
      <c r="J136">
        <f t="shared" si="24"/>
        <v>2.2388934359158483E-2</v>
      </c>
      <c r="K136">
        <f t="shared" si="25"/>
        <v>0.22579178437456174</v>
      </c>
      <c r="L136">
        <f t="shared" si="26"/>
        <v>2.7998388718137854E-2</v>
      </c>
      <c r="M136">
        <f t="shared" si="27"/>
        <v>5.4620310544672063E-2</v>
      </c>
    </row>
    <row r="137" spans="1:13" x14ac:dyDescent="0.25">
      <c r="A137" s="2">
        <f t="shared" si="21"/>
        <v>36923</v>
      </c>
      <c r="B137">
        <f>Cleaned!H136/Cleaned!B135</f>
        <v>1.2549173307784987E-2</v>
      </c>
      <c r="C137">
        <f>Cleaned!D136/Cleaned!G135</f>
        <v>0.30400132824173998</v>
      </c>
      <c r="D137">
        <f>Cleaned!J136/Cleaned!L135</f>
        <v>2.2443214244949206E-2</v>
      </c>
      <c r="E137">
        <f>Cleaned!N136/Cleaned!G135</f>
        <v>0.23841939232940396</v>
      </c>
      <c r="F137">
        <f>Cleaned!M136/Cleaned!B135</f>
        <v>3.0266080215999653E-2</v>
      </c>
      <c r="G137">
        <f>Cleaned!E136/Cleaned!L135</f>
        <v>5.4831069512612712E-2</v>
      </c>
      <c r="H137">
        <f t="shared" si="22"/>
        <v>1.2014455845795609E-2</v>
      </c>
      <c r="I137">
        <f t="shared" si="23"/>
        <v>0.30731493376731162</v>
      </c>
      <c r="J137">
        <f t="shared" si="24"/>
        <v>2.2353970623962129E-2</v>
      </c>
      <c r="K137">
        <f t="shared" si="25"/>
        <v>0.2303341839138294</v>
      </c>
      <c r="L137">
        <f t="shared" si="26"/>
        <v>2.8618711441865095E-2</v>
      </c>
      <c r="M137">
        <f t="shared" si="27"/>
        <v>5.4856023777988226E-2</v>
      </c>
    </row>
    <row r="138" spans="1:13" x14ac:dyDescent="0.25">
      <c r="A138" s="2">
        <f t="shared" si="21"/>
        <v>36951</v>
      </c>
      <c r="B138">
        <f>Cleaned!H137/Cleaned!B136</f>
        <v>1.294945208266721E-2</v>
      </c>
      <c r="C138">
        <f>Cleaned!D137/Cleaned!G136</f>
        <v>0.31072425685662669</v>
      </c>
      <c r="D138">
        <f>Cleaned!J137/Cleaned!L136</f>
        <v>2.3093638597338408E-2</v>
      </c>
      <c r="E138">
        <f>Cleaned!N137/Cleaned!G136</f>
        <v>0.24273279684677287</v>
      </c>
      <c r="F138">
        <f>Cleaned!M137/Cleaned!B136</f>
        <v>2.7875475975932332E-2</v>
      </c>
      <c r="G138">
        <f>Cleaned!E137/Cleaned!L136</f>
        <v>5.4538482296297347E-2</v>
      </c>
      <c r="H138">
        <f t="shared" si="22"/>
        <v>1.2757829471036592E-2</v>
      </c>
      <c r="I138">
        <f t="shared" si="23"/>
        <v>0.31045816746208721</v>
      </c>
      <c r="J138">
        <f t="shared" si="24"/>
        <v>2.3028986887352786E-2</v>
      </c>
      <c r="K138">
        <f t="shared" si="25"/>
        <v>0.23481312470823454</v>
      </c>
      <c r="L138">
        <f t="shared" si="26"/>
        <v>2.8812698596064664E-2</v>
      </c>
      <c r="M138">
        <f t="shared" si="27"/>
        <v>5.5239856277694795E-2</v>
      </c>
    </row>
    <row r="139" spans="1:13" x14ac:dyDescent="0.25">
      <c r="A139" s="2">
        <f t="shared" si="21"/>
        <v>36982</v>
      </c>
      <c r="B139">
        <f>Cleaned!H138/Cleaned!B137</f>
        <v>1.325998127490329E-2</v>
      </c>
      <c r="C139">
        <f>Cleaned!D138/Cleaned!G137</f>
        <v>0.30271942680345221</v>
      </c>
      <c r="D139">
        <f>Cleaned!J138/Cleaned!L137</f>
        <v>2.375641153152129E-2</v>
      </c>
      <c r="E139">
        <f>Cleaned!N138/Cleaned!G137</f>
        <v>0.25012212994626282</v>
      </c>
      <c r="F139">
        <f>Cleaned!M138/Cleaned!B137</f>
        <v>3.0431911048532836E-2</v>
      </c>
      <c r="G139">
        <f>Cleaned!E138/Cleaned!L137</f>
        <v>5.106491808868871E-2</v>
      </c>
      <c r="H139">
        <f t="shared" si="22"/>
        <v>1.2919535555118496E-2</v>
      </c>
      <c r="I139">
        <f t="shared" si="23"/>
        <v>0.30581500396727296</v>
      </c>
      <c r="J139">
        <f t="shared" si="24"/>
        <v>2.3097754791269635E-2</v>
      </c>
      <c r="K139">
        <f t="shared" si="25"/>
        <v>0.24375810637414655</v>
      </c>
      <c r="L139">
        <f t="shared" si="26"/>
        <v>2.9524489080154939E-2</v>
      </c>
      <c r="M139">
        <f t="shared" si="27"/>
        <v>5.3478156632532921E-2</v>
      </c>
    </row>
    <row r="140" spans="1:13" x14ac:dyDescent="0.25">
      <c r="A140" s="2">
        <f t="shared" si="21"/>
        <v>37012</v>
      </c>
      <c r="B140">
        <f>Cleaned!H139/Cleaned!B138</f>
        <v>1.3182907377329769E-2</v>
      </c>
      <c r="C140">
        <f>Cleaned!D139/Cleaned!G138</f>
        <v>0.32435018338383031</v>
      </c>
      <c r="D140">
        <f>Cleaned!J139/Cleaned!L138</f>
        <v>2.2802863746547157E-2</v>
      </c>
      <c r="E140">
        <f>Cleaned!N139/Cleaned!G138</f>
        <v>0.23313666081964599</v>
      </c>
      <c r="F140">
        <f>Cleaned!M139/Cleaned!B138</f>
        <v>3.032068696785847E-2</v>
      </c>
      <c r="G140">
        <f>Cleaned!E139/Cleaned!L138</f>
        <v>5.1820846721912173E-2</v>
      </c>
      <c r="H140">
        <f t="shared" si="22"/>
        <v>1.3130780244966755E-2</v>
      </c>
      <c r="I140">
        <f t="shared" si="23"/>
        <v>0.31259795568130305</v>
      </c>
      <c r="J140">
        <f t="shared" si="24"/>
        <v>2.3217637958468953E-2</v>
      </c>
      <c r="K140">
        <f t="shared" si="25"/>
        <v>0.24199719587089388</v>
      </c>
      <c r="L140">
        <f t="shared" si="26"/>
        <v>2.9542691330774546E-2</v>
      </c>
      <c r="M140">
        <f t="shared" si="27"/>
        <v>5.2474749035632741E-2</v>
      </c>
    </row>
    <row r="141" spans="1:13" x14ac:dyDescent="0.25">
      <c r="A141" s="2">
        <f t="shared" si="21"/>
        <v>37043</v>
      </c>
      <c r="B141">
        <f>Cleaned!H140/Cleaned!B139</f>
        <v>1.3691535611122458E-2</v>
      </c>
      <c r="C141">
        <f>Cleaned!D140/Cleaned!G139</f>
        <v>0.30677802762608414</v>
      </c>
      <c r="D141">
        <f>Cleaned!J140/Cleaned!L139</f>
        <v>2.3650824768252723E-2</v>
      </c>
      <c r="E141">
        <f>Cleaned!N140/Cleaned!G139</f>
        <v>0.2308062961773209</v>
      </c>
      <c r="F141">
        <f>Cleaned!M140/Cleaned!B139</f>
        <v>2.8871123041461208E-2</v>
      </c>
      <c r="G141">
        <f>Cleaned!E140/Cleaned!L139</f>
        <v>5.1180440809925225E-2</v>
      </c>
      <c r="H141">
        <f t="shared" si="22"/>
        <v>1.3378141421118504E-2</v>
      </c>
      <c r="I141">
        <f t="shared" si="23"/>
        <v>0.31128254593778887</v>
      </c>
      <c r="J141">
        <f t="shared" si="24"/>
        <v>2.3403366682107057E-2</v>
      </c>
      <c r="K141">
        <f t="shared" si="25"/>
        <v>0.23802169564774323</v>
      </c>
      <c r="L141">
        <f t="shared" si="26"/>
        <v>2.9874573685950839E-2</v>
      </c>
      <c r="M141">
        <f t="shared" si="27"/>
        <v>5.1355401873508705E-2</v>
      </c>
    </row>
    <row r="142" spans="1:13" x14ac:dyDescent="0.25">
      <c r="A142" s="2">
        <f t="shared" si="21"/>
        <v>37073</v>
      </c>
      <c r="B142">
        <f>Cleaned!H141/Cleaned!B140</f>
        <v>1.3391976503766265E-2</v>
      </c>
      <c r="C142">
        <f>Cleaned!D141/Cleaned!G140</f>
        <v>0.30166563849475631</v>
      </c>
      <c r="D142">
        <f>Cleaned!J141/Cleaned!L140</f>
        <v>2.3200916303497597E-2</v>
      </c>
      <c r="E142">
        <f>Cleaned!N141/Cleaned!G140</f>
        <v>0.22455274521900062</v>
      </c>
      <c r="F142">
        <f>Cleaned!M141/Cleaned!B140</f>
        <v>2.9428740511276877E-2</v>
      </c>
      <c r="G142">
        <f>Cleaned!E141/Cleaned!L140</f>
        <v>5.591406861101799E-2</v>
      </c>
      <c r="H142">
        <f t="shared" si="22"/>
        <v>1.3422139830739498E-2</v>
      </c>
      <c r="I142">
        <f t="shared" si="23"/>
        <v>0.3109312831682236</v>
      </c>
      <c r="J142">
        <f t="shared" si="24"/>
        <v>2.3218201606099154E-2</v>
      </c>
      <c r="K142">
        <f t="shared" si="25"/>
        <v>0.22949856740532248</v>
      </c>
      <c r="L142">
        <f t="shared" si="26"/>
        <v>2.9540183506865519E-2</v>
      </c>
      <c r="M142">
        <f t="shared" si="27"/>
        <v>5.2971785380951798E-2</v>
      </c>
    </row>
    <row r="143" spans="1:13" x14ac:dyDescent="0.25">
      <c r="A143" s="2">
        <f t="shared" si="21"/>
        <v>37104</v>
      </c>
      <c r="B143">
        <f>Cleaned!H142/Cleaned!B141</f>
        <v>1.4197021981308957E-2</v>
      </c>
      <c r="C143">
        <f>Cleaned!D142/Cleaned!G141</f>
        <v>0.29074889867841408</v>
      </c>
      <c r="D143">
        <f>Cleaned!J142/Cleaned!L141</f>
        <v>2.601851075133518E-2</v>
      </c>
      <c r="E143">
        <f>Cleaned!N142/Cleaned!G141</f>
        <v>0.22087194288318396</v>
      </c>
      <c r="F143">
        <f>Cleaned!M142/Cleaned!B141</f>
        <v>3.2997497647204735E-2</v>
      </c>
      <c r="G143">
        <f>Cleaned!E142/Cleaned!L141</f>
        <v>5.1212146631993957E-2</v>
      </c>
      <c r="H143">
        <f t="shared" si="22"/>
        <v>1.3760178032065891E-2</v>
      </c>
      <c r="I143">
        <f t="shared" si="23"/>
        <v>0.29973085493308482</v>
      </c>
      <c r="J143">
        <f t="shared" si="24"/>
        <v>2.4290083941028499E-2</v>
      </c>
      <c r="K143">
        <f t="shared" si="25"/>
        <v>0.22541032809316852</v>
      </c>
      <c r="L143">
        <f t="shared" si="26"/>
        <v>3.0432453733314272E-2</v>
      </c>
      <c r="M143">
        <f t="shared" si="27"/>
        <v>5.276888535097906E-2</v>
      </c>
    </row>
    <row r="144" spans="1:13" x14ac:dyDescent="0.25">
      <c r="A144" s="2">
        <f t="shared" si="21"/>
        <v>37135</v>
      </c>
      <c r="B144">
        <f>Cleaned!H143/Cleaned!B142</f>
        <v>1.3380700376538634E-2</v>
      </c>
      <c r="C144">
        <f>Cleaned!D143/Cleaned!G142</f>
        <v>0.29040045441635898</v>
      </c>
      <c r="D144">
        <f>Cleaned!J143/Cleaned!L142</f>
        <v>2.5729178218919818E-2</v>
      </c>
      <c r="E144">
        <f>Cleaned!N143/Cleaned!G142</f>
        <v>0.22010792388525988</v>
      </c>
      <c r="F144">
        <f>Cleaned!M143/Cleaned!B142</f>
        <v>2.8178008088607688E-2</v>
      </c>
      <c r="G144">
        <f>Cleaned!E143/Cleaned!L142</f>
        <v>5.7169790395918817E-2</v>
      </c>
      <c r="H144">
        <f t="shared" si="22"/>
        <v>1.3656566287204618E-2</v>
      </c>
      <c r="I144">
        <f t="shared" si="23"/>
        <v>0.29427166386317644</v>
      </c>
      <c r="J144">
        <f t="shared" si="24"/>
        <v>2.4982868424584196E-2</v>
      </c>
      <c r="K144">
        <f t="shared" si="25"/>
        <v>0.22184420399581484</v>
      </c>
      <c r="L144">
        <f t="shared" si="26"/>
        <v>3.0201415415696431E-2</v>
      </c>
      <c r="M144">
        <f t="shared" si="27"/>
        <v>5.4765335212976919E-2</v>
      </c>
    </row>
    <row r="145" spans="1:13" x14ac:dyDescent="0.25">
      <c r="A145" s="2">
        <f t="shared" si="21"/>
        <v>37165</v>
      </c>
      <c r="B145">
        <f>Cleaned!H144/Cleaned!B143</f>
        <v>1.4797655759028397E-2</v>
      </c>
      <c r="C145">
        <f>Cleaned!D144/Cleaned!G143</f>
        <v>0.27065247829739569</v>
      </c>
      <c r="D145">
        <f>Cleaned!J144/Cleaned!L143</f>
        <v>2.7749874434957307E-2</v>
      </c>
      <c r="E145">
        <f>Cleaned!N144/Cleaned!G143</f>
        <v>0.21870624474936992</v>
      </c>
      <c r="F145">
        <f>Cleaned!M144/Cleaned!B143</f>
        <v>2.8426114025985414E-2</v>
      </c>
      <c r="G145">
        <f>Cleaned!E144/Cleaned!L143</f>
        <v>4.7658909537362577E-2</v>
      </c>
      <c r="H145">
        <f t="shared" si="22"/>
        <v>1.4125126038958663E-2</v>
      </c>
      <c r="I145">
        <f t="shared" si="23"/>
        <v>0.28393394379738962</v>
      </c>
      <c r="J145">
        <f t="shared" si="24"/>
        <v>2.6499187801737434E-2</v>
      </c>
      <c r="K145">
        <f t="shared" si="25"/>
        <v>0.21989537050593791</v>
      </c>
      <c r="L145">
        <f t="shared" si="26"/>
        <v>2.9867206587265948E-2</v>
      </c>
      <c r="M145">
        <f t="shared" si="27"/>
        <v>5.2013615521758448E-2</v>
      </c>
    </row>
    <row r="146" spans="1:13" x14ac:dyDescent="0.25">
      <c r="A146" s="2">
        <f t="shared" si="21"/>
        <v>37196</v>
      </c>
      <c r="B146">
        <f>Cleaned!H145/Cleaned!B144</f>
        <v>1.5462783740981876E-2</v>
      </c>
      <c r="C146">
        <f>Cleaned!D145/Cleaned!G144</f>
        <v>0.27566935274239668</v>
      </c>
      <c r="D146">
        <f>Cleaned!J145/Cleaned!L144</f>
        <v>2.6692844312627931E-2</v>
      </c>
      <c r="E146">
        <f>Cleaned!N145/Cleaned!G144</f>
        <v>0.21107356381596049</v>
      </c>
      <c r="F146">
        <f>Cleaned!M145/Cleaned!B144</f>
        <v>2.7266995131679277E-2</v>
      </c>
      <c r="G146">
        <f>Cleaned!E145/Cleaned!L144</f>
        <v>4.9124859016667362E-2</v>
      </c>
      <c r="H146">
        <f t="shared" si="22"/>
        <v>1.4547046625516301E-2</v>
      </c>
      <c r="I146">
        <f t="shared" si="23"/>
        <v>0.2789074284853838</v>
      </c>
      <c r="J146">
        <f t="shared" si="24"/>
        <v>2.6723965655501686E-2</v>
      </c>
      <c r="K146">
        <f t="shared" si="25"/>
        <v>0.21662924415019677</v>
      </c>
      <c r="L146">
        <f t="shared" si="26"/>
        <v>2.7957039082090795E-2</v>
      </c>
      <c r="M146">
        <f t="shared" si="27"/>
        <v>5.1317852983316252E-2</v>
      </c>
    </row>
    <row r="147" spans="1:13" x14ac:dyDescent="0.25">
      <c r="A147" s="2">
        <f t="shared" si="21"/>
        <v>37226</v>
      </c>
      <c r="B147">
        <f>Cleaned!H146/Cleaned!B145</f>
        <v>1.45774306727932E-2</v>
      </c>
      <c r="C147">
        <f>Cleaned!D146/Cleaned!G145</f>
        <v>0.26352617768336872</v>
      </c>
      <c r="D147">
        <f>Cleaned!J146/Cleaned!L145</f>
        <v>2.8326562413044688E-2</v>
      </c>
      <c r="E147">
        <f>Cleaned!N146/Cleaned!G145</f>
        <v>0.20992127952017994</v>
      </c>
      <c r="F147">
        <f>Cleaned!M146/Cleaned!B145</f>
        <v>2.8501592800833836E-2</v>
      </c>
      <c r="G147">
        <f>Cleaned!E146/Cleaned!L145</f>
        <v>4.8764538928154043E-2</v>
      </c>
      <c r="H147">
        <f t="shared" si="22"/>
        <v>1.4945956724267824E-2</v>
      </c>
      <c r="I147">
        <f t="shared" si="23"/>
        <v>0.26994933624105372</v>
      </c>
      <c r="J147">
        <f t="shared" si="24"/>
        <v>2.7589760386876643E-2</v>
      </c>
      <c r="K147">
        <f t="shared" si="25"/>
        <v>0.21323369602850342</v>
      </c>
      <c r="L147">
        <f t="shared" si="26"/>
        <v>2.8064900652832844E-2</v>
      </c>
      <c r="M147">
        <f t="shared" si="27"/>
        <v>4.8516102494061325E-2</v>
      </c>
    </row>
    <row r="148" spans="1:13" x14ac:dyDescent="0.25">
      <c r="A148" s="2">
        <f t="shared" si="21"/>
        <v>37257</v>
      </c>
      <c r="B148">
        <f>Cleaned!H147/Cleaned!B146</f>
        <v>1.5656354054113652E-2</v>
      </c>
      <c r="C148">
        <f>Cleaned!D147/Cleaned!G146</f>
        <v>0.25538871397432794</v>
      </c>
      <c r="D148">
        <f>Cleaned!J147/Cleaned!L146</f>
        <v>2.3427301763643937E-2</v>
      </c>
      <c r="E148">
        <f>Cleaned!N147/Cleaned!G146</f>
        <v>0.21748607410995399</v>
      </c>
      <c r="F148">
        <f>Cleaned!M147/Cleaned!B146</f>
        <v>2.8644512558160046E-2</v>
      </c>
      <c r="G148">
        <f>Cleaned!E147/Cleaned!L146</f>
        <v>4.9409804193861963E-2</v>
      </c>
      <c r="H148">
        <f t="shared" si="22"/>
        <v>1.5232189489296243E-2</v>
      </c>
      <c r="I148">
        <f t="shared" si="23"/>
        <v>0.26486141480003111</v>
      </c>
      <c r="J148">
        <f t="shared" si="24"/>
        <v>2.6148902829772187E-2</v>
      </c>
      <c r="K148">
        <f t="shared" si="25"/>
        <v>0.2128269724820315</v>
      </c>
      <c r="L148">
        <f t="shared" si="26"/>
        <v>2.8137700163557721E-2</v>
      </c>
      <c r="M148">
        <f t="shared" si="27"/>
        <v>4.9099734046227785E-2</v>
      </c>
    </row>
    <row r="149" spans="1:13" x14ac:dyDescent="0.25">
      <c r="A149" s="2">
        <f t="shared" si="21"/>
        <v>37288</v>
      </c>
      <c r="B149">
        <f>Cleaned!H148/Cleaned!B147</f>
        <v>1.4369827783140877E-2</v>
      </c>
      <c r="C149">
        <f>Cleaned!D148/Cleaned!G147</f>
        <v>0.28501588853581034</v>
      </c>
      <c r="D149">
        <f>Cleaned!J148/Cleaned!L147</f>
        <v>2.7718491387026149E-2</v>
      </c>
      <c r="E149">
        <f>Cleaned!N148/Cleaned!G147</f>
        <v>0.19652896602297726</v>
      </c>
      <c r="F149">
        <f>Cleaned!M148/Cleaned!B147</f>
        <v>2.5195098046440337E-2</v>
      </c>
      <c r="G149">
        <f>Cleaned!E148/Cleaned!L147</f>
        <v>5.1856849758341018E-2</v>
      </c>
      <c r="H149">
        <f t="shared" si="22"/>
        <v>1.4867870836682576E-2</v>
      </c>
      <c r="I149">
        <f t="shared" si="23"/>
        <v>0.26797692673116896</v>
      </c>
      <c r="J149">
        <f t="shared" si="24"/>
        <v>2.6490785187904927E-2</v>
      </c>
      <c r="K149">
        <f t="shared" si="25"/>
        <v>0.20797877321770372</v>
      </c>
      <c r="L149">
        <f t="shared" si="26"/>
        <v>2.7447067801811404E-2</v>
      </c>
      <c r="M149">
        <f t="shared" si="27"/>
        <v>5.001039762678567E-2</v>
      </c>
    </row>
    <row r="150" spans="1:13" x14ac:dyDescent="0.25">
      <c r="A150" s="2">
        <f t="shared" si="21"/>
        <v>37316</v>
      </c>
      <c r="B150">
        <f>Cleaned!H149/Cleaned!B148</f>
        <v>1.3808469781146014E-2</v>
      </c>
      <c r="C150">
        <f>Cleaned!D149/Cleaned!G148</f>
        <v>0.26719415702982352</v>
      </c>
      <c r="D150">
        <f>Cleaned!J149/Cleaned!L148</f>
        <v>2.817664213303708E-2</v>
      </c>
      <c r="E150">
        <f>Cleaned!N149/Cleaned!G148</f>
        <v>0.2014607425441266</v>
      </c>
      <c r="F150">
        <f>Cleaned!M149/Cleaned!B148</f>
        <v>2.9258710916313636E-2</v>
      </c>
      <c r="G150">
        <f>Cleaned!E149/Cleaned!L148</f>
        <v>4.6660186085265933E-2</v>
      </c>
      <c r="H150">
        <f t="shared" si="22"/>
        <v>1.4611550539466847E-2</v>
      </c>
      <c r="I150">
        <f t="shared" si="23"/>
        <v>0.2691995865133206</v>
      </c>
      <c r="J150">
        <f t="shared" si="24"/>
        <v>2.6440811761235722E-2</v>
      </c>
      <c r="K150">
        <f t="shared" si="25"/>
        <v>0.20515859422568594</v>
      </c>
      <c r="L150">
        <f t="shared" si="26"/>
        <v>2.7699440506971335E-2</v>
      </c>
      <c r="M150">
        <f t="shared" si="27"/>
        <v>4.9308946679156307E-2</v>
      </c>
    </row>
    <row r="151" spans="1:13" x14ac:dyDescent="0.25">
      <c r="A151" s="2">
        <f t="shared" si="21"/>
        <v>37347</v>
      </c>
      <c r="B151">
        <f>Cleaned!H150/Cleaned!B149</f>
        <v>1.4745515028235311E-2</v>
      </c>
      <c r="C151">
        <f>Cleaned!D150/Cleaned!G149</f>
        <v>0.25108381502890176</v>
      </c>
      <c r="D151">
        <f>Cleaned!J150/Cleaned!L149</f>
        <v>2.753549064871515E-2</v>
      </c>
      <c r="E151">
        <f>Cleaned!N150/Cleaned!G149</f>
        <v>0.1988198458574181</v>
      </c>
      <c r="F151">
        <f>Cleaned!M150/Cleaned!B149</f>
        <v>2.7912202501156582E-2</v>
      </c>
      <c r="G151">
        <f>Cleaned!E150/Cleaned!L149</f>
        <v>5.0274387293863951E-2</v>
      </c>
      <c r="H151">
        <f t="shared" si="22"/>
        <v>1.4307937530840734E-2</v>
      </c>
      <c r="I151">
        <f t="shared" si="23"/>
        <v>0.26776462019817854</v>
      </c>
      <c r="J151">
        <f t="shared" si="24"/>
        <v>2.7810208056259458E-2</v>
      </c>
      <c r="K151">
        <f t="shared" si="25"/>
        <v>0.19893651814150734</v>
      </c>
      <c r="L151">
        <f t="shared" si="26"/>
        <v>2.7455337154636852E-2</v>
      </c>
      <c r="M151">
        <f t="shared" si="27"/>
        <v>4.9597141045823634E-2</v>
      </c>
    </row>
    <row r="152" spans="1:13" x14ac:dyDescent="0.25">
      <c r="A152" s="2">
        <f t="shared" si="21"/>
        <v>37377</v>
      </c>
      <c r="B152">
        <f>Cleaned!H151/Cleaned!B150</f>
        <v>1.3201004951295123E-2</v>
      </c>
      <c r="C152">
        <f>Cleaned!D151/Cleaned!G150</f>
        <v>0.24770322130480288</v>
      </c>
      <c r="D152">
        <f>Cleaned!J151/Cleaned!L150</f>
        <v>2.6659841452110512E-2</v>
      </c>
      <c r="E152">
        <f>Cleaned!N151/Cleaned!G150</f>
        <v>0.21095476218164902</v>
      </c>
      <c r="F152">
        <f>Cleaned!M151/Cleaned!B150</f>
        <v>2.8040198051804945E-2</v>
      </c>
      <c r="G152">
        <f>Cleaned!E151/Cleaned!L150</f>
        <v>5.3292013115479861E-2</v>
      </c>
      <c r="H152">
        <f t="shared" si="22"/>
        <v>1.3918329920225481E-2</v>
      </c>
      <c r="I152">
        <f t="shared" si="23"/>
        <v>0.25532706445450937</v>
      </c>
      <c r="J152">
        <f t="shared" si="24"/>
        <v>2.7457324744620915E-2</v>
      </c>
      <c r="K152">
        <f t="shared" si="25"/>
        <v>0.20374511686106456</v>
      </c>
      <c r="L152">
        <f t="shared" si="26"/>
        <v>2.8403703823091719E-2</v>
      </c>
      <c r="M152">
        <f t="shared" si="27"/>
        <v>5.0075528831536577E-2</v>
      </c>
    </row>
    <row r="153" spans="1:13" x14ac:dyDescent="0.25">
      <c r="A153" s="2">
        <f t="shared" si="21"/>
        <v>37408</v>
      </c>
      <c r="B153">
        <f>Cleaned!H152/Cleaned!B151</f>
        <v>1.456726649528706E-2</v>
      </c>
      <c r="C153">
        <f>Cleaned!D152/Cleaned!G151</f>
        <v>0.23776640076199548</v>
      </c>
      <c r="D153">
        <f>Cleaned!J152/Cleaned!L151</f>
        <v>2.4550235261555493E-2</v>
      </c>
      <c r="E153">
        <f>Cleaned!N152/Cleaned!G151</f>
        <v>0.21264436242409809</v>
      </c>
      <c r="F153">
        <f>Cleaned!M152/Cleaned!B151</f>
        <v>2.9207772138363397E-2</v>
      </c>
      <c r="G153">
        <f>Cleaned!E152/Cleaned!L151</f>
        <v>5.2103515084417379E-2</v>
      </c>
      <c r="H153">
        <f t="shared" si="22"/>
        <v>1.4171262158272496E-2</v>
      </c>
      <c r="I153">
        <f t="shared" si="23"/>
        <v>0.24551781236523337</v>
      </c>
      <c r="J153">
        <f t="shared" si="24"/>
        <v>2.6248522454127052E-2</v>
      </c>
      <c r="K153">
        <f t="shared" si="25"/>
        <v>0.20747299015438839</v>
      </c>
      <c r="L153">
        <f t="shared" si="26"/>
        <v>2.838672423044164E-2</v>
      </c>
      <c r="M153">
        <f t="shared" si="27"/>
        <v>5.1889971831253733E-2</v>
      </c>
    </row>
    <row r="154" spans="1:13" x14ac:dyDescent="0.25">
      <c r="A154" s="2">
        <f t="shared" si="21"/>
        <v>37438</v>
      </c>
      <c r="B154">
        <f>Cleaned!H153/Cleaned!B152</f>
        <v>1.418465711248763E-2</v>
      </c>
      <c r="C154">
        <f>Cleaned!D153/Cleaned!G152</f>
        <v>0.2409150482544978</v>
      </c>
      <c r="D154">
        <f>Cleaned!J153/Cleaned!L152</f>
        <v>2.793388429752066E-2</v>
      </c>
      <c r="E154">
        <f>Cleaned!N153/Cleaned!G152</f>
        <v>0.23531514357202429</v>
      </c>
      <c r="F154">
        <f>Cleaned!M153/Cleaned!B152</f>
        <v>2.7277058974452956E-2</v>
      </c>
      <c r="G154">
        <f>Cleaned!E153/Cleaned!L152</f>
        <v>4.90633608815427E-2</v>
      </c>
      <c r="H154">
        <f t="shared" si="22"/>
        <v>1.3984309519689939E-2</v>
      </c>
      <c r="I154">
        <f t="shared" si="23"/>
        <v>0.24212822344043206</v>
      </c>
      <c r="J154">
        <f t="shared" si="24"/>
        <v>2.6381320337062225E-2</v>
      </c>
      <c r="K154">
        <f t="shared" si="25"/>
        <v>0.21963808939259047</v>
      </c>
      <c r="L154">
        <f t="shared" si="26"/>
        <v>2.8175009721540429E-2</v>
      </c>
      <c r="M154">
        <f t="shared" si="27"/>
        <v>5.1486296360479987E-2</v>
      </c>
    </row>
    <row r="155" spans="1:13" x14ac:dyDescent="0.25">
      <c r="A155" s="2">
        <f t="shared" si="21"/>
        <v>37469</v>
      </c>
      <c r="B155">
        <f>Cleaned!H154/Cleaned!B153</f>
        <v>1.4177534399214152E-2</v>
      </c>
      <c r="C155">
        <f>Cleaned!D154/Cleaned!G153</f>
        <v>0.26030989272943983</v>
      </c>
      <c r="D155">
        <f>Cleaned!J154/Cleaned!L153</f>
        <v>2.5430128935696926E-2</v>
      </c>
      <c r="E155">
        <f>Cleaned!N154/Cleaned!G153</f>
        <v>0.20417163289630513</v>
      </c>
      <c r="F155">
        <f>Cleaned!M154/Cleaned!B153</f>
        <v>2.6991562387748969E-2</v>
      </c>
      <c r="G155">
        <f>Cleaned!E154/Cleaned!L153</f>
        <v>5.105249426723605E-2</v>
      </c>
      <c r="H155">
        <f t="shared" si="22"/>
        <v>1.4309819335662948E-2</v>
      </c>
      <c r="I155">
        <f t="shared" si="23"/>
        <v>0.24633044724864436</v>
      </c>
      <c r="J155">
        <f t="shared" si="24"/>
        <v>2.597141616492436E-2</v>
      </c>
      <c r="K155">
        <f t="shared" si="25"/>
        <v>0.21737704629747587</v>
      </c>
      <c r="L155">
        <f t="shared" si="26"/>
        <v>2.782546450018844E-2</v>
      </c>
      <c r="M155">
        <f t="shared" si="27"/>
        <v>5.0739790077732043E-2</v>
      </c>
    </row>
    <row r="156" spans="1:13" x14ac:dyDescent="0.25">
      <c r="A156" s="2">
        <f t="shared" si="21"/>
        <v>37500</v>
      </c>
      <c r="B156">
        <f>Cleaned!H155/Cleaned!B154</f>
        <v>1.3737610182509784E-2</v>
      </c>
      <c r="C156">
        <f>Cleaned!D155/Cleaned!G154</f>
        <v>0.26228323699421963</v>
      </c>
      <c r="D156">
        <f>Cleaned!J155/Cleaned!L154</f>
        <v>2.6737674316459865E-2</v>
      </c>
      <c r="E156">
        <f>Cleaned!N155/Cleaned!G154</f>
        <v>0.20640655105973024</v>
      </c>
      <c r="F156">
        <f>Cleaned!M155/Cleaned!B154</f>
        <v>2.4966168026041475E-2</v>
      </c>
      <c r="G156">
        <f>Cleaned!E155/Cleaned!L154</f>
        <v>4.9563522565059845E-2</v>
      </c>
      <c r="H156">
        <f t="shared" si="22"/>
        <v>1.4033267231403855E-2</v>
      </c>
      <c r="I156">
        <f t="shared" si="23"/>
        <v>0.25450272599271911</v>
      </c>
      <c r="J156">
        <f t="shared" si="24"/>
        <v>2.670056251655915E-2</v>
      </c>
      <c r="K156">
        <f t="shared" si="25"/>
        <v>0.21529777584268658</v>
      </c>
      <c r="L156">
        <f t="shared" si="26"/>
        <v>2.6411596462747797E-2</v>
      </c>
      <c r="M156">
        <f t="shared" si="27"/>
        <v>4.9893125904612867E-2</v>
      </c>
    </row>
    <row r="157" spans="1:13" x14ac:dyDescent="0.25">
      <c r="A157" s="2">
        <f t="shared" si="21"/>
        <v>37530</v>
      </c>
      <c r="B157">
        <f>Cleaned!H156/Cleaned!B155</f>
        <v>1.4595563065359573E-2</v>
      </c>
      <c r="C157">
        <f>Cleaned!D156/Cleaned!G155</f>
        <v>0.24736395588413526</v>
      </c>
      <c r="D157">
        <f>Cleaned!J156/Cleaned!L155</f>
        <v>2.5387986878738594E-2</v>
      </c>
      <c r="E157">
        <f>Cleaned!N156/Cleaned!G155</f>
        <v>0.21548903163252939</v>
      </c>
      <c r="F157">
        <f>Cleaned!M156/Cleaned!B155</f>
        <v>2.8812398945390453E-2</v>
      </c>
      <c r="G157">
        <f>Cleaned!E156/Cleaned!L155</f>
        <v>4.9673346748628611E-2</v>
      </c>
      <c r="H157">
        <f t="shared" si="22"/>
        <v>1.4170235882361168E-2</v>
      </c>
      <c r="I157">
        <f t="shared" si="23"/>
        <v>0.25665236186926493</v>
      </c>
      <c r="J157">
        <f t="shared" si="24"/>
        <v>2.5851930043631798E-2</v>
      </c>
      <c r="K157">
        <f t="shared" si="25"/>
        <v>0.20868907186285493</v>
      </c>
      <c r="L157">
        <f t="shared" si="26"/>
        <v>2.6923376453060296E-2</v>
      </c>
      <c r="M157">
        <f t="shared" si="27"/>
        <v>5.0096454526974837E-2</v>
      </c>
    </row>
    <row r="158" spans="1:13" x14ac:dyDescent="0.25">
      <c r="A158" s="2">
        <f t="shared" si="21"/>
        <v>37561</v>
      </c>
      <c r="B158">
        <f>Cleaned!H157/Cleaned!B156</f>
        <v>1.4962629919420763E-2</v>
      </c>
      <c r="C158">
        <f>Cleaned!D157/Cleaned!G156</f>
        <v>0.23582520765619358</v>
      </c>
      <c r="D158">
        <f>Cleaned!J157/Cleaned!L156</f>
        <v>2.5881192999753513E-2</v>
      </c>
      <c r="E158">
        <f>Cleaned!N157/Cleaned!G156</f>
        <v>0.21897195136631756</v>
      </c>
      <c r="F158">
        <f>Cleaned!M157/Cleaned!B156</f>
        <v>2.9487329207053603E-2</v>
      </c>
      <c r="G158">
        <f>Cleaned!E157/Cleaned!L156</f>
        <v>4.9571385533919425E-2</v>
      </c>
      <c r="H158">
        <f t="shared" si="22"/>
        <v>1.4431934389096707E-2</v>
      </c>
      <c r="I158">
        <f t="shared" si="23"/>
        <v>0.24849080017818284</v>
      </c>
      <c r="J158">
        <f t="shared" si="24"/>
        <v>2.6002284731650657E-2</v>
      </c>
      <c r="K158">
        <f t="shared" si="25"/>
        <v>0.21362251135285906</v>
      </c>
      <c r="L158">
        <f t="shared" si="26"/>
        <v>2.7755298726161847E-2</v>
      </c>
      <c r="M158">
        <f t="shared" si="27"/>
        <v>4.9602751615869294E-2</v>
      </c>
    </row>
    <row r="159" spans="1:13" x14ac:dyDescent="0.25">
      <c r="A159" s="2">
        <f t="shared" si="21"/>
        <v>37591</v>
      </c>
      <c r="B159">
        <f>Cleaned!H158/Cleaned!B157</f>
        <v>1.399784648515613E-2</v>
      </c>
      <c r="C159">
        <f>Cleaned!D158/Cleaned!G157</f>
        <v>0.23204225352112676</v>
      </c>
      <c r="D159">
        <f>Cleaned!J158/Cleaned!L157</f>
        <v>2.6541328834956739E-2</v>
      </c>
      <c r="E159">
        <f>Cleaned!N158/Cleaned!G157</f>
        <v>0.20856807511737088</v>
      </c>
      <c r="F159">
        <f>Cleaned!M158/Cleaned!B157</f>
        <v>2.7109382439331677E-2</v>
      </c>
      <c r="G159">
        <f>Cleaned!E158/Cleaned!L157</f>
        <v>4.6865647276486913E-2</v>
      </c>
      <c r="H159">
        <f t="shared" si="22"/>
        <v>1.4518679823312156E-2</v>
      </c>
      <c r="I159">
        <f t="shared" si="23"/>
        <v>0.23841047235381851</v>
      </c>
      <c r="J159">
        <f t="shared" si="24"/>
        <v>2.5936836237816285E-2</v>
      </c>
      <c r="K159">
        <f t="shared" si="25"/>
        <v>0.21434301937207259</v>
      </c>
      <c r="L159">
        <f t="shared" si="26"/>
        <v>2.8469703530591906E-2</v>
      </c>
      <c r="M159">
        <f t="shared" si="27"/>
        <v>4.8703459853011645E-2</v>
      </c>
    </row>
    <row r="160" spans="1:13" x14ac:dyDescent="0.25">
      <c r="A160" s="2">
        <f t="shared" si="21"/>
        <v>37622</v>
      </c>
      <c r="B160">
        <f>Cleaned!H159/Cleaned!B158</f>
        <v>1.4718602026006772E-2</v>
      </c>
      <c r="C160">
        <f>Cleaned!D159/Cleaned!G158</f>
        <v>0.25185185185185183</v>
      </c>
      <c r="D160">
        <f>Cleaned!J159/Cleaned!L158</f>
        <v>2.6576179165252799E-2</v>
      </c>
      <c r="E160">
        <f>Cleaned!N159/Cleaned!G158</f>
        <v>0.2300925925925926</v>
      </c>
      <c r="F160">
        <f>Cleaned!M159/Cleaned!B158</f>
        <v>2.7157579933443771E-2</v>
      </c>
      <c r="G160">
        <f>Cleaned!E159/Cleaned!L158</f>
        <v>5.2962334577536477E-2</v>
      </c>
      <c r="H160">
        <f t="shared" si="22"/>
        <v>1.4559692810194555E-2</v>
      </c>
      <c r="I160">
        <f t="shared" si="23"/>
        <v>0.23990643767639072</v>
      </c>
      <c r="J160">
        <f t="shared" si="24"/>
        <v>2.6332900333321016E-2</v>
      </c>
      <c r="K160">
        <f t="shared" si="25"/>
        <v>0.21921087302542699</v>
      </c>
      <c r="L160">
        <f t="shared" si="26"/>
        <v>2.7918097193276353E-2</v>
      </c>
      <c r="M160">
        <f t="shared" si="27"/>
        <v>4.9799789129314265E-2</v>
      </c>
    </row>
    <row r="161" spans="1:13" x14ac:dyDescent="0.25">
      <c r="A161" s="2">
        <f t="shared" si="21"/>
        <v>37653</v>
      </c>
      <c r="B161">
        <f>Cleaned!H160/Cleaned!B159</f>
        <v>1.3724648333175663E-2</v>
      </c>
      <c r="C161">
        <f>Cleaned!D160/Cleaned!G159</f>
        <v>0.23075117370892018</v>
      </c>
      <c r="D161">
        <f>Cleaned!J160/Cleaned!L159</f>
        <v>2.6554894537587886E-2</v>
      </c>
      <c r="E161">
        <f>Cleaned!N160/Cleaned!G159</f>
        <v>0.21079812206572771</v>
      </c>
      <c r="F161">
        <f>Cleaned!M160/Cleaned!B159</f>
        <v>2.699811522591819E-2</v>
      </c>
      <c r="G161">
        <f>Cleaned!E160/Cleaned!L159</f>
        <v>4.8985938345051376E-2</v>
      </c>
      <c r="H161">
        <f t="shared" si="22"/>
        <v>1.414703228144619E-2</v>
      </c>
      <c r="I161">
        <f t="shared" si="23"/>
        <v>0.2382150930272996</v>
      </c>
      <c r="J161">
        <f t="shared" si="24"/>
        <v>2.6557467512599141E-2</v>
      </c>
      <c r="K161">
        <f t="shared" si="25"/>
        <v>0.21648626325856371</v>
      </c>
      <c r="L161">
        <f t="shared" si="26"/>
        <v>2.7088359199564548E-2</v>
      </c>
      <c r="M161">
        <f t="shared" si="27"/>
        <v>4.9604640066358258E-2</v>
      </c>
    </row>
    <row r="162" spans="1:13" x14ac:dyDescent="0.25">
      <c r="A162" s="2">
        <f t="shared" si="21"/>
        <v>37681</v>
      </c>
      <c r="B162">
        <f>Cleaned!H161/Cleaned!B160</f>
        <v>1.4249138068983576E-2</v>
      </c>
      <c r="C162">
        <f>Cleaned!D161/Cleaned!G160</f>
        <v>0.2318403341842655</v>
      </c>
      <c r="D162">
        <f>Cleaned!J161/Cleaned!L160</f>
        <v>2.7008038911031547E-2</v>
      </c>
      <c r="E162">
        <f>Cleaned!N161/Cleaned!G160</f>
        <v>0.23381294964028776</v>
      </c>
      <c r="F162">
        <f>Cleaned!M161/Cleaned!B160</f>
        <v>2.7567245166639998E-2</v>
      </c>
      <c r="G162">
        <f>Cleaned!E161/Cleaned!L160</f>
        <v>4.8949537255961628E-2</v>
      </c>
      <c r="H162">
        <f t="shared" si="22"/>
        <v>1.4230796142722005E-2</v>
      </c>
      <c r="I162">
        <f t="shared" si="23"/>
        <v>0.23814778658167915</v>
      </c>
      <c r="J162">
        <f t="shared" si="24"/>
        <v>2.6713037537957413E-2</v>
      </c>
      <c r="K162">
        <f t="shared" si="25"/>
        <v>0.22490122143286936</v>
      </c>
      <c r="L162">
        <f t="shared" si="26"/>
        <v>2.724098010866732E-2</v>
      </c>
      <c r="M162">
        <f t="shared" si="27"/>
        <v>5.0299270059516489E-2</v>
      </c>
    </row>
    <row r="163" spans="1:13" x14ac:dyDescent="0.25">
      <c r="A163" s="2">
        <f t="shared" si="21"/>
        <v>37712</v>
      </c>
      <c r="B163">
        <f>Cleaned!H162/Cleaned!B161</f>
        <v>1.4392362879636772E-2</v>
      </c>
      <c r="C163">
        <f>Cleaned!D162/Cleaned!G161</f>
        <v>0.24289706567303213</v>
      </c>
      <c r="D163">
        <f>Cleaned!J162/Cleaned!L161</f>
        <v>2.8588734100545125E-2</v>
      </c>
      <c r="E163">
        <f>Cleaned!N162/Cleaned!G161</f>
        <v>0.20703306939916163</v>
      </c>
      <c r="F163">
        <f>Cleaned!M162/Cleaned!B161</f>
        <v>2.6252601248599329E-2</v>
      </c>
      <c r="G163">
        <f>Cleaned!E162/Cleaned!L161</f>
        <v>4.8980415909549768E-2</v>
      </c>
      <c r="H163">
        <f t="shared" si="22"/>
        <v>1.412204976059867E-2</v>
      </c>
      <c r="I163">
        <f t="shared" si="23"/>
        <v>0.23516285785540594</v>
      </c>
      <c r="J163">
        <f t="shared" si="24"/>
        <v>2.7383889183054854E-2</v>
      </c>
      <c r="K163">
        <f t="shared" si="25"/>
        <v>0.21721471370172571</v>
      </c>
      <c r="L163">
        <f t="shared" si="26"/>
        <v>2.6939320547052503E-2</v>
      </c>
      <c r="M163">
        <f t="shared" si="27"/>
        <v>4.897196383685426E-2</v>
      </c>
    </row>
    <row r="164" spans="1:13" x14ac:dyDescent="0.25">
      <c r="A164" s="2">
        <f t="shared" si="21"/>
        <v>37742</v>
      </c>
      <c r="B164">
        <f>Cleaned!H163/Cleaned!B162</f>
        <v>1.4531398719783773E-2</v>
      </c>
      <c r="C164">
        <f>Cleaned!D163/Cleaned!G162</f>
        <v>0.23162180502148835</v>
      </c>
      <c r="D164">
        <f>Cleaned!J163/Cleaned!L162</f>
        <v>2.7651013960521695E-2</v>
      </c>
      <c r="E164">
        <f>Cleaned!N163/Cleaned!G162</f>
        <v>0.21454422076453292</v>
      </c>
      <c r="F164">
        <f>Cleaned!M163/Cleaned!B162</f>
        <v>2.6643319552723546E-2</v>
      </c>
      <c r="G164">
        <f>Cleaned!E163/Cleaned!L162</f>
        <v>4.6958118434909407E-2</v>
      </c>
      <c r="H164">
        <f t="shared" si="22"/>
        <v>1.4390966556134708E-2</v>
      </c>
      <c r="I164">
        <f t="shared" si="23"/>
        <v>0.23545306829292867</v>
      </c>
      <c r="J164">
        <f t="shared" si="24"/>
        <v>2.7749262324032787E-2</v>
      </c>
      <c r="K164">
        <f t="shared" si="25"/>
        <v>0.21846341326799412</v>
      </c>
      <c r="L164">
        <f t="shared" si="26"/>
        <v>2.6821055322654292E-2</v>
      </c>
      <c r="M164">
        <f t="shared" si="27"/>
        <v>4.8296023866806932E-2</v>
      </c>
    </row>
    <row r="165" spans="1:13" x14ac:dyDescent="0.25">
      <c r="A165" s="2">
        <f t="shared" si="21"/>
        <v>37773</v>
      </c>
      <c r="B165">
        <f>Cleaned!H164/Cleaned!B163</f>
        <v>1.4170011051009132E-2</v>
      </c>
      <c r="C165">
        <f>Cleaned!D164/Cleaned!G163</f>
        <v>0.23601652338952775</v>
      </c>
      <c r="D165">
        <f>Cleaned!J164/Cleaned!L163</f>
        <v>3.0605375127915117E-2</v>
      </c>
      <c r="E165">
        <f>Cleaned!N164/Cleaned!G163</f>
        <v>0.20408618957240146</v>
      </c>
      <c r="F165">
        <f>Cleaned!M164/Cleaned!B163</f>
        <v>2.7634793229802827E-2</v>
      </c>
      <c r="G165">
        <f>Cleaned!E164/Cleaned!L163</f>
        <v>5.0842893305326653E-2</v>
      </c>
      <c r="H165">
        <f t="shared" si="22"/>
        <v>1.4364590883476559E-2</v>
      </c>
      <c r="I165">
        <f t="shared" si="23"/>
        <v>0.23684513136134941</v>
      </c>
      <c r="J165">
        <f t="shared" si="24"/>
        <v>2.8948374396327314E-2</v>
      </c>
      <c r="K165">
        <f t="shared" si="25"/>
        <v>0.20855449324536535</v>
      </c>
      <c r="L165">
        <f t="shared" si="26"/>
        <v>2.6843571343708569E-2</v>
      </c>
      <c r="M165">
        <f t="shared" si="27"/>
        <v>4.8927142549928609E-2</v>
      </c>
    </row>
    <row r="166" spans="1:13" x14ac:dyDescent="0.25">
      <c r="A166" s="2">
        <f t="shared" si="21"/>
        <v>37803</v>
      </c>
      <c r="B166">
        <f>Cleaned!H165/Cleaned!B164</f>
        <v>1.365846578126134E-2</v>
      </c>
      <c r="C166">
        <f>Cleaned!D165/Cleaned!G164</f>
        <v>0.22954888840923807</v>
      </c>
      <c r="D166">
        <f>Cleaned!J165/Cleaned!L164</f>
        <v>2.6663782146623759E-2</v>
      </c>
      <c r="E166">
        <f>Cleaned!N165/Cleaned!G164</f>
        <v>0.21638247355924886</v>
      </c>
      <c r="F166">
        <f>Cleaned!M165/Cleaned!B164</f>
        <v>2.9566731983453082E-2</v>
      </c>
      <c r="G166">
        <f>Cleaned!E165/Cleaned!L164</f>
        <v>4.7148381513832174E-2</v>
      </c>
      <c r="H166">
        <f t="shared" si="22"/>
        <v>1.4119958517351415E-2</v>
      </c>
      <c r="I166">
        <f t="shared" si="23"/>
        <v>0.23239573894008472</v>
      </c>
      <c r="J166">
        <f t="shared" si="24"/>
        <v>2.830672374502019E-2</v>
      </c>
      <c r="K166">
        <f t="shared" si="25"/>
        <v>0.21167096129872776</v>
      </c>
      <c r="L166">
        <f t="shared" si="26"/>
        <v>2.7948281588659817E-2</v>
      </c>
      <c r="M166">
        <f t="shared" si="27"/>
        <v>4.8316464418022752E-2</v>
      </c>
    </row>
    <row r="167" spans="1:13" x14ac:dyDescent="0.25">
      <c r="A167" s="2">
        <f t="shared" si="21"/>
        <v>37834</v>
      </c>
      <c r="B167">
        <f>Cleaned!H166/Cleaned!B165</f>
        <v>1.4846443691170694E-2</v>
      </c>
      <c r="C167">
        <f>Cleaned!D166/Cleaned!G165</f>
        <v>0.23604483409166574</v>
      </c>
      <c r="D167">
        <f>Cleaned!J166/Cleaned!L165</f>
        <v>2.6388647397916194E-2</v>
      </c>
      <c r="E167">
        <f>Cleaned!N166/Cleaned!G165</f>
        <v>0.22372655643102873</v>
      </c>
      <c r="F167">
        <f>Cleaned!M166/Cleaned!B165</f>
        <v>2.7503382457773833E-2</v>
      </c>
      <c r="G167">
        <f>Cleaned!E166/Cleaned!L165</f>
        <v>4.9460323404710634E-2</v>
      </c>
      <c r="H167">
        <f t="shared" si="22"/>
        <v>1.4224973507813723E-2</v>
      </c>
      <c r="I167">
        <f t="shared" si="23"/>
        <v>0.23387008196347717</v>
      </c>
      <c r="J167">
        <f t="shared" si="24"/>
        <v>2.7885934890818354E-2</v>
      </c>
      <c r="K167">
        <f t="shared" si="25"/>
        <v>0.21473173985422633</v>
      </c>
      <c r="L167">
        <f t="shared" si="26"/>
        <v>2.8234969223676579E-2</v>
      </c>
      <c r="M167">
        <f t="shared" si="27"/>
        <v>4.9150532741289825E-2</v>
      </c>
    </row>
    <row r="168" spans="1:13" x14ac:dyDescent="0.25">
      <c r="A168" s="2">
        <f t="shared" si="21"/>
        <v>37865</v>
      </c>
      <c r="B168">
        <f>Cleaned!H167/Cleaned!B166</f>
        <v>1.4038633505150892E-2</v>
      </c>
      <c r="C168">
        <f>Cleaned!D167/Cleaned!G166</f>
        <v>0.23055305755395683</v>
      </c>
      <c r="D168">
        <f>Cleaned!J167/Cleaned!L166</f>
        <v>2.7177533239188936E-2</v>
      </c>
      <c r="E168">
        <f>Cleaned!N167/Cleaned!G166</f>
        <v>0.21492805755395683</v>
      </c>
      <c r="F168">
        <f>Cleaned!M167/Cleaned!B166</f>
        <v>2.8309911377036548E-2</v>
      </c>
      <c r="G168">
        <f>Cleaned!E167/Cleaned!L166</f>
        <v>5.0051957048839628E-2</v>
      </c>
      <c r="H168">
        <f t="shared" si="22"/>
        <v>1.418118099252764E-2</v>
      </c>
      <c r="I168">
        <f t="shared" si="23"/>
        <v>0.23204892668495355</v>
      </c>
      <c r="J168">
        <f t="shared" si="24"/>
        <v>2.6743320927909629E-2</v>
      </c>
      <c r="K168">
        <f t="shared" si="25"/>
        <v>0.21834569584807814</v>
      </c>
      <c r="L168">
        <f t="shared" si="26"/>
        <v>2.8460008606087817E-2</v>
      </c>
      <c r="M168">
        <f t="shared" si="27"/>
        <v>4.8886887322460819E-2</v>
      </c>
    </row>
    <row r="169" spans="1:13" x14ac:dyDescent="0.25">
      <c r="A169" s="2">
        <f t="shared" si="21"/>
        <v>37895</v>
      </c>
      <c r="B169">
        <f>Cleaned!H168/Cleaned!B167</f>
        <v>1.2593653031415096E-2</v>
      </c>
      <c r="C169">
        <f>Cleaned!D168/Cleaned!G167</f>
        <v>0.2313641968389194</v>
      </c>
      <c r="D169">
        <f>Cleaned!J168/Cleaned!L167</f>
        <v>2.8186421082007734E-2</v>
      </c>
      <c r="E169">
        <f>Cleaned!N168/Cleaned!G167</f>
        <v>0.22385382804618317</v>
      </c>
      <c r="F169">
        <f>Cleaned!M168/Cleaned!B167</f>
        <v>2.7381929960976388E-2</v>
      </c>
      <c r="G169">
        <f>Cleaned!E168/Cleaned!L167</f>
        <v>5.0499009953620645E-2</v>
      </c>
      <c r="H169">
        <f t="shared" si="22"/>
        <v>1.3826243409245561E-2</v>
      </c>
      <c r="I169">
        <f t="shared" si="23"/>
        <v>0.23265402949484734</v>
      </c>
      <c r="J169">
        <f t="shared" si="24"/>
        <v>2.7250867239704286E-2</v>
      </c>
      <c r="K169">
        <f t="shared" si="25"/>
        <v>0.22083614734372292</v>
      </c>
      <c r="L169">
        <f t="shared" si="26"/>
        <v>2.7731741265262257E-2</v>
      </c>
      <c r="M169">
        <f t="shared" si="27"/>
        <v>5.0003763469056967E-2</v>
      </c>
    </row>
    <row r="170" spans="1:13" x14ac:dyDescent="0.25">
      <c r="A170" s="2">
        <f t="shared" si="21"/>
        <v>37926</v>
      </c>
      <c r="B170">
        <f>Cleaned!H169/Cleaned!B168</f>
        <v>1.3276901669758813E-2</v>
      </c>
      <c r="C170">
        <f>Cleaned!D169/Cleaned!G168</f>
        <v>0.24278515803939532</v>
      </c>
      <c r="D170">
        <f>Cleaned!J169/Cleaned!L168</f>
        <v>2.6007646965110723E-2</v>
      </c>
      <c r="E170">
        <f>Cleaned!N169/Cleaned!G168</f>
        <v>0.21129180027485112</v>
      </c>
      <c r="F170">
        <f>Cleaned!M169/Cleaned!B168</f>
        <v>2.7698863636363636E-2</v>
      </c>
      <c r="G170">
        <f>Cleaned!E169/Cleaned!L168</f>
        <v>5.1590462535181347E-2</v>
      </c>
      <c r="H170">
        <f t="shared" si="22"/>
        <v>1.3303062735441601E-2</v>
      </c>
      <c r="I170">
        <f t="shared" si="23"/>
        <v>0.23490080414409054</v>
      </c>
      <c r="J170">
        <f t="shared" si="24"/>
        <v>2.7123867095435798E-2</v>
      </c>
      <c r="K170">
        <f t="shared" si="25"/>
        <v>0.21669122862499704</v>
      </c>
      <c r="L170">
        <f t="shared" si="26"/>
        <v>2.7796901658125525E-2</v>
      </c>
      <c r="M170">
        <f t="shared" si="27"/>
        <v>5.0713809845880538E-2</v>
      </c>
    </row>
    <row r="171" spans="1:13" x14ac:dyDescent="0.25">
      <c r="A171" s="2">
        <f t="shared" si="21"/>
        <v>37956</v>
      </c>
      <c r="B171">
        <f>Cleaned!H170/Cleaned!B169</f>
        <v>1.3884875455123388E-2</v>
      </c>
      <c r="C171">
        <f>Cleaned!D170/Cleaned!G169</f>
        <v>0.26201026119402987</v>
      </c>
      <c r="D171">
        <f>Cleaned!J170/Cleaned!L169</f>
        <v>2.57173219978746E-2</v>
      </c>
      <c r="E171">
        <f>Cleaned!N170/Cleaned!G169</f>
        <v>0.22061567164179105</v>
      </c>
      <c r="F171">
        <f>Cleaned!M170/Cleaned!B169</f>
        <v>2.8831705484598045E-2</v>
      </c>
      <c r="G171">
        <f>Cleaned!E170/Cleaned!L169</f>
        <v>4.7608926673751328E-2</v>
      </c>
      <c r="H171">
        <f t="shared" si="22"/>
        <v>1.3251810052099099E-2</v>
      </c>
      <c r="I171">
        <f t="shared" si="23"/>
        <v>0.24538653869078153</v>
      </c>
      <c r="J171">
        <f t="shared" si="24"/>
        <v>2.6637130014997689E-2</v>
      </c>
      <c r="K171">
        <f t="shared" si="25"/>
        <v>0.21858709998760847</v>
      </c>
      <c r="L171">
        <f t="shared" si="26"/>
        <v>2.7970833027312691E-2</v>
      </c>
      <c r="M171">
        <f t="shared" si="27"/>
        <v>4.9899466387517771E-2</v>
      </c>
    </row>
    <row r="172" spans="1:13" x14ac:dyDescent="0.25">
      <c r="A172" s="2">
        <f t="shared" si="21"/>
        <v>37987</v>
      </c>
      <c r="B172">
        <f>Cleaned!H171/Cleaned!B170</f>
        <v>1.2491781722550954E-2</v>
      </c>
      <c r="C172">
        <f>Cleaned!D171/Cleaned!G170</f>
        <v>0.24744499218468197</v>
      </c>
      <c r="D172">
        <f>Cleaned!J171/Cleaned!L170</f>
        <v>2.7038796516231197E-2</v>
      </c>
      <c r="E172">
        <f>Cleaned!N171/Cleaned!G170</f>
        <v>0.19971143441144643</v>
      </c>
      <c r="F172">
        <f>Cleaned!M171/Cleaned!B170</f>
        <v>2.7208820108228393E-2</v>
      </c>
      <c r="G172">
        <f>Cleaned!E171/Cleaned!L170</f>
        <v>4.9736078120876222E-2</v>
      </c>
      <c r="H172">
        <f t="shared" si="22"/>
        <v>1.3217852949144385E-2</v>
      </c>
      <c r="I172">
        <f t="shared" si="23"/>
        <v>0.2507468038060357</v>
      </c>
      <c r="J172">
        <f t="shared" si="24"/>
        <v>2.6254588493072176E-2</v>
      </c>
      <c r="K172">
        <f t="shared" si="25"/>
        <v>0.21053963544269619</v>
      </c>
      <c r="L172">
        <f t="shared" si="26"/>
        <v>2.7913129743063359E-2</v>
      </c>
      <c r="M172">
        <f t="shared" si="27"/>
        <v>4.9645155776602966E-2</v>
      </c>
    </row>
    <row r="173" spans="1:13" x14ac:dyDescent="0.25">
      <c r="A173" s="2">
        <f t="shared" si="21"/>
        <v>38018</v>
      </c>
      <c r="B173">
        <f>Cleaned!H172/Cleaned!B171</f>
        <v>1.3042347911491132E-2</v>
      </c>
      <c r="C173">
        <f>Cleaned!D172/Cleaned!G171</f>
        <v>0.23703703703703705</v>
      </c>
      <c r="D173">
        <f>Cleaned!J172/Cleaned!L171</f>
        <v>2.5358807206680916E-2</v>
      </c>
      <c r="E173">
        <f>Cleaned!N172/Cleaned!G171</f>
        <v>0.23273596176821984</v>
      </c>
      <c r="F173">
        <f>Cleaned!M172/Cleaned!B171</f>
        <v>2.7059622161881101E-2</v>
      </c>
      <c r="G173">
        <f>Cleaned!E172/Cleaned!L171</f>
        <v>4.7119584699743755E-2</v>
      </c>
      <c r="H173">
        <f t="shared" si="22"/>
        <v>1.3139668363055157E-2</v>
      </c>
      <c r="I173">
        <f t="shared" si="23"/>
        <v>0.24883076347191627</v>
      </c>
      <c r="J173">
        <f t="shared" si="24"/>
        <v>2.603830857359557E-2</v>
      </c>
      <c r="K173">
        <f t="shared" si="25"/>
        <v>0.2176876892738191</v>
      </c>
      <c r="L173">
        <f t="shared" si="26"/>
        <v>2.7700049251569176E-2</v>
      </c>
      <c r="M173">
        <f t="shared" si="27"/>
        <v>4.815486316479043E-2</v>
      </c>
    </row>
    <row r="174" spans="1:13" x14ac:dyDescent="0.25">
      <c r="A174" s="2">
        <f t="shared" si="21"/>
        <v>38047</v>
      </c>
      <c r="B174">
        <f>Cleaned!H173/Cleaned!B172</f>
        <v>1.3403877524505205E-2</v>
      </c>
      <c r="C174">
        <f>Cleaned!D173/Cleaned!G172</f>
        <v>0.23570466511570956</v>
      </c>
      <c r="D174">
        <f>Cleaned!J173/Cleaned!L172</f>
        <v>2.9571171742808797E-2</v>
      </c>
      <c r="E174">
        <f>Cleaned!N173/Cleaned!G172</f>
        <v>0.22909269009428188</v>
      </c>
      <c r="F174">
        <f>Cleaned!M173/Cleaned!B172</f>
        <v>2.8222488487245744E-2</v>
      </c>
      <c r="G174">
        <f>Cleaned!E173/Cleaned!L172</f>
        <v>4.8963620981387478E-2</v>
      </c>
      <c r="H174">
        <f t="shared" si="22"/>
        <v>1.2979335719515763E-2</v>
      </c>
      <c r="I174">
        <f t="shared" si="23"/>
        <v>0.24006223144580952</v>
      </c>
      <c r="J174">
        <f t="shared" si="24"/>
        <v>2.7322925155240305E-2</v>
      </c>
      <c r="K174">
        <f t="shared" si="25"/>
        <v>0.22051336209131603</v>
      </c>
      <c r="L174">
        <f t="shared" si="26"/>
        <v>2.7496976919118413E-2</v>
      </c>
      <c r="M174">
        <f t="shared" si="27"/>
        <v>4.8606427934002487E-2</v>
      </c>
    </row>
    <row r="175" spans="1:13" x14ac:dyDescent="0.25">
      <c r="A175" s="2">
        <f t="shared" si="21"/>
        <v>38078</v>
      </c>
      <c r="B175">
        <f>Cleaned!H174/Cleaned!B173</f>
        <v>1.2906907037045062E-2</v>
      </c>
      <c r="C175">
        <f>Cleaned!D174/Cleaned!G173</f>
        <v>0.25285596513955955</v>
      </c>
      <c r="D175">
        <f>Cleaned!J174/Cleaned!L173</f>
        <v>2.5090601275031082E-2</v>
      </c>
      <c r="E175">
        <f>Cleaned!N174/Cleaned!G173</f>
        <v>0.22129313390648922</v>
      </c>
      <c r="F175">
        <f>Cleaned!M174/Cleaned!B173</f>
        <v>2.7771156999126058E-2</v>
      </c>
      <c r="G175">
        <f>Cleaned!E174/Cleaned!L173</f>
        <v>4.8355950585932332E-2</v>
      </c>
      <c r="H175">
        <f t="shared" si="22"/>
        <v>1.3117710824347132E-2</v>
      </c>
      <c r="I175">
        <f t="shared" si="23"/>
        <v>0.24186588909743537</v>
      </c>
      <c r="J175">
        <f t="shared" si="24"/>
        <v>2.6673526741506932E-2</v>
      </c>
      <c r="K175">
        <f t="shared" si="25"/>
        <v>0.22770726192299698</v>
      </c>
      <c r="L175">
        <f t="shared" si="26"/>
        <v>2.7684422549417637E-2</v>
      </c>
      <c r="M175">
        <f t="shared" si="27"/>
        <v>4.8146385422354526E-2</v>
      </c>
    </row>
    <row r="176" spans="1:13" x14ac:dyDescent="0.25">
      <c r="A176" s="2">
        <f t="shared" si="21"/>
        <v>38108</v>
      </c>
      <c r="B176">
        <f>Cleaned!H175/Cleaned!B174</f>
        <v>1.3347274300548025E-2</v>
      </c>
      <c r="C176">
        <f>Cleaned!D175/Cleaned!G174</f>
        <v>0.2555691554467564</v>
      </c>
      <c r="D176">
        <f>Cleaned!J175/Cleaned!L174</f>
        <v>2.6795947672810148E-2</v>
      </c>
      <c r="E176">
        <f>Cleaned!N175/Cleaned!G174</f>
        <v>0.21615667074663403</v>
      </c>
      <c r="F176">
        <f>Cleaned!M175/Cleaned!B174</f>
        <v>2.773291029708682E-2</v>
      </c>
      <c r="G176">
        <f>Cleaned!E175/Cleaned!L174</f>
        <v>4.9033685957816806E-2</v>
      </c>
      <c r="H176">
        <f t="shared" si="22"/>
        <v>1.3219352954032764E-2</v>
      </c>
      <c r="I176">
        <f t="shared" si="23"/>
        <v>0.24804326190067516</v>
      </c>
      <c r="J176">
        <f t="shared" si="24"/>
        <v>2.7152573563550008E-2</v>
      </c>
      <c r="K176">
        <f t="shared" si="25"/>
        <v>0.22218083158246837</v>
      </c>
      <c r="L176">
        <f t="shared" si="26"/>
        <v>2.7908851927819538E-2</v>
      </c>
      <c r="M176">
        <f t="shared" si="27"/>
        <v>4.8784419175045536E-2</v>
      </c>
    </row>
    <row r="177" spans="1:13" x14ac:dyDescent="0.25">
      <c r="A177" s="2">
        <f t="shared" si="21"/>
        <v>38139</v>
      </c>
      <c r="B177">
        <f>Cleaned!H176/Cleaned!B175</f>
        <v>1.2797799095439748E-2</v>
      </c>
      <c r="C177">
        <f>Cleaned!D176/Cleaned!G175</f>
        <v>0.24744276668290308</v>
      </c>
      <c r="D177">
        <f>Cleaned!J176/Cleaned!L175</f>
        <v>2.7508794118809535E-2</v>
      </c>
      <c r="E177">
        <f>Cleaned!N176/Cleaned!G175</f>
        <v>0.2188261081344374</v>
      </c>
      <c r="F177">
        <f>Cleaned!M176/Cleaned!B175</f>
        <v>2.5955693832281853E-2</v>
      </c>
      <c r="G177">
        <f>Cleaned!E176/Cleaned!L175</f>
        <v>4.7824196672068296E-2</v>
      </c>
      <c r="H177">
        <f t="shared" si="22"/>
        <v>1.3017326811010943E-2</v>
      </c>
      <c r="I177">
        <f t="shared" si="23"/>
        <v>0.251955962423073</v>
      </c>
      <c r="J177">
        <f t="shared" si="24"/>
        <v>2.6465114355550254E-2</v>
      </c>
      <c r="K177">
        <f t="shared" si="25"/>
        <v>0.21875863759585354</v>
      </c>
      <c r="L177">
        <f t="shared" si="26"/>
        <v>2.7153253709498244E-2</v>
      </c>
      <c r="M177">
        <f t="shared" si="27"/>
        <v>4.8404611071939142E-2</v>
      </c>
    </row>
    <row r="178" spans="1:13" x14ac:dyDescent="0.25">
      <c r="A178" s="2">
        <f t="shared" si="21"/>
        <v>38169</v>
      </c>
      <c r="B178">
        <f>Cleaned!H177/Cleaned!B176</f>
        <v>1.309871096612873E-2</v>
      </c>
      <c r="C178">
        <f>Cleaned!D177/Cleaned!G176</f>
        <v>0.25959449674149165</v>
      </c>
      <c r="D178">
        <f>Cleaned!J177/Cleaned!L176</f>
        <v>2.6289034132171388E-2</v>
      </c>
      <c r="E178">
        <f>Cleaned!N177/Cleaned!G176</f>
        <v>0.22266473569876902</v>
      </c>
      <c r="F178">
        <f>Cleaned!M177/Cleaned!B176</f>
        <v>2.7929067210829609E-2</v>
      </c>
      <c r="G178">
        <f>Cleaned!E177/Cleaned!L176</f>
        <v>5.1534957417310359E-2</v>
      </c>
      <c r="H178">
        <f t="shared" si="22"/>
        <v>1.3081261454038836E-2</v>
      </c>
      <c r="I178">
        <f t="shared" si="23"/>
        <v>0.25420213962371707</v>
      </c>
      <c r="J178">
        <f t="shared" si="24"/>
        <v>2.6864591974597025E-2</v>
      </c>
      <c r="K178">
        <f t="shared" si="25"/>
        <v>0.21921583819328014</v>
      </c>
      <c r="L178">
        <f t="shared" si="26"/>
        <v>2.7205890446732758E-2</v>
      </c>
      <c r="M178">
        <f t="shared" si="27"/>
        <v>4.9464280015731811E-2</v>
      </c>
    </row>
    <row r="179" spans="1:13" x14ac:dyDescent="0.25">
      <c r="A179" s="2">
        <f t="shared" si="21"/>
        <v>38200</v>
      </c>
      <c r="B179">
        <f>Cleaned!H178/Cleaned!B177</f>
        <v>1.3313651867350741E-2</v>
      </c>
      <c r="C179">
        <f>Cleaned!D178/Cleaned!G177</f>
        <v>0.24532940019665683</v>
      </c>
      <c r="D179">
        <f>Cleaned!J178/Cleaned!L177</f>
        <v>2.5696553545490559E-2</v>
      </c>
      <c r="E179">
        <f>Cleaned!N178/Cleaned!G177</f>
        <v>0.24262536873156343</v>
      </c>
      <c r="F179">
        <f>Cleaned!M178/Cleaned!B177</f>
        <v>2.827538765800109E-2</v>
      </c>
      <c r="G179">
        <f>Cleaned!E178/Cleaned!L177</f>
        <v>4.9029446718605575E-2</v>
      </c>
      <c r="H179">
        <f t="shared" si="22"/>
        <v>1.3070053976306407E-2</v>
      </c>
      <c r="I179">
        <f t="shared" si="23"/>
        <v>0.25078888787368386</v>
      </c>
      <c r="J179">
        <f t="shared" si="24"/>
        <v>2.649812726549049E-2</v>
      </c>
      <c r="K179">
        <f t="shared" si="25"/>
        <v>0.22803873752158996</v>
      </c>
      <c r="L179">
        <f t="shared" si="26"/>
        <v>2.7386716233704183E-2</v>
      </c>
      <c r="M179">
        <f t="shared" si="27"/>
        <v>4.9462866935994741E-2</v>
      </c>
    </row>
    <row r="180" spans="1:13" x14ac:dyDescent="0.25">
      <c r="A180" s="2">
        <f t="shared" si="21"/>
        <v>38231</v>
      </c>
      <c r="B180">
        <f>Cleaned!H179/Cleaned!B178</f>
        <v>1.3663101029568756E-2</v>
      </c>
      <c r="C180">
        <f>Cleaned!D179/Cleaned!G178</f>
        <v>0.26758448060075096</v>
      </c>
      <c r="D180">
        <f>Cleaned!J179/Cleaned!L178</f>
        <v>2.6605179141539554E-2</v>
      </c>
      <c r="E180">
        <f>Cleaned!N179/Cleaned!G178</f>
        <v>0.23604505632040049</v>
      </c>
      <c r="F180">
        <f>Cleaned!M179/Cleaned!B178</f>
        <v>2.8701826284453297E-2</v>
      </c>
      <c r="G180">
        <f>Cleaned!E179/Cleaned!L178</f>
        <v>4.7403203132185039E-2</v>
      </c>
      <c r="H180">
        <f t="shared" si="22"/>
        <v>1.3358487954349409E-2</v>
      </c>
      <c r="I180">
        <f t="shared" si="23"/>
        <v>0.25750279251296648</v>
      </c>
      <c r="J180">
        <f t="shared" si="24"/>
        <v>2.6196922273067167E-2</v>
      </c>
      <c r="K180">
        <f t="shared" si="25"/>
        <v>0.233778386916911</v>
      </c>
      <c r="L180">
        <f t="shared" si="26"/>
        <v>2.8302093717761333E-2</v>
      </c>
      <c r="M180">
        <f t="shared" si="27"/>
        <v>4.932253575603366E-2</v>
      </c>
    </row>
    <row r="181" spans="1:13" x14ac:dyDescent="0.25">
      <c r="A181" s="2">
        <f t="shared" si="21"/>
        <v>38261</v>
      </c>
      <c r="B181">
        <f>Cleaned!H180/Cleaned!B179</f>
        <v>1.3549649788152301E-2</v>
      </c>
      <c r="C181">
        <f>Cleaned!D180/Cleaned!G179</f>
        <v>0.26895420714015389</v>
      </c>
      <c r="D181">
        <f>Cleaned!J180/Cleaned!L179</f>
        <v>2.7245642004024778E-2</v>
      </c>
      <c r="E181">
        <f>Cleaned!N180/Cleaned!G179</f>
        <v>0.21950296455153273</v>
      </c>
      <c r="F181">
        <f>Cleaned!M180/Cleaned!B179</f>
        <v>2.8776875264361554E-2</v>
      </c>
      <c r="G181">
        <f>Cleaned!E180/Cleaned!L179</f>
        <v>5.1446567179782035E-2</v>
      </c>
      <c r="H181">
        <f t="shared" si="22"/>
        <v>1.3508800895023931E-2</v>
      </c>
      <c r="I181">
        <f t="shared" si="23"/>
        <v>0.26062269597918725</v>
      </c>
      <c r="J181">
        <f t="shared" si="24"/>
        <v>2.6515791563684967E-2</v>
      </c>
      <c r="K181">
        <f t="shared" si="25"/>
        <v>0.23272446320116555</v>
      </c>
      <c r="L181">
        <f t="shared" si="26"/>
        <v>2.8584696402271983E-2</v>
      </c>
      <c r="M181">
        <f t="shared" si="27"/>
        <v>4.9293072343524223E-2</v>
      </c>
    </row>
    <row r="182" spans="1:13" x14ac:dyDescent="0.25">
      <c r="A182" s="2">
        <f t="shared" si="21"/>
        <v>38292</v>
      </c>
      <c r="B182">
        <f>Cleaned!H181/Cleaned!B180</f>
        <v>1.2888958864111299E-2</v>
      </c>
      <c r="C182">
        <f>Cleaned!D181/Cleaned!G180</f>
        <v>0.26721250465202828</v>
      </c>
      <c r="D182">
        <f>Cleaned!J181/Cleaned!L180</f>
        <v>2.6073639707326013E-2</v>
      </c>
      <c r="E182">
        <f>Cleaned!N181/Cleaned!G180</f>
        <v>0.22081627589629077</v>
      </c>
      <c r="F182">
        <f>Cleaned!M181/Cleaned!B180</f>
        <v>2.7302264334583347E-2</v>
      </c>
      <c r="G182">
        <f>Cleaned!E181/Cleaned!L180</f>
        <v>5.073364834618254E-2</v>
      </c>
      <c r="H182">
        <f t="shared" si="22"/>
        <v>1.3367236560610785E-2</v>
      </c>
      <c r="I182">
        <f t="shared" si="23"/>
        <v>0.26791706413097771</v>
      </c>
      <c r="J182">
        <f t="shared" si="24"/>
        <v>2.6641486950963449E-2</v>
      </c>
      <c r="K182">
        <f t="shared" si="25"/>
        <v>0.225454765589408</v>
      </c>
      <c r="L182">
        <f t="shared" si="26"/>
        <v>2.8260321961132734E-2</v>
      </c>
      <c r="M182">
        <f t="shared" si="27"/>
        <v>4.9861139552716538E-2</v>
      </c>
    </row>
    <row r="183" spans="1:13" x14ac:dyDescent="0.25">
      <c r="A183" s="2">
        <f t="shared" si="21"/>
        <v>38322</v>
      </c>
      <c r="B183">
        <f>Cleaned!H182/Cleaned!B181</f>
        <v>1.3178255877801628E-2</v>
      </c>
      <c r="C183">
        <f>Cleaned!D182/Cleaned!G181</f>
        <v>0.2622289460413515</v>
      </c>
      <c r="D183">
        <f>Cleaned!J182/Cleaned!L181</f>
        <v>2.6423110714800874E-2</v>
      </c>
      <c r="E183">
        <f>Cleaned!N182/Cleaned!G181</f>
        <v>0.22655068078668683</v>
      </c>
      <c r="F183">
        <f>Cleaned!M182/Cleaned!B181</f>
        <v>2.9372963182177979E-2</v>
      </c>
      <c r="G183">
        <f>Cleaned!E182/Cleaned!L181</f>
        <v>4.8859806711338986E-2</v>
      </c>
      <c r="H183">
        <f t="shared" si="22"/>
        <v>1.3205621510021743E-2</v>
      </c>
      <c r="I183">
        <f t="shared" si="23"/>
        <v>0.26613188594451126</v>
      </c>
      <c r="J183">
        <f t="shared" si="24"/>
        <v>2.6580797475383888E-2</v>
      </c>
      <c r="K183">
        <f t="shared" si="25"/>
        <v>0.22228997374483681</v>
      </c>
      <c r="L183">
        <f t="shared" si="26"/>
        <v>2.8484034260374293E-2</v>
      </c>
      <c r="M183">
        <f t="shared" si="27"/>
        <v>5.0346674079101185E-2</v>
      </c>
    </row>
    <row r="184" spans="1:13" x14ac:dyDescent="0.25">
      <c r="A184" s="2">
        <f t="shared" si="21"/>
        <v>38353</v>
      </c>
      <c r="B184">
        <f>Cleaned!H183/Cleaned!B182</f>
        <v>1.2945584299732383E-2</v>
      </c>
      <c r="C184">
        <f>Cleaned!D183/Cleaned!G182</f>
        <v>0.25712125031509958</v>
      </c>
      <c r="D184">
        <f>Cleaned!J183/Cleaned!L182</f>
        <v>2.3191130959376346E-2</v>
      </c>
      <c r="E184">
        <f>Cleaned!N183/Cleaned!G182</f>
        <v>0.21842702293924882</v>
      </c>
      <c r="F184">
        <f>Cleaned!M183/Cleaned!B182</f>
        <v>2.8388938447814451E-2</v>
      </c>
      <c r="G184">
        <f>Cleaned!E183/Cleaned!L182</f>
        <v>5.0469437588958097E-2</v>
      </c>
      <c r="H184">
        <f t="shared" si="22"/>
        <v>1.3004266347215103E-2</v>
      </c>
      <c r="I184">
        <f t="shared" si="23"/>
        <v>0.26218756700282647</v>
      </c>
      <c r="J184">
        <f t="shared" si="24"/>
        <v>2.5229293793834411E-2</v>
      </c>
      <c r="K184">
        <f t="shared" si="25"/>
        <v>0.22193132654074213</v>
      </c>
      <c r="L184">
        <f t="shared" si="26"/>
        <v>2.8354721988191927E-2</v>
      </c>
      <c r="M184">
        <f t="shared" si="27"/>
        <v>5.0020964215493208E-2</v>
      </c>
    </row>
    <row r="185" spans="1:13" x14ac:dyDescent="0.25">
      <c r="A185" s="2">
        <f t="shared" si="21"/>
        <v>38384</v>
      </c>
      <c r="B185">
        <f>Cleaned!H184/Cleaned!B183</f>
        <v>1.3212592249278048E-2</v>
      </c>
      <c r="C185">
        <f>Cleaned!D184/Cleaned!G183</f>
        <v>0.26361767728674201</v>
      </c>
      <c r="D185">
        <f>Cleaned!J184/Cleaned!L183</f>
        <v>2.6429538589730236E-2</v>
      </c>
      <c r="E185">
        <f>Cleaned!N184/Cleaned!G183</f>
        <v>0.2117163412127441</v>
      </c>
      <c r="F185">
        <f>Cleaned!M184/Cleaned!B183</f>
        <v>2.7737174230810367E-2</v>
      </c>
      <c r="G185">
        <f>Cleaned!E184/Cleaned!L183</f>
        <v>4.8914175606707633E-2</v>
      </c>
      <c r="H185">
        <f t="shared" si="22"/>
        <v>1.3112144142270687E-2</v>
      </c>
      <c r="I185">
        <f t="shared" si="23"/>
        <v>0.26098929121439768</v>
      </c>
      <c r="J185">
        <f t="shared" si="24"/>
        <v>2.5347926754635819E-2</v>
      </c>
      <c r="K185">
        <f t="shared" si="25"/>
        <v>0.21889801497955994</v>
      </c>
      <c r="L185">
        <f t="shared" si="26"/>
        <v>2.8499691953600931E-2</v>
      </c>
      <c r="M185">
        <f t="shared" si="27"/>
        <v>4.9414473302334901E-2</v>
      </c>
    </row>
    <row r="186" spans="1:13" x14ac:dyDescent="0.25">
      <c r="A186" s="2">
        <f t="shared" si="21"/>
        <v>38412</v>
      </c>
      <c r="B186">
        <f>Cleaned!H185/Cleaned!B184</f>
        <v>1.2323253908893401E-2</v>
      </c>
      <c r="C186">
        <f>Cleaned!D185/Cleaned!G184</f>
        <v>0.25814536340852129</v>
      </c>
      <c r="D186">
        <f>Cleaned!J185/Cleaned!L184</f>
        <v>2.5157478774599944E-2</v>
      </c>
      <c r="E186">
        <f>Cleaned!N185/Cleaned!G184</f>
        <v>0.23220551378446116</v>
      </c>
      <c r="F186">
        <f>Cleaned!M185/Cleaned!B184</f>
        <v>2.74032125939381E-2</v>
      </c>
      <c r="G186">
        <f>Cleaned!E185/Cleaned!L184</f>
        <v>4.8789076254939549E-2</v>
      </c>
      <c r="H186">
        <f t="shared" si="22"/>
        <v>1.2827143485967946E-2</v>
      </c>
      <c r="I186">
        <f t="shared" si="23"/>
        <v>0.25962809700345429</v>
      </c>
      <c r="J186">
        <f t="shared" si="24"/>
        <v>2.4926049441235509E-2</v>
      </c>
      <c r="K186">
        <f t="shared" si="25"/>
        <v>0.22078295931215139</v>
      </c>
      <c r="L186">
        <f t="shared" si="26"/>
        <v>2.7843108424187638E-2</v>
      </c>
      <c r="M186">
        <f t="shared" si="27"/>
        <v>4.9390896483535091E-2</v>
      </c>
    </row>
    <row r="187" spans="1:13" x14ac:dyDescent="0.25">
      <c r="A187" s="2">
        <f t="shared" si="21"/>
        <v>38443</v>
      </c>
      <c r="B187">
        <f>Cleaned!H186/Cleaned!B185</f>
        <v>1.2029519245808864E-2</v>
      </c>
      <c r="C187">
        <f>Cleaned!D186/Cleaned!G185</f>
        <v>0.26625306966524492</v>
      </c>
      <c r="D187">
        <f>Cleaned!J186/Cleaned!L185</f>
        <v>2.580485646617911E-2</v>
      </c>
      <c r="E187">
        <f>Cleaned!N186/Cleaned!G185</f>
        <v>0.22179139201240791</v>
      </c>
      <c r="F187">
        <f>Cleaned!M186/Cleaned!B185</f>
        <v>2.7464558419952507E-2</v>
      </c>
      <c r="G187">
        <f>Cleaned!E186/Cleaned!L185</f>
        <v>5.2494599588787966E-2</v>
      </c>
      <c r="H187">
        <f t="shared" si="22"/>
        <v>1.2521788467993436E-2</v>
      </c>
      <c r="I187">
        <f t="shared" si="23"/>
        <v>0.26267203678683609</v>
      </c>
      <c r="J187">
        <f t="shared" si="24"/>
        <v>2.5797291276836429E-2</v>
      </c>
      <c r="K187">
        <f t="shared" si="25"/>
        <v>0.22190441566987107</v>
      </c>
      <c r="L187">
        <f t="shared" si="26"/>
        <v>2.7534981748233656E-2</v>
      </c>
      <c r="M187">
        <f t="shared" si="27"/>
        <v>5.0065950483478387E-2</v>
      </c>
    </row>
    <row r="188" spans="1:13" x14ac:dyDescent="0.25">
      <c r="A188" s="2">
        <f t="shared" si="21"/>
        <v>38473</v>
      </c>
      <c r="B188">
        <f>Cleaned!H187/Cleaned!B186</f>
        <v>1.2304076344740679E-2</v>
      </c>
      <c r="C188">
        <f>Cleaned!D187/Cleaned!G186</f>
        <v>0.2579509906152242</v>
      </c>
      <c r="D188">
        <f>Cleaned!J187/Cleaned!L186</f>
        <v>2.5668505110175915E-2</v>
      </c>
      <c r="E188">
        <f>Cleaned!N187/Cleaned!G186</f>
        <v>0.23162148070907196</v>
      </c>
      <c r="F188">
        <f>Cleaned!M187/Cleaned!B186</f>
        <v>2.7567360924292409E-2</v>
      </c>
      <c r="G188">
        <f>Cleaned!E187/Cleaned!L186</f>
        <v>5.153305277465562E-2</v>
      </c>
      <c r="H188">
        <f t="shared" si="22"/>
        <v>1.2218949833147648E-2</v>
      </c>
      <c r="I188">
        <f t="shared" si="23"/>
        <v>0.26078314122966345</v>
      </c>
      <c r="J188">
        <f t="shared" si="24"/>
        <v>2.5543613450318321E-2</v>
      </c>
      <c r="K188">
        <f t="shared" si="25"/>
        <v>0.22853946216864704</v>
      </c>
      <c r="L188">
        <f t="shared" si="26"/>
        <v>2.7478377312727672E-2</v>
      </c>
      <c r="M188">
        <f t="shared" si="27"/>
        <v>5.0938909539461043E-2</v>
      </c>
    </row>
    <row r="189" spans="1:13" x14ac:dyDescent="0.25">
      <c r="A189" s="2">
        <f t="shared" si="21"/>
        <v>38504</v>
      </c>
      <c r="B189">
        <f>Cleaned!H188/Cleaned!B187</f>
        <v>1.2866413857876265E-2</v>
      </c>
      <c r="C189">
        <f>Cleaned!D188/Cleaned!G187</f>
        <v>0.25852829695464646</v>
      </c>
      <c r="D189">
        <f>Cleaned!J188/Cleaned!L187</f>
        <v>2.3910795848656571E-2</v>
      </c>
      <c r="E189">
        <f>Cleaned!N188/Cleaned!G187</f>
        <v>0.23774669977780682</v>
      </c>
      <c r="F189">
        <f>Cleaned!M188/Cleaned!B187</f>
        <v>2.7279339589997811E-2</v>
      </c>
      <c r="G189">
        <f>Cleaned!E188/Cleaned!L187</f>
        <v>4.9143425512701386E-2</v>
      </c>
      <c r="H189">
        <f t="shared" si="22"/>
        <v>1.240000314947527E-2</v>
      </c>
      <c r="I189">
        <f t="shared" si="23"/>
        <v>0.26091078574503856</v>
      </c>
      <c r="J189">
        <f t="shared" si="24"/>
        <v>2.5128052475003868E-2</v>
      </c>
      <c r="K189">
        <f t="shared" si="25"/>
        <v>0.23038652416642891</v>
      </c>
      <c r="L189">
        <f t="shared" si="26"/>
        <v>2.7437086311414241E-2</v>
      </c>
      <c r="M189">
        <f t="shared" si="27"/>
        <v>5.1057025958714995E-2</v>
      </c>
    </row>
    <row r="190" spans="1:13" x14ac:dyDescent="0.25">
      <c r="A190" s="2">
        <f t="shared" si="21"/>
        <v>38534</v>
      </c>
      <c r="B190">
        <f>Cleaned!H189/Cleaned!B188</f>
        <v>1.2581678592093935E-2</v>
      </c>
      <c r="C190">
        <f>Cleaned!D189/Cleaned!G188</f>
        <v>0.25837320574162681</v>
      </c>
      <c r="D190">
        <f>Cleaned!J189/Cleaned!L188</f>
        <v>2.4011059955916684E-2</v>
      </c>
      <c r="E190">
        <f>Cleaned!N189/Cleaned!G188</f>
        <v>0.24136097820308347</v>
      </c>
      <c r="F190">
        <f>Cleaned!M189/Cleaned!B188</f>
        <v>2.8176468097717938E-2</v>
      </c>
      <c r="G190">
        <f>Cleaned!E189/Cleaned!L188</f>
        <v>5.2978232232989447E-2</v>
      </c>
      <c r="H190">
        <f t="shared" si="22"/>
        <v>1.2584056264903628E-2</v>
      </c>
      <c r="I190">
        <f t="shared" si="23"/>
        <v>0.25828416443716584</v>
      </c>
      <c r="J190">
        <f t="shared" si="24"/>
        <v>2.453012030491639E-2</v>
      </c>
      <c r="K190">
        <f t="shared" si="25"/>
        <v>0.23690971956332074</v>
      </c>
      <c r="L190">
        <f t="shared" si="26"/>
        <v>2.7674389537336055E-2</v>
      </c>
      <c r="M190">
        <f t="shared" si="27"/>
        <v>5.1218236840115484E-2</v>
      </c>
    </row>
    <row r="191" spans="1:13" x14ac:dyDescent="0.25">
      <c r="A191" s="2">
        <f t="shared" si="21"/>
        <v>38565</v>
      </c>
      <c r="B191">
        <f>Cleaned!H190/Cleaned!B189</f>
        <v>1.2455465900609747E-2</v>
      </c>
      <c r="C191">
        <f>Cleaned!D190/Cleaned!G189</f>
        <v>0.28611936267890897</v>
      </c>
      <c r="D191">
        <f>Cleaned!J190/Cleaned!L189</f>
        <v>2.5886002528642746E-2</v>
      </c>
      <c r="E191">
        <f>Cleaned!N190/Cleaned!G189</f>
        <v>0.2323791520388874</v>
      </c>
      <c r="F191">
        <f>Cleaned!M190/Cleaned!B189</f>
        <v>2.7283736780589471E-2</v>
      </c>
      <c r="G191">
        <f>Cleaned!E190/Cleaned!L189</f>
        <v>5.0168793420315168E-2</v>
      </c>
      <c r="H191">
        <f t="shared" si="22"/>
        <v>1.2634519450193315E-2</v>
      </c>
      <c r="I191">
        <f t="shared" si="23"/>
        <v>0.26767362179172743</v>
      </c>
      <c r="J191">
        <f t="shared" si="24"/>
        <v>2.4602619444405335E-2</v>
      </c>
      <c r="K191">
        <f t="shared" si="25"/>
        <v>0.2371622766732592</v>
      </c>
      <c r="L191">
        <f t="shared" si="26"/>
        <v>2.7579848156101743E-2</v>
      </c>
      <c r="M191">
        <f t="shared" si="27"/>
        <v>5.0763483722002005E-2</v>
      </c>
    </row>
    <row r="192" spans="1:13" x14ac:dyDescent="0.25">
      <c r="A192" s="2">
        <f t="shared" si="21"/>
        <v>38596</v>
      </c>
      <c r="B192">
        <f>Cleaned!H191/Cleaned!B190</f>
        <v>1.3009534240420124E-2</v>
      </c>
      <c r="C192">
        <f>Cleaned!D191/Cleaned!G190</f>
        <v>0.25214431586113001</v>
      </c>
      <c r="D192">
        <f>Cleaned!J191/Cleaned!L190</f>
        <v>2.544296860729104E-2</v>
      </c>
      <c r="E192">
        <f>Cleaned!N191/Cleaned!G190</f>
        <v>0.24234172906739279</v>
      </c>
      <c r="F192">
        <f>Cleaned!M191/Cleaned!B190</f>
        <v>2.7619809876855247E-2</v>
      </c>
      <c r="G192">
        <f>Cleaned!E191/Cleaned!L190</f>
        <v>5.0168315023094386E-2</v>
      </c>
      <c r="H192">
        <f t="shared" si="22"/>
        <v>1.2682226244374602E-2</v>
      </c>
      <c r="I192">
        <f t="shared" si="23"/>
        <v>0.2655456280938886</v>
      </c>
      <c r="J192">
        <f t="shared" si="24"/>
        <v>2.5113343697283491E-2</v>
      </c>
      <c r="K192">
        <f t="shared" si="25"/>
        <v>0.23869395310312122</v>
      </c>
      <c r="L192">
        <f t="shared" si="26"/>
        <v>2.7693338251720889E-2</v>
      </c>
      <c r="M192">
        <f t="shared" si="27"/>
        <v>5.110511355879966E-2</v>
      </c>
    </row>
    <row r="193" spans="1:13" x14ac:dyDescent="0.25">
      <c r="A193" s="2">
        <f t="shared" si="21"/>
        <v>38626</v>
      </c>
      <c r="B193">
        <f>Cleaned!H192/Cleaned!B191</f>
        <v>1.2190925625522292E-2</v>
      </c>
      <c r="C193">
        <f>Cleaned!D192/Cleaned!G191</f>
        <v>0.25870515027141533</v>
      </c>
      <c r="D193">
        <f>Cleaned!J192/Cleaned!L191</f>
        <v>2.4694092964463961E-2</v>
      </c>
      <c r="E193">
        <f>Cleaned!N192/Cleaned!G191</f>
        <v>0.24056666225340925</v>
      </c>
      <c r="F193">
        <f>Cleaned!M192/Cleaned!B191</f>
        <v>2.8398676975583036E-2</v>
      </c>
      <c r="G193">
        <f>Cleaned!E192/Cleaned!L191</f>
        <v>5.0587054822189496E-2</v>
      </c>
      <c r="H193">
        <f t="shared" si="22"/>
        <v>1.2551975255517387E-2</v>
      </c>
      <c r="I193">
        <f t="shared" si="23"/>
        <v>0.26565627627048477</v>
      </c>
      <c r="J193">
        <f t="shared" si="24"/>
        <v>2.5341021366799249E-2</v>
      </c>
      <c r="K193">
        <f t="shared" si="25"/>
        <v>0.2384291811198965</v>
      </c>
      <c r="L193">
        <f t="shared" si="26"/>
        <v>2.7767407877675915E-2</v>
      </c>
      <c r="M193">
        <f t="shared" si="27"/>
        <v>5.0308054421866345E-2</v>
      </c>
    </row>
    <row r="194" spans="1:13" x14ac:dyDescent="0.25">
      <c r="A194" s="2">
        <f t="shared" si="21"/>
        <v>38657</v>
      </c>
      <c r="B194">
        <f>Cleaned!H193/Cleaned!B192</f>
        <v>1.1820579734545556E-2</v>
      </c>
      <c r="C194">
        <f>Cleaned!D193/Cleaned!G192</f>
        <v>0.27532537233328863</v>
      </c>
      <c r="D194">
        <f>Cleaned!J193/Cleaned!L192</f>
        <v>2.7976298760362794E-2</v>
      </c>
      <c r="E194">
        <f>Cleaned!N193/Cleaned!G192</f>
        <v>0.22970615859385482</v>
      </c>
      <c r="F194">
        <f>Cleaned!M193/Cleaned!B192</f>
        <v>2.8320285096949799E-2</v>
      </c>
      <c r="G194">
        <f>Cleaned!E193/Cleaned!L192</f>
        <v>4.7103614958808701E-2</v>
      </c>
      <c r="H194">
        <f t="shared" si="22"/>
        <v>1.2340346533495991E-2</v>
      </c>
      <c r="I194">
        <f t="shared" si="23"/>
        <v>0.26205827948861132</v>
      </c>
      <c r="J194">
        <f t="shared" si="24"/>
        <v>2.6037786777372601E-2</v>
      </c>
      <c r="K194">
        <f t="shared" si="25"/>
        <v>0.23753818330488563</v>
      </c>
      <c r="L194">
        <f t="shared" si="26"/>
        <v>2.8112923983129357E-2</v>
      </c>
      <c r="M194">
        <f t="shared" si="27"/>
        <v>4.9286328268030866E-2</v>
      </c>
    </row>
    <row r="195" spans="1:13" x14ac:dyDescent="0.25">
      <c r="A195" s="2">
        <f t="shared" si="21"/>
        <v>38687</v>
      </c>
      <c r="B195">
        <f>Cleaned!H194/Cleaned!B193</f>
        <v>1.2154471259447434E-2</v>
      </c>
      <c r="C195">
        <f>Cleaned!D194/Cleaned!G193</f>
        <v>0.26011102299762096</v>
      </c>
      <c r="D195">
        <f>Cleaned!J194/Cleaned!L193</f>
        <v>2.4994166299359591E-2</v>
      </c>
      <c r="E195">
        <f>Cleaned!N194/Cleaned!G193</f>
        <v>0.26486915146708961</v>
      </c>
      <c r="F195">
        <f>Cleaned!M194/Cleaned!B193</f>
        <v>2.8737043768728203E-2</v>
      </c>
      <c r="G195">
        <f>Cleaned!E194/Cleaned!L193</f>
        <v>5.2723690010111748E-2</v>
      </c>
      <c r="H195">
        <f t="shared" si="22"/>
        <v>1.2055325539838428E-2</v>
      </c>
      <c r="I195">
        <f t="shared" si="23"/>
        <v>0.26471384853410829</v>
      </c>
      <c r="J195">
        <f t="shared" si="24"/>
        <v>2.5888186008062114E-2</v>
      </c>
      <c r="K195">
        <f t="shared" si="25"/>
        <v>0.24504732410478458</v>
      </c>
      <c r="L195">
        <f t="shared" si="26"/>
        <v>2.8485335280420344E-2</v>
      </c>
      <c r="M195">
        <f t="shared" si="27"/>
        <v>5.0138119930369984E-2</v>
      </c>
    </row>
    <row r="196" spans="1:13" x14ac:dyDescent="0.25">
      <c r="A196" s="2">
        <f t="shared" si="21"/>
        <v>38718</v>
      </c>
      <c r="B196">
        <f>Cleaned!H195/Cleaned!B194</f>
        <v>1.1173223492490473E-2</v>
      </c>
      <c r="C196">
        <f>Cleaned!D195/Cleaned!G194</f>
        <v>0.27929660667674133</v>
      </c>
      <c r="D196">
        <f>Cleaned!J195/Cleaned!L194</f>
        <v>2.5803033826911646E-2</v>
      </c>
      <c r="E196">
        <f>Cleaned!N195/Cleaned!G194</f>
        <v>0.24728671520813297</v>
      </c>
      <c r="F196">
        <f>Cleaned!M195/Cleaned!B194</f>
        <v>2.7565288052006278E-2</v>
      </c>
      <c r="G196">
        <f>Cleaned!E195/Cleaned!L194</f>
        <v>5.1270124299041271E-2</v>
      </c>
      <c r="H196">
        <f t="shared" si="22"/>
        <v>1.1716091495494489E-2</v>
      </c>
      <c r="I196">
        <f t="shared" si="23"/>
        <v>0.27157766733588362</v>
      </c>
      <c r="J196">
        <f t="shared" si="24"/>
        <v>2.6257832962211347E-2</v>
      </c>
      <c r="K196">
        <f t="shared" si="25"/>
        <v>0.24728734175635914</v>
      </c>
      <c r="L196">
        <f t="shared" si="26"/>
        <v>2.8207538972561428E-2</v>
      </c>
      <c r="M196">
        <f t="shared" si="27"/>
        <v>5.0365809755987236E-2</v>
      </c>
    </row>
    <row r="197" spans="1:13" x14ac:dyDescent="0.25">
      <c r="A197" s="2">
        <f t="shared" si="21"/>
        <v>38749</v>
      </c>
      <c r="B197">
        <f>Cleaned!H196/Cleaned!B195</f>
        <v>1.1819769472581209E-2</v>
      </c>
      <c r="C197">
        <f>Cleaned!D196/Cleaned!G195</f>
        <v>0.25821064552661382</v>
      </c>
      <c r="D197">
        <f>Cleaned!J196/Cleaned!L195</f>
        <v>2.4605955598081174E-2</v>
      </c>
      <c r="E197">
        <f>Cleaned!N196/Cleaned!G195</f>
        <v>0.23669309173272934</v>
      </c>
      <c r="F197">
        <f>Cleaned!M196/Cleaned!B195</f>
        <v>2.6482710443590639E-2</v>
      </c>
      <c r="G197">
        <f>Cleaned!E196/Cleaned!L195</f>
        <v>5.0970403030812399E-2</v>
      </c>
      <c r="H197">
        <f t="shared" si="22"/>
        <v>1.1715821408173038E-2</v>
      </c>
      <c r="I197">
        <f t="shared" si="23"/>
        <v>0.26587275840032537</v>
      </c>
      <c r="J197">
        <f t="shared" si="24"/>
        <v>2.5134385241450802E-2</v>
      </c>
      <c r="K197">
        <f t="shared" si="25"/>
        <v>0.24961631946931731</v>
      </c>
      <c r="L197">
        <f t="shared" si="26"/>
        <v>2.7595014088108372E-2</v>
      </c>
      <c r="M197">
        <f t="shared" si="27"/>
        <v>5.1654739113321808E-2</v>
      </c>
    </row>
    <row r="198" spans="1:13" x14ac:dyDescent="0.25">
      <c r="A198" s="2">
        <f t="shared" ref="A198:A261" si="28">DATE(YEAR(A197),MONTH(A197)+1,1)</f>
        <v>38777</v>
      </c>
      <c r="B198">
        <f>Cleaned!H197/Cleaned!B196</f>
        <v>1.2045421276061816E-2</v>
      </c>
      <c r="C198">
        <f>Cleaned!D197/Cleaned!G196</f>
        <v>0.27171492204899778</v>
      </c>
      <c r="D198">
        <f>Cleaned!J197/Cleaned!L196</f>
        <v>2.3767537148932861E-2</v>
      </c>
      <c r="E198">
        <f>Cleaned!N197/Cleaned!G196</f>
        <v>0.24290089086859687</v>
      </c>
      <c r="F198">
        <f>Cleaned!M197/Cleaned!B196</f>
        <v>2.7959597649469876E-2</v>
      </c>
      <c r="G198">
        <f>Cleaned!E197/Cleaned!L196</f>
        <v>5.2060371878322659E-2</v>
      </c>
      <c r="H198">
        <f t="shared" si="22"/>
        <v>1.1679471413711166E-2</v>
      </c>
      <c r="I198">
        <f t="shared" si="23"/>
        <v>0.26974072475078431</v>
      </c>
      <c r="J198">
        <f t="shared" si="24"/>
        <v>2.4725508857975226E-2</v>
      </c>
      <c r="K198">
        <f t="shared" si="25"/>
        <v>0.2422935659364864</v>
      </c>
      <c r="L198">
        <f t="shared" si="26"/>
        <v>2.7335865381688931E-2</v>
      </c>
      <c r="M198">
        <f t="shared" si="27"/>
        <v>5.143363306939211E-2</v>
      </c>
    </row>
    <row r="199" spans="1:13" x14ac:dyDescent="0.25">
      <c r="A199" s="2">
        <f t="shared" si="28"/>
        <v>38808</v>
      </c>
      <c r="B199">
        <f>Cleaned!H198/Cleaned!B197</f>
        <v>1.309299364829798E-2</v>
      </c>
      <c r="C199">
        <f>Cleaned!D198/Cleaned!G197</f>
        <v>0.27955316742081449</v>
      </c>
      <c r="D199">
        <f>Cleaned!J198/Cleaned!L197</f>
        <v>2.418320135819909E-2</v>
      </c>
      <c r="E199">
        <f>Cleaned!N198/Cleaned!G197</f>
        <v>0.24505090497737556</v>
      </c>
      <c r="F199">
        <f>Cleaned!M198/Cleaned!B197</f>
        <v>2.9420972443492115E-2</v>
      </c>
      <c r="G199">
        <f>Cleaned!E198/Cleaned!L197</f>
        <v>5.2669094490740143E-2</v>
      </c>
      <c r="H199">
        <f t="shared" ref="H199:H262" si="29">AVERAGE(B197:B199)</f>
        <v>1.2319394798980336E-2</v>
      </c>
      <c r="I199">
        <f t="shared" ref="I199:I262" si="30">AVERAGE(C197:C199)</f>
        <v>0.2698262449988087</v>
      </c>
      <c r="J199">
        <f t="shared" ref="J199:J262" si="31">AVERAGE(D197:D199)</f>
        <v>2.4185564701737706E-2</v>
      </c>
      <c r="K199">
        <f t="shared" ref="K199:K262" si="32">AVERAGE(E197:E199)</f>
        <v>0.24154829585956727</v>
      </c>
      <c r="L199">
        <f t="shared" ref="L199:L262" si="33">AVERAGE(F197:F199)</f>
        <v>2.7954426845517539E-2</v>
      </c>
      <c r="M199">
        <f t="shared" ref="M199:M262" si="34">AVERAGE(G197:G199)</f>
        <v>5.1899956466625069E-2</v>
      </c>
    </row>
    <row r="200" spans="1:13" x14ac:dyDescent="0.25">
      <c r="A200" s="2">
        <f t="shared" si="28"/>
        <v>38838</v>
      </c>
      <c r="B200">
        <f>Cleaned!H199/Cleaned!B198</f>
        <v>1.2200805503578856E-2</v>
      </c>
      <c r="C200">
        <f>Cleaned!D199/Cleaned!G198</f>
        <v>0.28047752808988763</v>
      </c>
      <c r="D200">
        <f>Cleaned!J199/Cleaned!L198</f>
        <v>2.3694353190718848E-2</v>
      </c>
      <c r="E200">
        <f>Cleaned!N199/Cleaned!G198</f>
        <v>0.24508426966292135</v>
      </c>
      <c r="F200">
        <f>Cleaned!M199/Cleaned!B198</f>
        <v>2.8742148426902984E-2</v>
      </c>
      <c r="G200">
        <f>Cleaned!E199/Cleaned!L198</f>
        <v>5.3312294679117411E-2</v>
      </c>
      <c r="H200">
        <f t="shared" si="29"/>
        <v>1.2446406809312882E-2</v>
      </c>
      <c r="I200">
        <f t="shared" si="30"/>
        <v>0.27724853918656667</v>
      </c>
      <c r="J200">
        <f t="shared" si="31"/>
        <v>2.3881697232616933E-2</v>
      </c>
      <c r="K200">
        <f t="shared" si="32"/>
        <v>0.24434535516963127</v>
      </c>
      <c r="L200">
        <f t="shared" si="33"/>
        <v>2.8707572839954992E-2</v>
      </c>
      <c r="M200">
        <f t="shared" si="34"/>
        <v>5.2680587016060071E-2</v>
      </c>
    </row>
    <row r="201" spans="1:13" x14ac:dyDescent="0.25">
      <c r="A201" s="2">
        <f t="shared" si="28"/>
        <v>38869</v>
      </c>
      <c r="B201">
        <f>Cleaned!H200/Cleaned!B199</f>
        <v>1.2159151635447537E-2</v>
      </c>
      <c r="C201">
        <f>Cleaned!D200/Cleaned!G199</f>
        <v>0.28968481375358168</v>
      </c>
      <c r="D201">
        <f>Cleaned!J200/Cleaned!L199</f>
        <v>2.5633733631510232E-2</v>
      </c>
      <c r="E201">
        <f>Cleaned!N200/Cleaned!G199</f>
        <v>0.24842406876790832</v>
      </c>
      <c r="F201">
        <f>Cleaned!M200/Cleaned!B199</f>
        <v>2.8704481258111307E-2</v>
      </c>
      <c r="G201">
        <f>Cleaned!E200/Cleaned!L199</f>
        <v>5.2857456792357711E-2</v>
      </c>
      <c r="H201">
        <f t="shared" si="29"/>
        <v>1.2484316929108124E-2</v>
      </c>
      <c r="I201">
        <f t="shared" si="30"/>
        <v>0.28323850308809462</v>
      </c>
      <c r="J201">
        <f t="shared" si="31"/>
        <v>2.4503762726809392E-2</v>
      </c>
      <c r="K201">
        <f t="shared" si="32"/>
        <v>0.24618641446940173</v>
      </c>
      <c r="L201">
        <f t="shared" si="33"/>
        <v>2.8955867376168804E-2</v>
      </c>
      <c r="M201">
        <f t="shared" si="34"/>
        <v>5.2946281987405086E-2</v>
      </c>
    </row>
    <row r="202" spans="1:13" x14ac:dyDescent="0.25">
      <c r="A202" s="2">
        <f t="shared" si="28"/>
        <v>38899</v>
      </c>
      <c r="B202">
        <f>Cleaned!H201/Cleaned!B200</f>
        <v>1.3162178825518001E-2</v>
      </c>
      <c r="C202">
        <f>Cleaned!D201/Cleaned!G200</f>
        <v>0.28738751606913299</v>
      </c>
      <c r="D202">
        <f>Cleaned!J201/Cleaned!L200</f>
        <v>2.5531254445982126E-2</v>
      </c>
      <c r="E202">
        <f>Cleaned!N201/Cleaned!G200</f>
        <v>0.24439365804885016</v>
      </c>
      <c r="F202">
        <f>Cleaned!M201/Cleaned!B200</f>
        <v>2.9400151018683367E-2</v>
      </c>
      <c r="G202">
        <f>Cleaned!E201/Cleaned!L200</f>
        <v>5.0195946557678131E-2</v>
      </c>
      <c r="H202">
        <f t="shared" si="29"/>
        <v>1.2507378654848132E-2</v>
      </c>
      <c r="I202">
        <f t="shared" si="30"/>
        <v>0.28584995263753415</v>
      </c>
      <c r="J202">
        <f t="shared" si="31"/>
        <v>2.4953113756070403E-2</v>
      </c>
      <c r="K202">
        <f t="shared" si="32"/>
        <v>0.24596733215989328</v>
      </c>
      <c r="L202">
        <f t="shared" si="33"/>
        <v>2.8948926901232557E-2</v>
      </c>
      <c r="M202">
        <f t="shared" si="34"/>
        <v>5.212189934305108E-2</v>
      </c>
    </row>
    <row r="203" spans="1:13" x14ac:dyDescent="0.25">
      <c r="A203" s="2">
        <f t="shared" si="28"/>
        <v>38930</v>
      </c>
      <c r="B203">
        <f>Cleaned!H202/Cleaned!B201</f>
        <v>1.1962386097280205E-2</v>
      </c>
      <c r="C203">
        <f>Cleaned!D202/Cleaned!G201</f>
        <v>0.28919860627177701</v>
      </c>
      <c r="D203">
        <f>Cleaned!J202/Cleaned!L201</f>
        <v>2.5214419294512156E-2</v>
      </c>
      <c r="E203">
        <f>Cleaned!N202/Cleaned!G201</f>
        <v>0.24222996515679443</v>
      </c>
      <c r="F203">
        <f>Cleaned!M202/Cleaned!B201</f>
        <v>2.8335251938253283E-2</v>
      </c>
      <c r="G203">
        <f>Cleaned!E202/Cleaned!L201</f>
        <v>5.2982524021409683E-2</v>
      </c>
      <c r="H203">
        <f t="shared" si="29"/>
        <v>1.2427905519415248E-2</v>
      </c>
      <c r="I203">
        <f t="shared" si="30"/>
        <v>0.28875697869816391</v>
      </c>
      <c r="J203">
        <f t="shared" si="31"/>
        <v>2.5459802457334837E-2</v>
      </c>
      <c r="K203">
        <f t="shared" si="32"/>
        <v>0.24501589732451765</v>
      </c>
      <c r="L203">
        <f t="shared" si="33"/>
        <v>2.8813294738349319E-2</v>
      </c>
      <c r="M203">
        <f t="shared" si="34"/>
        <v>5.2011975790481842E-2</v>
      </c>
    </row>
    <row r="204" spans="1:13" x14ac:dyDescent="0.25">
      <c r="A204" s="2">
        <f t="shared" si="28"/>
        <v>38961</v>
      </c>
      <c r="B204">
        <f>Cleaned!H203/Cleaned!B202</f>
        <v>1.2176318063958514E-2</v>
      </c>
      <c r="C204">
        <f>Cleaned!D203/Cleaned!G202</f>
        <v>0.2934705965308137</v>
      </c>
      <c r="D204">
        <f>Cleaned!J203/Cleaned!L202</f>
        <v>2.2375437373306994E-2</v>
      </c>
      <c r="E204">
        <f>Cleaned!N203/Cleaned!G202</f>
        <v>0.23734311098575658</v>
      </c>
      <c r="F204">
        <f>Cleaned!M203/Cleaned!B202</f>
        <v>2.8722558340535869E-2</v>
      </c>
      <c r="G204">
        <f>Cleaned!E203/Cleaned!L202</f>
        <v>5.078049347329279E-2</v>
      </c>
      <c r="H204">
        <f t="shared" si="29"/>
        <v>1.2433627662252242E-2</v>
      </c>
      <c r="I204">
        <f t="shared" si="30"/>
        <v>0.29001890629057453</v>
      </c>
      <c r="J204">
        <f t="shared" si="31"/>
        <v>2.4373703704600427E-2</v>
      </c>
      <c r="K204">
        <f t="shared" si="32"/>
        <v>0.24132224473046704</v>
      </c>
      <c r="L204">
        <f t="shared" si="33"/>
        <v>2.8819320432490841E-2</v>
      </c>
      <c r="M204">
        <f t="shared" si="34"/>
        <v>5.1319654684126866E-2</v>
      </c>
    </row>
    <row r="205" spans="1:13" x14ac:dyDescent="0.25">
      <c r="A205" s="2">
        <f t="shared" si="28"/>
        <v>38991</v>
      </c>
      <c r="B205">
        <f>Cleaned!H204/Cleaned!B203</f>
        <v>1.2077478161792632E-2</v>
      </c>
      <c r="C205">
        <f>Cleaned!D204/Cleaned!G203</f>
        <v>0.27471885497298087</v>
      </c>
      <c r="D205">
        <f>Cleaned!J204/Cleaned!L203</f>
        <v>2.2030170917087852E-2</v>
      </c>
      <c r="E205">
        <f>Cleaned!N204/Cleaned!G203</f>
        <v>0.25397984518767341</v>
      </c>
      <c r="F205">
        <f>Cleaned!M204/Cleaned!B203</f>
        <v>2.6958533301108312E-2</v>
      </c>
      <c r="G205">
        <f>Cleaned!E204/Cleaned!L203</f>
        <v>5.3538588165695691E-2</v>
      </c>
      <c r="H205">
        <f t="shared" si="29"/>
        <v>1.2072060774343784E-2</v>
      </c>
      <c r="I205">
        <f t="shared" si="30"/>
        <v>0.28579601925852388</v>
      </c>
      <c r="J205">
        <f t="shared" si="31"/>
        <v>2.3206675861635665E-2</v>
      </c>
      <c r="K205">
        <f t="shared" si="32"/>
        <v>0.24451764044340815</v>
      </c>
      <c r="L205">
        <f t="shared" si="33"/>
        <v>2.800544785996582E-2</v>
      </c>
      <c r="M205">
        <f t="shared" si="34"/>
        <v>5.2433868553466052E-2</v>
      </c>
    </row>
    <row r="206" spans="1:13" x14ac:dyDescent="0.25">
      <c r="A206" s="2">
        <f t="shared" si="28"/>
        <v>39022</v>
      </c>
      <c r="B206">
        <f>Cleaned!H205/Cleaned!B204</f>
        <v>1.2483312000220213E-2</v>
      </c>
      <c r="C206">
        <f>Cleaned!D205/Cleaned!G204</f>
        <v>0.28720083246618106</v>
      </c>
      <c r="D206">
        <f>Cleaned!J205/Cleaned!L204</f>
        <v>2.2142360306051472E-2</v>
      </c>
      <c r="E206">
        <f>Cleaned!N205/Cleaned!G204</f>
        <v>0.22119815668202766</v>
      </c>
      <c r="F206">
        <f>Cleaned!M205/Cleaned!B204</f>
        <v>2.8730886218808923E-2</v>
      </c>
      <c r="G206">
        <f>Cleaned!E205/Cleaned!L204</f>
        <v>5.442203158409975E-2</v>
      </c>
      <c r="H206">
        <f t="shared" si="29"/>
        <v>1.2245702741990452E-2</v>
      </c>
      <c r="I206">
        <f t="shared" si="30"/>
        <v>0.28513009465665856</v>
      </c>
      <c r="J206">
        <f t="shared" si="31"/>
        <v>2.2182656198815442E-2</v>
      </c>
      <c r="K206">
        <f t="shared" si="32"/>
        <v>0.23750703761848591</v>
      </c>
      <c r="L206">
        <f t="shared" si="33"/>
        <v>2.8137325953484369E-2</v>
      </c>
      <c r="M206">
        <f t="shared" si="34"/>
        <v>5.2913704407696077E-2</v>
      </c>
    </row>
    <row r="207" spans="1:13" x14ac:dyDescent="0.25">
      <c r="A207" s="2">
        <f t="shared" si="28"/>
        <v>39052</v>
      </c>
      <c r="B207">
        <f>Cleaned!H206/Cleaned!B205</f>
        <v>1.2505668778429783E-2</v>
      </c>
      <c r="C207">
        <f>Cleaned!D206/Cleaned!G205</f>
        <v>0.30224097788125726</v>
      </c>
      <c r="D207">
        <f>Cleaned!J206/Cleaned!L205</f>
        <v>2.2451902605194907E-2</v>
      </c>
      <c r="E207">
        <f>Cleaned!N206/Cleaned!G205</f>
        <v>0.23282887077997672</v>
      </c>
      <c r="F207">
        <f>Cleaned!M206/Cleaned!B205</f>
        <v>2.8426347107892314E-2</v>
      </c>
      <c r="G207">
        <f>Cleaned!E206/Cleaned!L205</f>
        <v>5.5420069936386276E-2</v>
      </c>
      <c r="H207">
        <f t="shared" si="29"/>
        <v>1.2355486313480877E-2</v>
      </c>
      <c r="I207">
        <f t="shared" si="30"/>
        <v>0.28805355510680636</v>
      </c>
      <c r="J207">
        <f t="shared" si="31"/>
        <v>2.2208144609444744E-2</v>
      </c>
      <c r="K207">
        <f t="shared" si="32"/>
        <v>0.23600229088322591</v>
      </c>
      <c r="L207">
        <f t="shared" si="33"/>
        <v>2.8038588875936517E-2</v>
      </c>
      <c r="M207">
        <f t="shared" si="34"/>
        <v>5.4460229895393904E-2</v>
      </c>
    </row>
    <row r="208" spans="1:13" x14ac:dyDescent="0.25">
      <c r="A208" s="2">
        <f t="shared" si="28"/>
        <v>39083</v>
      </c>
      <c r="B208">
        <f>Cleaned!H207/Cleaned!B206</f>
        <v>1.3132835514146743E-2</v>
      </c>
      <c r="C208">
        <f>Cleaned!D207/Cleaned!G206</f>
        <v>0.28763679384797397</v>
      </c>
      <c r="D208">
        <f>Cleaned!J207/Cleaned!L206</f>
        <v>2.4620037220843674E-2</v>
      </c>
      <c r="E208">
        <f>Cleaned!N207/Cleaned!G206</f>
        <v>0.22833481218574386</v>
      </c>
      <c r="F208">
        <f>Cleaned!M207/Cleaned!B206</f>
        <v>2.9341645543604852E-2</v>
      </c>
      <c r="G208">
        <f>Cleaned!E207/Cleaned!L206</f>
        <v>5.3582506203473948E-2</v>
      </c>
      <c r="H208">
        <f t="shared" si="29"/>
        <v>1.2707272097598914E-2</v>
      </c>
      <c r="I208">
        <f t="shared" si="30"/>
        <v>0.29235953473180415</v>
      </c>
      <c r="J208">
        <f t="shared" si="31"/>
        <v>2.3071433377363351E-2</v>
      </c>
      <c r="K208">
        <f t="shared" si="32"/>
        <v>0.22745394654924941</v>
      </c>
      <c r="L208">
        <f t="shared" si="33"/>
        <v>2.8832959623435364E-2</v>
      </c>
      <c r="M208">
        <f t="shared" si="34"/>
        <v>5.4474869241319994E-2</v>
      </c>
    </row>
    <row r="209" spans="1:13" x14ac:dyDescent="0.25">
      <c r="A209" s="2">
        <f t="shared" si="28"/>
        <v>39114</v>
      </c>
      <c r="B209">
        <f>Cleaned!H208/Cleaned!B207</f>
        <v>1.2552387213411127E-2</v>
      </c>
      <c r="C209">
        <f>Cleaned!D208/Cleaned!G207</f>
        <v>0.2986228218100056</v>
      </c>
      <c r="D209">
        <f>Cleaned!J208/Cleaned!L207</f>
        <v>2.3378835186953269E-2</v>
      </c>
      <c r="E209">
        <f>Cleaned!N208/Cleaned!G207</f>
        <v>0.24465992130410344</v>
      </c>
      <c r="F209">
        <f>Cleaned!M208/Cleaned!B207</f>
        <v>2.9672391596132247E-2</v>
      </c>
      <c r="G209">
        <f>Cleaned!E208/Cleaned!L207</f>
        <v>5.2176605682140741E-2</v>
      </c>
      <c r="H209">
        <f t="shared" si="29"/>
        <v>1.2730297168662551E-2</v>
      </c>
      <c r="I209">
        <f t="shared" si="30"/>
        <v>0.29616686451307889</v>
      </c>
      <c r="J209">
        <f t="shared" si="31"/>
        <v>2.3483591670997284E-2</v>
      </c>
      <c r="K209">
        <f t="shared" si="32"/>
        <v>0.23527453475660801</v>
      </c>
      <c r="L209">
        <f t="shared" si="33"/>
        <v>2.9146794749209805E-2</v>
      </c>
      <c r="M209">
        <f t="shared" si="34"/>
        <v>5.3726393940666993E-2</v>
      </c>
    </row>
    <row r="210" spans="1:13" x14ac:dyDescent="0.25">
      <c r="A210" s="2">
        <f t="shared" si="28"/>
        <v>39142</v>
      </c>
      <c r="B210">
        <f>Cleaned!H209/Cleaned!B208</f>
        <v>1.1646138151543575E-2</v>
      </c>
      <c r="C210">
        <f>Cleaned!D209/Cleaned!G208</f>
        <v>0.30142919012559549</v>
      </c>
      <c r="D210">
        <f>Cleaned!J209/Cleaned!L208</f>
        <v>2.2966949685938525E-2</v>
      </c>
      <c r="E210">
        <f>Cleaned!N209/Cleaned!G208</f>
        <v>0.23531110148693518</v>
      </c>
      <c r="F210">
        <f>Cleaned!M209/Cleaned!B208</f>
        <v>2.8694276891898369E-2</v>
      </c>
      <c r="G210">
        <f>Cleaned!E209/Cleaned!L208</f>
        <v>5.1611411542562075E-2</v>
      </c>
      <c r="H210">
        <f t="shared" si="29"/>
        <v>1.2443786959700482E-2</v>
      </c>
      <c r="I210">
        <f t="shared" si="30"/>
        <v>0.295896268594525</v>
      </c>
      <c r="J210">
        <f t="shared" si="31"/>
        <v>2.365527403124516E-2</v>
      </c>
      <c r="K210">
        <f t="shared" si="32"/>
        <v>0.23610194499226086</v>
      </c>
      <c r="L210">
        <f t="shared" si="33"/>
        <v>2.9236104677211824E-2</v>
      </c>
      <c r="M210">
        <f t="shared" si="34"/>
        <v>5.2456841142725585E-2</v>
      </c>
    </row>
    <row r="211" spans="1:13" x14ac:dyDescent="0.25">
      <c r="A211" s="2">
        <f t="shared" si="28"/>
        <v>39173</v>
      </c>
      <c r="B211">
        <f>Cleaned!H210/Cleaned!B209</f>
        <v>1.2048933843630399E-2</v>
      </c>
      <c r="C211">
        <f>Cleaned!D210/Cleaned!G209</f>
        <v>0.27499628584162827</v>
      </c>
      <c r="D211">
        <f>Cleaned!J210/Cleaned!L209</f>
        <v>2.1581903516196044E-2</v>
      </c>
      <c r="E211">
        <f>Cleaned!N210/Cleaned!G209</f>
        <v>0.22314663497251522</v>
      </c>
      <c r="F211">
        <f>Cleaned!M210/Cleaned!B209</f>
        <v>3.0768179332968836E-2</v>
      </c>
      <c r="G211">
        <f>Cleaned!E210/Cleaned!L209</f>
        <v>4.6279910748634301E-2</v>
      </c>
      <c r="H211">
        <f t="shared" si="29"/>
        <v>1.2082486402861701E-2</v>
      </c>
      <c r="I211">
        <f t="shared" si="30"/>
        <v>0.2916827659257431</v>
      </c>
      <c r="J211">
        <f t="shared" si="31"/>
        <v>2.2642562796362609E-2</v>
      </c>
      <c r="K211">
        <f t="shared" si="32"/>
        <v>0.23437255258785128</v>
      </c>
      <c r="L211">
        <f t="shared" si="33"/>
        <v>2.9711615940333152E-2</v>
      </c>
      <c r="M211">
        <f t="shared" si="34"/>
        <v>5.0022642657779039E-2</v>
      </c>
    </row>
    <row r="212" spans="1:13" x14ac:dyDescent="0.25">
      <c r="A212" s="2">
        <f t="shared" si="28"/>
        <v>39203</v>
      </c>
      <c r="B212">
        <f>Cleaned!H211/Cleaned!B210</f>
        <v>1.175937246713283E-2</v>
      </c>
      <c r="C212">
        <f>Cleaned!D211/Cleaned!G210</f>
        <v>0.28919708029197078</v>
      </c>
      <c r="D212">
        <f>Cleaned!J211/Cleaned!L210</f>
        <v>2.2025425664188383E-2</v>
      </c>
      <c r="E212">
        <f>Cleaned!N211/Cleaned!G210</f>
        <v>0.2275912408759124</v>
      </c>
      <c r="F212">
        <f>Cleaned!M211/Cleaned!B210</f>
        <v>2.7207286414902533E-2</v>
      </c>
      <c r="G212">
        <f>Cleaned!E211/Cleaned!L210</f>
        <v>5.0318455175213786E-2</v>
      </c>
      <c r="H212">
        <f t="shared" si="29"/>
        <v>1.1818148154102268E-2</v>
      </c>
      <c r="I212">
        <f t="shared" si="30"/>
        <v>0.28854085208639818</v>
      </c>
      <c r="J212">
        <f t="shared" si="31"/>
        <v>2.2191426288774321E-2</v>
      </c>
      <c r="K212">
        <f t="shared" si="32"/>
        <v>0.22868299244512094</v>
      </c>
      <c r="L212">
        <f t="shared" si="33"/>
        <v>2.8889914213256578E-2</v>
      </c>
      <c r="M212">
        <f t="shared" si="34"/>
        <v>4.9403259155470058E-2</v>
      </c>
    </row>
    <row r="213" spans="1:13" x14ac:dyDescent="0.25">
      <c r="A213" s="2">
        <f t="shared" si="28"/>
        <v>39234</v>
      </c>
      <c r="B213">
        <f>Cleaned!H212/Cleaned!B211</f>
        <v>1.215876301378313E-2</v>
      </c>
      <c r="C213">
        <f>Cleaned!D212/Cleaned!G211</f>
        <v>0.25908956547443096</v>
      </c>
      <c r="D213">
        <f>Cleaned!J212/Cleaned!L211</f>
        <v>2.2294125111026519E-2</v>
      </c>
      <c r="E213">
        <f>Cleaned!N212/Cleaned!G211</f>
        <v>0.23618090452261306</v>
      </c>
      <c r="F213">
        <f>Cleaned!M212/Cleaned!B211</f>
        <v>2.7655360067990378E-2</v>
      </c>
      <c r="G213">
        <f>Cleaned!E212/Cleaned!L211</f>
        <v>5.1960411115340693E-2</v>
      </c>
      <c r="H213">
        <f t="shared" si="29"/>
        <v>1.1989023108182119E-2</v>
      </c>
      <c r="I213">
        <f t="shared" si="30"/>
        <v>0.27442764386934332</v>
      </c>
      <c r="J213">
        <f t="shared" si="31"/>
        <v>2.1967151430470316E-2</v>
      </c>
      <c r="K213">
        <f t="shared" si="32"/>
        <v>0.22897292679034689</v>
      </c>
      <c r="L213">
        <f t="shared" si="33"/>
        <v>2.8543608605287249E-2</v>
      </c>
      <c r="M213">
        <f t="shared" si="34"/>
        <v>4.9519592346396267E-2</v>
      </c>
    </row>
    <row r="214" spans="1:13" x14ac:dyDescent="0.25">
      <c r="A214" s="2">
        <f t="shared" si="28"/>
        <v>39264</v>
      </c>
      <c r="B214">
        <f>Cleaned!H213/Cleaned!B212</f>
        <v>1.2617842985561026E-2</v>
      </c>
      <c r="C214">
        <f>Cleaned!D213/Cleaned!G212</f>
        <v>0.2722453073506233</v>
      </c>
      <c r="D214">
        <f>Cleaned!J213/Cleaned!L212</f>
        <v>2.2714850453153003E-2</v>
      </c>
      <c r="E214">
        <f>Cleaned!N213/Cleaned!G212</f>
        <v>0.22668004012036108</v>
      </c>
      <c r="F214">
        <f>Cleaned!M213/Cleaned!B212</f>
        <v>2.7371750545997275E-2</v>
      </c>
      <c r="G214">
        <f>Cleaned!E213/Cleaned!L212</f>
        <v>4.7603309987161724E-2</v>
      </c>
      <c r="H214">
        <f t="shared" si="29"/>
        <v>1.2178659488825662E-2</v>
      </c>
      <c r="I214">
        <f t="shared" si="30"/>
        <v>0.27351065103900835</v>
      </c>
      <c r="J214">
        <f t="shared" si="31"/>
        <v>2.2344800409455967E-2</v>
      </c>
      <c r="K214">
        <f t="shared" si="32"/>
        <v>0.2301507285062955</v>
      </c>
      <c r="L214">
        <f t="shared" si="33"/>
        <v>2.7411465676296726E-2</v>
      </c>
      <c r="M214">
        <f t="shared" si="34"/>
        <v>4.9960725425905406E-2</v>
      </c>
    </row>
    <row r="215" spans="1:13" x14ac:dyDescent="0.25">
      <c r="A215" s="2">
        <f t="shared" si="28"/>
        <v>39295</v>
      </c>
      <c r="B215">
        <f>Cleaned!H214/Cleaned!B213</f>
        <v>1.1747369863952572E-2</v>
      </c>
      <c r="C215">
        <f>Cleaned!D214/Cleaned!G213</f>
        <v>0.27626241432368165</v>
      </c>
      <c r="D215">
        <f>Cleaned!J214/Cleaned!L213</f>
        <v>2.1988745817702524E-2</v>
      </c>
      <c r="E215">
        <f>Cleaned!N214/Cleaned!G213</f>
        <v>0.22268848790040566</v>
      </c>
      <c r="F215">
        <f>Cleaned!M214/Cleaned!B213</f>
        <v>3.0238854048867413E-2</v>
      </c>
      <c r="G215">
        <f>Cleaned!E214/Cleaned!L213</f>
        <v>4.9275068437595056E-2</v>
      </c>
      <c r="H215">
        <f t="shared" si="29"/>
        <v>1.2174658621098908E-2</v>
      </c>
      <c r="I215">
        <f t="shared" si="30"/>
        <v>0.26919909571624528</v>
      </c>
      <c r="J215">
        <f t="shared" si="31"/>
        <v>2.2332573793960683E-2</v>
      </c>
      <c r="K215">
        <f t="shared" si="32"/>
        <v>0.22851647751445991</v>
      </c>
      <c r="L215">
        <f t="shared" si="33"/>
        <v>2.8421988220951693E-2</v>
      </c>
      <c r="M215">
        <f t="shared" si="34"/>
        <v>4.9612929846699155E-2</v>
      </c>
    </row>
    <row r="216" spans="1:13" x14ac:dyDescent="0.25">
      <c r="A216" s="2">
        <f t="shared" si="28"/>
        <v>39326</v>
      </c>
      <c r="B216">
        <f>Cleaned!H215/Cleaned!B214</f>
        <v>1.2321357477244959E-2</v>
      </c>
      <c r="C216">
        <f>Cleaned!D215/Cleaned!G214</f>
        <v>0.27027027027027029</v>
      </c>
      <c r="D216">
        <f>Cleaned!J215/Cleaned!L214</f>
        <v>2.261486767093291E-2</v>
      </c>
      <c r="E216">
        <f>Cleaned!N215/Cleaned!G214</f>
        <v>0.22725343144191312</v>
      </c>
      <c r="F216">
        <f>Cleaned!M215/Cleaned!B214</f>
        <v>2.5294820224873355E-2</v>
      </c>
      <c r="G216">
        <f>Cleaned!E215/Cleaned!L214</f>
        <v>5.0993569172298359E-2</v>
      </c>
      <c r="H216">
        <f t="shared" si="29"/>
        <v>1.2228856775586184E-2</v>
      </c>
      <c r="I216">
        <f t="shared" si="30"/>
        <v>0.27292599731485839</v>
      </c>
      <c r="J216">
        <f t="shared" si="31"/>
        <v>2.243948798059615E-2</v>
      </c>
      <c r="K216">
        <f t="shared" si="32"/>
        <v>0.22554065315422664</v>
      </c>
      <c r="L216">
        <f t="shared" si="33"/>
        <v>2.7635141606579348E-2</v>
      </c>
      <c r="M216">
        <f t="shared" si="34"/>
        <v>4.9290649199018377E-2</v>
      </c>
    </row>
    <row r="217" spans="1:13" x14ac:dyDescent="0.25">
      <c r="A217" s="2">
        <f t="shared" si="28"/>
        <v>39356</v>
      </c>
      <c r="B217">
        <f>Cleaned!H216/Cleaned!B215</f>
        <v>1.2431279231968491E-2</v>
      </c>
      <c r="C217">
        <f>Cleaned!D216/Cleaned!G215</f>
        <v>0.26596931659693168</v>
      </c>
      <c r="D217">
        <f>Cleaned!J216/Cleaned!L215</f>
        <v>2.2442344427998532E-2</v>
      </c>
      <c r="E217">
        <f>Cleaned!N216/Cleaned!G215</f>
        <v>0.22831241283124129</v>
      </c>
      <c r="F217">
        <f>Cleaned!M216/Cleaned!B215</f>
        <v>2.9245644265747654E-2</v>
      </c>
      <c r="G217">
        <f>Cleaned!E216/Cleaned!L215</f>
        <v>4.8300378255974295E-2</v>
      </c>
      <c r="H217">
        <f t="shared" si="29"/>
        <v>1.2166668857722008E-2</v>
      </c>
      <c r="I217">
        <f t="shared" si="30"/>
        <v>0.27083400039696121</v>
      </c>
      <c r="J217">
        <f t="shared" si="31"/>
        <v>2.2348652638877989E-2</v>
      </c>
      <c r="K217">
        <f t="shared" si="32"/>
        <v>0.22608477739118668</v>
      </c>
      <c r="L217">
        <f t="shared" si="33"/>
        <v>2.825977284649614E-2</v>
      </c>
      <c r="M217">
        <f t="shared" si="34"/>
        <v>4.9523005288622572E-2</v>
      </c>
    </row>
    <row r="218" spans="1:13" x14ac:dyDescent="0.25">
      <c r="A218" s="2">
        <f t="shared" si="28"/>
        <v>39387</v>
      </c>
      <c r="B218">
        <f>Cleaned!H217/Cleaned!B216</f>
        <v>1.1819440066874048E-2</v>
      </c>
      <c r="C218">
        <f>Cleaned!D217/Cleaned!G216</f>
        <v>0.27027773939477684</v>
      </c>
      <c r="D218">
        <f>Cleaned!J217/Cleaned!L216</f>
        <v>2.3914902177739776E-2</v>
      </c>
      <c r="E218">
        <f>Cleaned!N217/Cleaned!G216</f>
        <v>0.23448942932154207</v>
      </c>
      <c r="F218">
        <f>Cleaned!M217/Cleaned!B216</f>
        <v>2.5845175612897921E-2</v>
      </c>
      <c r="G218">
        <f>Cleaned!E217/Cleaned!L216</f>
        <v>5.1828194940401348E-2</v>
      </c>
      <c r="H218">
        <f t="shared" si="29"/>
        <v>1.2190692258695832E-2</v>
      </c>
      <c r="I218">
        <f t="shared" si="30"/>
        <v>0.26883910875399292</v>
      </c>
      <c r="J218">
        <f t="shared" si="31"/>
        <v>2.2990704758890406E-2</v>
      </c>
      <c r="K218">
        <f t="shared" si="32"/>
        <v>0.23001842453156549</v>
      </c>
      <c r="L218">
        <f t="shared" si="33"/>
        <v>2.6795213367839646E-2</v>
      </c>
      <c r="M218">
        <f t="shared" si="34"/>
        <v>5.0374047456224667E-2</v>
      </c>
    </row>
    <row r="219" spans="1:13" x14ac:dyDescent="0.25">
      <c r="A219" s="2">
        <f t="shared" si="28"/>
        <v>39417</v>
      </c>
      <c r="B219">
        <f>Cleaned!H218/Cleaned!B217</f>
        <v>1.2728947099150721E-2</v>
      </c>
      <c r="C219">
        <f>Cleaned!D218/Cleaned!G217</f>
        <v>0.26947513812154694</v>
      </c>
      <c r="D219">
        <f>Cleaned!J218/Cleaned!L217</f>
        <v>2.4954174830920928E-2</v>
      </c>
      <c r="E219">
        <f>Cleaned!N218/Cleaned!G217</f>
        <v>0.20662983425414364</v>
      </c>
      <c r="F219">
        <f>Cleaned!M218/Cleaned!B217</f>
        <v>2.8377502643337084E-2</v>
      </c>
      <c r="G219">
        <f>Cleaned!E218/Cleaned!L217</f>
        <v>4.636875039504456E-2</v>
      </c>
      <c r="H219">
        <f t="shared" si="29"/>
        <v>1.2326555465997752E-2</v>
      </c>
      <c r="I219">
        <f t="shared" si="30"/>
        <v>0.26857406470441852</v>
      </c>
      <c r="J219">
        <f t="shared" si="31"/>
        <v>2.3770473812219747E-2</v>
      </c>
      <c r="K219">
        <f t="shared" si="32"/>
        <v>0.22314389213564234</v>
      </c>
      <c r="L219">
        <f t="shared" si="33"/>
        <v>2.782277417399422E-2</v>
      </c>
      <c r="M219">
        <f t="shared" si="34"/>
        <v>4.8832441197140065E-2</v>
      </c>
    </row>
    <row r="220" spans="1:13" x14ac:dyDescent="0.25">
      <c r="A220" s="2">
        <f t="shared" si="28"/>
        <v>39448</v>
      </c>
      <c r="B220">
        <f>Cleaned!H219/Cleaned!B218</f>
        <v>1.2169026409521921E-2</v>
      </c>
      <c r="C220">
        <f>Cleaned!D219/Cleaned!G218</f>
        <v>0.26605624591236104</v>
      </c>
      <c r="D220">
        <f>Cleaned!J219/Cleaned!L218</f>
        <v>2.3360004038466393E-2</v>
      </c>
      <c r="E220">
        <f>Cleaned!N219/Cleaned!G218</f>
        <v>0.20497056899934599</v>
      </c>
      <c r="F220">
        <f>Cleaned!M219/Cleaned!B218</f>
        <v>2.4816610037395829E-2</v>
      </c>
      <c r="G220">
        <f>Cleaned!E219/Cleaned!L218</f>
        <v>5.0026502435700046E-2</v>
      </c>
      <c r="H220">
        <f t="shared" si="29"/>
        <v>1.2239137858515563E-2</v>
      </c>
      <c r="I220">
        <f t="shared" si="30"/>
        <v>0.26860304114289496</v>
      </c>
      <c r="J220">
        <f t="shared" si="31"/>
        <v>2.4076360349042369E-2</v>
      </c>
      <c r="K220">
        <f t="shared" si="32"/>
        <v>0.21536327752501058</v>
      </c>
      <c r="L220">
        <f t="shared" si="33"/>
        <v>2.6346429431210277E-2</v>
      </c>
      <c r="M220">
        <f t="shared" si="34"/>
        <v>4.9407815923715313E-2</v>
      </c>
    </row>
    <row r="221" spans="1:13" x14ac:dyDescent="0.25">
      <c r="A221" s="2">
        <f t="shared" si="28"/>
        <v>39479</v>
      </c>
      <c r="B221">
        <f>Cleaned!H220/Cleaned!B219</f>
        <v>1.2413067537471479E-2</v>
      </c>
      <c r="C221">
        <f>Cleaned!D220/Cleaned!G219</f>
        <v>0.25569290826284968</v>
      </c>
      <c r="D221">
        <f>Cleaned!J220/Cleaned!L219</f>
        <v>2.314331542633093E-2</v>
      </c>
      <c r="E221">
        <f>Cleaned!N220/Cleaned!G219</f>
        <v>0.24372153545868575</v>
      </c>
      <c r="F221">
        <f>Cleaned!M220/Cleaned!B219</f>
        <v>2.7654428944240254E-2</v>
      </c>
      <c r="G221">
        <f>Cleaned!E220/Cleaned!L219</f>
        <v>4.6401201721109044E-2</v>
      </c>
      <c r="H221">
        <f t="shared" si="29"/>
        <v>1.243701368204804E-2</v>
      </c>
      <c r="I221">
        <f t="shared" si="30"/>
        <v>0.26374143076558587</v>
      </c>
      <c r="J221">
        <f t="shared" si="31"/>
        <v>2.3819164765239417E-2</v>
      </c>
      <c r="K221">
        <f t="shared" si="32"/>
        <v>0.21844064623739179</v>
      </c>
      <c r="L221">
        <f t="shared" si="33"/>
        <v>2.6949513874991057E-2</v>
      </c>
      <c r="M221">
        <f t="shared" si="34"/>
        <v>4.759881818395121E-2</v>
      </c>
    </row>
    <row r="222" spans="1:13" x14ac:dyDescent="0.25">
      <c r="A222" s="2">
        <f t="shared" si="28"/>
        <v>39508</v>
      </c>
      <c r="B222">
        <f>Cleaned!H221/Cleaned!B220</f>
        <v>1.371821888940584E-2</v>
      </c>
      <c r="C222">
        <f>Cleaned!D221/Cleaned!G220</f>
        <v>0.26623982926503936</v>
      </c>
      <c r="D222">
        <f>Cleaned!J221/Cleaned!L220</f>
        <v>2.5329728637121633E-2</v>
      </c>
      <c r="E222">
        <f>Cleaned!N221/Cleaned!G220</f>
        <v>0.22835800987061491</v>
      </c>
      <c r="F222">
        <f>Cleaned!M221/Cleaned!B220</f>
        <v>2.707381154382988E-2</v>
      </c>
      <c r="G222">
        <f>Cleaned!E221/Cleaned!L220</f>
        <v>4.8385466673404418E-2</v>
      </c>
      <c r="H222">
        <f t="shared" si="29"/>
        <v>1.2766770945466412E-2</v>
      </c>
      <c r="I222">
        <f t="shared" si="30"/>
        <v>0.26266299448008334</v>
      </c>
      <c r="J222">
        <f t="shared" si="31"/>
        <v>2.3944349367306317E-2</v>
      </c>
      <c r="K222">
        <f t="shared" si="32"/>
        <v>0.22568337144288222</v>
      </c>
      <c r="L222">
        <f t="shared" si="33"/>
        <v>2.651495017515532E-2</v>
      </c>
      <c r="M222">
        <f t="shared" si="34"/>
        <v>4.82710569434045E-2</v>
      </c>
    </row>
    <row r="223" spans="1:13" x14ac:dyDescent="0.25">
      <c r="A223" s="2">
        <f t="shared" si="28"/>
        <v>39539</v>
      </c>
      <c r="B223">
        <f>Cleaned!H222/Cleaned!B221</f>
        <v>1.3108716783264652E-2</v>
      </c>
      <c r="C223">
        <f>Cleaned!D222/Cleaned!G221</f>
        <v>0.27128611608284325</v>
      </c>
      <c r="D223">
        <f>Cleaned!J222/Cleaned!L221</f>
        <v>2.4163263241746433E-2</v>
      </c>
      <c r="E223">
        <f>Cleaned!N222/Cleaned!G221</f>
        <v>0.24354385067757606</v>
      </c>
      <c r="F223">
        <f>Cleaned!M222/Cleaned!B221</f>
        <v>2.6600769409799708E-2</v>
      </c>
      <c r="G223">
        <f>Cleaned!E222/Cleaned!L221</f>
        <v>4.6720699988620128E-2</v>
      </c>
      <c r="H223">
        <f t="shared" si="29"/>
        <v>1.3080001070047323E-2</v>
      </c>
      <c r="I223">
        <f t="shared" si="30"/>
        <v>0.26440628453691079</v>
      </c>
      <c r="J223">
        <f t="shared" si="31"/>
        <v>2.4212102435066329E-2</v>
      </c>
      <c r="K223">
        <f t="shared" si="32"/>
        <v>0.23854113200229224</v>
      </c>
      <c r="L223">
        <f t="shared" si="33"/>
        <v>2.7109669965956613E-2</v>
      </c>
      <c r="M223">
        <f t="shared" si="34"/>
        <v>4.716912279437787E-2</v>
      </c>
    </row>
    <row r="224" spans="1:13" x14ac:dyDescent="0.25">
      <c r="A224" s="2">
        <f t="shared" si="28"/>
        <v>39569</v>
      </c>
      <c r="B224">
        <f>Cleaned!H223/Cleaned!B222</f>
        <v>1.405578518052172E-2</v>
      </c>
      <c r="C224">
        <f>Cleaned!D223/Cleaned!G222</f>
        <v>0.24878879141023963</v>
      </c>
      <c r="D224">
        <f>Cleaned!J223/Cleaned!L222</f>
        <v>2.8327185284971485E-2</v>
      </c>
      <c r="E224">
        <f>Cleaned!N223/Cleaned!G222</f>
        <v>0.21814848762603117</v>
      </c>
      <c r="F224">
        <f>Cleaned!M223/Cleaned!B222</f>
        <v>2.6133906331262148E-2</v>
      </c>
      <c r="G224">
        <f>Cleaned!E223/Cleaned!L222</f>
        <v>4.677133037051958E-2</v>
      </c>
      <c r="H224">
        <f t="shared" si="29"/>
        <v>1.3627573617730737E-2</v>
      </c>
      <c r="I224">
        <f t="shared" si="30"/>
        <v>0.26210491225270743</v>
      </c>
      <c r="J224">
        <f t="shared" si="31"/>
        <v>2.594005905461318E-2</v>
      </c>
      <c r="K224">
        <f t="shared" si="32"/>
        <v>0.23001678272474071</v>
      </c>
      <c r="L224">
        <f t="shared" si="33"/>
        <v>2.660282909496391E-2</v>
      </c>
      <c r="M224">
        <f t="shared" si="34"/>
        <v>4.7292499010848039E-2</v>
      </c>
    </row>
    <row r="225" spans="1:13" x14ac:dyDescent="0.25">
      <c r="A225" s="2">
        <f t="shared" si="28"/>
        <v>39600</v>
      </c>
      <c r="B225">
        <f>Cleaned!H224/Cleaned!B223</f>
        <v>1.36798530580914E-2</v>
      </c>
      <c r="C225">
        <f>Cleaned!D224/Cleaned!G223</f>
        <v>0.24014294222751636</v>
      </c>
      <c r="D225">
        <f>Cleaned!J224/Cleaned!L223</f>
        <v>2.5283810775960154E-2</v>
      </c>
      <c r="E225">
        <f>Cleaned!N224/Cleaned!G223</f>
        <v>0.21667659321024418</v>
      </c>
      <c r="F225">
        <f>Cleaned!M224/Cleaned!B223</f>
        <v>2.762699783425172E-2</v>
      </c>
      <c r="G225">
        <f>Cleaned!E224/Cleaned!L223</f>
        <v>4.7596773785744985E-2</v>
      </c>
      <c r="H225">
        <f t="shared" si="29"/>
        <v>1.3614785007292589E-2</v>
      </c>
      <c r="I225">
        <f t="shared" si="30"/>
        <v>0.25340594990686638</v>
      </c>
      <c r="J225">
        <f t="shared" si="31"/>
        <v>2.5924753100892688E-2</v>
      </c>
      <c r="K225">
        <f t="shared" si="32"/>
        <v>0.22612297717128382</v>
      </c>
      <c r="L225">
        <f t="shared" si="33"/>
        <v>2.6787224525104528E-2</v>
      </c>
      <c r="M225">
        <f t="shared" si="34"/>
        <v>4.7029601381628233E-2</v>
      </c>
    </row>
    <row r="226" spans="1:13" x14ac:dyDescent="0.25">
      <c r="A226" s="2">
        <f t="shared" si="28"/>
        <v>39630</v>
      </c>
      <c r="B226">
        <f>Cleaned!H225/Cleaned!B224</f>
        <v>1.3496915676869978E-2</v>
      </c>
      <c r="C226">
        <f>Cleaned!D225/Cleaned!G224</f>
        <v>0.2393002915451895</v>
      </c>
      <c r="D226">
        <f>Cleaned!J225/Cleaned!L224</f>
        <v>2.7145270696220088E-2</v>
      </c>
      <c r="E226">
        <f>Cleaned!N225/Cleaned!G224</f>
        <v>0.20244897959183675</v>
      </c>
      <c r="F226">
        <f>Cleaned!M225/Cleaned!B224</f>
        <v>2.7268298373096744E-2</v>
      </c>
      <c r="G226">
        <f>Cleaned!E225/Cleaned!L224</f>
        <v>4.7066091736641703E-2</v>
      </c>
      <c r="H226">
        <f t="shared" si="29"/>
        <v>1.3744184638494366E-2</v>
      </c>
      <c r="I226">
        <f t="shared" si="30"/>
        <v>0.24274400839431517</v>
      </c>
      <c r="J226">
        <f t="shared" si="31"/>
        <v>2.6918755585717241E-2</v>
      </c>
      <c r="K226">
        <f t="shared" si="32"/>
        <v>0.21242468680937068</v>
      </c>
      <c r="L226">
        <f t="shared" si="33"/>
        <v>2.7009734179536869E-2</v>
      </c>
      <c r="M226">
        <f t="shared" si="34"/>
        <v>4.7144731964302085E-2</v>
      </c>
    </row>
    <row r="227" spans="1:13" x14ac:dyDescent="0.25">
      <c r="A227" s="2">
        <f t="shared" si="28"/>
        <v>39661</v>
      </c>
      <c r="B227">
        <f>Cleaned!H226/Cleaned!B225</f>
        <v>1.5721628232965947E-2</v>
      </c>
      <c r="C227">
        <f>Cleaned!D226/Cleaned!G225</f>
        <v>0.23352355376524561</v>
      </c>
      <c r="D227">
        <f>Cleaned!J226/Cleaned!L225</f>
        <v>2.7571005730839475E-2</v>
      </c>
      <c r="E227">
        <f>Cleaned!N226/Cleaned!G225</f>
        <v>0.21472529931744433</v>
      </c>
      <c r="F227">
        <f>Cleaned!M226/Cleaned!B225</f>
        <v>2.5808756836984307E-2</v>
      </c>
      <c r="G227">
        <f>Cleaned!E226/Cleaned!L225</f>
        <v>4.4889476667296431E-2</v>
      </c>
      <c r="H227">
        <f t="shared" si="29"/>
        <v>1.4299465655975776E-2</v>
      </c>
      <c r="I227">
        <f t="shared" si="30"/>
        <v>0.23765559584598384</v>
      </c>
      <c r="J227">
        <f t="shared" si="31"/>
        <v>2.6666695734339902E-2</v>
      </c>
      <c r="K227">
        <f t="shared" si="32"/>
        <v>0.21128362403984177</v>
      </c>
      <c r="L227">
        <f t="shared" si="33"/>
        <v>2.6901351014777589E-2</v>
      </c>
      <c r="M227">
        <f t="shared" si="34"/>
        <v>4.6517447396561044E-2</v>
      </c>
    </row>
    <row r="228" spans="1:13" x14ac:dyDescent="0.25">
      <c r="A228" s="2">
        <f t="shared" si="28"/>
        <v>39692</v>
      </c>
      <c r="B228">
        <f>Cleaned!H227/Cleaned!B226</f>
        <v>1.4737987507145169E-2</v>
      </c>
      <c r="C228">
        <f>Cleaned!D227/Cleaned!G226</f>
        <v>0.24295401568128841</v>
      </c>
      <c r="D228">
        <f>Cleaned!J227/Cleaned!L226</f>
        <v>2.8704099866609618E-2</v>
      </c>
      <c r="E228">
        <f>Cleaned!N227/Cleaned!G226</f>
        <v>0.22155117609663064</v>
      </c>
      <c r="F228">
        <f>Cleaned!M227/Cleaned!B226</f>
        <v>2.7161973237467545E-2</v>
      </c>
      <c r="G228">
        <f>Cleaned!E227/Cleaned!L226</f>
        <v>4.5403065461958575E-2</v>
      </c>
      <c r="H228">
        <f t="shared" si="29"/>
        <v>1.4652177138993699E-2</v>
      </c>
      <c r="I228">
        <f t="shared" si="30"/>
        <v>0.23859262033057449</v>
      </c>
      <c r="J228">
        <f t="shared" si="31"/>
        <v>2.7806792097889724E-2</v>
      </c>
      <c r="K228">
        <f t="shared" si="32"/>
        <v>0.21290848500197057</v>
      </c>
      <c r="L228">
        <f t="shared" si="33"/>
        <v>2.6746342815849533E-2</v>
      </c>
      <c r="M228">
        <f t="shared" si="34"/>
        <v>4.5786211288632229E-2</v>
      </c>
    </row>
    <row r="229" spans="1:13" x14ac:dyDescent="0.25">
      <c r="A229" s="2">
        <f t="shared" si="28"/>
        <v>39722</v>
      </c>
      <c r="B229">
        <f>Cleaned!H228/Cleaned!B227</f>
        <v>1.5571148915051422E-2</v>
      </c>
      <c r="C229">
        <f>Cleaned!D228/Cleaned!G227</f>
        <v>0.22530018959342743</v>
      </c>
      <c r="D229">
        <f>Cleaned!J228/Cleaned!L227</f>
        <v>3.0354681037724027E-2</v>
      </c>
      <c r="E229">
        <f>Cleaned!N228/Cleaned!G227</f>
        <v>0.21044870444491257</v>
      </c>
      <c r="F229">
        <f>Cleaned!M228/Cleaned!B227</f>
        <v>2.551076677052028E-2</v>
      </c>
      <c r="G229">
        <f>Cleaned!E228/Cleaned!L227</f>
        <v>4.4078205288883315E-2</v>
      </c>
      <c r="H229">
        <f t="shared" si="29"/>
        <v>1.5343588218387513E-2</v>
      </c>
      <c r="I229">
        <f t="shared" si="30"/>
        <v>0.23392591967998713</v>
      </c>
      <c r="J229">
        <f t="shared" si="31"/>
        <v>2.8876595545057709E-2</v>
      </c>
      <c r="K229">
        <f t="shared" si="32"/>
        <v>0.21557505995299586</v>
      </c>
      <c r="L229">
        <f t="shared" si="33"/>
        <v>2.6160498948324045E-2</v>
      </c>
      <c r="M229">
        <f t="shared" si="34"/>
        <v>4.4790249139379436E-2</v>
      </c>
    </row>
    <row r="230" spans="1:13" x14ac:dyDescent="0.25">
      <c r="A230" s="2">
        <f t="shared" si="28"/>
        <v>39753</v>
      </c>
      <c r="B230">
        <f>Cleaned!H229/Cleaned!B228</f>
        <v>1.7306390795707241E-2</v>
      </c>
      <c r="C230">
        <f>Cleaned!D229/Cleaned!G228</f>
        <v>0.20825888425650188</v>
      </c>
      <c r="D230">
        <f>Cleaned!J229/Cleaned!L228</f>
        <v>2.6650446473362094E-2</v>
      </c>
      <c r="E230">
        <f>Cleaned!N229/Cleaned!G228</f>
        <v>0.20746476077029979</v>
      </c>
      <c r="F230">
        <f>Cleaned!M229/Cleaned!B228</f>
        <v>2.6705432245410974E-2</v>
      </c>
      <c r="G230">
        <f>Cleaned!E229/Cleaned!L228</f>
        <v>4.3656566670011034E-2</v>
      </c>
      <c r="H230">
        <f t="shared" si="29"/>
        <v>1.5871842405967944E-2</v>
      </c>
      <c r="I230">
        <f t="shared" si="30"/>
        <v>0.22550436317707256</v>
      </c>
      <c r="J230">
        <f t="shared" si="31"/>
        <v>2.8569742459231912E-2</v>
      </c>
      <c r="K230">
        <f t="shared" si="32"/>
        <v>0.21315488043728101</v>
      </c>
      <c r="L230">
        <f t="shared" si="33"/>
        <v>2.6459390751132933E-2</v>
      </c>
      <c r="M230">
        <f t="shared" si="34"/>
        <v>4.4379279140284306E-2</v>
      </c>
    </row>
    <row r="231" spans="1:13" x14ac:dyDescent="0.25">
      <c r="A231" s="2">
        <f t="shared" si="28"/>
        <v>39783</v>
      </c>
      <c r="B231">
        <f>Cleaned!H230/Cleaned!B229</f>
        <v>1.7480916030534352E-2</v>
      </c>
      <c r="C231">
        <f>Cleaned!D230/Cleaned!G229</f>
        <v>0.19738090719301576</v>
      </c>
      <c r="D231">
        <f>Cleaned!J230/Cleaned!L229</f>
        <v>3.1363403958148871E-2</v>
      </c>
      <c r="E231">
        <f>Cleaned!N230/Cleaned!G229</f>
        <v>0.2125640539001708</v>
      </c>
      <c r="F231">
        <f>Cleaned!M230/Cleaned!B229</f>
        <v>2.6349757113115893E-2</v>
      </c>
      <c r="G231">
        <f>Cleaned!E230/Cleaned!L229</f>
        <v>4.2911122473157169E-2</v>
      </c>
      <c r="H231">
        <f t="shared" si="29"/>
        <v>1.6786151913764338E-2</v>
      </c>
      <c r="I231">
        <f t="shared" si="30"/>
        <v>0.21031332701431502</v>
      </c>
      <c r="J231">
        <f t="shared" si="31"/>
        <v>2.9456177156411661E-2</v>
      </c>
      <c r="K231">
        <f t="shared" si="32"/>
        <v>0.21015917303846102</v>
      </c>
      <c r="L231">
        <f t="shared" si="33"/>
        <v>2.6188652043015719E-2</v>
      </c>
      <c r="M231">
        <f t="shared" si="34"/>
        <v>4.3548631477350504E-2</v>
      </c>
    </row>
    <row r="232" spans="1:13" x14ac:dyDescent="0.25">
      <c r="A232" s="2">
        <f t="shared" si="28"/>
        <v>39814</v>
      </c>
      <c r="B232">
        <f>Cleaned!H231/Cleaned!B230</f>
        <v>1.9278923616681432E-2</v>
      </c>
      <c r="C232">
        <f>Cleaned!D231/Cleaned!G230</f>
        <v>0.19803296119085592</v>
      </c>
      <c r="D232">
        <f>Cleaned!J231/Cleaned!L230</f>
        <v>3.1189350584722567E-2</v>
      </c>
      <c r="E232">
        <f>Cleaned!N231/Cleaned!G230</f>
        <v>0.1975899344320397</v>
      </c>
      <c r="F232">
        <f>Cleaned!M231/Cleaned!B230</f>
        <v>2.8116259442417815E-2</v>
      </c>
      <c r="G232">
        <f>Cleaned!E231/Cleaned!L230</f>
        <v>4.5247574023388901E-2</v>
      </c>
      <c r="H232">
        <f t="shared" si="29"/>
        <v>1.8022076814307675E-2</v>
      </c>
      <c r="I232">
        <f t="shared" si="30"/>
        <v>0.20122425088012452</v>
      </c>
      <c r="J232">
        <f t="shared" si="31"/>
        <v>2.9734400338744509E-2</v>
      </c>
      <c r="K232">
        <f t="shared" si="32"/>
        <v>0.20587291636750341</v>
      </c>
      <c r="L232">
        <f t="shared" si="33"/>
        <v>2.7057149600314894E-2</v>
      </c>
      <c r="M232">
        <f t="shared" si="34"/>
        <v>4.3938421055519039E-2</v>
      </c>
    </row>
    <row r="233" spans="1:13" x14ac:dyDescent="0.25">
      <c r="A233" s="2">
        <f t="shared" si="28"/>
        <v>39845</v>
      </c>
      <c r="B233">
        <f>Cleaned!H232/Cleaned!B231</f>
        <v>1.9887023137042482E-2</v>
      </c>
      <c r="C233">
        <f>Cleaned!D232/Cleaned!G231</f>
        <v>0.19033032535805944</v>
      </c>
      <c r="D233">
        <f>Cleaned!J232/Cleaned!L231</f>
        <v>3.2009638913386415E-2</v>
      </c>
      <c r="E233">
        <f>Cleaned!N232/Cleaned!G231</f>
        <v>0.19231724480503354</v>
      </c>
      <c r="F233">
        <f>Cleaned!M232/Cleaned!B231</f>
        <v>2.5141924546087668E-2</v>
      </c>
      <c r="G233">
        <f>Cleaned!E232/Cleaned!L231</f>
        <v>4.3785012483386537E-2</v>
      </c>
      <c r="H233">
        <f t="shared" si="29"/>
        <v>1.8882287594752755E-2</v>
      </c>
      <c r="I233">
        <f t="shared" si="30"/>
        <v>0.19524806458064373</v>
      </c>
      <c r="J233">
        <f t="shared" si="31"/>
        <v>3.1520797818752617E-2</v>
      </c>
      <c r="K233">
        <f t="shared" si="32"/>
        <v>0.20082374437908135</v>
      </c>
      <c r="L233">
        <f t="shared" si="33"/>
        <v>2.6535980367207126E-2</v>
      </c>
      <c r="M233">
        <f t="shared" si="34"/>
        <v>4.3981236326644198E-2</v>
      </c>
    </row>
    <row r="234" spans="1:13" x14ac:dyDescent="0.25">
      <c r="A234" s="2">
        <f t="shared" si="28"/>
        <v>39873</v>
      </c>
      <c r="B234">
        <f>Cleaned!H233/Cleaned!B232</f>
        <v>1.8715935726186777E-2</v>
      </c>
      <c r="C234">
        <f>Cleaned!D233/Cleaned!G232</f>
        <v>0.17172579768651502</v>
      </c>
      <c r="D234">
        <f>Cleaned!J233/Cleaned!L232</f>
        <v>3.1970343463495345E-2</v>
      </c>
      <c r="E234">
        <f>Cleaned!N233/Cleaned!G232</f>
        <v>0.19330797298346403</v>
      </c>
      <c r="F234">
        <f>Cleaned!M233/Cleaned!B232</f>
        <v>2.6714862613312247E-2</v>
      </c>
      <c r="G234">
        <f>Cleaned!E233/Cleaned!L232</f>
        <v>4.0976774851655115E-2</v>
      </c>
      <c r="H234">
        <f t="shared" si="29"/>
        <v>1.9293960826636897E-2</v>
      </c>
      <c r="I234">
        <f t="shared" si="30"/>
        <v>0.18669636141181015</v>
      </c>
      <c r="J234">
        <f t="shared" si="31"/>
        <v>3.1723110987201437E-2</v>
      </c>
      <c r="K234">
        <f t="shared" si="32"/>
        <v>0.19440505074017911</v>
      </c>
      <c r="L234">
        <f t="shared" si="33"/>
        <v>2.6657682200605909E-2</v>
      </c>
      <c r="M234">
        <f t="shared" si="34"/>
        <v>4.3336453786143515E-2</v>
      </c>
    </row>
    <row r="235" spans="1:13" x14ac:dyDescent="0.25">
      <c r="A235" s="2">
        <f t="shared" si="28"/>
        <v>39904</v>
      </c>
      <c r="B235">
        <f>Cleaned!H234/Cleaned!B233</f>
        <v>1.764484334250041E-2</v>
      </c>
      <c r="C235">
        <f>Cleaned!D234/Cleaned!G233</f>
        <v>0.18597719991058789</v>
      </c>
      <c r="D235">
        <f>Cleaned!J234/Cleaned!L233</f>
        <v>3.4764775647361142E-2</v>
      </c>
      <c r="E235">
        <f>Cleaned!N234/Cleaned!G233</f>
        <v>0.18053796289397214</v>
      </c>
      <c r="F235">
        <f>Cleaned!M234/Cleaned!B233</f>
        <v>2.6122611408389649E-2</v>
      </c>
      <c r="G235">
        <f>Cleaned!E234/Cleaned!L233</f>
        <v>4.4116920339988139E-2</v>
      </c>
      <c r="H235">
        <f t="shared" si="29"/>
        <v>1.8749267401909891E-2</v>
      </c>
      <c r="I235">
        <f t="shared" si="30"/>
        <v>0.18267777431838747</v>
      </c>
      <c r="J235">
        <f t="shared" si="31"/>
        <v>3.29149193414143E-2</v>
      </c>
      <c r="K235">
        <f t="shared" si="32"/>
        <v>0.18872106022748991</v>
      </c>
      <c r="L235">
        <f t="shared" si="33"/>
        <v>2.5993132855929853E-2</v>
      </c>
      <c r="M235">
        <f t="shared" si="34"/>
        <v>4.295956922500993E-2</v>
      </c>
    </row>
    <row r="236" spans="1:13" x14ac:dyDescent="0.25">
      <c r="A236" s="2">
        <f t="shared" si="28"/>
        <v>39934</v>
      </c>
      <c r="B236">
        <f>Cleaned!H235/Cleaned!B234</f>
        <v>1.8840827005659359E-2</v>
      </c>
      <c r="C236">
        <f>Cleaned!D235/Cleaned!G234</f>
        <v>0.16280920005786201</v>
      </c>
      <c r="D236">
        <f>Cleaned!J235/Cleaned!L234</f>
        <v>3.5114428230168457E-2</v>
      </c>
      <c r="E236">
        <f>Cleaned!N235/Cleaned!G234</f>
        <v>0.18732822219007667</v>
      </c>
      <c r="F236">
        <f>Cleaned!M235/Cleaned!B234</f>
        <v>2.4685038250433694E-2</v>
      </c>
      <c r="G236">
        <f>Cleaned!E235/Cleaned!L234</f>
        <v>4.2231381431559661E-2</v>
      </c>
      <c r="H236">
        <f t="shared" si="29"/>
        <v>1.8400535358115516E-2</v>
      </c>
      <c r="I236">
        <f t="shared" si="30"/>
        <v>0.17350406588498832</v>
      </c>
      <c r="J236">
        <f t="shared" si="31"/>
        <v>3.3949849113674983E-2</v>
      </c>
      <c r="K236">
        <f t="shared" si="32"/>
        <v>0.18705805268917097</v>
      </c>
      <c r="L236">
        <f t="shared" si="33"/>
        <v>2.5840837424045197E-2</v>
      </c>
      <c r="M236">
        <f t="shared" si="34"/>
        <v>4.2441692207734305E-2</v>
      </c>
    </row>
    <row r="237" spans="1:13" x14ac:dyDescent="0.25">
      <c r="A237" s="2">
        <f t="shared" si="28"/>
        <v>39965</v>
      </c>
      <c r="B237">
        <f>Cleaned!H236/Cleaned!B235</f>
        <v>1.8238859180035649E-2</v>
      </c>
      <c r="C237">
        <f>Cleaned!D236/Cleaned!G235</f>
        <v>0.18092740822522771</v>
      </c>
      <c r="D237">
        <f>Cleaned!J236/Cleaned!L235</f>
        <v>3.4679717507124272E-2</v>
      </c>
      <c r="E237">
        <f>Cleaned!N236/Cleaned!G235</f>
        <v>0.17623516422853988</v>
      </c>
      <c r="F237">
        <f>Cleaned!M236/Cleaned!B235</f>
        <v>2.5868092691622102E-2</v>
      </c>
      <c r="G237">
        <f>Cleaned!E236/Cleaned!L235</f>
        <v>4.065171602031966E-2</v>
      </c>
      <c r="H237">
        <f t="shared" si="29"/>
        <v>1.8241509842731807E-2</v>
      </c>
      <c r="I237">
        <f t="shared" si="30"/>
        <v>0.17657126939789256</v>
      </c>
      <c r="J237">
        <f t="shared" si="31"/>
        <v>3.4852973794884626E-2</v>
      </c>
      <c r="K237">
        <f t="shared" si="32"/>
        <v>0.18136711643752956</v>
      </c>
      <c r="L237">
        <f t="shared" si="33"/>
        <v>2.5558580783481815E-2</v>
      </c>
      <c r="M237">
        <f t="shared" si="34"/>
        <v>4.233333926395582E-2</v>
      </c>
    </row>
    <row r="238" spans="1:13" x14ac:dyDescent="0.25">
      <c r="A238" s="2">
        <f t="shared" si="28"/>
        <v>39995</v>
      </c>
      <c r="B238">
        <f>Cleaned!H237/Cleaned!B236</f>
        <v>1.7649369665369095E-2</v>
      </c>
      <c r="C238">
        <f>Cleaned!D237/Cleaned!G236</f>
        <v>0.17524651479088746</v>
      </c>
      <c r="D238">
        <f>Cleaned!J237/Cleaned!L236</f>
        <v>3.4245898398893061E-2</v>
      </c>
      <c r="E238">
        <f>Cleaned!N237/Cleaned!G236</f>
        <v>0.1883713022781367</v>
      </c>
      <c r="F238">
        <f>Cleaned!M237/Cleaned!B236</f>
        <v>2.4984821970643906E-2</v>
      </c>
      <c r="G238">
        <f>Cleaned!E237/Cleaned!L236</f>
        <v>4.1609013639059104E-2</v>
      </c>
      <c r="H238">
        <f t="shared" si="29"/>
        <v>1.8243018617021368E-2</v>
      </c>
      <c r="I238">
        <f t="shared" si="30"/>
        <v>0.17299437435799239</v>
      </c>
      <c r="J238">
        <f t="shared" si="31"/>
        <v>3.4680014712061925E-2</v>
      </c>
      <c r="K238">
        <f t="shared" si="32"/>
        <v>0.18397822956558441</v>
      </c>
      <c r="L238">
        <f t="shared" si="33"/>
        <v>2.5179317637566565E-2</v>
      </c>
      <c r="M238">
        <f t="shared" si="34"/>
        <v>4.1497370363646147E-2</v>
      </c>
    </row>
    <row r="239" spans="1:13" x14ac:dyDescent="0.25">
      <c r="A239" s="2">
        <f t="shared" si="28"/>
        <v>40026</v>
      </c>
      <c r="B239">
        <f>Cleaned!H238/Cleaned!B237</f>
        <v>1.8341934838239288E-2</v>
      </c>
      <c r="C239">
        <f>Cleaned!D238/Cleaned!G237</f>
        <v>0.16423632504963373</v>
      </c>
      <c r="D239">
        <f>Cleaned!J238/Cleaned!L237</f>
        <v>3.5826215203097152E-2</v>
      </c>
      <c r="E239">
        <f>Cleaned!N238/Cleaned!G237</f>
        <v>0.19696036147052784</v>
      </c>
      <c r="F239">
        <f>Cleaned!M238/Cleaned!B237</f>
        <v>2.6912464795779783E-2</v>
      </c>
      <c r="G239">
        <f>Cleaned!E238/Cleaned!L237</f>
        <v>4.2094266576537823E-2</v>
      </c>
      <c r="H239">
        <f t="shared" si="29"/>
        <v>1.8076721227881343E-2</v>
      </c>
      <c r="I239">
        <f t="shared" si="30"/>
        <v>0.17347008268858297</v>
      </c>
      <c r="J239">
        <f t="shared" si="31"/>
        <v>3.4917277036371493E-2</v>
      </c>
      <c r="K239">
        <f t="shared" si="32"/>
        <v>0.18718894265906816</v>
      </c>
      <c r="L239">
        <f t="shared" si="33"/>
        <v>2.5921793152681932E-2</v>
      </c>
      <c r="M239">
        <f t="shared" si="34"/>
        <v>4.1451665411972198E-2</v>
      </c>
    </row>
    <row r="240" spans="1:13" x14ac:dyDescent="0.25">
      <c r="A240" s="2">
        <f t="shared" si="28"/>
        <v>40057</v>
      </c>
      <c r="B240">
        <f>Cleaned!H239/Cleaned!B238</f>
        <v>1.8819767566908754E-2</v>
      </c>
      <c r="C240">
        <f>Cleaned!D239/Cleaned!G238</f>
        <v>0.17416829745596868</v>
      </c>
      <c r="D240">
        <f>Cleaned!J239/Cleaned!L238</f>
        <v>3.3807328793084478E-2</v>
      </c>
      <c r="E240">
        <f>Cleaned!N239/Cleaned!G238</f>
        <v>0.17936432957689452</v>
      </c>
      <c r="F240">
        <f>Cleaned!M239/Cleaned!B238</f>
        <v>2.7480445365318573E-2</v>
      </c>
      <c r="G240">
        <f>Cleaned!E239/Cleaned!L238</f>
        <v>3.8575812781982466E-2</v>
      </c>
      <c r="H240">
        <f t="shared" si="29"/>
        <v>1.8270357356839045E-2</v>
      </c>
      <c r="I240">
        <f t="shared" si="30"/>
        <v>0.17121704576549659</v>
      </c>
      <c r="J240">
        <f t="shared" si="31"/>
        <v>3.4626480798358228E-2</v>
      </c>
      <c r="K240">
        <f t="shared" si="32"/>
        <v>0.18823199777518637</v>
      </c>
      <c r="L240">
        <f t="shared" si="33"/>
        <v>2.6459244043914087E-2</v>
      </c>
      <c r="M240">
        <f t="shared" si="34"/>
        <v>4.0759697665859795E-2</v>
      </c>
    </row>
    <row r="241" spans="1:13" x14ac:dyDescent="0.25">
      <c r="A241" s="2">
        <f t="shared" si="28"/>
        <v>40087</v>
      </c>
      <c r="B241">
        <f>Cleaned!H240/Cleaned!B239</f>
        <v>1.8161515740940853E-2</v>
      </c>
      <c r="C241">
        <f>Cleaned!D240/Cleaned!G239</f>
        <v>0.15421526157947352</v>
      </c>
      <c r="D241">
        <f>Cleaned!J240/Cleaned!L239</f>
        <v>3.5621220017695465E-2</v>
      </c>
      <c r="E241">
        <f>Cleaned!N240/Cleaned!G239</f>
        <v>0.18513828723758746</v>
      </c>
      <c r="F241">
        <f>Cleaned!M240/Cleaned!B239</f>
        <v>2.5841077732151864E-2</v>
      </c>
      <c r="G241">
        <f>Cleaned!E240/Cleaned!L239</f>
        <v>4.0723817373071375E-2</v>
      </c>
      <c r="H241">
        <f t="shared" si="29"/>
        <v>1.8441072715362966E-2</v>
      </c>
      <c r="I241">
        <f t="shared" si="30"/>
        <v>0.16420662802835864</v>
      </c>
      <c r="J241">
        <f t="shared" si="31"/>
        <v>3.5084921337959034E-2</v>
      </c>
      <c r="K241">
        <f t="shared" si="32"/>
        <v>0.18715432609500326</v>
      </c>
      <c r="L241">
        <f t="shared" si="33"/>
        <v>2.674466263108341E-2</v>
      </c>
      <c r="M241">
        <f t="shared" si="34"/>
        <v>4.0464632243863888E-2</v>
      </c>
    </row>
    <row r="242" spans="1:13" x14ac:dyDescent="0.25">
      <c r="A242" s="2">
        <f t="shared" si="28"/>
        <v>40118</v>
      </c>
      <c r="B242">
        <f>Cleaned!H241/Cleaned!B240</f>
        <v>1.6493162164700443E-2</v>
      </c>
      <c r="C242">
        <f>Cleaned!D241/Cleaned!G240</f>
        <v>0.16805356910674815</v>
      </c>
      <c r="D242">
        <f>Cleaned!J241/Cleaned!L240</f>
        <v>3.5119522393831724E-2</v>
      </c>
      <c r="E242">
        <f>Cleaned!N241/Cleaned!G240</f>
        <v>0.18105577948251203</v>
      </c>
      <c r="F242">
        <f>Cleaned!M241/Cleaned!B240</f>
        <v>2.4627766018161985E-2</v>
      </c>
      <c r="G242">
        <f>Cleaned!E241/Cleaned!L240</f>
        <v>3.983274115969352E-2</v>
      </c>
      <c r="H242">
        <f t="shared" si="29"/>
        <v>1.7824815157516685E-2</v>
      </c>
      <c r="I242">
        <f t="shared" si="30"/>
        <v>0.16547904271406344</v>
      </c>
      <c r="J242">
        <f t="shared" si="31"/>
        <v>3.4849357068203891E-2</v>
      </c>
      <c r="K242">
        <f t="shared" si="32"/>
        <v>0.18185279876566465</v>
      </c>
      <c r="L242">
        <f t="shared" si="33"/>
        <v>2.5983096371877474E-2</v>
      </c>
      <c r="M242">
        <f t="shared" si="34"/>
        <v>3.971079043824912E-2</v>
      </c>
    </row>
    <row r="243" spans="1:13" x14ac:dyDescent="0.25">
      <c r="A243" s="2">
        <f t="shared" si="28"/>
        <v>40148</v>
      </c>
      <c r="B243">
        <f>Cleaned!H242/Cleaned!B241</f>
        <v>1.7156456207406339E-2</v>
      </c>
      <c r="C243">
        <f>Cleaned!D242/Cleaned!G241</f>
        <v>0.15463443473691124</v>
      </c>
      <c r="D243">
        <f>Cleaned!J242/Cleaned!L241</f>
        <v>3.3540522599722407E-2</v>
      </c>
      <c r="E243">
        <f>Cleaned!N242/Cleaned!G241</f>
        <v>0.19339157853248373</v>
      </c>
      <c r="F243">
        <f>Cleaned!M242/Cleaned!B241</f>
        <v>2.7822449789059966E-2</v>
      </c>
      <c r="G243">
        <f>Cleaned!E242/Cleaned!L241</f>
        <v>3.8959628266248263E-2</v>
      </c>
      <c r="H243">
        <f t="shared" si="29"/>
        <v>1.7270378037682544E-2</v>
      </c>
      <c r="I243">
        <f t="shared" si="30"/>
        <v>0.1589677551410443</v>
      </c>
      <c r="J243">
        <f t="shared" si="31"/>
        <v>3.4760421670416534E-2</v>
      </c>
      <c r="K243">
        <f t="shared" si="32"/>
        <v>0.18652854841752772</v>
      </c>
      <c r="L243">
        <f t="shared" si="33"/>
        <v>2.6097097846457942E-2</v>
      </c>
      <c r="M243">
        <f t="shared" si="34"/>
        <v>3.9838728933004386E-2</v>
      </c>
    </row>
    <row r="244" spans="1:13" x14ac:dyDescent="0.25">
      <c r="A244" s="2">
        <f t="shared" si="28"/>
        <v>40179</v>
      </c>
      <c r="B244">
        <f>Cleaned!H243/Cleaned!B242</f>
        <v>1.6228944031878283E-2</v>
      </c>
      <c r="C244">
        <f>Cleaned!D243/Cleaned!G242</f>
        <v>0.16787015568068897</v>
      </c>
      <c r="D244">
        <f>Cleaned!J243/Cleaned!L242</f>
        <v>3.651377022576488E-2</v>
      </c>
      <c r="E244">
        <f>Cleaned!N243/Cleaned!G242</f>
        <v>0.18847300430606162</v>
      </c>
      <c r="F244">
        <f>Cleaned!M243/Cleaned!B242</f>
        <v>2.5024452092012317E-2</v>
      </c>
      <c r="G244">
        <f>Cleaned!E243/Cleaned!L242</f>
        <v>4.4448952317311823E-2</v>
      </c>
      <c r="H244">
        <f t="shared" si="29"/>
        <v>1.6626187467995022E-2</v>
      </c>
      <c r="I244">
        <f t="shared" si="30"/>
        <v>0.16351938650811612</v>
      </c>
      <c r="J244">
        <f t="shared" si="31"/>
        <v>3.505793840643967E-2</v>
      </c>
      <c r="K244">
        <f t="shared" si="32"/>
        <v>0.18764012077368578</v>
      </c>
      <c r="L244">
        <f t="shared" si="33"/>
        <v>2.5824889299744757E-2</v>
      </c>
      <c r="M244">
        <f t="shared" si="34"/>
        <v>4.1080440581084537E-2</v>
      </c>
    </row>
    <row r="245" spans="1:13" x14ac:dyDescent="0.25">
      <c r="A245" s="2">
        <f t="shared" si="28"/>
        <v>40210</v>
      </c>
      <c r="B245">
        <f>Cleaned!H244/Cleaned!B243</f>
        <v>1.6823294013970053E-2</v>
      </c>
      <c r="C245">
        <f>Cleaned!D244/Cleaned!G243</f>
        <v>0.16562333510921684</v>
      </c>
      <c r="D245">
        <f>Cleaned!J244/Cleaned!L243</f>
        <v>3.5908752908441074E-2</v>
      </c>
      <c r="E245">
        <f>Cleaned!N244/Cleaned!G243</f>
        <v>0.18553542887586574</v>
      </c>
      <c r="F245">
        <f>Cleaned!M244/Cleaned!B243</f>
        <v>2.5780307572288157E-2</v>
      </c>
      <c r="G245">
        <f>Cleaned!E244/Cleaned!L243</f>
        <v>4.2637146489481637E-2</v>
      </c>
      <c r="H245">
        <f t="shared" si="29"/>
        <v>1.673623141775156E-2</v>
      </c>
      <c r="I245">
        <f t="shared" si="30"/>
        <v>0.16270930850893903</v>
      </c>
      <c r="J245">
        <f t="shared" si="31"/>
        <v>3.5321015244642782E-2</v>
      </c>
      <c r="K245">
        <f t="shared" si="32"/>
        <v>0.18913333723813705</v>
      </c>
      <c r="L245">
        <f t="shared" si="33"/>
        <v>2.6209069817786812E-2</v>
      </c>
      <c r="M245">
        <f t="shared" si="34"/>
        <v>4.2015242357680581E-2</v>
      </c>
    </row>
    <row r="246" spans="1:13" x14ac:dyDescent="0.25">
      <c r="A246" s="2">
        <f t="shared" si="28"/>
        <v>40238</v>
      </c>
      <c r="B246">
        <f>Cleaned!H245/Cleaned!B244</f>
        <v>1.6707063711911357E-2</v>
      </c>
      <c r="C246">
        <f>Cleaned!D245/Cleaned!G244</f>
        <v>0.17243666268735908</v>
      </c>
      <c r="D246">
        <f>Cleaned!J245/Cleaned!L244</f>
        <v>3.8669323857087975E-2</v>
      </c>
      <c r="E246">
        <f>Cleaned!N245/Cleaned!G244</f>
        <v>0.18822124950258656</v>
      </c>
      <c r="F246">
        <f>Cleaned!M245/Cleaned!B244</f>
        <v>2.699388273314866E-2</v>
      </c>
      <c r="G246">
        <f>Cleaned!E245/Cleaned!L244</f>
        <v>4.252305032654629E-2</v>
      </c>
      <c r="H246">
        <f t="shared" si="29"/>
        <v>1.658643391925323E-2</v>
      </c>
      <c r="I246">
        <f t="shared" si="30"/>
        <v>0.16864338449242164</v>
      </c>
      <c r="J246">
        <f t="shared" si="31"/>
        <v>3.7030615663764643E-2</v>
      </c>
      <c r="K246">
        <f t="shared" si="32"/>
        <v>0.18740989422817131</v>
      </c>
      <c r="L246">
        <f t="shared" si="33"/>
        <v>2.593288079914971E-2</v>
      </c>
      <c r="M246">
        <f t="shared" si="34"/>
        <v>4.3203049711113252E-2</v>
      </c>
    </row>
    <row r="247" spans="1:13" x14ac:dyDescent="0.25">
      <c r="A247" s="2">
        <f t="shared" si="28"/>
        <v>40269</v>
      </c>
      <c r="B247">
        <f>Cleaned!H246/Cleaned!B245</f>
        <v>1.6408800363198743E-2</v>
      </c>
      <c r="C247">
        <f>Cleaned!D246/Cleaned!G245</f>
        <v>0.18134544497103738</v>
      </c>
      <c r="D247">
        <f>Cleaned!J246/Cleaned!L245</f>
        <v>3.9543744516160051E-2</v>
      </c>
      <c r="E247">
        <f>Cleaned!N246/Cleaned!G245</f>
        <v>0.18035808320168509</v>
      </c>
      <c r="F247">
        <f>Cleaned!M246/Cleaned!B245</f>
        <v>2.5085214784494873E-2</v>
      </c>
      <c r="G247">
        <f>Cleaned!E246/Cleaned!L245</f>
        <v>4.1935600187502253E-2</v>
      </c>
      <c r="H247">
        <f t="shared" si="29"/>
        <v>1.6646386029693382E-2</v>
      </c>
      <c r="I247">
        <f t="shared" si="30"/>
        <v>0.17313514758920445</v>
      </c>
      <c r="J247">
        <f t="shared" si="31"/>
        <v>3.8040607093896367E-2</v>
      </c>
      <c r="K247">
        <f t="shared" si="32"/>
        <v>0.18470492052671247</v>
      </c>
      <c r="L247">
        <f t="shared" si="33"/>
        <v>2.5953135029977231E-2</v>
      </c>
      <c r="M247">
        <f t="shared" si="34"/>
        <v>4.2365265667843398E-2</v>
      </c>
    </row>
    <row r="248" spans="1:13" x14ac:dyDescent="0.25">
      <c r="A248" s="2">
        <f t="shared" si="28"/>
        <v>40299</v>
      </c>
      <c r="B248">
        <f>Cleaned!H247/Cleaned!B246</f>
        <v>1.684901217551114E-2</v>
      </c>
      <c r="C248">
        <f>Cleaned!D247/Cleaned!G246</f>
        <v>0.17511942935671748</v>
      </c>
      <c r="D248">
        <f>Cleaned!J247/Cleaned!L246</f>
        <v>3.5129060324825989E-2</v>
      </c>
      <c r="E248">
        <f>Cleaned!N247/Cleaned!G246</f>
        <v>0.19697663765460377</v>
      </c>
      <c r="F248">
        <f>Cleaned!M247/Cleaned!B246</f>
        <v>2.7495405467493683E-2</v>
      </c>
      <c r="G248">
        <f>Cleaned!E247/Cleaned!L246</f>
        <v>4.1243716163959783E-2</v>
      </c>
      <c r="H248">
        <f t="shared" si="29"/>
        <v>1.6654958750207078E-2</v>
      </c>
      <c r="I248">
        <f t="shared" si="30"/>
        <v>0.17630051233837132</v>
      </c>
      <c r="J248">
        <f t="shared" si="31"/>
        <v>3.7780709566024674E-2</v>
      </c>
      <c r="K248">
        <f t="shared" si="32"/>
        <v>0.18851865678629184</v>
      </c>
      <c r="L248">
        <f t="shared" si="33"/>
        <v>2.6524834328379071E-2</v>
      </c>
      <c r="M248">
        <f t="shared" si="34"/>
        <v>4.190078889266944E-2</v>
      </c>
    </row>
    <row r="249" spans="1:13" x14ac:dyDescent="0.25">
      <c r="A249" s="2">
        <f t="shared" si="28"/>
        <v>40330</v>
      </c>
      <c r="B249">
        <f>Cleaned!H248/Cleaned!B247</f>
        <v>1.5676277332950343E-2</v>
      </c>
      <c r="C249">
        <f>Cleaned!D248/Cleaned!G247</f>
        <v>0.16094507269789984</v>
      </c>
      <c r="D249">
        <f>Cleaned!J248/Cleaned!L247</f>
        <v>3.4261113576131146E-2</v>
      </c>
      <c r="E249">
        <f>Cleaned!N248/Cleaned!G247</f>
        <v>0.20463112547119008</v>
      </c>
      <c r="F249">
        <f>Cleaned!M248/Cleaned!B247</f>
        <v>2.5729776309647769E-2</v>
      </c>
      <c r="G249">
        <f>Cleaned!E248/Cleaned!L247</f>
        <v>3.9345717061003246E-2</v>
      </c>
      <c r="H249">
        <f t="shared" si="29"/>
        <v>1.6311363290553407E-2</v>
      </c>
      <c r="I249">
        <f t="shared" si="30"/>
        <v>0.1724699823418849</v>
      </c>
      <c r="J249">
        <f t="shared" si="31"/>
        <v>3.6311306139039067E-2</v>
      </c>
      <c r="K249">
        <f t="shared" si="32"/>
        <v>0.19398861544249299</v>
      </c>
      <c r="L249">
        <f t="shared" si="33"/>
        <v>2.6103465520545443E-2</v>
      </c>
      <c r="M249">
        <f t="shared" si="34"/>
        <v>4.084167780415509E-2</v>
      </c>
    </row>
    <row r="250" spans="1:13" x14ac:dyDescent="0.25">
      <c r="A250" s="2">
        <f t="shared" si="28"/>
        <v>40360</v>
      </c>
      <c r="B250">
        <f>Cleaned!H249/Cleaned!B248</f>
        <v>1.6665708454307645E-2</v>
      </c>
      <c r="C250">
        <f>Cleaned!D249/Cleaned!G248</f>
        <v>0.17305699481865286</v>
      </c>
      <c r="D250">
        <f>Cleaned!J249/Cleaned!L248</f>
        <v>3.6851558875658698E-2</v>
      </c>
      <c r="E250">
        <f>Cleaned!N249/Cleaned!G248</f>
        <v>0.19696027633851468</v>
      </c>
      <c r="F250">
        <f>Cleaned!M249/Cleaned!B248</f>
        <v>2.5684882283611692E-2</v>
      </c>
      <c r="G250">
        <f>Cleaned!E249/Cleaned!L248</f>
        <v>4.0884056764247563E-2</v>
      </c>
      <c r="H250">
        <f t="shared" si="29"/>
        <v>1.6396999320923044E-2</v>
      </c>
      <c r="I250">
        <f t="shared" si="30"/>
        <v>0.16970716562442342</v>
      </c>
      <c r="J250">
        <f t="shared" si="31"/>
        <v>3.5413910925538611E-2</v>
      </c>
      <c r="K250">
        <f t="shared" si="32"/>
        <v>0.19952267982143615</v>
      </c>
      <c r="L250">
        <f t="shared" si="33"/>
        <v>2.6303354686917715E-2</v>
      </c>
      <c r="M250">
        <f t="shared" si="34"/>
        <v>4.0491163329736866E-2</v>
      </c>
    </row>
    <row r="251" spans="1:13" x14ac:dyDescent="0.25">
      <c r="A251" s="2">
        <f t="shared" si="28"/>
        <v>40391</v>
      </c>
      <c r="B251">
        <f>Cleaned!H250/Cleaned!B249</f>
        <v>1.7324509402372689E-2</v>
      </c>
      <c r="C251">
        <f>Cleaned!D250/Cleaned!G249</f>
        <v>0.16971530738550406</v>
      </c>
      <c r="D251">
        <f>Cleaned!J250/Cleaned!L249</f>
        <v>3.6208125445473985E-2</v>
      </c>
      <c r="E251">
        <f>Cleaned!N250/Cleaned!G249</f>
        <v>0.19818456883509833</v>
      </c>
      <c r="F251">
        <f>Cleaned!M250/Cleaned!B249</f>
        <v>2.5379579929149871E-2</v>
      </c>
      <c r="G251">
        <f>Cleaned!E250/Cleaned!L249</f>
        <v>4.3216916132097882E-2</v>
      </c>
      <c r="H251">
        <f t="shared" si="29"/>
        <v>1.655549839654356E-2</v>
      </c>
      <c r="I251">
        <f t="shared" si="30"/>
        <v>0.16790579163401889</v>
      </c>
      <c r="J251">
        <f t="shared" si="31"/>
        <v>3.5773599299087945E-2</v>
      </c>
      <c r="K251">
        <f t="shared" si="32"/>
        <v>0.19992532354826772</v>
      </c>
      <c r="L251">
        <f t="shared" si="33"/>
        <v>2.5598079507469774E-2</v>
      </c>
      <c r="M251">
        <f t="shared" si="34"/>
        <v>4.1148896652449564E-2</v>
      </c>
    </row>
    <row r="252" spans="1:13" x14ac:dyDescent="0.25">
      <c r="A252" s="2">
        <f t="shared" si="28"/>
        <v>40422</v>
      </c>
      <c r="B252">
        <f>Cleaned!H251/Cleaned!B250</f>
        <v>1.598938345109573E-2</v>
      </c>
      <c r="C252">
        <f>Cleaned!D251/Cleaned!G250</f>
        <v>0.16070333265180944</v>
      </c>
      <c r="D252">
        <f>Cleaned!J251/Cleaned!L250</f>
        <v>3.5324081788103118E-2</v>
      </c>
      <c r="E252">
        <f>Cleaned!N251/Cleaned!G250</f>
        <v>0.20118585156409732</v>
      </c>
      <c r="F252">
        <f>Cleaned!M251/Cleaned!B250</f>
        <v>2.5407983931709767E-2</v>
      </c>
      <c r="G252">
        <f>Cleaned!E251/Cleaned!L250</f>
        <v>4.0310870962366997E-2</v>
      </c>
      <c r="H252">
        <f t="shared" si="29"/>
        <v>1.6659867102592023E-2</v>
      </c>
      <c r="I252">
        <f t="shared" si="30"/>
        <v>0.16782521161865546</v>
      </c>
      <c r="J252">
        <f t="shared" si="31"/>
        <v>3.6127922036411936E-2</v>
      </c>
      <c r="K252">
        <f t="shared" si="32"/>
        <v>0.19877689891257011</v>
      </c>
      <c r="L252">
        <f t="shared" si="33"/>
        <v>2.549081538149044E-2</v>
      </c>
      <c r="M252">
        <f t="shared" si="34"/>
        <v>4.1470614619570807E-2</v>
      </c>
    </row>
    <row r="253" spans="1:13" x14ac:dyDescent="0.25">
      <c r="A253" s="2">
        <f t="shared" si="28"/>
        <v>40452</v>
      </c>
      <c r="B253">
        <f>Cleaned!H252/Cleaned!B251</f>
        <v>1.6106121043418371E-2</v>
      </c>
      <c r="C253">
        <f>Cleaned!D252/Cleaned!G251</f>
        <v>0.16738697948823489</v>
      </c>
      <c r="D253">
        <f>Cleaned!J252/Cleaned!L251</f>
        <v>3.6061453838494004E-2</v>
      </c>
      <c r="E253">
        <f>Cleaned!N252/Cleaned!G251</f>
        <v>0.19667970089867601</v>
      </c>
      <c r="F253">
        <f>Cleaned!M252/Cleaned!B251</f>
        <v>2.8567738973225815E-2</v>
      </c>
      <c r="G253">
        <f>Cleaned!E252/Cleaned!L251</f>
        <v>4.0471335767461709E-2</v>
      </c>
      <c r="H253">
        <f t="shared" si="29"/>
        <v>1.6473337965628929E-2</v>
      </c>
      <c r="I253">
        <f t="shared" si="30"/>
        <v>0.16593520650851612</v>
      </c>
      <c r="J253">
        <f t="shared" si="31"/>
        <v>3.5864553690690366E-2</v>
      </c>
      <c r="K253">
        <f t="shared" si="32"/>
        <v>0.19868337376595724</v>
      </c>
      <c r="L253">
        <f t="shared" si="33"/>
        <v>2.645176761136182E-2</v>
      </c>
      <c r="M253">
        <f t="shared" si="34"/>
        <v>4.1333040953975525E-2</v>
      </c>
    </row>
    <row r="254" spans="1:13" x14ac:dyDescent="0.25">
      <c r="A254" s="2">
        <f t="shared" si="28"/>
        <v>40483</v>
      </c>
      <c r="B254">
        <f>Cleaned!H253/Cleaned!B252</f>
        <v>1.85122612277763E-2</v>
      </c>
      <c r="C254">
        <f>Cleaned!D253/Cleaned!G252</f>
        <v>0.1675809105869446</v>
      </c>
      <c r="D254">
        <f>Cleaned!J253/Cleaned!L252</f>
        <v>3.7395844382373394E-2</v>
      </c>
      <c r="E254">
        <f>Cleaned!N253/Cleaned!G252</f>
        <v>0.19295117937465717</v>
      </c>
      <c r="F254">
        <f>Cleaned!M253/Cleaned!B252</f>
        <v>2.5751813482677556E-2</v>
      </c>
      <c r="G254">
        <f>Cleaned!E253/Cleaned!L252</f>
        <v>4.2522598969934829E-2</v>
      </c>
      <c r="H254">
        <f t="shared" si="29"/>
        <v>1.6869255240763468E-2</v>
      </c>
      <c r="I254">
        <f t="shared" si="30"/>
        <v>0.1652237409089963</v>
      </c>
      <c r="J254">
        <f t="shared" si="31"/>
        <v>3.6260460002990172E-2</v>
      </c>
      <c r="K254">
        <f t="shared" si="32"/>
        <v>0.19693891061247681</v>
      </c>
      <c r="L254">
        <f t="shared" si="33"/>
        <v>2.6575845462537714E-2</v>
      </c>
      <c r="M254">
        <f t="shared" si="34"/>
        <v>4.1101601899921181E-2</v>
      </c>
    </row>
    <row r="255" spans="1:13" x14ac:dyDescent="0.25">
      <c r="A255" s="2">
        <f t="shared" si="28"/>
        <v>40513</v>
      </c>
      <c r="B255">
        <f>Cleaned!H254/Cleaned!B253</f>
        <v>1.5872445090114064E-2</v>
      </c>
      <c r="C255">
        <f>Cleaned!D254/Cleaned!G253</f>
        <v>0.17311514509076453</v>
      </c>
      <c r="D255">
        <f>Cleaned!J254/Cleaned!L253</f>
        <v>3.3295891220809934E-2</v>
      </c>
      <c r="E255">
        <f>Cleaned!N254/Cleaned!G253</f>
        <v>0.20988472240625414</v>
      </c>
      <c r="F255">
        <f>Cleaned!M254/Cleaned!B253</f>
        <v>2.6552363965881794E-2</v>
      </c>
      <c r="G255">
        <f>Cleaned!E254/Cleaned!L253</f>
        <v>4.1678983151049363E-2</v>
      </c>
      <c r="H255">
        <f t="shared" si="29"/>
        <v>1.6830275787102913E-2</v>
      </c>
      <c r="I255">
        <f t="shared" si="30"/>
        <v>0.16936101172198134</v>
      </c>
      <c r="J255">
        <f t="shared" si="31"/>
        <v>3.5584396480559111E-2</v>
      </c>
      <c r="K255">
        <f t="shared" si="32"/>
        <v>0.19983853422652909</v>
      </c>
      <c r="L255">
        <f t="shared" si="33"/>
        <v>2.6957305473928387E-2</v>
      </c>
      <c r="M255">
        <f t="shared" si="34"/>
        <v>4.1557639296148634E-2</v>
      </c>
    </row>
    <row r="256" spans="1:13" x14ac:dyDescent="0.25">
      <c r="A256" s="2">
        <f t="shared" si="28"/>
        <v>40544</v>
      </c>
      <c r="B256">
        <f>Cleaned!H255/Cleaned!B254</f>
        <v>1.552819555619369E-2</v>
      </c>
      <c r="C256">
        <f>Cleaned!D255/Cleaned!G254</f>
        <v>0.16671311132785285</v>
      </c>
      <c r="D256">
        <f>Cleaned!J255/Cleaned!L254</f>
        <v>3.4326204525991014E-2</v>
      </c>
      <c r="E256">
        <f>Cleaned!N255/Cleaned!G254</f>
        <v>0.21234499094329107</v>
      </c>
      <c r="F256">
        <f>Cleaned!M255/Cleaned!B254</f>
        <v>2.6454646613302702E-2</v>
      </c>
      <c r="G256">
        <f>Cleaned!E255/Cleaned!L254</f>
        <v>4.2373974965098954E-2</v>
      </c>
      <c r="H256">
        <f t="shared" si="29"/>
        <v>1.663763395802802E-2</v>
      </c>
      <c r="I256">
        <f t="shared" si="30"/>
        <v>0.16913638900185399</v>
      </c>
      <c r="J256">
        <f t="shared" si="31"/>
        <v>3.5005980043058112E-2</v>
      </c>
      <c r="K256">
        <f t="shared" si="32"/>
        <v>0.20506029757473412</v>
      </c>
      <c r="L256">
        <f t="shared" si="33"/>
        <v>2.6252941353954017E-2</v>
      </c>
      <c r="M256">
        <f t="shared" si="34"/>
        <v>4.2191852362027715E-2</v>
      </c>
    </row>
    <row r="257" spans="1:13" x14ac:dyDescent="0.25">
      <c r="A257" s="2">
        <f t="shared" si="28"/>
        <v>40575</v>
      </c>
      <c r="B257">
        <f>Cleaned!H256/Cleaned!B255</f>
        <v>1.4534695841382232E-2</v>
      </c>
      <c r="C257">
        <f>Cleaned!D256/Cleaned!G255</f>
        <v>0.16580903373356204</v>
      </c>
      <c r="D257">
        <f>Cleaned!J256/Cleaned!L255</f>
        <v>3.494032295810906E-2</v>
      </c>
      <c r="E257">
        <f>Cleaned!N256/Cleaned!G255</f>
        <v>0.20690394511149229</v>
      </c>
      <c r="F257">
        <f>Cleaned!M256/Cleaned!B255</f>
        <v>2.6369270320926657E-2</v>
      </c>
      <c r="G257">
        <f>Cleaned!E256/Cleaned!L255</f>
        <v>4.210156798502223E-2</v>
      </c>
      <c r="H257">
        <f t="shared" si="29"/>
        <v>1.5311778829229994E-2</v>
      </c>
      <c r="I257">
        <f t="shared" si="30"/>
        <v>0.1685457633840598</v>
      </c>
      <c r="J257">
        <f t="shared" si="31"/>
        <v>3.4187472901636672E-2</v>
      </c>
      <c r="K257">
        <f t="shared" si="32"/>
        <v>0.20971121948701246</v>
      </c>
      <c r="L257">
        <f t="shared" si="33"/>
        <v>2.6458760300037052E-2</v>
      </c>
      <c r="M257">
        <f t="shared" si="34"/>
        <v>4.2051508700390185E-2</v>
      </c>
    </row>
    <row r="258" spans="1:13" x14ac:dyDescent="0.25">
      <c r="A258" s="2">
        <f t="shared" si="28"/>
        <v>40603</v>
      </c>
      <c r="B258">
        <f>Cleaned!H257/Cleaned!B256</f>
        <v>1.5228972331165618E-2</v>
      </c>
      <c r="C258">
        <f>Cleaned!D257/Cleaned!G256</f>
        <v>0.16987969270908829</v>
      </c>
      <c r="D258">
        <f>Cleaned!J257/Cleaned!L256</f>
        <v>3.3710359655067655E-2</v>
      </c>
      <c r="E258">
        <f>Cleaned!N257/Cleaned!G256</f>
        <v>0.20104362951152341</v>
      </c>
      <c r="F258">
        <f>Cleaned!M257/Cleaned!B256</f>
        <v>2.5403130399868072E-2</v>
      </c>
      <c r="G258">
        <f>Cleaned!E257/Cleaned!L256</f>
        <v>4.0674440887102425E-2</v>
      </c>
      <c r="H258">
        <f t="shared" si="29"/>
        <v>1.5097287909580514E-2</v>
      </c>
      <c r="I258">
        <f t="shared" si="30"/>
        <v>0.16746727925683438</v>
      </c>
      <c r="J258">
        <f t="shared" si="31"/>
        <v>3.4325629046389243E-2</v>
      </c>
      <c r="K258">
        <f t="shared" si="32"/>
        <v>0.20676418852210224</v>
      </c>
      <c r="L258">
        <f t="shared" si="33"/>
        <v>2.6075682444699145E-2</v>
      </c>
      <c r="M258">
        <f t="shared" si="34"/>
        <v>4.1716661279074536E-2</v>
      </c>
    </row>
    <row r="259" spans="1:13" x14ac:dyDescent="0.25">
      <c r="A259" s="2">
        <f t="shared" si="28"/>
        <v>40634</v>
      </c>
      <c r="B259">
        <f>Cleaned!H258/Cleaned!B257</f>
        <v>1.6298704553754931E-2</v>
      </c>
      <c r="C259">
        <f>Cleaned!D258/Cleaned!G257</f>
        <v>0.16447944006999124</v>
      </c>
      <c r="D259">
        <f>Cleaned!J258/Cleaned!L257</f>
        <v>3.4632944500881585E-2</v>
      </c>
      <c r="E259">
        <f>Cleaned!N258/Cleaned!G257</f>
        <v>0.20713035870516186</v>
      </c>
      <c r="F259">
        <f>Cleaned!M258/Cleaned!B257</f>
        <v>2.560099682762473E-2</v>
      </c>
      <c r="G259">
        <f>Cleaned!E258/Cleaned!L257</f>
        <v>4.1195221914737103E-2</v>
      </c>
      <c r="H259">
        <f t="shared" si="29"/>
        <v>1.5354124242100928E-2</v>
      </c>
      <c r="I259">
        <f t="shared" si="30"/>
        <v>0.16672272217088055</v>
      </c>
      <c r="J259">
        <f t="shared" si="31"/>
        <v>3.4427875704686105E-2</v>
      </c>
      <c r="K259">
        <f t="shared" si="32"/>
        <v>0.20502597777605916</v>
      </c>
      <c r="L259">
        <f t="shared" si="33"/>
        <v>2.579113251613982E-2</v>
      </c>
      <c r="M259">
        <f t="shared" si="34"/>
        <v>4.1323743595620584E-2</v>
      </c>
    </row>
    <row r="260" spans="1:13" x14ac:dyDescent="0.25">
      <c r="A260" s="2">
        <f t="shared" si="28"/>
        <v>40664</v>
      </c>
      <c r="B260">
        <f>Cleaned!H259/Cleaned!B258</f>
        <v>1.5808776127100556E-2</v>
      </c>
      <c r="C260">
        <f>Cleaned!D259/Cleaned!G258</f>
        <v>0.1701268742791234</v>
      </c>
      <c r="D260">
        <f>Cleaned!J259/Cleaned!L258</f>
        <v>3.4365223887565952E-2</v>
      </c>
      <c r="E260">
        <f>Cleaned!N259/Cleaned!G258</f>
        <v>0.20285467128027682</v>
      </c>
      <c r="F260">
        <f>Cleaned!M259/Cleaned!B258</f>
        <v>2.6854146669913901E-2</v>
      </c>
      <c r="G260">
        <f>Cleaned!E259/Cleaned!L258</f>
        <v>4.2162767894663118E-2</v>
      </c>
      <c r="H260">
        <f t="shared" si="29"/>
        <v>1.5778817670673701E-2</v>
      </c>
      <c r="I260">
        <f t="shared" si="30"/>
        <v>0.16816200235273429</v>
      </c>
      <c r="J260">
        <f t="shared" si="31"/>
        <v>3.4236176014505064E-2</v>
      </c>
      <c r="K260">
        <f t="shared" si="32"/>
        <v>0.20367621983232068</v>
      </c>
      <c r="L260">
        <f t="shared" si="33"/>
        <v>2.5952757965802233E-2</v>
      </c>
      <c r="M260">
        <f t="shared" si="34"/>
        <v>4.1344143565500875E-2</v>
      </c>
    </row>
    <row r="261" spans="1:13" x14ac:dyDescent="0.25">
      <c r="A261" s="2">
        <f t="shared" si="28"/>
        <v>40695</v>
      </c>
      <c r="B261">
        <f>Cleaned!H260/Cleaned!B259</f>
        <v>1.5435170137670836E-2</v>
      </c>
      <c r="C261">
        <f>Cleaned!D260/Cleaned!G259</f>
        <v>0.1746088962583808</v>
      </c>
      <c r="D261">
        <f>Cleaned!J260/Cleaned!L259</f>
        <v>3.6508436235584939E-2</v>
      </c>
      <c r="E261">
        <f>Cleaned!N260/Cleaned!G259</f>
        <v>0.20113906711844856</v>
      </c>
      <c r="F261">
        <f>Cleaned!M260/Cleaned!B259</f>
        <v>2.7677350534432026E-2</v>
      </c>
      <c r="G261">
        <f>Cleaned!E260/Cleaned!L259</f>
        <v>3.8560651111810729E-2</v>
      </c>
      <c r="H261">
        <f t="shared" si="29"/>
        <v>1.5847550272842108E-2</v>
      </c>
      <c r="I261">
        <f t="shared" si="30"/>
        <v>0.16973840353583181</v>
      </c>
      <c r="J261">
        <f t="shared" si="31"/>
        <v>3.5168868208010823E-2</v>
      </c>
      <c r="K261">
        <f t="shared" si="32"/>
        <v>0.20370803236796242</v>
      </c>
      <c r="L261">
        <f t="shared" si="33"/>
        <v>2.6710831343990219E-2</v>
      </c>
      <c r="M261">
        <f t="shared" si="34"/>
        <v>4.0639546973736985E-2</v>
      </c>
    </row>
    <row r="262" spans="1:13" x14ac:dyDescent="0.25">
      <c r="A262" s="2">
        <f t="shared" ref="A262:A291" si="35">DATE(YEAR(A261),MONTH(A261)+1,1)</f>
        <v>40725</v>
      </c>
      <c r="B262">
        <f>Cleaned!H261/Cleaned!B260</f>
        <v>1.5315089128797388E-2</v>
      </c>
      <c r="C262">
        <f>Cleaned!D261/Cleaned!G260</f>
        <v>0.17008020624462905</v>
      </c>
      <c r="D262">
        <f>Cleaned!J261/Cleaned!L260</f>
        <v>3.5276358569437991E-2</v>
      </c>
      <c r="E262">
        <f>Cleaned!N261/Cleaned!G260</f>
        <v>0.21161558292752794</v>
      </c>
      <c r="F262">
        <f>Cleaned!M261/Cleaned!B260</f>
        <v>2.7373480147770884E-2</v>
      </c>
      <c r="G262">
        <f>Cleaned!E261/Cleaned!L260</f>
        <v>4.3079424059451928E-2</v>
      </c>
      <c r="H262">
        <f t="shared" si="29"/>
        <v>1.5519678464522927E-2</v>
      </c>
      <c r="I262">
        <f t="shared" si="30"/>
        <v>0.1716053255940444</v>
      </c>
      <c r="J262">
        <f t="shared" si="31"/>
        <v>3.5383339564196294E-2</v>
      </c>
      <c r="K262">
        <f t="shared" si="32"/>
        <v>0.20520310710875111</v>
      </c>
      <c r="L262">
        <f t="shared" si="33"/>
        <v>2.7301659117372271E-2</v>
      </c>
      <c r="M262">
        <f t="shared" si="34"/>
        <v>4.1267614355308589E-2</v>
      </c>
    </row>
    <row r="263" spans="1:13" x14ac:dyDescent="0.25">
      <c r="A263" s="2">
        <f t="shared" si="35"/>
        <v>40756</v>
      </c>
      <c r="B263">
        <f>Cleaned!H262/Cleaned!B261</f>
        <v>1.4644216502161151E-2</v>
      </c>
      <c r="C263">
        <f>Cleaned!D262/Cleaned!G261</f>
        <v>0.17369906636751828</v>
      </c>
      <c r="D263">
        <f>Cleaned!J262/Cleaned!L261</f>
        <v>3.5890902773756443E-2</v>
      </c>
      <c r="E263">
        <f>Cleaned!N262/Cleaned!G261</f>
        <v>0.19859593254686256</v>
      </c>
      <c r="F263">
        <f>Cleaned!M262/Cleaned!B261</f>
        <v>2.5381875004479998E-2</v>
      </c>
      <c r="G263">
        <f>Cleaned!E262/Cleaned!L261</f>
        <v>4.0558225722392725E-2</v>
      </c>
      <c r="H263">
        <f t="shared" ref="H263:H291" si="36">AVERAGE(B261:B263)</f>
        <v>1.5131491922876458E-2</v>
      </c>
      <c r="I263">
        <f t="shared" ref="I263:I291" si="37">AVERAGE(C261:C263)</f>
        <v>0.17279605629017605</v>
      </c>
      <c r="J263">
        <f t="shared" ref="J263:J291" si="38">AVERAGE(D261:D263)</f>
        <v>3.5891899192926457E-2</v>
      </c>
      <c r="K263">
        <f t="shared" ref="K263:K291" si="39">AVERAGE(E261:E263)</f>
        <v>0.20378352753094633</v>
      </c>
      <c r="L263">
        <f t="shared" ref="L263:L291" si="40">AVERAGE(F261:F263)</f>
        <v>2.6810901895560971E-2</v>
      </c>
      <c r="M263">
        <f t="shared" ref="M263:M291" si="41">AVERAGE(G261:G263)</f>
        <v>4.0732766964551796E-2</v>
      </c>
    </row>
    <row r="264" spans="1:13" x14ac:dyDescent="0.25">
      <c r="A264" s="2">
        <f t="shared" si="35"/>
        <v>40787</v>
      </c>
      <c r="B264">
        <f>Cleaned!H263/Cleaned!B262</f>
        <v>1.704439836991492E-2</v>
      </c>
      <c r="C264">
        <f>Cleaned!D263/Cleaned!G262</f>
        <v>0.17315892173158923</v>
      </c>
      <c r="D264">
        <f>Cleaned!J263/Cleaned!L262</f>
        <v>3.5432019961701387E-2</v>
      </c>
      <c r="E264">
        <f>Cleaned!N263/Cleaned!G262</f>
        <v>0.21522006215220063</v>
      </c>
      <c r="F264">
        <f>Cleaned!M263/Cleaned!B262</f>
        <v>2.4908843926503183E-2</v>
      </c>
      <c r="G264">
        <f>Cleaned!E263/Cleaned!L262</f>
        <v>4.3544362560204261E-2</v>
      </c>
      <c r="H264">
        <f t="shared" si="36"/>
        <v>1.5667901333624487E-2</v>
      </c>
      <c r="I264">
        <f t="shared" si="37"/>
        <v>0.17231273144791218</v>
      </c>
      <c r="J264">
        <f t="shared" si="38"/>
        <v>3.5533093768298607E-2</v>
      </c>
      <c r="K264">
        <f t="shared" si="39"/>
        <v>0.20847719254219702</v>
      </c>
      <c r="L264">
        <f t="shared" si="40"/>
        <v>2.5888066359584686E-2</v>
      </c>
      <c r="M264">
        <f t="shared" si="41"/>
        <v>4.2394004114016302E-2</v>
      </c>
    </row>
    <row r="265" spans="1:13" x14ac:dyDescent="0.25">
      <c r="A265" s="2">
        <f t="shared" si="35"/>
        <v>40817</v>
      </c>
      <c r="B265">
        <f>Cleaned!H264/Cleaned!B263</f>
        <v>1.5481864102051882E-2</v>
      </c>
      <c r="C265">
        <f>Cleaned!D264/Cleaned!G263</f>
        <v>0.17598849748382459</v>
      </c>
      <c r="D265">
        <f>Cleaned!J264/Cleaned!L263</f>
        <v>3.172203681523774E-2</v>
      </c>
      <c r="E265">
        <f>Cleaned!N264/Cleaned!G263</f>
        <v>0.19281092739036665</v>
      </c>
      <c r="F265">
        <f>Cleaned!M264/Cleaned!B263</f>
        <v>2.668302845238435E-2</v>
      </c>
      <c r="G265">
        <f>Cleaned!E264/Cleaned!L263</f>
        <v>4.152470435015175E-2</v>
      </c>
      <c r="H265">
        <f t="shared" si="36"/>
        <v>1.5723492991375983E-2</v>
      </c>
      <c r="I265">
        <f t="shared" si="37"/>
        <v>0.17428216186097736</v>
      </c>
      <c r="J265">
        <f t="shared" si="38"/>
        <v>3.4348319850231852E-2</v>
      </c>
      <c r="K265">
        <f t="shared" si="39"/>
        <v>0.20220897402980995</v>
      </c>
      <c r="L265">
        <f t="shared" si="40"/>
        <v>2.5657915794455841E-2</v>
      </c>
      <c r="M265">
        <f t="shared" si="41"/>
        <v>4.1875764210916246E-2</v>
      </c>
    </row>
    <row r="266" spans="1:13" x14ac:dyDescent="0.25">
      <c r="A266" s="2">
        <f t="shared" si="35"/>
        <v>40848</v>
      </c>
      <c r="B266">
        <f>Cleaned!H265/Cleaned!B264</f>
        <v>1.4994939920464101E-2</v>
      </c>
      <c r="C266">
        <f>Cleaned!D265/Cleaned!G264</f>
        <v>0.18129380841121495</v>
      </c>
      <c r="D266">
        <f>Cleaned!J265/Cleaned!L264</f>
        <v>3.2007883143983305E-2</v>
      </c>
      <c r="E266">
        <f>Cleaned!N265/Cleaned!G264</f>
        <v>0.20217581775700935</v>
      </c>
      <c r="F266">
        <f>Cleaned!M265/Cleaned!B264</f>
        <v>2.5663868181364652E-2</v>
      </c>
      <c r="G266">
        <f>Cleaned!E265/Cleaned!L264</f>
        <v>4.2313934616276375E-2</v>
      </c>
      <c r="H266">
        <f t="shared" si="36"/>
        <v>1.5840400797476967E-2</v>
      </c>
      <c r="I266">
        <f t="shared" si="37"/>
        <v>0.17681374254220961</v>
      </c>
      <c r="J266">
        <f t="shared" si="38"/>
        <v>3.3053979973640811E-2</v>
      </c>
      <c r="K266">
        <f t="shared" si="39"/>
        <v>0.2034022690998589</v>
      </c>
      <c r="L266">
        <f t="shared" si="40"/>
        <v>2.575191352008406E-2</v>
      </c>
      <c r="M266">
        <f t="shared" si="41"/>
        <v>4.2461000508877467E-2</v>
      </c>
    </row>
    <row r="267" spans="1:13" x14ac:dyDescent="0.25">
      <c r="A267" s="2">
        <f t="shared" si="35"/>
        <v>40878</v>
      </c>
      <c r="B267">
        <f>Cleaned!H266/Cleaned!B265</f>
        <v>1.4583969709670316E-2</v>
      </c>
      <c r="C267">
        <f>Cleaned!D266/Cleaned!G265</f>
        <v>0.18784240150093809</v>
      </c>
      <c r="D267">
        <f>Cleaned!J266/Cleaned!L265</f>
        <v>3.34587990039956E-2</v>
      </c>
      <c r="E267">
        <f>Cleaned!N266/Cleaned!G265</f>
        <v>0.2051031894934334</v>
      </c>
      <c r="F267">
        <f>Cleaned!M266/Cleaned!B265</f>
        <v>2.7818229606950295E-2</v>
      </c>
      <c r="G267">
        <f>Cleaned!E266/Cleaned!L265</f>
        <v>4.0720365973710114E-2</v>
      </c>
      <c r="H267">
        <f t="shared" si="36"/>
        <v>1.5020257910728767E-2</v>
      </c>
      <c r="I267">
        <f t="shared" si="37"/>
        <v>0.18170823579865922</v>
      </c>
      <c r="J267">
        <f t="shared" si="38"/>
        <v>3.2396239654405551E-2</v>
      </c>
      <c r="K267">
        <f t="shared" si="39"/>
        <v>0.20002997821360313</v>
      </c>
      <c r="L267">
        <f t="shared" si="40"/>
        <v>2.6721708746899765E-2</v>
      </c>
      <c r="M267">
        <f t="shared" si="41"/>
        <v>4.1519668313379415E-2</v>
      </c>
    </row>
    <row r="268" spans="1:13" x14ac:dyDescent="0.25">
      <c r="A268" s="2">
        <f t="shared" si="35"/>
        <v>40909</v>
      </c>
      <c r="B268">
        <f>Cleaned!H267/Cleaned!B266</f>
        <v>1.4074210765387236E-2</v>
      </c>
      <c r="C268">
        <f>Cleaned!D267/Cleaned!G266</f>
        <v>0.18445857920147138</v>
      </c>
      <c r="D268">
        <f>Cleaned!J267/Cleaned!L266</f>
        <v>3.3298707294552171E-2</v>
      </c>
      <c r="E268">
        <f>Cleaned!N267/Cleaned!G266</f>
        <v>0.21779446700896621</v>
      </c>
      <c r="F268">
        <f>Cleaned!M267/Cleaned!B266</f>
        <v>2.8233590733590733E-2</v>
      </c>
      <c r="G268">
        <f>Cleaned!E267/Cleaned!L266</f>
        <v>3.9958448753462605E-2</v>
      </c>
      <c r="H268">
        <f t="shared" si="36"/>
        <v>1.4551040131840552E-2</v>
      </c>
      <c r="I268">
        <f t="shared" si="37"/>
        <v>0.18453159637120811</v>
      </c>
      <c r="J268">
        <f t="shared" si="38"/>
        <v>3.2921796480843694E-2</v>
      </c>
      <c r="K268">
        <f t="shared" si="39"/>
        <v>0.20835782475313633</v>
      </c>
      <c r="L268">
        <f t="shared" si="40"/>
        <v>2.7238562840635226E-2</v>
      </c>
      <c r="M268">
        <f t="shared" si="41"/>
        <v>4.0997583114483031E-2</v>
      </c>
    </row>
    <row r="269" spans="1:13" x14ac:dyDescent="0.25">
      <c r="A269" s="2">
        <f t="shared" si="35"/>
        <v>40940</v>
      </c>
      <c r="B269">
        <f>Cleaned!H268/Cleaned!B267</f>
        <v>1.3720976216032993E-2</v>
      </c>
      <c r="C269">
        <f>Cleaned!D268/Cleaned!G267</f>
        <v>0.18473486037025416</v>
      </c>
      <c r="D269">
        <f>Cleaned!J268/Cleaned!L267</f>
        <v>3.5182509981458943E-2</v>
      </c>
      <c r="E269">
        <f>Cleaned!N268/Cleaned!G267</f>
        <v>0.2068559774082209</v>
      </c>
      <c r="F269">
        <f>Cleaned!M268/Cleaned!B267</f>
        <v>2.4963278910796E-2</v>
      </c>
      <c r="G269">
        <f>Cleaned!E268/Cleaned!L267</f>
        <v>4.0312581756964269E-2</v>
      </c>
      <c r="H269">
        <f t="shared" si="36"/>
        <v>1.412638556369685E-2</v>
      </c>
      <c r="I269">
        <f t="shared" si="37"/>
        <v>0.18567861369088789</v>
      </c>
      <c r="J269">
        <f t="shared" si="38"/>
        <v>3.3980005426668902E-2</v>
      </c>
      <c r="K269">
        <f t="shared" si="39"/>
        <v>0.20991787797020686</v>
      </c>
      <c r="L269">
        <f t="shared" si="40"/>
        <v>2.7005033083779009E-2</v>
      </c>
      <c r="M269">
        <f t="shared" si="41"/>
        <v>4.0330465494712329E-2</v>
      </c>
    </row>
    <row r="270" spans="1:13" x14ac:dyDescent="0.25">
      <c r="A270" s="2">
        <f t="shared" si="35"/>
        <v>40969</v>
      </c>
      <c r="B270">
        <f>Cleaned!H269/Cleaned!B268</f>
        <v>1.4723382082679079E-2</v>
      </c>
      <c r="C270">
        <f>Cleaned!D269/Cleaned!G268</f>
        <v>0.1814774324535374</v>
      </c>
      <c r="D270">
        <f>Cleaned!J269/Cleaned!L268</f>
        <v>3.2552989921356905E-2</v>
      </c>
      <c r="E270">
        <f>Cleaned!N269/Cleaned!G268</f>
        <v>0.21419647040449788</v>
      </c>
      <c r="F270">
        <f>Cleaned!M269/Cleaned!B268</f>
        <v>2.656686781346158E-2</v>
      </c>
      <c r="G270">
        <f>Cleaned!E269/Cleaned!L268</f>
        <v>3.9835180513862416E-2</v>
      </c>
      <c r="H270">
        <f t="shared" si="36"/>
        <v>1.4172856354699769E-2</v>
      </c>
      <c r="I270">
        <f t="shared" si="37"/>
        <v>0.18355695734175434</v>
      </c>
      <c r="J270">
        <f t="shared" si="38"/>
        <v>3.3678069065789344E-2</v>
      </c>
      <c r="K270">
        <f t="shared" si="39"/>
        <v>0.21294897160722834</v>
      </c>
      <c r="L270">
        <f t="shared" si="40"/>
        <v>2.6587912485949439E-2</v>
      </c>
      <c r="M270">
        <f t="shared" si="41"/>
        <v>4.0035403674763097E-2</v>
      </c>
    </row>
    <row r="271" spans="1:13" x14ac:dyDescent="0.25">
      <c r="A271" s="2">
        <f t="shared" si="35"/>
        <v>41000</v>
      </c>
      <c r="B271">
        <f>Cleaned!H270/Cleaned!B269</f>
        <v>1.4110688635403464E-2</v>
      </c>
      <c r="C271">
        <f>Cleaned!D270/Cleaned!G269</f>
        <v>0.17901623837300962</v>
      </c>
      <c r="D271">
        <f>Cleaned!J270/Cleaned!L269</f>
        <v>3.1320394093153431E-2</v>
      </c>
      <c r="E271">
        <f>Cleaned!N270/Cleaned!G269</f>
        <v>0.21038940564401704</v>
      </c>
      <c r="F271">
        <f>Cleaned!M270/Cleaned!B269</f>
        <v>2.7925644275454162E-2</v>
      </c>
      <c r="G271">
        <f>Cleaned!E270/Cleaned!L269</f>
        <v>4.0558374479510342E-2</v>
      </c>
      <c r="H271">
        <f t="shared" si="36"/>
        <v>1.4185015644705179E-2</v>
      </c>
      <c r="I271">
        <f t="shared" si="37"/>
        <v>0.18174284373226704</v>
      </c>
      <c r="J271">
        <f t="shared" si="38"/>
        <v>3.3018631331989762E-2</v>
      </c>
      <c r="K271">
        <f t="shared" si="39"/>
        <v>0.21048061781891195</v>
      </c>
      <c r="L271">
        <f t="shared" si="40"/>
        <v>2.6485263666570582E-2</v>
      </c>
      <c r="M271">
        <f t="shared" si="41"/>
        <v>4.0235378916779009E-2</v>
      </c>
    </row>
    <row r="272" spans="1:13" x14ac:dyDescent="0.25">
      <c r="A272" s="2">
        <f t="shared" si="35"/>
        <v>41030</v>
      </c>
      <c r="B272">
        <f>Cleaned!H271/Cleaned!B270</f>
        <v>1.3738779996336326E-2</v>
      </c>
      <c r="C272">
        <f>Cleaned!D271/Cleaned!G270</f>
        <v>0.18077967726473879</v>
      </c>
      <c r="D272">
        <f>Cleaned!J271/Cleaned!L270</f>
        <v>3.5004301951727573E-2</v>
      </c>
      <c r="E272">
        <f>Cleaned!N271/Cleaned!G270</f>
        <v>0.20849976034510306</v>
      </c>
      <c r="F272">
        <f>Cleaned!M271/Cleaned!B270</f>
        <v>2.5871179562331786E-2</v>
      </c>
      <c r="G272">
        <f>Cleaned!E271/Cleaned!L270</f>
        <v>4.1808178236652629E-2</v>
      </c>
      <c r="H272">
        <f t="shared" si="36"/>
        <v>1.4190950238139622E-2</v>
      </c>
      <c r="I272">
        <f t="shared" si="37"/>
        <v>0.18042444936376192</v>
      </c>
      <c r="J272">
        <f t="shared" si="38"/>
        <v>3.2959228655412641E-2</v>
      </c>
      <c r="K272">
        <f t="shared" si="39"/>
        <v>0.21102854546453934</v>
      </c>
      <c r="L272">
        <f t="shared" si="40"/>
        <v>2.678789721708251E-2</v>
      </c>
      <c r="M272">
        <f t="shared" si="41"/>
        <v>4.0733911076675129E-2</v>
      </c>
    </row>
    <row r="273" spans="1:13" x14ac:dyDescent="0.25">
      <c r="A273" s="2">
        <f t="shared" si="35"/>
        <v>41061</v>
      </c>
      <c r="B273">
        <f>Cleaned!H272/Cleaned!B271</f>
        <v>1.4532473190819524E-2</v>
      </c>
      <c r="C273">
        <f>Cleaned!D272/Cleaned!G271</f>
        <v>0.17991335171327294</v>
      </c>
      <c r="D273">
        <f>Cleaned!J272/Cleaned!L271</f>
        <v>3.2534558021098579E-2</v>
      </c>
      <c r="E273">
        <f>Cleaned!N272/Cleaned!G271</f>
        <v>0.21008270972823948</v>
      </c>
      <c r="F273">
        <f>Cleaned!M272/Cleaned!B271</f>
        <v>2.6352405447569255E-2</v>
      </c>
      <c r="G273">
        <f>Cleaned!E272/Cleaned!L271</f>
        <v>4.1310476536922519E-2</v>
      </c>
      <c r="H273">
        <f t="shared" si="36"/>
        <v>1.4127313940853104E-2</v>
      </c>
      <c r="I273">
        <f t="shared" si="37"/>
        <v>0.17990308911700711</v>
      </c>
      <c r="J273">
        <f t="shared" si="38"/>
        <v>3.2953084688659866E-2</v>
      </c>
      <c r="K273">
        <f t="shared" si="39"/>
        <v>0.20965729190578652</v>
      </c>
      <c r="L273">
        <f t="shared" si="40"/>
        <v>2.6716409761785066E-2</v>
      </c>
      <c r="M273">
        <f t="shared" si="41"/>
        <v>4.1225676417695166E-2</v>
      </c>
    </row>
    <row r="274" spans="1:13" x14ac:dyDescent="0.25">
      <c r="A274" s="2">
        <f t="shared" si="35"/>
        <v>41091</v>
      </c>
      <c r="B274">
        <f>Cleaned!H273/Cleaned!B272</f>
        <v>1.5163428057957992E-2</v>
      </c>
      <c r="C274">
        <f>Cleaned!D273/Cleaned!G272</f>
        <v>0.17951342413983151</v>
      </c>
      <c r="D274">
        <f>Cleaned!J273/Cleaned!L272</f>
        <v>3.2406881348998932E-2</v>
      </c>
      <c r="E274">
        <f>Cleaned!N273/Cleaned!G272</f>
        <v>0.21203054877568694</v>
      </c>
      <c r="F274">
        <f>Cleaned!M273/Cleaned!B272</f>
        <v>2.735033134898349E-2</v>
      </c>
      <c r="G274">
        <f>Cleaned!E273/Cleaned!L272</f>
        <v>4.1235824830125216E-2</v>
      </c>
      <c r="H274">
        <f t="shared" si="36"/>
        <v>1.4478227081704613E-2</v>
      </c>
      <c r="I274">
        <f t="shared" si="37"/>
        <v>0.18006881770594774</v>
      </c>
      <c r="J274">
        <f t="shared" si="38"/>
        <v>3.3315247107275035E-2</v>
      </c>
      <c r="K274">
        <f t="shared" si="39"/>
        <v>0.21020433961634319</v>
      </c>
      <c r="L274">
        <f t="shared" si="40"/>
        <v>2.6524638786294841E-2</v>
      </c>
      <c r="M274">
        <f t="shared" si="41"/>
        <v>4.1451493201233452E-2</v>
      </c>
    </row>
    <row r="275" spans="1:13" x14ac:dyDescent="0.25">
      <c r="A275" s="2">
        <f t="shared" si="35"/>
        <v>41122</v>
      </c>
      <c r="B275">
        <f>Cleaned!H274/Cleaned!B273</f>
        <v>1.4973637961335677E-2</v>
      </c>
      <c r="C275">
        <f>Cleaned!D274/Cleaned!G273</f>
        <v>0.17975676735974891</v>
      </c>
      <c r="D275">
        <f>Cleaned!J274/Cleaned!L273</f>
        <v>3.1971842143980807E-2</v>
      </c>
      <c r="E275">
        <f>Cleaned!N274/Cleaned!G273</f>
        <v>0.2301294625343272</v>
      </c>
      <c r="F275">
        <f>Cleaned!M274/Cleaned!B273</f>
        <v>2.8681898066783833E-2</v>
      </c>
      <c r="G275">
        <f>Cleaned!E274/Cleaned!L273</f>
        <v>4.3029006665987621E-2</v>
      </c>
      <c r="H275">
        <f t="shared" si="36"/>
        <v>1.4889846403371064E-2</v>
      </c>
      <c r="I275">
        <f t="shared" si="37"/>
        <v>0.17972784773761777</v>
      </c>
      <c r="J275">
        <f t="shared" si="38"/>
        <v>3.2304427171359444E-2</v>
      </c>
      <c r="K275">
        <f t="shared" si="39"/>
        <v>0.21741424034608456</v>
      </c>
      <c r="L275">
        <f t="shared" si="40"/>
        <v>2.7461544954445527E-2</v>
      </c>
      <c r="M275">
        <f t="shared" si="41"/>
        <v>4.1858436011011781E-2</v>
      </c>
    </row>
    <row r="276" spans="1:13" x14ac:dyDescent="0.25">
      <c r="A276" s="2">
        <f t="shared" si="35"/>
        <v>41153</v>
      </c>
      <c r="B276">
        <f>Cleaned!H275/Cleaned!B274</f>
        <v>1.3343743845136603E-2</v>
      </c>
      <c r="C276">
        <f>Cleaned!D275/Cleaned!G274</f>
        <v>0.19162060402146919</v>
      </c>
      <c r="D276">
        <f>Cleaned!J275/Cleaned!L274</f>
        <v>3.2220335361396325E-2</v>
      </c>
      <c r="E276">
        <f>Cleaned!N275/Cleaned!G274</f>
        <v>0.2229432027557478</v>
      </c>
      <c r="F276">
        <f>Cleaned!M275/Cleaned!B274</f>
        <v>2.4380293182521596E-2</v>
      </c>
      <c r="G276">
        <f>Cleaned!E275/Cleaned!L274</f>
        <v>4.2128229062405112E-2</v>
      </c>
      <c r="H276">
        <f t="shared" si="36"/>
        <v>1.4493603288143425E-2</v>
      </c>
      <c r="I276">
        <f t="shared" si="37"/>
        <v>0.18363026517368319</v>
      </c>
      <c r="J276">
        <f t="shared" si="38"/>
        <v>3.2199686284792021E-2</v>
      </c>
      <c r="K276">
        <f t="shared" si="39"/>
        <v>0.22170107135525399</v>
      </c>
      <c r="L276">
        <f t="shared" si="40"/>
        <v>2.680417419942964E-2</v>
      </c>
      <c r="M276">
        <f t="shared" si="41"/>
        <v>4.2131020186172652E-2</v>
      </c>
    </row>
    <row r="277" spans="1:13" x14ac:dyDescent="0.25">
      <c r="A277" s="2">
        <f t="shared" si="35"/>
        <v>41183</v>
      </c>
      <c r="B277">
        <f>Cleaned!H276/Cleaned!B275</f>
        <v>1.4107460097640131E-2</v>
      </c>
      <c r="C277">
        <f>Cleaned!D276/Cleaned!G275</f>
        <v>0.18647574904817082</v>
      </c>
      <c r="D277">
        <f>Cleaned!J276/Cleaned!L275</f>
        <v>3.4931692141214665E-2</v>
      </c>
      <c r="E277">
        <f>Cleaned!N276/Cleaned!G275</f>
        <v>0.22363847045191193</v>
      </c>
      <c r="F277">
        <f>Cleaned!M276/Cleaned!B275</f>
        <v>2.5689985591785917E-2</v>
      </c>
      <c r="G277">
        <f>Cleaned!E276/Cleaned!L275</f>
        <v>4.1875197258668111E-2</v>
      </c>
      <c r="H277">
        <f t="shared" si="36"/>
        <v>1.4141613968037472E-2</v>
      </c>
      <c r="I277">
        <f t="shared" si="37"/>
        <v>0.1859510401431296</v>
      </c>
      <c r="J277">
        <f t="shared" si="38"/>
        <v>3.3041289882197268E-2</v>
      </c>
      <c r="K277">
        <f t="shared" si="39"/>
        <v>0.22557037858066231</v>
      </c>
      <c r="L277">
        <f t="shared" si="40"/>
        <v>2.6250725613697113E-2</v>
      </c>
      <c r="M277">
        <f t="shared" si="41"/>
        <v>4.2344144329020283E-2</v>
      </c>
    </row>
    <row r="278" spans="1:13" x14ac:dyDescent="0.25">
      <c r="A278" s="2">
        <f t="shared" si="35"/>
        <v>41214</v>
      </c>
      <c r="B278">
        <f>Cleaned!H277/Cleaned!B276</f>
        <v>1.3312123241795043E-2</v>
      </c>
      <c r="C278">
        <f>Cleaned!D277/Cleaned!G276</f>
        <v>0.17611038536903983</v>
      </c>
      <c r="D278">
        <f>Cleaned!J277/Cleaned!L276</f>
        <v>3.2915945569920932E-2</v>
      </c>
      <c r="E278">
        <f>Cleaned!N277/Cleaned!G276</f>
        <v>0.23595689092096669</v>
      </c>
      <c r="F278">
        <f>Cleaned!M277/Cleaned!B276</f>
        <v>2.7482417950435364E-2</v>
      </c>
      <c r="G278">
        <f>Cleaned!E277/Cleaned!L276</f>
        <v>4.10374744081351E-2</v>
      </c>
      <c r="H278">
        <f t="shared" si="36"/>
        <v>1.3587775728190593E-2</v>
      </c>
      <c r="I278">
        <f t="shared" si="37"/>
        <v>0.18473557947955996</v>
      </c>
      <c r="J278">
        <f t="shared" si="38"/>
        <v>3.3355991024177307E-2</v>
      </c>
      <c r="K278">
        <f t="shared" si="39"/>
        <v>0.22751285470954216</v>
      </c>
      <c r="L278">
        <f t="shared" si="40"/>
        <v>2.5850898908247627E-2</v>
      </c>
      <c r="M278">
        <f t="shared" si="41"/>
        <v>4.1680300243069436E-2</v>
      </c>
    </row>
    <row r="279" spans="1:13" x14ac:dyDescent="0.25">
      <c r="A279" s="2">
        <f t="shared" si="35"/>
        <v>41244</v>
      </c>
      <c r="B279">
        <f>Cleaned!H278/Cleaned!B277</f>
        <v>1.4817451510012075E-2</v>
      </c>
      <c r="C279">
        <f>Cleaned!D278/Cleaned!G277</f>
        <v>0.18061783756851021</v>
      </c>
      <c r="D279">
        <f>Cleaned!J278/Cleaned!L277</f>
        <v>3.3143886106578133E-2</v>
      </c>
      <c r="E279">
        <f>Cleaned!N278/Cleaned!G277</f>
        <v>0.22712174057465537</v>
      </c>
      <c r="F279">
        <f>Cleaned!M278/Cleaned!B277</f>
        <v>2.6200995274887107E-2</v>
      </c>
      <c r="G279">
        <f>Cleaned!E278/Cleaned!L277</f>
        <v>4.146080693264307E-2</v>
      </c>
      <c r="H279">
        <f t="shared" si="36"/>
        <v>1.4079011616482416E-2</v>
      </c>
      <c r="I279">
        <f t="shared" si="37"/>
        <v>0.18106799066190696</v>
      </c>
      <c r="J279">
        <f t="shared" si="38"/>
        <v>3.3663841272571243E-2</v>
      </c>
      <c r="K279">
        <f t="shared" si="39"/>
        <v>0.22890570064917801</v>
      </c>
      <c r="L279">
        <f t="shared" si="40"/>
        <v>2.6457799605702798E-2</v>
      </c>
      <c r="M279">
        <f t="shared" si="41"/>
        <v>4.1457826199815424E-2</v>
      </c>
    </row>
    <row r="280" spans="1:13" x14ac:dyDescent="0.25">
      <c r="A280" s="2">
        <f t="shared" si="35"/>
        <v>41275</v>
      </c>
      <c r="B280">
        <f>Cleaned!H279/Cleaned!B278</f>
        <v>1.4681972017724434E-2</v>
      </c>
      <c r="C280">
        <f>Cleaned!D279/Cleaned!G278</f>
        <v>0.1842536457479928</v>
      </c>
      <c r="D280">
        <f>Cleaned!J279/Cleaned!L278</f>
        <v>3.1641508796812212E-2</v>
      </c>
      <c r="E280">
        <f>Cleaned!N279/Cleaned!G278</f>
        <v>0.20997869900049157</v>
      </c>
      <c r="F280">
        <f>Cleaned!M279/Cleaned!B278</f>
        <v>2.6133072816719585E-2</v>
      </c>
      <c r="G280">
        <f>Cleaned!E279/Cleaned!L278</f>
        <v>4.0140028591046727E-2</v>
      </c>
      <c r="H280">
        <f t="shared" si="36"/>
        <v>1.4270515589843852E-2</v>
      </c>
      <c r="I280">
        <f t="shared" si="37"/>
        <v>0.1803272895618476</v>
      </c>
      <c r="J280">
        <f t="shared" si="38"/>
        <v>3.2567113491103757E-2</v>
      </c>
      <c r="K280">
        <f t="shared" si="39"/>
        <v>0.22435244349870453</v>
      </c>
      <c r="L280">
        <f t="shared" si="40"/>
        <v>2.6605495347347352E-2</v>
      </c>
      <c r="M280">
        <f t="shared" si="41"/>
        <v>4.0879436643941634E-2</v>
      </c>
    </row>
    <row r="281" spans="1:13" x14ac:dyDescent="0.25">
      <c r="A281" s="2">
        <f t="shared" si="35"/>
        <v>41306</v>
      </c>
      <c r="B281">
        <f>Cleaned!H280/Cleaned!B279</f>
        <v>1.3145225436429857E-2</v>
      </c>
      <c r="C281">
        <f>Cleaned!D280/Cleaned!G279</f>
        <v>0.18739863769056114</v>
      </c>
      <c r="D281">
        <f>Cleaned!J280/Cleaned!L279</f>
        <v>3.2367877044760018E-2</v>
      </c>
      <c r="E281">
        <f>Cleaned!N280/Cleaned!G279</f>
        <v>0.2239701589361012</v>
      </c>
      <c r="F281">
        <f>Cleaned!M280/Cleaned!B279</f>
        <v>2.8013842955024352E-2</v>
      </c>
      <c r="G281">
        <f>Cleaned!E280/Cleaned!L279</f>
        <v>4.1749056264605428E-2</v>
      </c>
      <c r="H281">
        <f t="shared" si="36"/>
        <v>1.4214882988055455E-2</v>
      </c>
      <c r="I281">
        <f t="shared" si="37"/>
        <v>0.18409004033568807</v>
      </c>
      <c r="J281">
        <f t="shared" si="38"/>
        <v>3.2384423982716785E-2</v>
      </c>
      <c r="K281">
        <f t="shared" si="39"/>
        <v>0.22035686617041605</v>
      </c>
      <c r="L281">
        <f t="shared" si="40"/>
        <v>2.6782637015543679E-2</v>
      </c>
      <c r="M281">
        <f t="shared" si="41"/>
        <v>4.1116630596098408E-2</v>
      </c>
    </row>
    <row r="282" spans="1:13" x14ac:dyDescent="0.25">
      <c r="A282" s="2">
        <f t="shared" si="35"/>
        <v>41334</v>
      </c>
      <c r="B282">
        <f>Cleaned!H281/Cleaned!B280</f>
        <v>1.3255094360661222E-2</v>
      </c>
      <c r="C282">
        <f>Cleaned!D281/Cleaned!G280</f>
        <v>0.17893949468085107</v>
      </c>
      <c r="D282">
        <f>Cleaned!J281/Cleaned!L280</f>
        <v>3.0065842515452836E-2</v>
      </c>
      <c r="E282">
        <f>Cleaned!N281/Cleaned!G280</f>
        <v>0.22814162234042554</v>
      </c>
      <c r="F282">
        <f>Cleaned!M281/Cleaned!B280</f>
        <v>2.929780057424804E-2</v>
      </c>
      <c r="G282">
        <f>Cleaned!E281/Cleaned!L280</f>
        <v>4.1700259786795667E-2</v>
      </c>
      <c r="H282">
        <f t="shared" si="36"/>
        <v>1.3694097271605171E-2</v>
      </c>
      <c r="I282">
        <f t="shared" si="37"/>
        <v>0.18353059270646832</v>
      </c>
      <c r="J282">
        <f t="shared" si="38"/>
        <v>3.1358409452341689E-2</v>
      </c>
      <c r="K282">
        <f t="shared" si="39"/>
        <v>0.22069682675900612</v>
      </c>
      <c r="L282">
        <f t="shared" si="40"/>
        <v>2.7814905448663992E-2</v>
      </c>
      <c r="M282">
        <f t="shared" si="41"/>
        <v>4.1196448214149278E-2</v>
      </c>
    </row>
    <row r="283" spans="1:13" x14ac:dyDescent="0.25">
      <c r="A283" s="2">
        <f t="shared" si="35"/>
        <v>41365</v>
      </c>
      <c r="B283">
        <f>Cleaned!H282/Cleaned!B281</f>
        <v>1.4013930181594853E-2</v>
      </c>
      <c r="C283">
        <f>Cleaned!D282/Cleaned!G281</f>
        <v>0.19247146993697836</v>
      </c>
      <c r="D283">
        <f>Cleaned!J282/Cleaned!L281</f>
        <v>2.9177365033845742E-2</v>
      </c>
      <c r="E283">
        <f>Cleaned!N282/Cleaned!G281</f>
        <v>0.21027082268778743</v>
      </c>
      <c r="F283">
        <f>Cleaned!M282/Cleaned!B281</f>
        <v>2.7504431696048461E-2</v>
      </c>
      <c r="G283">
        <f>Cleaned!E282/Cleaned!L281</f>
        <v>4.348261029043983E-2</v>
      </c>
      <c r="H283">
        <f t="shared" si="36"/>
        <v>1.3471416659561976E-2</v>
      </c>
      <c r="I283">
        <f t="shared" si="37"/>
        <v>0.18626986743613019</v>
      </c>
      <c r="J283">
        <f t="shared" si="38"/>
        <v>3.0537028198019529E-2</v>
      </c>
      <c r="K283">
        <f t="shared" si="39"/>
        <v>0.22079420132143804</v>
      </c>
      <c r="L283">
        <f t="shared" si="40"/>
        <v>2.8272025075106951E-2</v>
      </c>
      <c r="M283">
        <f t="shared" si="41"/>
        <v>4.2310642113946972E-2</v>
      </c>
    </row>
    <row r="284" spans="1:13" x14ac:dyDescent="0.25">
      <c r="A284" s="2">
        <f t="shared" si="35"/>
        <v>41395</v>
      </c>
      <c r="B284">
        <f>Cleaned!H283/Cleaned!B282</f>
        <v>1.3657986195752861E-2</v>
      </c>
      <c r="C284">
        <f>Cleaned!D283/Cleaned!G282</f>
        <v>0.19306973153786774</v>
      </c>
      <c r="D284">
        <f>Cleaned!J283/Cleaned!L282</f>
        <v>3.0877512898060844E-2</v>
      </c>
      <c r="E284">
        <f>Cleaned!N283/Cleaned!G282</f>
        <v>0.20722188866969724</v>
      </c>
      <c r="F284">
        <f>Cleaned!M283/Cleaned!B282</f>
        <v>2.6640386128890716E-2</v>
      </c>
      <c r="G284">
        <f>Cleaned!E283/Cleaned!L282</f>
        <v>4.2318982387475536E-2</v>
      </c>
      <c r="H284">
        <f t="shared" si="36"/>
        <v>1.3642336912669646E-2</v>
      </c>
      <c r="I284">
        <f t="shared" si="37"/>
        <v>0.18816023205189905</v>
      </c>
      <c r="J284">
        <f t="shared" si="38"/>
        <v>3.0040240149119806E-2</v>
      </c>
      <c r="K284">
        <f t="shared" si="39"/>
        <v>0.21521144456597008</v>
      </c>
      <c r="L284">
        <f t="shared" si="40"/>
        <v>2.7814206133062406E-2</v>
      </c>
      <c r="M284">
        <f t="shared" si="41"/>
        <v>4.2500617488237004E-2</v>
      </c>
    </row>
    <row r="285" spans="1:13" x14ac:dyDescent="0.25">
      <c r="A285" s="2">
        <f t="shared" si="35"/>
        <v>41426</v>
      </c>
      <c r="B285">
        <f>Cleaned!H284/Cleaned!B283</f>
        <v>1.4690961653393377E-2</v>
      </c>
      <c r="C285">
        <f>Cleaned!D284/Cleaned!G283</f>
        <v>0.19812925170068027</v>
      </c>
      <c r="D285">
        <f>Cleaned!J284/Cleaned!L283</f>
        <v>2.994258959924196E-2</v>
      </c>
      <c r="E285">
        <f>Cleaned!N284/Cleaned!G283</f>
        <v>0.21096938775510204</v>
      </c>
      <c r="F285">
        <f>Cleaned!M284/Cleaned!B283</f>
        <v>2.7818315751435046E-2</v>
      </c>
      <c r="G285">
        <f>Cleaned!E284/Cleaned!L283</f>
        <v>4.3553871021682178E-2</v>
      </c>
      <c r="H285">
        <f t="shared" si="36"/>
        <v>1.4120959343580363E-2</v>
      </c>
      <c r="I285">
        <f t="shared" si="37"/>
        <v>0.19455681772517544</v>
      </c>
      <c r="J285">
        <f t="shared" si="38"/>
        <v>2.999915584371618E-2</v>
      </c>
      <c r="K285">
        <f t="shared" si="39"/>
        <v>0.20948736637086221</v>
      </c>
      <c r="L285">
        <f t="shared" si="40"/>
        <v>2.7321044525458072E-2</v>
      </c>
      <c r="M285">
        <f t="shared" si="41"/>
        <v>4.3118487899865852E-2</v>
      </c>
    </row>
    <row r="286" spans="1:13" x14ac:dyDescent="0.25">
      <c r="A286" s="2">
        <f t="shared" si="35"/>
        <v>41456</v>
      </c>
      <c r="B286">
        <f>Cleaned!H285/Cleaned!B284</f>
        <v>1.358480611975732E-2</v>
      </c>
      <c r="C286">
        <f>Cleaned!D285/Cleaned!G284</f>
        <v>0.19843763267385581</v>
      </c>
      <c r="D286">
        <f>Cleaned!J285/Cleaned!L284</f>
        <v>3.0306407927148702E-2</v>
      </c>
      <c r="E286">
        <f>Cleaned!N285/Cleaned!G284</f>
        <v>0.22238261017236988</v>
      </c>
      <c r="F286">
        <f>Cleaned!M285/Cleaned!B284</f>
        <v>2.6753113329353456E-2</v>
      </c>
      <c r="G286">
        <f>Cleaned!E285/Cleaned!L284</f>
        <v>4.2065606295350937E-2</v>
      </c>
      <c r="H286">
        <f t="shared" si="36"/>
        <v>1.397791798963452E-2</v>
      </c>
      <c r="I286">
        <f t="shared" si="37"/>
        <v>0.19654553863746793</v>
      </c>
      <c r="J286">
        <f t="shared" si="38"/>
        <v>3.037550347481717E-2</v>
      </c>
      <c r="K286">
        <f t="shared" si="39"/>
        <v>0.21352462886572302</v>
      </c>
      <c r="L286">
        <f t="shared" si="40"/>
        <v>2.7070605069893072E-2</v>
      </c>
      <c r="M286">
        <f t="shared" si="41"/>
        <v>4.2646153234836219E-2</v>
      </c>
    </row>
    <row r="287" spans="1:13" x14ac:dyDescent="0.25">
      <c r="A287" s="2">
        <f t="shared" si="35"/>
        <v>41487</v>
      </c>
      <c r="B287">
        <f>Cleaned!H286/Cleaned!B285</f>
        <v>1.3909969851335897E-2</v>
      </c>
      <c r="C287">
        <f>Cleaned!D286/Cleaned!G285</f>
        <v>0.19480632273753692</v>
      </c>
      <c r="D287">
        <f>Cleaned!J286/Cleaned!L285</f>
        <v>2.9480751914803739E-2</v>
      </c>
      <c r="E287">
        <f>Cleaned!N286/Cleaned!G285</f>
        <v>0.23084940072954663</v>
      </c>
      <c r="F287">
        <f>Cleaned!M286/Cleaned!B285</f>
        <v>2.8194198981183076E-2</v>
      </c>
      <c r="G287">
        <f>Cleaned!E286/Cleaned!L285</f>
        <v>4.1253043120602066E-2</v>
      </c>
      <c r="H287">
        <f t="shared" si="36"/>
        <v>1.4061912541495532E-2</v>
      </c>
      <c r="I287">
        <f t="shared" si="37"/>
        <v>0.19712440237069098</v>
      </c>
      <c r="J287">
        <f t="shared" si="38"/>
        <v>2.9909916480398136E-2</v>
      </c>
      <c r="K287">
        <f t="shared" si="39"/>
        <v>0.22140046621900619</v>
      </c>
      <c r="L287">
        <f t="shared" si="40"/>
        <v>2.7588542687323858E-2</v>
      </c>
      <c r="M287">
        <f t="shared" si="41"/>
        <v>4.2290840145878396E-2</v>
      </c>
    </row>
    <row r="288" spans="1:13" x14ac:dyDescent="0.25">
      <c r="A288" s="2">
        <f t="shared" si="35"/>
        <v>41518</v>
      </c>
      <c r="B288">
        <f>Cleaned!H287/Cleaned!B286</f>
        <v>1.3088714711798571E-2</v>
      </c>
      <c r="C288">
        <f>Cleaned!D287/Cleaned!G286</f>
        <v>0.18884764934605869</v>
      </c>
      <c r="D288">
        <f>Cleaned!J287/Cleaned!L286</f>
        <v>2.8693643407425421E-2</v>
      </c>
      <c r="E288">
        <f>Cleaned!N287/Cleaned!G286</f>
        <v>0.21429833863556028</v>
      </c>
      <c r="F288">
        <f>Cleaned!M287/Cleaned!B286</f>
        <v>2.7432891725046819E-2</v>
      </c>
      <c r="G288">
        <f>Cleaned!E287/Cleaned!L286</f>
        <v>4.1890950891426172E-2</v>
      </c>
      <c r="H288">
        <f t="shared" si="36"/>
        <v>1.3527830227630598E-2</v>
      </c>
      <c r="I288">
        <f t="shared" si="37"/>
        <v>0.19403053491915045</v>
      </c>
      <c r="J288">
        <f t="shared" si="38"/>
        <v>2.9493601083125955E-2</v>
      </c>
      <c r="K288">
        <f t="shared" si="39"/>
        <v>0.22251011651249228</v>
      </c>
      <c r="L288">
        <f t="shared" si="40"/>
        <v>2.7460068011861117E-2</v>
      </c>
      <c r="M288">
        <f t="shared" si="41"/>
        <v>4.1736533435793061E-2</v>
      </c>
    </row>
    <row r="289" spans="1:13" x14ac:dyDescent="0.25">
      <c r="A289" s="2">
        <f t="shared" si="35"/>
        <v>41548</v>
      </c>
      <c r="B289" t="e">
        <f>Cleaned!H288/Cleaned!B287</f>
        <v>#N/A</v>
      </c>
      <c r="C289" t="e">
        <f>Cleaned!D288/Cleaned!G287</f>
        <v>#N/A</v>
      </c>
      <c r="D289" t="e">
        <f>Cleaned!J288/Cleaned!L287</f>
        <v>#N/A</v>
      </c>
      <c r="E289" t="e">
        <f>Cleaned!N288/Cleaned!G287</f>
        <v>#N/A</v>
      </c>
      <c r="F289" t="e">
        <f>Cleaned!M288/Cleaned!B287</f>
        <v>#N/A</v>
      </c>
      <c r="G289" t="e">
        <f>Cleaned!E288/Cleaned!L287</f>
        <v>#N/A</v>
      </c>
      <c r="H289" t="e">
        <f t="shared" si="36"/>
        <v>#N/A</v>
      </c>
      <c r="I289" t="e">
        <f t="shared" si="37"/>
        <v>#N/A</v>
      </c>
      <c r="J289" t="e">
        <f t="shared" si="38"/>
        <v>#N/A</v>
      </c>
      <c r="K289" t="e">
        <f t="shared" si="39"/>
        <v>#N/A</v>
      </c>
      <c r="L289" t="e">
        <f t="shared" si="40"/>
        <v>#N/A</v>
      </c>
      <c r="M289" t="e">
        <f t="shared" si="41"/>
        <v>#N/A</v>
      </c>
    </row>
    <row r="290" spans="1:13" x14ac:dyDescent="0.25">
      <c r="A290" s="2">
        <f t="shared" si="35"/>
        <v>41579</v>
      </c>
      <c r="B290" t="e">
        <f>Cleaned!H289/Cleaned!B288</f>
        <v>#N/A</v>
      </c>
      <c r="C290" t="e">
        <f>Cleaned!D289/Cleaned!G288</f>
        <v>#N/A</v>
      </c>
      <c r="D290" t="e">
        <f>Cleaned!J289/Cleaned!L288</f>
        <v>#N/A</v>
      </c>
      <c r="E290" t="e">
        <f>Cleaned!N289/Cleaned!G288</f>
        <v>#N/A</v>
      </c>
      <c r="F290" t="e">
        <f>Cleaned!M289/Cleaned!B288</f>
        <v>#N/A</v>
      </c>
      <c r="G290" t="e">
        <f>Cleaned!E289/Cleaned!L288</f>
        <v>#N/A</v>
      </c>
      <c r="H290" t="e">
        <f t="shared" si="36"/>
        <v>#N/A</v>
      </c>
      <c r="I290" t="e">
        <f t="shared" si="37"/>
        <v>#N/A</v>
      </c>
      <c r="J290" t="e">
        <f t="shared" si="38"/>
        <v>#N/A</v>
      </c>
      <c r="K290" t="e">
        <f t="shared" si="39"/>
        <v>#N/A</v>
      </c>
      <c r="L290" t="e">
        <f t="shared" si="40"/>
        <v>#N/A</v>
      </c>
      <c r="M290" t="e">
        <f t="shared" si="41"/>
        <v>#N/A</v>
      </c>
    </row>
    <row r="291" spans="1:13" x14ac:dyDescent="0.25">
      <c r="A291" s="2">
        <f t="shared" si="35"/>
        <v>41609</v>
      </c>
      <c r="B291" t="e">
        <f>Cleaned!H290/Cleaned!B289</f>
        <v>#N/A</v>
      </c>
      <c r="C291" t="e">
        <f>Cleaned!D290/Cleaned!G289</f>
        <v>#N/A</v>
      </c>
      <c r="D291" t="e">
        <f>Cleaned!J290/Cleaned!L289</f>
        <v>#N/A</v>
      </c>
      <c r="E291" t="e">
        <f>Cleaned!N290/Cleaned!G289</f>
        <v>#N/A</v>
      </c>
      <c r="F291" t="e">
        <f>Cleaned!M290/Cleaned!B289</f>
        <v>#N/A</v>
      </c>
      <c r="G291" t="e">
        <f>Cleaned!E290/Cleaned!L289</f>
        <v>#N/A</v>
      </c>
      <c r="H291" t="e">
        <f t="shared" si="36"/>
        <v>#N/A</v>
      </c>
      <c r="I291" t="e">
        <f t="shared" si="37"/>
        <v>#N/A</v>
      </c>
      <c r="J291" t="e">
        <f t="shared" si="38"/>
        <v>#N/A</v>
      </c>
      <c r="K291" t="e">
        <f t="shared" si="39"/>
        <v>#N/A</v>
      </c>
      <c r="L291" t="e">
        <f t="shared" si="40"/>
        <v>#N/A</v>
      </c>
      <c r="M291" t="e">
        <f t="shared" si="41"/>
        <v>#N/A</v>
      </c>
    </row>
  </sheetData>
  <mergeCells count="3">
    <mergeCell ref="B2:G2"/>
    <mergeCell ref="H2:M2"/>
    <mergeCell ref="P2:U2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 enableFormatConditionsCalculation="0"/>
  <dimension ref="A1:U526"/>
  <sheetViews>
    <sheetView workbookViewId="0">
      <pane xSplit="1" ySplit="3" topLeftCell="B4" activePane="bottomRight" state="frozen"/>
      <selection activeCell="A163" sqref="A163"/>
      <selection pane="topRight" activeCell="A163" sqref="A163"/>
      <selection pane="bottomLeft" activeCell="A163" sqref="A163"/>
      <selection pane="bottomRight" activeCell="B4" sqref="B4"/>
    </sheetView>
  </sheetViews>
  <sheetFormatPr defaultColWidth="8.875" defaultRowHeight="15.75" x14ac:dyDescent="0.25"/>
  <cols>
    <col min="1" max="1" width="10.875" style="4" bestFit="1" customWidth="1"/>
    <col min="2" max="7" width="9" style="4" bestFit="1" customWidth="1"/>
    <col min="8" max="8" width="9" style="3" bestFit="1" customWidth="1"/>
    <col min="9" max="13" width="9" style="8" bestFit="1" customWidth="1"/>
    <col min="14" max="14" width="8.875" style="8"/>
    <col min="15" max="15" width="10.875" style="8" bestFit="1" customWidth="1"/>
    <col min="16" max="16384" width="8.875" style="8"/>
  </cols>
  <sheetData>
    <row r="1" spans="1:21" x14ac:dyDescent="0.25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7">
        <v>8</v>
      </c>
      <c r="I1" s="8">
        <v>9</v>
      </c>
      <c r="J1" s="8">
        <v>10</v>
      </c>
      <c r="K1" s="8">
        <v>11</v>
      </c>
      <c r="L1" s="8">
        <v>12</v>
      </c>
      <c r="M1" s="8">
        <v>13</v>
      </c>
      <c r="P1" s="8">
        <v>8</v>
      </c>
      <c r="Q1" s="8">
        <v>9</v>
      </c>
      <c r="R1" s="8">
        <v>10</v>
      </c>
      <c r="S1" s="8">
        <v>11</v>
      </c>
      <c r="T1" s="8">
        <v>12</v>
      </c>
      <c r="U1" s="8">
        <v>13</v>
      </c>
    </row>
    <row r="2" spans="1:21" x14ac:dyDescent="0.25">
      <c r="B2" s="11" t="s">
        <v>126</v>
      </c>
      <c r="C2" s="11"/>
      <c r="D2" s="11"/>
      <c r="E2" s="11"/>
      <c r="F2" s="11"/>
      <c r="G2" s="11"/>
      <c r="H2" s="11" t="s">
        <v>127</v>
      </c>
      <c r="I2" s="11"/>
      <c r="J2" s="11"/>
      <c r="K2" s="11"/>
      <c r="L2" s="11"/>
      <c r="M2" s="11"/>
      <c r="P2" s="12" t="s">
        <v>128</v>
      </c>
      <c r="Q2" s="11"/>
      <c r="R2" s="11"/>
      <c r="S2" s="11"/>
      <c r="T2" s="11"/>
      <c r="U2" s="11"/>
    </row>
    <row r="3" spans="1:21" x14ac:dyDescent="0.25">
      <c r="B3" s="4" t="s">
        <v>129</v>
      </c>
      <c r="C3" s="4" t="s">
        <v>131</v>
      </c>
      <c r="D3" s="4" t="s">
        <v>134</v>
      </c>
      <c r="E3" s="4" t="s">
        <v>132</v>
      </c>
      <c r="F3" s="4" t="s">
        <v>130</v>
      </c>
      <c r="G3" s="4" t="s">
        <v>133</v>
      </c>
      <c r="H3" s="4" t="s">
        <v>129</v>
      </c>
      <c r="I3" s="4" t="s">
        <v>131</v>
      </c>
      <c r="J3" s="4" t="s">
        <v>134</v>
      </c>
      <c r="K3" s="4" t="s">
        <v>132</v>
      </c>
      <c r="L3" s="4" t="s">
        <v>130</v>
      </c>
      <c r="M3" s="4" t="s">
        <v>133</v>
      </c>
      <c r="P3" s="4" t="s">
        <v>129</v>
      </c>
      <c r="Q3" s="4" t="s">
        <v>131</v>
      </c>
      <c r="R3" s="4" t="s">
        <v>134</v>
      </c>
      <c r="S3" s="4" t="s">
        <v>132</v>
      </c>
      <c r="T3" s="4" t="s">
        <v>130</v>
      </c>
      <c r="U3" s="4" t="s">
        <v>133</v>
      </c>
    </row>
    <row r="4" spans="1:21" x14ac:dyDescent="0.25">
      <c r="A4" s="5">
        <v>24473</v>
      </c>
      <c r="B4" s="4" t="e">
        <v>#N/A</v>
      </c>
      <c r="C4" s="4" t="e">
        <v>#N/A</v>
      </c>
      <c r="D4" s="4" t="e">
        <v>#N/A</v>
      </c>
      <c r="E4" s="4" t="e">
        <v>#N/A</v>
      </c>
      <c r="F4" s="4" t="e">
        <v>#N/A</v>
      </c>
      <c r="G4" s="4" t="e">
        <v>#N/A</v>
      </c>
      <c r="H4" s="3" t="e">
        <f>NA()</f>
        <v>#N/A</v>
      </c>
      <c r="I4" s="3" t="e">
        <f>NA()</f>
        <v>#N/A</v>
      </c>
      <c r="J4" s="3" t="e">
        <f>NA()</f>
        <v>#N/A</v>
      </c>
      <c r="K4" s="3" t="e">
        <f>NA()</f>
        <v>#N/A</v>
      </c>
      <c r="L4" s="3" t="e">
        <f>NA()</f>
        <v>#N/A</v>
      </c>
      <c r="M4" s="3" t="e">
        <f>NA()</f>
        <v>#N/A</v>
      </c>
      <c r="O4" s="9">
        <v>24716</v>
      </c>
      <c r="P4" s="8">
        <f>VLOOKUP($O4,$A$4:$M$423,P$1)</f>
        <v>1.1082466666666665E-2</v>
      </c>
      <c r="Q4" s="8">
        <f t="shared" ref="Q4:U19" si="0">VLOOKUP($O4,$A$4:$M$423,Q$1)</f>
        <v>0.35260590000000008</v>
      </c>
      <c r="R4" s="8">
        <f t="shared" si="0"/>
        <v>1.6948166666666667E-2</v>
      </c>
      <c r="S4" s="8">
        <f t="shared" si="0"/>
        <v>0.28093039999999997</v>
      </c>
      <c r="T4" s="8">
        <f t="shared" si="0"/>
        <v>3.9330766666666662E-2</v>
      </c>
      <c r="U4" s="8">
        <f t="shared" si="0"/>
        <v>4.7660133333333334E-2</v>
      </c>
    </row>
    <row r="5" spans="1:21" x14ac:dyDescent="0.25">
      <c r="A5" s="5">
        <f>DATE(YEAR(A4),MONTH(A4)+1,1)</f>
        <v>24504</v>
      </c>
      <c r="B5" s="4" t="e">
        <v>#N/A</v>
      </c>
      <c r="C5" s="4" t="e">
        <v>#N/A</v>
      </c>
      <c r="D5" s="4" t="e">
        <v>#N/A</v>
      </c>
      <c r="E5" s="4" t="e">
        <v>#N/A</v>
      </c>
      <c r="F5" s="4" t="e">
        <v>#N/A</v>
      </c>
      <c r="G5" s="4" t="e">
        <v>#N/A</v>
      </c>
      <c r="H5" s="3" t="e">
        <f>NA()</f>
        <v>#N/A</v>
      </c>
      <c r="I5" s="3" t="e">
        <f>NA()</f>
        <v>#N/A</v>
      </c>
      <c r="J5" s="3" t="e">
        <f>NA()</f>
        <v>#N/A</v>
      </c>
      <c r="K5" s="3" t="e">
        <f>NA()</f>
        <v>#N/A</v>
      </c>
      <c r="L5" s="3" t="e">
        <f>NA()</f>
        <v>#N/A</v>
      </c>
      <c r="M5" s="3" t="e">
        <f>NA()</f>
        <v>#N/A</v>
      </c>
      <c r="O5" s="9">
        <f>DATE(YEAR(O4),MONTH(O4)+3,1)</f>
        <v>24807</v>
      </c>
      <c r="P5" s="8">
        <f t="shared" ref="P5:U36" si="1">VLOOKUP($O5,$A$4:$M$423,P$1)</f>
        <v>1.0446733333333333E-2</v>
      </c>
      <c r="Q5" s="8">
        <f t="shared" si="0"/>
        <v>0.34744613333333335</v>
      </c>
      <c r="R5" s="8">
        <f t="shared" si="0"/>
        <v>1.7542500000000003E-2</v>
      </c>
      <c r="S5" s="8">
        <f t="shared" si="0"/>
        <v>0.27246296666666669</v>
      </c>
      <c r="T5" s="8">
        <f t="shared" si="0"/>
        <v>4.0142666666666667E-2</v>
      </c>
      <c r="U5" s="8">
        <f t="shared" si="0"/>
        <v>4.9371599999999995E-2</v>
      </c>
    </row>
    <row r="6" spans="1:21" x14ac:dyDescent="0.25">
      <c r="A6" s="5">
        <f t="shared" ref="A6:A69" si="2">DATE(YEAR(A5),MONTH(A5)+1,1)</f>
        <v>24532</v>
      </c>
      <c r="B6" s="4" t="e">
        <v>#N/A</v>
      </c>
      <c r="C6" s="4" t="e">
        <v>#N/A</v>
      </c>
      <c r="D6" s="4" t="e">
        <v>#N/A</v>
      </c>
      <c r="E6" s="4" t="e">
        <v>#N/A</v>
      </c>
      <c r="F6" s="4" t="e">
        <v>#N/A</v>
      </c>
      <c r="G6" s="4" t="e">
        <v>#N/A</v>
      </c>
      <c r="H6" s="3" t="e">
        <f>AVERAGE(B4:B6)</f>
        <v>#N/A</v>
      </c>
      <c r="I6" s="3" t="e">
        <f t="shared" ref="I6:M6" si="3">AVERAGE(C4:C6)</f>
        <v>#N/A</v>
      </c>
      <c r="J6" s="3" t="e">
        <f t="shared" si="3"/>
        <v>#N/A</v>
      </c>
      <c r="K6" s="3" t="e">
        <f t="shared" si="3"/>
        <v>#N/A</v>
      </c>
      <c r="L6" s="3" t="e">
        <f t="shared" si="3"/>
        <v>#N/A</v>
      </c>
      <c r="M6" s="3" t="e">
        <f t="shared" si="3"/>
        <v>#N/A</v>
      </c>
      <c r="O6" s="9">
        <f t="shared" ref="O6:O69" si="4">DATE(YEAR(O5),MONTH(O5)+3,1)</f>
        <v>24898</v>
      </c>
      <c r="P6" s="8">
        <f t="shared" si="1"/>
        <v>1.10177E-2</v>
      </c>
      <c r="Q6" s="8">
        <f t="shared" si="0"/>
        <v>0.3492398333333333</v>
      </c>
      <c r="R6" s="8">
        <f t="shared" si="0"/>
        <v>1.4808266666666667E-2</v>
      </c>
      <c r="S6" s="8">
        <f t="shared" si="0"/>
        <v>0.28853750000000006</v>
      </c>
      <c r="T6" s="8">
        <f t="shared" si="0"/>
        <v>3.9901899999999997E-2</v>
      </c>
      <c r="U6" s="8">
        <f t="shared" si="0"/>
        <v>4.4782833333333334E-2</v>
      </c>
    </row>
    <row r="7" spans="1:21" x14ac:dyDescent="0.25">
      <c r="A7" s="5">
        <f t="shared" si="2"/>
        <v>24563</v>
      </c>
      <c r="B7" s="4" t="e">
        <v>#N/A</v>
      </c>
      <c r="C7" s="4" t="e">
        <v>#N/A</v>
      </c>
      <c r="D7" s="4" t="e">
        <v>#N/A</v>
      </c>
      <c r="E7" s="4" t="e">
        <v>#N/A</v>
      </c>
      <c r="F7" s="4" t="e">
        <v>#N/A</v>
      </c>
      <c r="G7" s="4" t="e">
        <v>#N/A</v>
      </c>
      <c r="H7" s="3" t="e">
        <f t="shared" ref="H7:H70" si="5">AVERAGE(B5:B7)</f>
        <v>#N/A</v>
      </c>
      <c r="I7" s="3" t="e">
        <f t="shared" ref="I7:I70" si="6">AVERAGE(C5:C7)</f>
        <v>#N/A</v>
      </c>
      <c r="J7" s="3" t="e">
        <f t="shared" ref="J7:J70" si="7">AVERAGE(D5:D7)</f>
        <v>#N/A</v>
      </c>
      <c r="K7" s="3" t="e">
        <f t="shared" ref="K7:K70" si="8">AVERAGE(E5:E7)</f>
        <v>#N/A</v>
      </c>
      <c r="L7" s="3" t="e">
        <f t="shared" ref="L7:L70" si="9">AVERAGE(F5:F7)</f>
        <v>#N/A</v>
      </c>
      <c r="M7" s="3" t="e">
        <f t="shared" ref="M7:M70" si="10">AVERAGE(G5:G7)</f>
        <v>#N/A</v>
      </c>
      <c r="O7" s="9">
        <f t="shared" si="4"/>
        <v>24990</v>
      </c>
      <c r="P7" s="8">
        <f t="shared" si="1"/>
        <v>9.6167666666666669E-3</v>
      </c>
      <c r="Q7" s="8">
        <f t="shared" si="0"/>
        <v>0.34385640000000001</v>
      </c>
      <c r="R7" s="8">
        <f t="shared" si="0"/>
        <v>1.6573566666666668E-2</v>
      </c>
      <c r="S7" s="8">
        <f t="shared" si="0"/>
        <v>0.27671583333333333</v>
      </c>
      <c r="T7" s="8">
        <f t="shared" si="0"/>
        <v>3.8934066666666663E-2</v>
      </c>
      <c r="U7" s="8">
        <f t="shared" si="0"/>
        <v>5.173613333333333E-2</v>
      </c>
    </row>
    <row r="8" spans="1:21" x14ac:dyDescent="0.25">
      <c r="A8" s="5">
        <f t="shared" si="2"/>
        <v>24593</v>
      </c>
      <c r="B8" s="4" t="e">
        <v>#N/A</v>
      </c>
      <c r="C8" s="4" t="e">
        <v>#N/A</v>
      </c>
      <c r="D8" s="4" t="e">
        <v>#N/A</v>
      </c>
      <c r="E8" s="4" t="e">
        <v>#N/A</v>
      </c>
      <c r="F8" s="4" t="e">
        <v>#N/A</v>
      </c>
      <c r="G8" s="4" t="e">
        <v>#N/A</v>
      </c>
      <c r="H8" s="3" t="e">
        <f t="shared" si="5"/>
        <v>#N/A</v>
      </c>
      <c r="I8" s="3" t="e">
        <f t="shared" si="6"/>
        <v>#N/A</v>
      </c>
      <c r="J8" s="3" t="e">
        <f t="shared" si="7"/>
        <v>#N/A</v>
      </c>
      <c r="K8" s="3" t="e">
        <f t="shared" si="8"/>
        <v>#N/A</v>
      </c>
      <c r="L8" s="3" t="e">
        <f t="shared" si="9"/>
        <v>#N/A</v>
      </c>
      <c r="M8" s="3" t="e">
        <f t="shared" si="10"/>
        <v>#N/A</v>
      </c>
      <c r="O8" s="9">
        <f t="shared" si="4"/>
        <v>25082</v>
      </c>
      <c r="P8" s="8">
        <f t="shared" si="1"/>
        <v>9.9575666666666673E-3</v>
      </c>
      <c r="Q8" s="8">
        <f t="shared" si="0"/>
        <v>0.35289446666666668</v>
      </c>
      <c r="R8" s="8">
        <f t="shared" si="0"/>
        <v>1.5326466666666668E-2</v>
      </c>
      <c r="S8" s="8">
        <f t="shared" si="0"/>
        <v>0.28180386666666668</v>
      </c>
      <c r="T8" s="8">
        <f t="shared" si="0"/>
        <v>4.2792900000000002E-2</v>
      </c>
      <c r="U8" s="8">
        <f t="shared" si="0"/>
        <v>4.8177166666666667E-2</v>
      </c>
    </row>
    <row r="9" spans="1:21" x14ac:dyDescent="0.25">
      <c r="A9" s="5">
        <f>DATE(YEAR(A8),MONTH(A8)+1,1)</f>
        <v>24624</v>
      </c>
      <c r="B9" s="4">
        <v>1.1516500000000001E-2</v>
      </c>
      <c r="C9" s="4">
        <v>0.36185030000000001</v>
      </c>
      <c r="D9" s="4">
        <v>2.12199E-2</v>
      </c>
      <c r="E9" s="4">
        <v>0.2422657</v>
      </c>
      <c r="F9" s="4">
        <v>4.1177999999999999E-2</v>
      </c>
      <c r="G9" s="4">
        <v>5.8730400000000002E-2</v>
      </c>
      <c r="H9" s="3" t="e">
        <f t="shared" si="5"/>
        <v>#N/A</v>
      </c>
      <c r="I9" s="3" t="e">
        <f t="shared" si="6"/>
        <v>#N/A</v>
      </c>
      <c r="J9" s="3" t="e">
        <f t="shared" si="7"/>
        <v>#N/A</v>
      </c>
      <c r="K9" s="3" t="e">
        <f t="shared" si="8"/>
        <v>#N/A</v>
      </c>
      <c r="L9" s="3" t="e">
        <f t="shared" si="9"/>
        <v>#N/A</v>
      </c>
      <c r="M9" s="3" t="e">
        <f t="shared" si="10"/>
        <v>#N/A</v>
      </c>
      <c r="O9" s="9">
        <f t="shared" si="4"/>
        <v>25173</v>
      </c>
      <c r="P9" s="8">
        <f t="shared" si="1"/>
        <v>8.6788999999999981E-3</v>
      </c>
      <c r="Q9" s="8">
        <f t="shared" si="0"/>
        <v>0.35996813333333333</v>
      </c>
      <c r="R9" s="8">
        <f t="shared" si="0"/>
        <v>1.5690533333333333E-2</v>
      </c>
      <c r="S9" s="8">
        <f t="shared" si="0"/>
        <v>0.2882847</v>
      </c>
      <c r="T9" s="8">
        <f t="shared" si="0"/>
        <v>4.1321733333333333E-2</v>
      </c>
      <c r="U9" s="8">
        <f t="shared" si="0"/>
        <v>4.9018833333333338E-2</v>
      </c>
    </row>
    <row r="10" spans="1:21" x14ac:dyDescent="0.25">
      <c r="A10" s="5">
        <f t="shared" si="2"/>
        <v>24654</v>
      </c>
      <c r="B10" s="4">
        <v>1.1286600000000001E-2</v>
      </c>
      <c r="C10" s="4">
        <v>0.36713960000000001</v>
      </c>
      <c r="D10" s="4">
        <v>1.5824999999999999E-2</v>
      </c>
      <c r="E10" s="4">
        <v>0.2748351</v>
      </c>
      <c r="F10" s="4">
        <v>3.8385700000000002E-2</v>
      </c>
      <c r="G10" s="4">
        <v>4.6179100000000001E-2</v>
      </c>
      <c r="H10" s="3" t="e">
        <f t="shared" si="5"/>
        <v>#N/A</v>
      </c>
      <c r="I10" s="3" t="e">
        <f t="shared" si="6"/>
        <v>#N/A</v>
      </c>
      <c r="J10" s="3" t="e">
        <f t="shared" si="7"/>
        <v>#N/A</v>
      </c>
      <c r="K10" s="3" t="e">
        <f t="shared" si="8"/>
        <v>#N/A</v>
      </c>
      <c r="L10" s="3" t="e">
        <f t="shared" si="9"/>
        <v>#N/A</v>
      </c>
      <c r="M10" s="3" t="e">
        <f t="shared" si="10"/>
        <v>#N/A</v>
      </c>
      <c r="O10" s="9">
        <f t="shared" si="4"/>
        <v>25263</v>
      </c>
      <c r="P10" s="8">
        <f t="shared" si="1"/>
        <v>9.5053666666666658E-3</v>
      </c>
      <c r="Q10" s="8">
        <f t="shared" si="0"/>
        <v>0.35391486666666666</v>
      </c>
      <c r="R10" s="8">
        <f t="shared" si="0"/>
        <v>1.4988566666666666E-2</v>
      </c>
      <c r="S10" s="8">
        <f t="shared" si="0"/>
        <v>0.30179450000000002</v>
      </c>
      <c r="T10" s="8">
        <f t="shared" si="0"/>
        <v>3.9664633333333331E-2</v>
      </c>
      <c r="U10" s="8">
        <f t="shared" si="0"/>
        <v>4.674246666666667E-2</v>
      </c>
    </row>
    <row r="11" spans="1:21" x14ac:dyDescent="0.25">
      <c r="A11" s="5">
        <f t="shared" si="2"/>
        <v>24685</v>
      </c>
      <c r="B11" s="4">
        <v>1.0751699999999999E-2</v>
      </c>
      <c r="C11" s="4">
        <v>0.33174900000000002</v>
      </c>
      <c r="D11" s="4">
        <v>1.7101000000000002E-2</v>
      </c>
      <c r="E11" s="4">
        <v>0.28676079999999998</v>
      </c>
      <c r="F11" s="4">
        <v>3.4842199999999997E-2</v>
      </c>
      <c r="G11" s="4">
        <v>4.4422999999999997E-2</v>
      </c>
      <c r="H11" s="3">
        <f t="shared" si="5"/>
        <v>1.1184933333333332E-2</v>
      </c>
      <c r="I11" s="3">
        <f t="shared" si="6"/>
        <v>0.35357963333333337</v>
      </c>
      <c r="J11" s="3">
        <f t="shared" si="7"/>
        <v>1.8048633333333331E-2</v>
      </c>
      <c r="K11" s="3">
        <f t="shared" si="8"/>
        <v>0.26795386666666671</v>
      </c>
      <c r="L11" s="3">
        <f t="shared" si="9"/>
        <v>3.8135300000000004E-2</v>
      </c>
      <c r="M11" s="3">
        <f t="shared" si="10"/>
        <v>4.9777500000000002E-2</v>
      </c>
      <c r="O11" s="9">
        <f t="shared" si="4"/>
        <v>25355</v>
      </c>
      <c r="P11" s="8">
        <f t="shared" si="1"/>
        <v>9.9031333333333329E-3</v>
      </c>
      <c r="Q11" s="8">
        <f t="shared" si="0"/>
        <v>0.33954363333333332</v>
      </c>
      <c r="R11" s="8">
        <f t="shared" si="0"/>
        <v>1.5979366666666665E-2</v>
      </c>
      <c r="S11" s="8">
        <f t="shared" si="0"/>
        <v>0.29412969999999999</v>
      </c>
      <c r="T11" s="8">
        <f t="shared" si="0"/>
        <v>3.872013333333333E-2</v>
      </c>
      <c r="U11" s="8">
        <f t="shared" si="0"/>
        <v>5.1134199999999998E-2</v>
      </c>
    </row>
    <row r="12" spans="1:21" x14ac:dyDescent="0.25">
      <c r="A12" s="5">
        <f t="shared" si="2"/>
        <v>24716</v>
      </c>
      <c r="B12" s="4">
        <v>1.12091E-2</v>
      </c>
      <c r="C12" s="4">
        <v>0.3589291</v>
      </c>
      <c r="D12" s="4">
        <v>1.79185E-2</v>
      </c>
      <c r="E12" s="4">
        <v>0.28119529999999998</v>
      </c>
      <c r="F12" s="4">
        <v>4.4764400000000003E-2</v>
      </c>
      <c r="G12" s="4">
        <v>5.2378300000000003E-2</v>
      </c>
      <c r="H12" s="3">
        <f t="shared" si="5"/>
        <v>1.1082466666666665E-2</v>
      </c>
      <c r="I12" s="3">
        <f t="shared" si="6"/>
        <v>0.35260590000000008</v>
      </c>
      <c r="J12" s="3">
        <f t="shared" si="7"/>
        <v>1.6948166666666667E-2</v>
      </c>
      <c r="K12" s="3">
        <f t="shared" si="8"/>
        <v>0.28093039999999997</v>
      </c>
      <c r="L12" s="3">
        <f t="shared" si="9"/>
        <v>3.9330766666666662E-2</v>
      </c>
      <c r="M12" s="3">
        <f t="shared" si="10"/>
        <v>4.7660133333333334E-2</v>
      </c>
      <c r="O12" s="9">
        <f t="shared" si="4"/>
        <v>25447</v>
      </c>
      <c r="P12" s="8">
        <f t="shared" si="1"/>
        <v>1.0218266666666668E-2</v>
      </c>
      <c r="Q12" s="8">
        <f t="shared" si="0"/>
        <v>0.34857973333333331</v>
      </c>
      <c r="R12" s="8">
        <f t="shared" si="0"/>
        <v>1.6953533333333329E-2</v>
      </c>
      <c r="S12" s="8">
        <f t="shared" si="0"/>
        <v>0.27857473333333332</v>
      </c>
      <c r="T12" s="8">
        <f t="shared" si="0"/>
        <v>4.0349166666666665E-2</v>
      </c>
      <c r="U12" s="8">
        <f t="shared" si="0"/>
        <v>4.9984933333333335E-2</v>
      </c>
    </row>
    <row r="13" spans="1:21" x14ac:dyDescent="0.25">
      <c r="A13" s="5">
        <f t="shared" si="2"/>
        <v>24746</v>
      </c>
      <c r="B13" s="4">
        <v>1.1055300000000001E-2</v>
      </c>
      <c r="C13" s="4">
        <v>0.3415378</v>
      </c>
      <c r="D13" s="4">
        <v>1.85062E-2</v>
      </c>
      <c r="E13" s="4">
        <v>0.27097290000000002</v>
      </c>
      <c r="F13" s="4">
        <v>4.0854099999999997E-2</v>
      </c>
      <c r="G13" s="4">
        <v>5.0729299999999998E-2</v>
      </c>
      <c r="H13" s="3">
        <f t="shared" si="5"/>
        <v>1.1005366666666667E-2</v>
      </c>
      <c r="I13" s="3">
        <f t="shared" si="6"/>
        <v>0.34407196666666667</v>
      </c>
      <c r="J13" s="3">
        <f t="shared" si="7"/>
        <v>1.7841900000000001E-2</v>
      </c>
      <c r="K13" s="3">
        <f t="shared" si="8"/>
        <v>0.27964300000000003</v>
      </c>
      <c r="L13" s="3">
        <f t="shared" si="9"/>
        <v>4.0153566666666668E-2</v>
      </c>
      <c r="M13" s="3">
        <f t="shared" si="10"/>
        <v>4.9176866666666673E-2</v>
      </c>
      <c r="O13" s="9">
        <f t="shared" si="4"/>
        <v>25538</v>
      </c>
      <c r="P13" s="8">
        <f t="shared" si="1"/>
        <v>1.0051733333333333E-2</v>
      </c>
      <c r="Q13" s="8">
        <f t="shared" si="0"/>
        <v>0.35151033333333331</v>
      </c>
      <c r="R13" s="8">
        <f t="shared" si="0"/>
        <v>1.5519900000000001E-2</v>
      </c>
      <c r="S13" s="8">
        <f t="shared" si="0"/>
        <v>0.29077526666666664</v>
      </c>
      <c r="T13" s="8">
        <f t="shared" si="0"/>
        <v>4.1202866666666671E-2</v>
      </c>
      <c r="U13" s="8">
        <f t="shared" si="0"/>
        <v>5.1826666666666667E-2</v>
      </c>
    </row>
    <row r="14" spans="1:21" x14ac:dyDescent="0.25">
      <c r="A14" s="5">
        <f t="shared" si="2"/>
        <v>24777</v>
      </c>
      <c r="B14" s="4">
        <v>1.0865100000000001E-2</v>
      </c>
      <c r="C14" s="4">
        <v>0.36102010000000001</v>
      </c>
      <c r="D14" s="4">
        <v>1.7724500000000001E-2</v>
      </c>
      <c r="E14" s="4">
        <v>0.27565119999999999</v>
      </c>
      <c r="F14" s="4">
        <v>4.16599E-2</v>
      </c>
      <c r="G14" s="4">
        <v>5.0639000000000003E-2</v>
      </c>
      <c r="H14" s="3">
        <f t="shared" si="5"/>
        <v>1.1043166666666666E-2</v>
      </c>
      <c r="I14" s="3">
        <f t="shared" si="6"/>
        <v>0.353829</v>
      </c>
      <c r="J14" s="3">
        <f t="shared" si="7"/>
        <v>1.8049733333333335E-2</v>
      </c>
      <c r="K14" s="3">
        <f t="shared" si="8"/>
        <v>0.27593980000000001</v>
      </c>
      <c r="L14" s="3">
        <f t="shared" si="9"/>
        <v>4.2426133333333338E-2</v>
      </c>
      <c r="M14" s="3">
        <f t="shared" si="10"/>
        <v>5.124886666666667E-2</v>
      </c>
      <c r="O14" s="9">
        <f t="shared" si="4"/>
        <v>25628</v>
      </c>
      <c r="P14" s="8">
        <f t="shared" si="1"/>
        <v>1.2100100000000001E-2</v>
      </c>
      <c r="Q14" s="8">
        <f t="shared" si="0"/>
        <v>0.31031616666666667</v>
      </c>
      <c r="R14" s="8">
        <f t="shared" si="0"/>
        <v>1.7357633333333334E-2</v>
      </c>
      <c r="S14" s="8">
        <f t="shared" si="0"/>
        <v>0.27292983333333332</v>
      </c>
      <c r="T14" s="8">
        <f t="shared" si="0"/>
        <v>3.7398600000000004E-2</v>
      </c>
      <c r="U14" s="8">
        <f t="shared" si="0"/>
        <v>4.8782666666666669E-2</v>
      </c>
    </row>
    <row r="15" spans="1:21" x14ac:dyDescent="0.25">
      <c r="A15" s="5">
        <f t="shared" si="2"/>
        <v>24807</v>
      </c>
      <c r="B15" s="4">
        <v>9.4198000000000007E-3</v>
      </c>
      <c r="C15" s="4">
        <v>0.33978049999999999</v>
      </c>
      <c r="D15" s="4">
        <v>1.63968E-2</v>
      </c>
      <c r="E15" s="4">
        <v>0.27076480000000003</v>
      </c>
      <c r="F15" s="4">
        <v>3.7914000000000003E-2</v>
      </c>
      <c r="G15" s="4">
        <v>4.6746500000000003E-2</v>
      </c>
      <c r="H15" s="3">
        <f t="shared" si="5"/>
        <v>1.0446733333333333E-2</v>
      </c>
      <c r="I15" s="3">
        <f t="shared" si="6"/>
        <v>0.34744613333333335</v>
      </c>
      <c r="J15" s="3">
        <f t="shared" si="7"/>
        <v>1.7542500000000003E-2</v>
      </c>
      <c r="K15" s="3">
        <f t="shared" si="8"/>
        <v>0.27246296666666669</v>
      </c>
      <c r="L15" s="3">
        <f t="shared" si="9"/>
        <v>4.0142666666666667E-2</v>
      </c>
      <c r="M15" s="3">
        <f t="shared" si="10"/>
        <v>4.9371599999999995E-2</v>
      </c>
      <c r="O15" s="9">
        <f t="shared" si="4"/>
        <v>25720</v>
      </c>
      <c r="P15" s="8">
        <f t="shared" si="1"/>
        <v>1.28837E-2</v>
      </c>
      <c r="Q15" s="8">
        <f t="shared" si="0"/>
        <v>0.30526566666666666</v>
      </c>
      <c r="R15" s="8">
        <f t="shared" si="0"/>
        <v>1.8502833333333333E-2</v>
      </c>
      <c r="S15" s="8">
        <f t="shared" si="0"/>
        <v>0.24800029999999998</v>
      </c>
      <c r="T15" s="8">
        <f t="shared" si="0"/>
        <v>3.5654633333333331E-2</v>
      </c>
      <c r="U15" s="8">
        <f t="shared" si="0"/>
        <v>4.8095499999999992E-2</v>
      </c>
    </row>
    <row r="16" spans="1:21" x14ac:dyDescent="0.25">
      <c r="A16" s="5">
        <f t="shared" si="2"/>
        <v>24838</v>
      </c>
      <c r="B16" s="4">
        <v>1.06134E-2</v>
      </c>
      <c r="C16" s="4">
        <v>0.31801079999999998</v>
      </c>
      <c r="D16" s="4">
        <v>1.23217E-2</v>
      </c>
      <c r="E16" s="4">
        <v>0.30907600000000002</v>
      </c>
      <c r="F16" s="4">
        <v>4.4604499999999998E-2</v>
      </c>
      <c r="G16" s="4">
        <v>3.8753200000000002E-2</v>
      </c>
      <c r="H16" s="3">
        <f t="shared" si="5"/>
        <v>1.0299433333333335E-2</v>
      </c>
      <c r="I16" s="3">
        <f t="shared" si="6"/>
        <v>0.33960379999999996</v>
      </c>
      <c r="J16" s="3">
        <f t="shared" si="7"/>
        <v>1.5481E-2</v>
      </c>
      <c r="K16" s="3">
        <f t="shared" si="8"/>
        <v>0.28516400000000003</v>
      </c>
      <c r="L16" s="3">
        <f t="shared" si="9"/>
        <v>4.13928E-2</v>
      </c>
      <c r="M16" s="3">
        <f t="shared" si="10"/>
        <v>4.5379566666666669E-2</v>
      </c>
      <c r="O16" s="9">
        <f t="shared" si="4"/>
        <v>25812</v>
      </c>
      <c r="P16" s="8">
        <f t="shared" si="1"/>
        <v>1.4452899999999999E-2</v>
      </c>
      <c r="Q16" s="8">
        <f t="shared" si="0"/>
        <v>0.31203140000000001</v>
      </c>
      <c r="R16" s="8">
        <f t="shared" si="0"/>
        <v>1.9638033333333332E-2</v>
      </c>
      <c r="S16" s="8">
        <f t="shared" si="0"/>
        <v>0.24588570000000001</v>
      </c>
      <c r="T16" s="8">
        <f t="shared" si="0"/>
        <v>3.8040433333333332E-2</v>
      </c>
      <c r="U16" s="8">
        <f t="shared" si="0"/>
        <v>4.9153133333333328E-2</v>
      </c>
    </row>
    <row r="17" spans="1:21" x14ac:dyDescent="0.25">
      <c r="A17" s="5">
        <f t="shared" si="2"/>
        <v>24869</v>
      </c>
      <c r="B17" s="4">
        <v>1.1653999999999999E-2</v>
      </c>
      <c r="C17" s="4">
        <v>0.37943529999999998</v>
      </c>
      <c r="D17" s="4">
        <v>1.65679E-2</v>
      </c>
      <c r="E17" s="4">
        <v>0.25086389999999997</v>
      </c>
      <c r="F17" s="4">
        <v>3.5838200000000001E-2</v>
      </c>
      <c r="G17" s="4">
        <v>5.22836E-2</v>
      </c>
      <c r="H17" s="3">
        <f t="shared" si="5"/>
        <v>1.05624E-2</v>
      </c>
      <c r="I17" s="3">
        <f t="shared" si="6"/>
        <v>0.34574219999999994</v>
      </c>
      <c r="J17" s="3">
        <f t="shared" si="7"/>
        <v>1.5095466666666668E-2</v>
      </c>
      <c r="K17" s="3">
        <f t="shared" si="8"/>
        <v>0.27690156666666671</v>
      </c>
      <c r="L17" s="3">
        <f t="shared" si="9"/>
        <v>3.9452233333333329E-2</v>
      </c>
      <c r="M17" s="3">
        <f t="shared" si="10"/>
        <v>4.5927766666666668E-2</v>
      </c>
      <c r="O17" s="9">
        <f t="shared" si="4"/>
        <v>25903</v>
      </c>
      <c r="P17" s="8">
        <f t="shared" si="1"/>
        <v>1.5573833333333334E-2</v>
      </c>
      <c r="Q17" s="8">
        <f t="shared" si="0"/>
        <v>0.31100793333333338</v>
      </c>
      <c r="R17" s="8">
        <f t="shared" si="0"/>
        <v>2.0845066666666665E-2</v>
      </c>
      <c r="S17" s="8">
        <f t="shared" si="0"/>
        <v>0.22057673333333336</v>
      </c>
      <c r="T17" s="8">
        <f t="shared" si="0"/>
        <v>3.8214599999999994E-2</v>
      </c>
      <c r="U17" s="8">
        <f t="shared" si="0"/>
        <v>4.9554833333333333E-2</v>
      </c>
    </row>
    <row r="18" spans="1:21" x14ac:dyDescent="0.25">
      <c r="A18" s="5">
        <f t="shared" si="2"/>
        <v>24898</v>
      </c>
      <c r="B18" s="4">
        <v>1.07857E-2</v>
      </c>
      <c r="C18" s="4">
        <v>0.35027340000000001</v>
      </c>
      <c r="D18" s="4">
        <v>1.5535200000000001E-2</v>
      </c>
      <c r="E18" s="4">
        <v>0.30567260000000002</v>
      </c>
      <c r="F18" s="4">
        <v>3.9262999999999999E-2</v>
      </c>
      <c r="G18" s="4">
        <v>4.3311700000000002E-2</v>
      </c>
      <c r="H18" s="3">
        <f t="shared" si="5"/>
        <v>1.10177E-2</v>
      </c>
      <c r="I18" s="3">
        <f t="shared" si="6"/>
        <v>0.3492398333333333</v>
      </c>
      <c r="J18" s="3">
        <f t="shared" si="7"/>
        <v>1.4808266666666667E-2</v>
      </c>
      <c r="K18" s="3">
        <f t="shared" si="8"/>
        <v>0.28853750000000006</v>
      </c>
      <c r="L18" s="3">
        <f t="shared" si="9"/>
        <v>3.9901899999999997E-2</v>
      </c>
      <c r="M18" s="3">
        <f t="shared" si="10"/>
        <v>4.4782833333333334E-2</v>
      </c>
      <c r="O18" s="9">
        <f t="shared" si="4"/>
        <v>25993</v>
      </c>
      <c r="P18" s="8">
        <f t="shared" si="1"/>
        <v>1.4108533333333333E-2</v>
      </c>
      <c r="Q18" s="8">
        <f t="shared" si="0"/>
        <v>0.26988683333333335</v>
      </c>
      <c r="R18" s="8">
        <f t="shared" si="0"/>
        <v>2.0614200000000003E-2</v>
      </c>
      <c r="S18" s="8">
        <f t="shared" si="0"/>
        <v>0.22918563333333333</v>
      </c>
      <c r="T18" s="8">
        <f t="shared" si="0"/>
        <v>3.4665533333333332E-2</v>
      </c>
      <c r="U18" s="8">
        <f t="shared" si="0"/>
        <v>4.2868999999999997E-2</v>
      </c>
    </row>
    <row r="19" spans="1:21" x14ac:dyDescent="0.25">
      <c r="A19" s="5">
        <f t="shared" si="2"/>
        <v>24929</v>
      </c>
      <c r="B19" s="4">
        <v>9.1635999999999992E-3</v>
      </c>
      <c r="C19" s="4">
        <v>0.34901260000000001</v>
      </c>
      <c r="D19" s="4">
        <v>1.36464E-2</v>
      </c>
      <c r="E19" s="4">
        <v>0.26167770000000001</v>
      </c>
      <c r="F19" s="4">
        <v>3.8632600000000003E-2</v>
      </c>
      <c r="G19" s="4">
        <v>5.0603299999999997E-2</v>
      </c>
      <c r="H19" s="3">
        <f t="shared" si="5"/>
        <v>1.0534433333333334E-2</v>
      </c>
      <c r="I19" s="3">
        <f t="shared" si="6"/>
        <v>0.35957376666666668</v>
      </c>
      <c r="J19" s="3">
        <f t="shared" si="7"/>
        <v>1.5249833333333332E-2</v>
      </c>
      <c r="K19" s="3">
        <f t="shared" si="8"/>
        <v>0.27273806666666667</v>
      </c>
      <c r="L19" s="3">
        <f t="shared" si="9"/>
        <v>3.7911266666666672E-2</v>
      </c>
      <c r="M19" s="3">
        <f t="shared" si="10"/>
        <v>4.8732866666666659E-2</v>
      </c>
      <c r="O19" s="9">
        <f t="shared" si="4"/>
        <v>26085</v>
      </c>
      <c r="P19" s="8">
        <f t="shared" si="1"/>
        <v>1.3430333333333334E-2</v>
      </c>
      <c r="Q19" s="8">
        <f t="shared" si="0"/>
        <v>0.27144339999999995</v>
      </c>
      <c r="R19" s="8">
        <f t="shared" si="0"/>
        <v>2.16908E-2</v>
      </c>
      <c r="S19" s="8">
        <f t="shared" si="0"/>
        <v>0.24213683333333336</v>
      </c>
      <c r="T19" s="8">
        <f t="shared" si="0"/>
        <v>3.571563333333333E-2</v>
      </c>
      <c r="U19" s="8">
        <f t="shared" si="0"/>
        <v>4.6292666666666669E-2</v>
      </c>
    </row>
    <row r="20" spans="1:21" x14ac:dyDescent="0.25">
      <c r="A20" s="5">
        <f t="shared" si="2"/>
        <v>24959</v>
      </c>
      <c r="B20" s="4">
        <v>9.6021000000000006E-3</v>
      </c>
      <c r="C20" s="4">
        <v>0.35900769999999999</v>
      </c>
      <c r="D20" s="4">
        <v>1.4195899999999999E-2</v>
      </c>
      <c r="E20" s="4">
        <v>0.29091210000000001</v>
      </c>
      <c r="F20" s="4">
        <v>3.8777800000000001E-2</v>
      </c>
      <c r="G20" s="4">
        <v>4.94963E-2</v>
      </c>
      <c r="H20" s="3">
        <f t="shared" si="5"/>
        <v>9.8504666666666667E-3</v>
      </c>
      <c r="I20" s="3">
        <f t="shared" si="6"/>
        <v>0.35276456666666672</v>
      </c>
      <c r="J20" s="3">
        <f t="shared" si="7"/>
        <v>1.4459166666666667E-2</v>
      </c>
      <c r="K20" s="3">
        <f t="shared" si="8"/>
        <v>0.28608746666666668</v>
      </c>
      <c r="L20" s="3">
        <f t="shared" si="9"/>
        <v>3.8891133333333334E-2</v>
      </c>
      <c r="M20" s="3">
        <f t="shared" si="10"/>
        <v>4.7803766666666664E-2</v>
      </c>
      <c r="O20" s="9">
        <f t="shared" si="4"/>
        <v>26177</v>
      </c>
      <c r="P20" s="8">
        <f t="shared" si="1"/>
        <v>1.4534266666666665E-2</v>
      </c>
      <c r="Q20" s="8">
        <f t="shared" si="1"/>
        <v>0.28507243333333332</v>
      </c>
      <c r="R20" s="8">
        <f t="shared" si="1"/>
        <v>2.2989300000000001E-2</v>
      </c>
      <c r="S20" s="8">
        <f t="shared" si="1"/>
        <v>0.24939056666666667</v>
      </c>
      <c r="T20" s="8">
        <f t="shared" si="1"/>
        <v>3.7521333333333337E-2</v>
      </c>
      <c r="U20" s="8">
        <f t="shared" si="1"/>
        <v>4.9578166666666666E-2</v>
      </c>
    </row>
    <row r="21" spans="1:21" x14ac:dyDescent="0.25">
      <c r="A21" s="5">
        <f t="shared" si="2"/>
        <v>24990</v>
      </c>
      <c r="B21" s="4">
        <v>1.0084600000000001E-2</v>
      </c>
      <c r="C21" s="4">
        <v>0.32354889999999997</v>
      </c>
      <c r="D21" s="4">
        <v>2.1878399999999999E-2</v>
      </c>
      <c r="E21" s="4">
        <v>0.27755770000000002</v>
      </c>
      <c r="F21" s="4">
        <v>3.9391799999999998E-2</v>
      </c>
      <c r="G21" s="4">
        <v>5.5108799999999999E-2</v>
      </c>
      <c r="H21" s="3">
        <f t="shared" si="5"/>
        <v>9.6167666666666669E-3</v>
      </c>
      <c r="I21" s="3">
        <f t="shared" si="6"/>
        <v>0.34385640000000001</v>
      </c>
      <c r="J21" s="3">
        <f t="shared" si="7"/>
        <v>1.6573566666666668E-2</v>
      </c>
      <c r="K21" s="3">
        <f t="shared" si="8"/>
        <v>0.27671583333333333</v>
      </c>
      <c r="L21" s="3">
        <f t="shared" si="9"/>
        <v>3.8934066666666663E-2</v>
      </c>
      <c r="M21" s="3">
        <f t="shared" si="10"/>
        <v>5.173613333333333E-2</v>
      </c>
      <c r="O21" s="9">
        <f t="shared" si="4"/>
        <v>26268</v>
      </c>
      <c r="P21" s="8">
        <f t="shared" si="1"/>
        <v>1.3265833333333333E-2</v>
      </c>
      <c r="Q21" s="8">
        <f t="shared" si="1"/>
        <v>0.27346580000000004</v>
      </c>
      <c r="R21" s="8">
        <f t="shared" si="1"/>
        <v>2.1717133333333333E-2</v>
      </c>
      <c r="S21" s="8">
        <f t="shared" si="1"/>
        <v>0.24340103333333332</v>
      </c>
      <c r="T21" s="8">
        <f t="shared" si="1"/>
        <v>3.4555000000000002E-2</v>
      </c>
      <c r="U21" s="8">
        <f t="shared" si="1"/>
        <v>4.6814799999999997E-2</v>
      </c>
    </row>
    <row r="22" spans="1:21" x14ac:dyDescent="0.25">
      <c r="A22" s="5">
        <f t="shared" si="2"/>
        <v>25020</v>
      </c>
      <c r="B22" s="4">
        <v>9.8741000000000002E-3</v>
      </c>
      <c r="C22" s="4">
        <v>0.34683330000000001</v>
      </c>
      <c r="D22" s="4">
        <v>1.6194900000000002E-2</v>
      </c>
      <c r="E22" s="4">
        <v>0.28450520000000001</v>
      </c>
      <c r="F22" s="4">
        <v>4.2756700000000002E-2</v>
      </c>
      <c r="G22" s="4">
        <v>4.4477799999999998E-2</v>
      </c>
      <c r="H22" s="3">
        <f t="shared" si="5"/>
        <v>9.8536000000000006E-3</v>
      </c>
      <c r="I22" s="3">
        <f t="shared" si="6"/>
        <v>0.34312996666666667</v>
      </c>
      <c r="J22" s="3">
        <f t="shared" si="7"/>
        <v>1.7423066666666667E-2</v>
      </c>
      <c r="K22" s="3">
        <f t="shared" si="8"/>
        <v>0.28432499999999999</v>
      </c>
      <c r="L22" s="3">
        <f t="shared" si="9"/>
        <v>4.0308766666666669E-2</v>
      </c>
      <c r="M22" s="3">
        <f t="shared" si="10"/>
        <v>4.9694300000000004E-2</v>
      </c>
      <c r="O22" s="9">
        <f t="shared" si="4"/>
        <v>26359</v>
      </c>
      <c r="P22" s="8">
        <f t="shared" si="1"/>
        <v>1.3659066666666666E-2</v>
      </c>
      <c r="Q22" s="8">
        <f t="shared" si="1"/>
        <v>0.28309383333333332</v>
      </c>
      <c r="R22" s="8">
        <f t="shared" si="1"/>
        <v>2.2117766666666667E-2</v>
      </c>
      <c r="S22" s="8">
        <f t="shared" si="1"/>
        <v>0.24171333333333334</v>
      </c>
      <c r="T22" s="8">
        <f t="shared" si="1"/>
        <v>3.5433566666666666E-2</v>
      </c>
      <c r="U22" s="8">
        <f t="shared" si="1"/>
        <v>4.7120233333333338E-2</v>
      </c>
    </row>
    <row r="23" spans="1:21" x14ac:dyDescent="0.25">
      <c r="A23" s="5">
        <f t="shared" si="2"/>
        <v>25051</v>
      </c>
      <c r="B23" s="4">
        <v>1.0505E-2</v>
      </c>
      <c r="C23" s="4">
        <v>0.3646218</v>
      </c>
      <c r="D23" s="4">
        <v>1.4566900000000001E-2</v>
      </c>
      <c r="E23" s="4">
        <v>0.27764660000000002</v>
      </c>
      <c r="F23" s="4">
        <v>4.1898299999999999E-2</v>
      </c>
      <c r="G23" s="4">
        <v>4.9920800000000001E-2</v>
      </c>
      <c r="H23" s="3">
        <f t="shared" si="5"/>
        <v>1.0154566666666668E-2</v>
      </c>
      <c r="I23" s="3">
        <f t="shared" si="6"/>
        <v>0.34500133333333327</v>
      </c>
      <c r="J23" s="3">
        <f t="shared" si="7"/>
        <v>1.7546733333333335E-2</v>
      </c>
      <c r="K23" s="3">
        <f t="shared" si="8"/>
        <v>0.2799031666666667</v>
      </c>
      <c r="L23" s="3">
        <f t="shared" si="9"/>
        <v>4.1348933333333331E-2</v>
      </c>
      <c r="M23" s="3">
        <f t="shared" si="10"/>
        <v>4.9835800000000006E-2</v>
      </c>
      <c r="O23" s="9">
        <f t="shared" si="4"/>
        <v>26451</v>
      </c>
      <c r="P23" s="8">
        <f t="shared" si="1"/>
        <v>1.30904E-2</v>
      </c>
      <c r="Q23" s="8">
        <f t="shared" si="1"/>
        <v>0.28578889999999996</v>
      </c>
      <c r="R23" s="8">
        <f t="shared" si="1"/>
        <v>2.1753333333333333E-2</v>
      </c>
      <c r="S23" s="8">
        <f t="shared" si="1"/>
        <v>0.24036203333333331</v>
      </c>
      <c r="T23" s="8">
        <f t="shared" si="1"/>
        <v>3.5889533333333334E-2</v>
      </c>
      <c r="U23" s="8">
        <f t="shared" si="1"/>
        <v>4.7076633333333333E-2</v>
      </c>
    </row>
    <row r="24" spans="1:21" x14ac:dyDescent="0.25">
      <c r="A24" s="5">
        <f t="shared" si="2"/>
        <v>25082</v>
      </c>
      <c r="B24" s="4">
        <v>9.4935999999999996E-3</v>
      </c>
      <c r="C24" s="4">
        <v>0.34722829999999999</v>
      </c>
      <c r="D24" s="4">
        <v>1.52176E-2</v>
      </c>
      <c r="E24" s="4">
        <v>0.28325980000000001</v>
      </c>
      <c r="F24" s="4">
        <v>4.3723699999999997E-2</v>
      </c>
      <c r="G24" s="4">
        <v>5.0132900000000001E-2</v>
      </c>
      <c r="H24" s="3">
        <f t="shared" si="5"/>
        <v>9.9575666666666673E-3</v>
      </c>
      <c r="I24" s="3">
        <f t="shared" si="6"/>
        <v>0.35289446666666668</v>
      </c>
      <c r="J24" s="3">
        <f t="shared" si="7"/>
        <v>1.5326466666666668E-2</v>
      </c>
      <c r="K24" s="3">
        <f t="shared" si="8"/>
        <v>0.28180386666666668</v>
      </c>
      <c r="L24" s="3">
        <f t="shared" si="9"/>
        <v>4.2792900000000002E-2</v>
      </c>
      <c r="M24" s="3">
        <f t="shared" si="10"/>
        <v>4.8177166666666667E-2</v>
      </c>
      <c r="O24" s="9">
        <f t="shared" si="4"/>
        <v>26543</v>
      </c>
      <c r="P24" s="8">
        <f t="shared" si="1"/>
        <v>1.3767800000000002E-2</v>
      </c>
      <c r="Q24" s="8">
        <f t="shared" si="1"/>
        <v>0.29070230000000002</v>
      </c>
      <c r="R24" s="8">
        <f t="shared" si="1"/>
        <v>2.1541400000000002E-2</v>
      </c>
      <c r="S24" s="8">
        <f t="shared" si="1"/>
        <v>0.24053663333333333</v>
      </c>
      <c r="T24" s="8">
        <f t="shared" si="1"/>
        <v>3.6327966666666663E-2</v>
      </c>
      <c r="U24" s="8">
        <f t="shared" si="1"/>
        <v>4.8081433333333333E-2</v>
      </c>
    </row>
    <row r="25" spans="1:21" x14ac:dyDescent="0.25">
      <c r="A25" s="5">
        <f t="shared" si="2"/>
        <v>25112</v>
      </c>
      <c r="B25" s="4">
        <v>8.8503000000000002E-3</v>
      </c>
      <c r="C25" s="4">
        <v>0.32948840000000001</v>
      </c>
      <c r="D25" s="4">
        <v>1.5397299999999999E-2</v>
      </c>
      <c r="E25" s="4">
        <v>0.29749969999999998</v>
      </c>
      <c r="F25" s="4">
        <v>4.3725199999999999E-2</v>
      </c>
      <c r="G25" s="4">
        <v>4.84734E-2</v>
      </c>
      <c r="H25" s="3">
        <f t="shared" si="5"/>
        <v>9.6162999999999995E-3</v>
      </c>
      <c r="I25" s="3">
        <f t="shared" si="6"/>
        <v>0.34711283333333331</v>
      </c>
      <c r="J25" s="3">
        <f t="shared" si="7"/>
        <v>1.5060599999999999E-2</v>
      </c>
      <c r="K25" s="3">
        <f t="shared" si="8"/>
        <v>0.28613536666666667</v>
      </c>
      <c r="L25" s="3">
        <f t="shared" si="9"/>
        <v>4.311573333333333E-2</v>
      </c>
      <c r="M25" s="3">
        <f t="shared" si="10"/>
        <v>4.9509033333333334E-2</v>
      </c>
      <c r="O25" s="9">
        <f t="shared" si="4"/>
        <v>26634</v>
      </c>
      <c r="P25" s="8">
        <f t="shared" si="1"/>
        <v>1.2365266666666666E-2</v>
      </c>
      <c r="Q25" s="8">
        <f t="shared" si="1"/>
        <v>0.29843733333333328</v>
      </c>
      <c r="R25" s="8">
        <f t="shared" si="1"/>
        <v>2.0734100000000002E-2</v>
      </c>
      <c r="S25" s="8">
        <f t="shared" si="1"/>
        <v>0.25203339999999996</v>
      </c>
      <c r="T25" s="8">
        <f t="shared" si="1"/>
        <v>3.6576333333333336E-2</v>
      </c>
      <c r="U25" s="8">
        <f t="shared" si="1"/>
        <v>4.8289133333333324E-2</v>
      </c>
    </row>
    <row r="26" spans="1:21" x14ac:dyDescent="0.25">
      <c r="A26" s="5">
        <f t="shared" si="2"/>
        <v>25143</v>
      </c>
      <c r="B26" s="4">
        <v>9.6533999999999995E-3</v>
      </c>
      <c r="C26" s="4">
        <v>0.38353419999999999</v>
      </c>
      <c r="D26" s="4">
        <v>1.6200900000000001E-2</v>
      </c>
      <c r="E26" s="4">
        <v>0.29263149999999999</v>
      </c>
      <c r="F26" s="4">
        <v>4.0484600000000003E-2</v>
      </c>
      <c r="G26" s="4">
        <v>5.0181200000000002E-2</v>
      </c>
      <c r="H26" s="3">
        <f t="shared" si="5"/>
        <v>9.3324333333333325E-3</v>
      </c>
      <c r="I26" s="3">
        <f t="shared" si="6"/>
        <v>0.35341696666666667</v>
      </c>
      <c r="J26" s="3">
        <f t="shared" si="7"/>
        <v>1.5605266666666668E-2</v>
      </c>
      <c r="K26" s="3">
        <f t="shared" si="8"/>
        <v>0.29113033333333332</v>
      </c>
      <c r="L26" s="3">
        <f t="shared" si="9"/>
        <v>4.2644500000000002E-2</v>
      </c>
      <c r="M26" s="3">
        <f t="shared" si="10"/>
        <v>4.9595833333333339E-2</v>
      </c>
      <c r="O26" s="9">
        <f t="shared" si="4"/>
        <v>26724</v>
      </c>
      <c r="P26" s="8">
        <f t="shared" si="1"/>
        <v>1.26769E-2</v>
      </c>
      <c r="Q26" s="8">
        <f t="shared" si="1"/>
        <v>0.29643783333333334</v>
      </c>
      <c r="R26" s="8">
        <f t="shared" si="1"/>
        <v>2.0397800000000001E-2</v>
      </c>
      <c r="S26" s="8">
        <f t="shared" si="1"/>
        <v>0.27246793333333336</v>
      </c>
      <c r="T26" s="8">
        <f t="shared" si="1"/>
        <v>3.6675933333333334E-2</v>
      </c>
      <c r="U26" s="8">
        <f t="shared" si="1"/>
        <v>4.8511166666666668E-2</v>
      </c>
    </row>
    <row r="27" spans="1:21" x14ac:dyDescent="0.25">
      <c r="A27" s="5">
        <f t="shared" si="2"/>
        <v>25173</v>
      </c>
      <c r="B27" s="4">
        <v>7.5329999999999998E-3</v>
      </c>
      <c r="C27" s="4">
        <v>0.36688179999999998</v>
      </c>
      <c r="D27" s="4">
        <v>1.54734E-2</v>
      </c>
      <c r="E27" s="4">
        <v>0.27472289999999999</v>
      </c>
      <c r="F27" s="4">
        <v>3.9755400000000003E-2</v>
      </c>
      <c r="G27" s="4">
        <v>4.8401899999999998E-2</v>
      </c>
      <c r="H27" s="3">
        <f t="shared" si="5"/>
        <v>8.6788999999999981E-3</v>
      </c>
      <c r="I27" s="3">
        <f t="shared" si="6"/>
        <v>0.35996813333333333</v>
      </c>
      <c r="J27" s="3">
        <f t="shared" si="7"/>
        <v>1.5690533333333333E-2</v>
      </c>
      <c r="K27" s="3">
        <f t="shared" si="8"/>
        <v>0.2882847</v>
      </c>
      <c r="L27" s="3">
        <f t="shared" si="9"/>
        <v>4.1321733333333333E-2</v>
      </c>
      <c r="M27" s="3">
        <f t="shared" si="10"/>
        <v>4.9018833333333338E-2</v>
      </c>
      <c r="O27" s="9">
        <f t="shared" si="4"/>
        <v>26816</v>
      </c>
      <c r="P27" s="8">
        <f t="shared" si="1"/>
        <v>1.1997866666666667E-2</v>
      </c>
      <c r="Q27" s="8">
        <f t="shared" si="1"/>
        <v>0.29288979999999998</v>
      </c>
      <c r="R27" s="8">
        <f t="shared" si="1"/>
        <v>2.0820766666666667E-2</v>
      </c>
      <c r="S27" s="8">
        <f t="shared" si="1"/>
        <v>0.2703373</v>
      </c>
      <c r="T27" s="8">
        <f t="shared" si="1"/>
        <v>3.6982633333333334E-2</v>
      </c>
      <c r="U27" s="8">
        <f t="shared" si="1"/>
        <v>5.0076966666666667E-2</v>
      </c>
    </row>
    <row r="28" spans="1:21" x14ac:dyDescent="0.25">
      <c r="A28" s="5">
        <f t="shared" si="2"/>
        <v>25204</v>
      </c>
      <c r="B28" s="4">
        <v>1.0511899999999999E-2</v>
      </c>
      <c r="C28" s="4">
        <v>0.36717650000000002</v>
      </c>
      <c r="D28" s="4">
        <v>1.42226E-2</v>
      </c>
      <c r="E28" s="4">
        <v>0.32891969999999998</v>
      </c>
      <c r="F28" s="4">
        <v>4.1769899999999999E-2</v>
      </c>
      <c r="G28" s="4">
        <v>4.6660600000000003E-2</v>
      </c>
      <c r="H28" s="3">
        <f t="shared" si="5"/>
        <v>9.2327666666666645E-3</v>
      </c>
      <c r="I28" s="3">
        <f t="shared" si="6"/>
        <v>0.37253083333333331</v>
      </c>
      <c r="J28" s="3">
        <f t="shared" si="7"/>
        <v>1.5298966666666669E-2</v>
      </c>
      <c r="K28" s="3">
        <f t="shared" si="8"/>
        <v>0.29875803333333328</v>
      </c>
      <c r="L28" s="3">
        <f t="shared" si="9"/>
        <v>4.0669966666666668E-2</v>
      </c>
      <c r="M28" s="3">
        <f t="shared" si="10"/>
        <v>4.8414566666666665E-2</v>
      </c>
      <c r="O28" s="9">
        <f t="shared" si="4"/>
        <v>26908</v>
      </c>
      <c r="P28" s="8">
        <f t="shared" si="1"/>
        <v>1.1761633333333334E-2</v>
      </c>
      <c r="Q28" s="8">
        <f t="shared" si="1"/>
        <v>0.31004663333333332</v>
      </c>
      <c r="R28" s="8">
        <f t="shared" si="1"/>
        <v>2.0693799999999998E-2</v>
      </c>
      <c r="S28" s="8">
        <f t="shared" si="1"/>
        <v>0.26552376666666666</v>
      </c>
      <c r="T28" s="8">
        <f t="shared" si="1"/>
        <v>3.8170966666666667E-2</v>
      </c>
      <c r="U28" s="8">
        <f t="shared" si="1"/>
        <v>4.9200500000000001E-2</v>
      </c>
    </row>
    <row r="29" spans="1:21" x14ac:dyDescent="0.25">
      <c r="A29" s="5">
        <f t="shared" si="2"/>
        <v>25235</v>
      </c>
      <c r="B29" s="4">
        <v>8.5457999999999992E-3</v>
      </c>
      <c r="C29" s="4">
        <v>0.35426839999999998</v>
      </c>
      <c r="D29" s="4">
        <v>1.58389E-2</v>
      </c>
      <c r="E29" s="4">
        <v>0.25908360000000002</v>
      </c>
      <c r="F29" s="4">
        <v>3.6053599999999998E-2</v>
      </c>
      <c r="G29" s="4">
        <v>4.8304399999999997E-2</v>
      </c>
      <c r="H29" s="3">
        <f t="shared" si="5"/>
        <v>8.8635666666666661E-3</v>
      </c>
      <c r="I29" s="3">
        <f t="shared" si="6"/>
        <v>0.36277556666666672</v>
      </c>
      <c r="J29" s="3">
        <f t="shared" si="7"/>
        <v>1.51783E-2</v>
      </c>
      <c r="K29" s="3">
        <f t="shared" si="8"/>
        <v>0.28757539999999998</v>
      </c>
      <c r="L29" s="3">
        <f t="shared" si="9"/>
        <v>3.9192966666666662E-2</v>
      </c>
      <c r="M29" s="3">
        <f t="shared" si="10"/>
        <v>4.7788966666666662E-2</v>
      </c>
      <c r="O29" s="9">
        <f t="shared" si="4"/>
        <v>26999</v>
      </c>
      <c r="P29" s="8">
        <f t="shared" si="1"/>
        <v>1.2213399999999999E-2</v>
      </c>
      <c r="Q29" s="8">
        <f t="shared" si="1"/>
        <v>0.31865840000000001</v>
      </c>
      <c r="R29" s="8">
        <f t="shared" si="1"/>
        <v>2.0488000000000003E-2</v>
      </c>
      <c r="S29" s="8">
        <f t="shared" si="1"/>
        <v>0.26063400000000003</v>
      </c>
      <c r="T29" s="8">
        <f t="shared" si="1"/>
        <v>3.6150633333333335E-2</v>
      </c>
      <c r="U29" s="8">
        <f t="shared" si="1"/>
        <v>5.1617533333333333E-2</v>
      </c>
    </row>
    <row r="30" spans="1:21" x14ac:dyDescent="0.25">
      <c r="A30" s="5">
        <f t="shared" si="2"/>
        <v>25263</v>
      </c>
      <c r="B30" s="4">
        <v>9.4584000000000005E-3</v>
      </c>
      <c r="C30" s="4">
        <v>0.34029969999999998</v>
      </c>
      <c r="D30" s="4">
        <v>1.4904199999999999E-2</v>
      </c>
      <c r="E30" s="4">
        <v>0.3173802</v>
      </c>
      <c r="F30" s="4">
        <v>4.1170400000000003E-2</v>
      </c>
      <c r="G30" s="4">
        <v>4.5262400000000001E-2</v>
      </c>
      <c r="H30" s="3">
        <f t="shared" si="5"/>
        <v>9.5053666666666658E-3</v>
      </c>
      <c r="I30" s="3">
        <f t="shared" si="6"/>
        <v>0.35391486666666666</v>
      </c>
      <c r="J30" s="3">
        <f t="shared" si="7"/>
        <v>1.4988566666666666E-2</v>
      </c>
      <c r="K30" s="3">
        <f t="shared" si="8"/>
        <v>0.30179450000000002</v>
      </c>
      <c r="L30" s="3">
        <f t="shared" si="9"/>
        <v>3.9664633333333331E-2</v>
      </c>
      <c r="M30" s="3">
        <f t="shared" si="10"/>
        <v>4.674246666666667E-2</v>
      </c>
      <c r="O30" s="9">
        <f t="shared" si="4"/>
        <v>27089</v>
      </c>
      <c r="P30" s="8">
        <f t="shared" si="1"/>
        <v>1.3962466666666666E-2</v>
      </c>
      <c r="Q30" s="8">
        <f t="shared" si="1"/>
        <v>0.31220373333333334</v>
      </c>
      <c r="R30" s="8">
        <f t="shared" si="1"/>
        <v>2.0081499999999999E-2</v>
      </c>
      <c r="S30" s="8">
        <f t="shared" si="1"/>
        <v>0.24125943333333333</v>
      </c>
      <c r="T30" s="8">
        <f t="shared" si="1"/>
        <v>3.5267700000000006E-2</v>
      </c>
      <c r="U30" s="8">
        <f t="shared" si="1"/>
        <v>4.9235133333333327E-2</v>
      </c>
    </row>
    <row r="31" spans="1:21" x14ac:dyDescent="0.25">
      <c r="A31" s="5">
        <f t="shared" si="2"/>
        <v>25294</v>
      </c>
      <c r="B31" s="4">
        <v>9.3424000000000007E-3</v>
      </c>
      <c r="C31" s="4">
        <v>0.33885389999999999</v>
      </c>
      <c r="D31" s="4">
        <v>1.39712E-2</v>
      </c>
      <c r="E31" s="4">
        <v>0.27504040000000002</v>
      </c>
      <c r="F31" s="4">
        <v>3.5301100000000002E-2</v>
      </c>
      <c r="G31" s="4">
        <v>5.0203699999999997E-2</v>
      </c>
      <c r="H31" s="3">
        <f t="shared" si="5"/>
        <v>9.1155333333333335E-3</v>
      </c>
      <c r="I31" s="3">
        <f t="shared" si="6"/>
        <v>0.34447399999999995</v>
      </c>
      <c r="J31" s="3">
        <f t="shared" si="7"/>
        <v>1.4904766666666666E-2</v>
      </c>
      <c r="K31" s="3">
        <f t="shared" si="8"/>
        <v>0.28383473333333331</v>
      </c>
      <c r="L31" s="3">
        <f t="shared" si="9"/>
        <v>3.7508366666666668E-2</v>
      </c>
      <c r="M31" s="3">
        <f t="shared" si="10"/>
        <v>4.7923500000000001E-2</v>
      </c>
      <c r="O31" s="9">
        <f t="shared" si="4"/>
        <v>27181</v>
      </c>
      <c r="P31" s="8">
        <f t="shared" si="1"/>
        <v>1.2903633333333333E-2</v>
      </c>
      <c r="Q31" s="8">
        <f t="shared" si="1"/>
        <v>0.29908153333333332</v>
      </c>
      <c r="R31" s="8">
        <f t="shared" si="1"/>
        <v>2.13887E-2</v>
      </c>
      <c r="S31" s="8">
        <f t="shared" si="1"/>
        <v>0.25440740000000001</v>
      </c>
      <c r="T31" s="8">
        <f t="shared" si="1"/>
        <v>3.7026200000000002E-2</v>
      </c>
      <c r="U31" s="8">
        <f t="shared" si="1"/>
        <v>4.9749933333333329E-2</v>
      </c>
    </row>
    <row r="32" spans="1:21" x14ac:dyDescent="0.25">
      <c r="A32" s="5">
        <f t="shared" si="2"/>
        <v>25324</v>
      </c>
      <c r="B32" s="4">
        <v>1.04829E-2</v>
      </c>
      <c r="C32" s="4">
        <v>0.348331</v>
      </c>
      <c r="D32" s="4">
        <v>1.3488699999999999E-2</v>
      </c>
      <c r="E32" s="4">
        <v>0.31875399999999998</v>
      </c>
      <c r="F32" s="4">
        <v>4.1802400000000003E-2</v>
      </c>
      <c r="G32" s="4">
        <v>4.83122E-2</v>
      </c>
      <c r="H32" s="3">
        <f t="shared" si="5"/>
        <v>9.7612333333333325E-3</v>
      </c>
      <c r="I32" s="3">
        <f t="shared" si="6"/>
        <v>0.34249486666666668</v>
      </c>
      <c r="J32" s="3">
        <f t="shared" si="7"/>
        <v>1.4121366666666668E-2</v>
      </c>
      <c r="K32" s="3">
        <f t="shared" si="8"/>
        <v>0.3037248666666667</v>
      </c>
      <c r="L32" s="3">
        <f t="shared" si="9"/>
        <v>3.9424633333333334E-2</v>
      </c>
      <c r="M32" s="3">
        <f t="shared" si="10"/>
        <v>4.7926099999999999E-2</v>
      </c>
      <c r="O32" s="9">
        <f t="shared" si="4"/>
        <v>27273</v>
      </c>
      <c r="P32" s="8">
        <f t="shared" si="1"/>
        <v>1.4129733333333333E-2</v>
      </c>
      <c r="Q32" s="8">
        <f t="shared" si="1"/>
        <v>0.29710273333333331</v>
      </c>
      <c r="R32" s="8">
        <f t="shared" si="1"/>
        <v>2.3499799999999998E-2</v>
      </c>
      <c r="S32" s="8">
        <f t="shared" si="1"/>
        <v>0.23943079999999997</v>
      </c>
      <c r="T32" s="8">
        <f t="shared" si="1"/>
        <v>3.5744400000000003E-2</v>
      </c>
      <c r="U32" s="8">
        <f t="shared" si="1"/>
        <v>4.8357700000000003E-2</v>
      </c>
    </row>
    <row r="33" spans="1:21" x14ac:dyDescent="0.25">
      <c r="A33" s="5">
        <f t="shared" si="2"/>
        <v>25355</v>
      </c>
      <c r="B33" s="4">
        <v>9.8840999999999998E-3</v>
      </c>
      <c r="C33" s="4">
        <v>0.33144600000000002</v>
      </c>
      <c r="D33" s="4">
        <v>2.0478199999999998E-2</v>
      </c>
      <c r="E33" s="4">
        <v>0.28859469999999998</v>
      </c>
      <c r="F33" s="4">
        <v>3.9056899999999999E-2</v>
      </c>
      <c r="G33" s="4">
        <v>5.4886699999999997E-2</v>
      </c>
      <c r="H33" s="3">
        <f t="shared" si="5"/>
        <v>9.9031333333333329E-3</v>
      </c>
      <c r="I33" s="3">
        <f t="shared" si="6"/>
        <v>0.33954363333333332</v>
      </c>
      <c r="J33" s="3">
        <f t="shared" si="7"/>
        <v>1.5979366666666665E-2</v>
      </c>
      <c r="K33" s="3">
        <f t="shared" si="8"/>
        <v>0.29412969999999999</v>
      </c>
      <c r="L33" s="3">
        <f t="shared" si="9"/>
        <v>3.872013333333333E-2</v>
      </c>
      <c r="M33" s="3">
        <f t="shared" si="10"/>
        <v>5.1134199999999998E-2</v>
      </c>
      <c r="O33" s="9">
        <f t="shared" si="4"/>
        <v>27364</v>
      </c>
      <c r="P33" s="8">
        <f t="shared" si="1"/>
        <v>1.8444199999999997E-2</v>
      </c>
      <c r="Q33" s="8">
        <f t="shared" si="1"/>
        <v>0.27410570000000001</v>
      </c>
      <c r="R33" s="8">
        <f t="shared" si="1"/>
        <v>2.4302100000000004E-2</v>
      </c>
      <c r="S33" s="8">
        <f t="shared" si="1"/>
        <v>0.23391289999999998</v>
      </c>
      <c r="T33" s="8">
        <f t="shared" si="1"/>
        <v>3.5517099999999996E-2</v>
      </c>
      <c r="U33" s="8">
        <f t="shared" si="1"/>
        <v>4.55442E-2</v>
      </c>
    </row>
    <row r="34" spans="1:21" x14ac:dyDescent="0.25">
      <c r="A34" s="5">
        <f t="shared" si="2"/>
        <v>25385</v>
      </c>
      <c r="B34" s="4">
        <v>1.03123E-2</v>
      </c>
      <c r="C34" s="4">
        <v>0.34608719999999998</v>
      </c>
      <c r="D34" s="4">
        <v>1.6645299999999998E-2</v>
      </c>
      <c r="E34" s="4">
        <v>0.28007379999999998</v>
      </c>
      <c r="F34" s="4">
        <v>4.15885E-2</v>
      </c>
      <c r="G34" s="4">
        <v>4.9050999999999997E-2</v>
      </c>
      <c r="H34" s="3">
        <f t="shared" si="5"/>
        <v>1.0226433333333333E-2</v>
      </c>
      <c r="I34" s="3">
        <f t="shared" si="6"/>
        <v>0.34195473333333332</v>
      </c>
      <c r="J34" s="3">
        <f t="shared" si="7"/>
        <v>1.6870733333333332E-2</v>
      </c>
      <c r="K34" s="3">
        <f t="shared" si="8"/>
        <v>0.2958075</v>
      </c>
      <c r="L34" s="3">
        <f t="shared" si="9"/>
        <v>4.0815933333333332E-2</v>
      </c>
      <c r="M34" s="3">
        <f t="shared" si="10"/>
        <v>5.0749966666666667E-2</v>
      </c>
      <c r="O34" s="9">
        <f t="shared" si="4"/>
        <v>27454</v>
      </c>
      <c r="P34" s="8">
        <f t="shared" si="1"/>
        <v>2.1518433333333333E-2</v>
      </c>
      <c r="Q34" s="8">
        <f t="shared" si="1"/>
        <v>0.23795740000000001</v>
      </c>
      <c r="R34" s="8">
        <f t="shared" si="1"/>
        <v>2.6043899999999998E-2</v>
      </c>
      <c r="S34" s="8">
        <f t="shared" si="1"/>
        <v>0.20300526666666666</v>
      </c>
      <c r="T34" s="8">
        <f t="shared" si="1"/>
        <v>3.3883999999999997E-2</v>
      </c>
      <c r="U34" s="8">
        <f t="shared" si="1"/>
        <v>4.2042166666666658E-2</v>
      </c>
    </row>
    <row r="35" spans="1:21" x14ac:dyDescent="0.25">
      <c r="A35" s="5">
        <f t="shared" si="2"/>
        <v>25416</v>
      </c>
      <c r="B35" s="4">
        <v>9.9129999999999999E-3</v>
      </c>
      <c r="C35" s="4">
        <v>0.36952210000000002</v>
      </c>
      <c r="D35" s="4">
        <v>1.5739099999999999E-2</v>
      </c>
      <c r="E35" s="4">
        <v>0.27776960000000001</v>
      </c>
      <c r="F35" s="4">
        <v>3.8035600000000003E-2</v>
      </c>
      <c r="G35" s="4">
        <v>5.1713200000000001E-2</v>
      </c>
      <c r="H35" s="3">
        <f t="shared" si="5"/>
        <v>1.0036466666666667E-2</v>
      </c>
      <c r="I35" s="3">
        <f t="shared" si="6"/>
        <v>0.34901843333333332</v>
      </c>
      <c r="J35" s="3">
        <f t="shared" si="7"/>
        <v>1.7620866666666665E-2</v>
      </c>
      <c r="K35" s="3">
        <f t="shared" si="8"/>
        <v>0.28214603333333338</v>
      </c>
      <c r="L35" s="3">
        <f t="shared" si="9"/>
        <v>3.9560333333333336E-2</v>
      </c>
      <c r="M35" s="3">
        <f t="shared" si="10"/>
        <v>5.1883633333333325E-2</v>
      </c>
      <c r="O35" s="9">
        <f t="shared" si="4"/>
        <v>27546</v>
      </c>
      <c r="P35" s="8">
        <f t="shared" si="1"/>
        <v>1.8693500000000002E-2</v>
      </c>
      <c r="Q35" s="8">
        <f t="shared" si="1"/>
        <v>0.22371583333333334</v>
      </c>
      <c r="R35" s="8">
        <f t="shared" si="1"/>
        <v>2.6266766666666663E-2</v>
      </c>
      <c r="S35" s="8">
        <f t="shared" si="1"/>
        <v>0.19492136666666668</v>
      </c>
      <c r="T35" s="8">
        <f t="shared" si="1"/>
        <v>3.3546300000000001E-2</v>
      </c>
      <c r="U35" s="8">
        <f t="shared" si="1"/>
        <v>4.3920566666666661E-2</v>
      </c>
    </row>
    <row r="36" spans="1:21" x14ac:dyDescent="0.25">
      <c r="A36" s="5">
        <f t="shared" si="2"/>
        <v>25447</v>
      </c>
      <c r="B36" s="4">
        <v>1.04295E-2</v>
      </c>
      <c r="C36" s="4">
        <v>0.33012989999999998</v>
      </c>
      <c r="D36" s="4">
        <v>1.8476200000000002E-2</v>
      </c>
      <c r="E36" s="4">
        <v>0.27788079999999998</v>
      </c>
      <c r="F36" s="4">
        <v>4.1423399999999999E-2</v>
      </c>
      <c r="G36" s="4">
        <v>4.9190600000000001E-2</v>
      </c>
      <c r="H36" s="3">
        <f t="shared" si="5"/>
        <v>1.0218266666666668E-2</v>
      </c>
      <c r="I36" s="3">
        <f t="shared" si="6"/>
        <v>0.34857973333333331</v>
      </c>
      <c r="J36" s="3">
        <f t="shared" si="7"/>
        <v>1.6953533333333329E-2</v>
      </c>
      <c r="K36" s="3">
        <f t="shared" si="8"/>
        <v>0.27857473333333332</v>
      </c>
      <c r="L36" s="3">
        <f t="shared" si="9"/>
        <v>4.0349166666666665E-2</v>
      </c>
      <c r="M36" s="3">
        <f t="shared" si="10"/>
        <v>4.9984933333333335E-2</v>
      </c>
      <c r="O36" s="9">
        <f t="shared" si="4"/>
        <v>27638</v>
      </c>
      <c r="P36" s="8">
        <f t="shared" si="1"/>
        <v>1.78444E-2</v>
      </c>
      <c r="Q36" s="8">
        <f t="shared" si="1"/>
        <v>0.23954663333333334</v>
      </c>
      <c r="R36" s="8">
        <f t="shared" si="1"/>
        <v>2.72448E-2</v>
      </c>
      <c r="S36" s="8">
        <f t="shared" si="1"/>
        <v>0.20113463333333334</v>
      </c>
      <c r="T36" s="8">
        <f t="shared" si="1"/>
        <v>3.4688366666666665E-2</v>
      </c>
      <c r="U36" s="8">
        <f t="shared" si="1"/>
        <v>4.6031633333333329E-2</v>
      </c>
    </row>
    <row r="37" spans="1:21" x14ac:dyDescent="0.25">
      <c r="A37" s="5">
        <f t="shared" si="2"/>
        <v>25477</v>
      </c>
      <c r="B37" s="4">
        <v>1.0742E-2</v>
      </c>
      <c r="C37" s="4">
        <v>0.37477300000000002</v>
      </c>
      <c r="D37" s="4">
        <v>1.6519099999999998E-2</v>
      </c>
      <c r="E37" s="4">
        <v>0.26915739999999999</v>
      </c>
      <c r="F37" s="4">
        <v>4.5120199999999999E-2</v>
      </c>
      <c r="G37" s="4">
        <v>5.6304199999999999E-2</v>
      </c>
      <c r="H37" s="3">
        <f t="shared" si="5"/>
        <v>1.0361500000000001E-2</v>
      </c>
      <c r="I37" s="3">
        <f t="shared" si="6"/>
        <v>0.35814166666666664</v>
      </c>
      <c r="J37" s="3">
        <f t="shared" si="7"/>
        <v>1.6911466666666666E-2</v>
      </c>
      <c r="K37" s="3">
        <f t="shared" si="8"/>
        <v>0.27493593333333333</v>
      </c>
      <c r="L37" s="3">
        <f t="shared" si="9"/>
        <v>4.1526399999999998E-2</v>
      </c>
      <c r="M37" s="3">
        <f t="shared" si="10"/>
        <v>5.2402666666666674E-2</v>
      </c>
      <c r="O37" s="9">
        <f t="shared" si="4"/>
        <v>27729</v>
      </c>
      <c r="P37" s="8">
        <f t="shared" ref="P37:U68" si="11">VLOOKUP($O37,$A$4:$M$423,P$1)</f>
        <v>1.7050733333333335E-2</v>
      </c>
      <c r="Q37" s="8">
        <f t="shared" si="11"/>
        <v>0.22835096666666668</v>
      </c>
      <c r="R37" s="8">
        <f t="shared" si="11"/>
        <v>2.7939733333333331E-2</v>
      </c>
      <c r="S37" s="8">
        <f t="shared" si="11"/>
        <v>0.21421143333333334</v>
      </c>
      <c r="T37" s="8">
        <f t="shared" si="11"/>
        <v>3.5066066666666666E-2</v>
      </c>
      <c r="U37" s="8">
        <f t="shared" si="11"/>
        <v>4.4081433333333336E-2</v>
      </c>
    </row>
    <row r="38" spans="1:21" x14ac:dyDescent="0.25">
      <c r="A38" s="5">
        <f t="shared" si="2"/>
        <v>25508</v>
      </c>
      <c r="B38" s="4">
        <v>9.2291000000000005E-3</v>
      </c>
      <c r="C38" s="4">
        <v>0.33923759999999997</v>
      </c>
      <c r="D38" s="4">
        <v>1.6226999999999998E-2</v>
      </c>
      <c r="E38" s="4">
        <v>0.2973227</v>
      </c>
      <c r="F38" s="4">
        <v>3.8677599999999999E-2</v>
      </c>
      <c r="G38" s="4">
        <v>4.6201399999999997E-2</v>
      </c>
      <c r="H38" s="3">
        <f t="shared" si="5"/>
        <v>1.0133533333333333E-2</v>
      </c>
      <c r="I38" s="3">
        <f t="shared" si="6"/>
        <v>0.34804683333333331</v>
      </c>
      <c r="J38" s="3">
        <f t="shared" si="7"/>
        <v>1.7074099999999998E-2</v>
      </c>
      <c r="K38" s="3">
        <f t="shared" si="8"/>
        <v>0.28145363333333334</v>
      </c>
      <c r="L38" s="3">
        <f t="shared" si="9"/>
        <v>4.1740400000000004E-2</v>
      </c>
      <c r="M38" s="3">
        <f t="shared" si="10"/>
        <v>5.0565400000000003E-2</v>
      </c>
      <c r="O38" s="9">
        <f t="shared" si="4"/>
        <v>27820</v>
      </c>
      <c r="P38" s="8">
        <f t="shared" si="11"/>
        <v>1.5124833333333332E-2</v>
      </c>
      <c r="Q38" s="8">
        <f t="shared" si="11"/>
        <v>0.22827526666666667</v>
      </c>
      <c r="R38" s="8">
        <f t="shared" si="11"/>
        <v>2.6827299999999998E-2</v>
      </c>
      <c r="S38" s="8">
        <f t="shared" si="11"/>
        <v>0.2024832</v>
      </c>
      <c r="T38" s="8">
        <f t="shared" si="11"/>
        <v>3.3516466666666668E-2</v>
      </c>
      <c r="U38" s="8">
        <f t="shared" si="11"/>
        <v>4.3452333333333336E-2</v>
      </c>
    </row>
    <row r="39" spans="1:21" x14ac:dyDescent="0.25">
      <c r="A39" s="5">
        <f t="shared" si="2"/>
        <v>25538</v>
      </c>
      <c r="B39" s="4">
        <v>1.01841E-2</v>
      </c>
      <c r="C39" s="4">
        <v>0.3405204</v>
      </c>
      <c r="D39" s="4">
        <v>1.3813600000000001E-2</v>
      </c>
      <c r="E39" s="4">
        <v>0.3058457</v>
      </c>
      <c r="F39" s="4">
        <v>3.98108E-2</v>
      </c>
      <c r="G39" s="4">
        <v>5.2974399999999998E-2</v>
      </c>
      <c r="H39" s="3">
        <f t="shared" si="5"/>
        <v>1.0051733333333333E-2</v>
      </c>
      <c r="I39" s="3">
        <f t="shared" si="6"/>
        <v>0.35151033333333331</v>
      </c>
      <c r="J39" s="3">
        <f t="shared" si="7"/>
        <v>1.5519900000000001E-2</v>
      </c>
      <c r="K39" s="3">
        <f t="shared" si="8"/>
        <v>0.29077526666666664</v>
      </c>
      <c r="L39" s="3">
        <f t="shared" si="9"/>
        <v>4.1202866666666671E-2</v>
      </c>
      <c r="M39" s="3">
        <f t="shared" si="10"/>
        <v>5.1826666666666667E-2</v>
      </c>
      <c r="O39" s="9">
        <f t="shared" si="4"/>
        <v>27912</v>
      </c>
      <c r="P39" s="8">
        <f t="shared" si="11"/>
        <v>1.5261499999999999E-2</v>
      </c>
      <c r="Q39" s="8">
        <f t="shared" si="11"/>
        <v>0.24066373333333332</v>
      </c>
      <c r="R39" s="8">
        <f t="shared" si="11"/>
        <v>2.6800933333333336E-2</v>
      </c>
      <c r="S39" s="8">
        <f t="shared" si="11"/>
        <v>0.21184829999999999</v>
      </c>
      <c r="T39" s="8">
        <f t="shared" si="11"/>
        <v>3.4443000000000001E-2</v>
      </c>
      <c r="U39" s="8">
        <f t="shared" si="11"/>
        <v>4.681953333333333E-2</v>
      </c>
    </row>
    <row r="40" spans="1:21" x14ac:dyDescent="0.25">
      <c r="A40" s="5">
        <f t="shared" si="2"/>
        <v>25569</v>
      </c>
      <c r="B40" s="4">
        <v>1.1230499999999999E-2</v>
      </c>
      <c r="C40" s="4">
        <v>0.29822739999999998</v>
      </c>
      <c r="D40" s="4">
        <v>1.6426900000000001E-2</v>
      </c>
      <c r="E40" s="4">
        <v>0.30982680000000001</v>
      </c>
      <c r="F40" s="4">
        <v>3.8357099999999998E-2</v>
      </c>
      <c r="G40" s="4">
        <v>4.5208900000000003E-2</v>
      </c>
      <c r="H40" s="3">
        <f t="shared" si="5"/>
        <v>1.0214566666666666E-2</v>
      </c>
      <c r="I40" s="3">
        <f t="shared" si="6"/>
        <v>0.3259951333333333</v>
      </c>
      <c r="J40" s="3">
        <f t="shared" si="7"/>
        <v>1.5489166666666667E-2</v>
      </c>
      <c r="K40" s="3">
        <f t="shared" si="8"/>
        <v>0.3043317333333333</v>
      </c>
      <c r="L40" s="3">
        <f t="shared" si="9"/>
        <v>3.8948499999999997E-2</v>
      </c>
      <c r="M40" s="3">
        <f t="shared" si="10"/>
        <v>4.8128233333333333E-2</v>
      </c>
      <c r="O40" s="9">
        <f t="shared" si="4"/>
        <v>28004</v>
      </c>
      <c r="P40" s="8">
        <f t="shared" si="11"/>
        <v>1.6468899999999998E-2</v>
      </c>
      <c r="Q40" s="8">
        <f t="shared" si="11"/>
        <v>0.2548148666666667</v>
      </c>
      <c r="R40" s="8">
        <f t="shared" si="11"/>
        <v>2.7886533333333335E-2</v>
      </c>
      <c r="S40" s="8">
        <f t="shared" si="11"/>
        <v>0.21534833333333334</v>
      </c>
      <c r="T40" s="8">
        <f t="shared" si="11"/>
        <v>3.5679700000000002E-2</v>
      </c>
      <c r="U40" s="8">
        <f t="shared" si="11"/>
        <v>4.8328433333333337E-2</v>
      </c>
    </row>
    <row r="41" spans="1:21" x14ac:dyDescent="0.25">
      <c r="A41" s="5">
        <f t="shared" si="2"/>
        <v>25600</v>
      </c>
      <c r="B41" s="4">
        <v>1.15382E-2</v>
      </c>
      <c r="C41" s="4">
        <v>0.3113996</v>
      </c>
      <c r="D41" s="4">
        <v>1.79297E-2</v>
      </c>
      <c r="E41" s="4">
        <v>0.25211709999999998</v>
      </c>
      <c r="F41" s="4">
        <v>3.7248900000000001E-2</v>
      </c>
      <c r="G41" s="4">
        <v>4.95909E-2</v>
      </c>
      <c r="H41" s="3">
        <f t="shared" si="5"/>
        <v>1.0984266666666666E-2</v>
      </c>
      <c r="I41" s="3">
        <f t="shared" si="6"/>
        <v>0.31671579999999999</v>
      </c>
      <c r="J41" s="3">
        <f t="shared" si="7"/>
        <v>1.6056733333333333E-2</v>
      </c>
      <c r="K41" s="3">
        <f t="shared" si="8"/>
        <v>0.2892632</v>
      </c>
      <c r="L41" s="3">
        <f t="shared" si="9"/>
        <v>3.8472266666666664E-2</v>
      </c>
      <c r="M41" s="3">
        <f t="shared" si="10"/>
        <v>4.9258066666666663E-2</v>
      </c>
      <c r="O41" s="9">
        <f t="shared" si="4"/>
        <v>28095</v>
      </c>
      <c r="P41" s="8">
        <f t="shared" si="11"/>
        <v>1.6550466666666666E-2</v>
      </c>
      <c r="Q41" s="8">
        <f t="shared" si="11"/>
        <v>0.23986860000000002</v>
      </c>
      <c r="R41" s="8">
        <f t="shared" si="11"/>
        <v>2.6978666666666668E-2</v>
      </c>
      <c r="S41" s="8">
        <f t="shared" si="11"/>
        <v>0.21193116666666667</v>
      </c>
      <c r="T41" s="8">
        <f t="shared" si="11"/>
        <v>3.2992899999999999E-2</v>
      </c>
      <c r="U41" s="8">
        <f t="shared" si="11"/>
        <v>4.6272866666666669E-2</v>
      </c>
    </row>
    <row r="42" spans="1:21" x14ac:dyDescent="0.25">
      <c r="A42" s="5">
        <f t="shared" si="2"/>
        <v>25628</v>
      </c>
      <c r="B42" s="4">
        <v>1.35316E-2</v>
      </c>
      <c r="C42" s="4">
        <v>0.32132149999999998</v>
      </c>
      <c r="D42" s="4">
        <v>1.7716300000000001E-2</v>
      </c>
      <c r="E42" s="4">
        <v>0.25684560000000001</v>
      </c>
      <c r="F42" s="4">
        <v>3.6589799999999999E-2</v>
      </c>
      <c r="G42" s="4">
        <v>5.1548200000000002E-2</v>
      </c>
      <c r="H42" s="3">
        <f t="shared" si="5"/>
        <v>1.2100100000000001E-2</v>
      </c>
      <c r="I42" s="3">
        <f t="shared" si="6"/>
        <v>0.31031616666666667</v>
      </c>
      <c r="J42" s="3">
        <f t="shared" si="7"/>
        <v>1.7357633333333334E-2</v>
      </c>
      <c r="K42" s="3">
        <f t="shared" si="8"/>
        <v>0.27292983333333332</v>
      </c>
      <c r="L42" s="3">
        <f t="shared" si="9"/>
        <v>3.7398600000000004E-2</v>
      </c>
      <c r="M42" s="3">
        <f t="shared" si="10"/>
        <v>4.8782666666666669E-2</v>
      </c>
      <c r="O42" s="9">
        <f t="shared" si="4"/>
        <v>28185</v>
      </c>
      <c r="P42" s="8">
        <f t="shared" si="11"/>
        <v>1.6122299999999999E-2</v>
      </c>
      <c r="Q42" s="8">
        <f t="shared" si="11"/>
        <v>0.24499366666666667</v>
      </c>
      <c r="R42" s="8">
        <f t="shared" si="11"/>
        <v>2.6829166666666668E-2</v>
      </c>
      <c r="S42" s="8">
        <f t="shared" si="11"/>
        <v>0.20427606666666667</v>
      </c>
      <c r="T42" s="8">
        <f t="shared" si="11"/>
        <v>3.2261033333333335E-2</v>
      </c>
      <c r="U42" s="8">
        <f t="shared" si="11"/>
        <v>4.3858633333333334E-2</v>
      </c>
    </row>
    <row r="43" spans="1:21" x14ac:dyDescent="0.25">
      <c r="A43" s="5">
        <f t="shared" si="2"/>
        <v>25659</v>
      </c>
      <c r="B43" s="4">
        <v>1.3000100000000001E-2</v>
      </c>
      <c r="C43" s="4">
        <v>0.33292339999999998</v>
      </c>
      <c r="D43" s="4">
        <v>1.73805E-2</v>
      </c>
      <c r="E43" s="4">
        <v>0.24818109999999999</v>
      </c>
      <c r="F43" s="4">
        <v>3.5201400000000001E-2</v>
      </c>
      <c r="G43" s="4">
        <v>5.2211E-2</v>
      </c>
      <c r="H43" s="3">
        <f t="shared" si="5"/>
        <v>1.2689966666666668E-2</v>
      </c>
      <c r="I43" s="3">
        <f t="shared" si="6"/>
        <v>0.32188149999999999</v>
      </c>
      <c r="J43" s="3">
        <f t="shared" si="7"/>
        <v>1.76755E-2</v>
      </c>
      <c r="K43" s="3">
        <f t="shared" si="8"/>
        <v>0.25238126666666666</v>
      </c>
      <c r="L43" s="3">
        <f t="shared" si="9"/>
        <v>3.6346700000000003E-2</v>
      </c>
      <c r="M43" s="3">
        <f t="shared" si="10"/>
        <v>5.1116700000000008E-2</v>
      </c>
      <c r="O43" s="9">
        <f t="shared" si="4"/>
        <v>28277</v>
      </c>
      <c r="P43" s="8">
        <f t="shared" si="11"/>
        <v>1.5198799999999998E-2</v>
      </c>
      <c r="Q43" s="8">
        <f t="shared" si="11"/>
        <v>0.26541673333333332</v>
      </c>
      <c r="R43" s="8">
        <f t="shared" si="11"/>
        <v>2.7233833333333332E-2</v>
      </c>
      <c r="S43" s="8">
        <f t="shared" si="11"/>
        <v>0.22789053333333334</v>
      </c>
      <c r="T43" s="8">
        <f t="shared" si="11"/>
        <v>3.44596E-2</v>
      </c>
      <c r="U43" s="8">
        <f t="shared" si="11"/>
        <v>4.8540233333333328E-2</v>
      </c>
    </row>
    <row r="44" spans="1:21" x14ac:dyDescent="0.25">
      <c r="A44" s="5">
        <f t="shared" si="2"/>
        <v>25689</v>
      </c>
      <c r="B44" s="4">
        <v>1.31351E-2</v>
      </c>
      <c r="C44" s="4">
        <v>0.297122</v>
      </c>
      <c r="D44" s="4">
        <v>1.52745E-2</v>
      </c>
      <c r="E44" s="4">
        <v>0.26016739999999999</v>
      </c>
      <c r="F44" s="4">
        <v>3.5266499999999999E-2</v>
      </c>
      <c r="G44" s="4">
        <v>4.4121899999999999E-2</v>
      </c>
      <c r="H44" s="3">
        <f t="shared" si="5"/>
        <v>1.3222266666666668E-2</v>
      </c>
      <c r="I44" s="3">
        <f t="shared" si="6"/>
        <v>0.31712229999999997</v>
      </c>
      <c r="J44" s="3">
        <f t="shared" si="7"/>
        <v>1.679043333333333E-2</v>
      </c>
      <c r="K44" s="3">
        <f t="shared" si="8"/>
        <v>0.25506469999999998</v>
      </c>
      <c r="L44" s="3">
        <f t="shared" si="9"/>
        <v>3.56859E-2</v>
      </c>
      <c r="M44" s="3">
        <f t="shared" si="10"/>
        <v>4.9293699999999996E-2</v>
      </c>
      <c r="O44" s="9">
        <f t="shared" si="4"/>
        <v>28369</v>
      </c>
      <c r="P44" s="8">
        <f t="shared" si="11"/>
        <v>1.5814400000000003E-2</v>
      </c>
      <c r="Q44" s="8">
        <f t="shared" si="11"/>
        <v>0.2683512666666667</v>
      </c>
      <c r="R44" s="8">
        <f t="shared" si="11"/>
        <v>2.5453266666666668E-2</v>
      </c>
      <c r="S44" s="8">
        <f t="shared" si="11"/>
        <v>0.22348523333333334</v>
      </c>
      <c r="T44" s="8">
        <f t="shared" si="11"/>
        <v>3.3578233333333339E-2</v>
      </c>
      <c r="U44" s="8">
        <f t="shared" si="11"/>
        <v>4.49916E-2</v>
      </c>
    </row>
    <row r="45" spans="1:21" x14ac:dyDescent="0.25">
      <c r="A45" s="5">
        <f t="shared" si="2"/>
        <v>25720</v>
      </c>
      <c r="B45" s="4">
        <v>1.25159E-2</v>
      </c>
      <c r="C45" s="4">
        <v>0.28575159999999999</v>
      </c>
      <c r="D45" s="4">
        <v>2.2853499999999999E-2</v>
      </c>
      <c r="E45" s="4">
        <v>0.23565240000000001</v>
      </c>
      <c r="F45" s="4">
        <v>3.6496000000000001E-2</v>
      </c>
      <c r="G45" s="4">
        <v>4.7953599999999999E-2</v>
      </c>
      <c r="H45" s="3">
        <f t="shared" si="5"/>
        <v>1.28837E-2</v>
      </c>
      <c r="I45" s="3">
        <f t="shared" si="6"/>
        <v>0.30526566666666666</v>
      </c>
      <c r="J45" s="3">
        <f t="shared" si="7"/>
        <v>1.8502833333333333E-2</v>
      </c>
      <c r="K45" s="3">
        <f t="shared" si="8"/>
        <v>0.24800029999999998</v>
      </c>
      <c r="L45" s="3">
        <f t="shared" si="9"/>
        <v>3.5654633333333331E-2</v>
      </c>
      <c r="M45" s="3">
        <f t="shared" si="10"/>
        <v>4.8095499999999992E-2</v>
      </c>
      <c r="O45" s="9">
        <f t="shared" si="4"/>
        <v>28460</v>
      </c>
      <c r="P45" s="8">
        <f t="shared" si="11"/>
        <v>1.5042566666666667E-2</v>
      </c>
      <c r="Q45" s="8">
        <f t="shared" si="11"/>
        <v>0.26470816666666663</v>
      </c>
      <c r="R45" s="8">
        <f t="shared" si="11"/>
        <v>2.5394266666666665E-2</v>
      </c>
      <c r="S45" s="8">
        <f t="shared" si="11"/>
        <v>0.22307913333333337</v>
      </c>
      <c r="T45" s="8">
        <f t="shared" si="11"/>
        <v>3.2468133333333336E-2</v>
      </c>
      <c r="U45" s="8">
        <f t="shared" si="11"/>
        <v>4.6634600000000005E-2</v>
      </c>
    </row>
    <row r="46" spans="1:21" x14ac:dyDescent="0.25">
      <c r="A46" s="5">
        <f t="shared" si="2"/>
        <v>25750</v>
      </c>
      <c r="B46" s="4">
        <v>1.5204799999999999E-2</v>
      </c>
      <c r="C46" s="4">
        <v>0.3321868</v>
      </c>
      <c r="D46" s="4">
        <v>1.9832900000000001E-2</v>
      </c>
      <c r="E46" s="4">
        <v>0.2510464</v>
      </c>
      <c r="F46" s="4">
        <v>4.0146599999999998E-2</v>
      </c>
      <c r="G46" s="4">
        <v>5.4079799999999997E-2</v>
      </c>
      <c r="H46" s="3">
        <f t="shared" si="5"/>
        <v>1.36186E-2</v>
      </c>
      <c r="I46" s="3">
        <f t="shared" si="6"/>
        <v>0.30502013333333333</v>
      </c>
      <c r="J46" s="3">
        <f t="shared" si="7"/>
        <v>1.9320299999999999E-2</v>
      </c>
      <c r="K46" s="3">
        <f t="shared" si="8"/>
        <v>0.24895540000000002</v>
      </c>
      <c r="L46" s="3">
        <f t="shared" si="9"/>
        <v>3.7303033333333339E-2</v>
      </c>
      <c r="M46" s="3">
        <f t="shared" si="10"/>
        <v>4.8718433333333332E-2</v>
      </c>
      <c r="O46" s="9">
        <f t="shared" si="4"/>
        <v>28550</v>
      </c>
      <c r="P46" s="8">
        <f t="shared" si="11"/>
        <v>1.4563266666666666E-2</v>
      </c>
      <c r="Q46" s="8">
        <f t="shared" si="11"/>
        <v>0.27308899999999997</v>
      </c>
      <c r="R46" s="8">
        <f t="shared" si="11"/>
        <v>2.5159533333333334E-2</v>
      </c>
      <c r="S46" s="8">
        <f t="shared" si="11"/>
        <v>0.22942223333333334</v>
      </c>
      <c r="T46" s="8">
        <f t="shared" si="11"/>
        <v>3.4160733333333332E-2</v>
      </c>
      <c r="U46" s="8">
        <f t="shared" si="11"/>
        <v>4.7066433333333345E-2</v>
      </c>
    </row>
    <row r="47" spans="1:21" x14ac:dyDescent="0.25">
      <c r="A47" s="5">
        <f t="shared" si="2"/>
        <v>25781</v>
      </c>
      <c r="B47" s="4">
        <v>1.36384E-2</v>
      </c>
      <c r="C47" s="4">
        <v>0.3034598</v>
      </c>
      <c r="D47" s="4">
        <v>1.8666200000000001E-2</v>
      </c>
      <c r="E47" s="4">
        <v>0.24731880000000001</v>
      </c>
      <c r="F47" s="4">
        <v>3.56362E-2</v>
      </c>
      <c r="G47" s="4">
        <v>4.5916999999999999E-2</v>
      </c>
      <c r="H47" s="3">
        <f t="shared" si="5"/>
        <v>1.3786366666666668E-2</v>
      </c>
      <c r="I47" s="3">
        <f t="shared" si="6"/>
        <v>0.30713273333333335</v>
      </c>
      <c r="J47" s="3">
        <f t="shared" si="7"/>
        <v>2.0450866666666668E-2</v>
      </c>
      <c r="K47" s="3">
        <f t="shared" si="8"/>
        <v>0.24467253333333336</v>
      </c>
      <c r="L47" s="3">
        <f t="shared" si="9"/>
        <v>3.7426266666666673E-2</v>
      </c>
      <c r="M47" s="3">
        <f t="shared" si="10"/>
        <v>4.9316799999999994E-2</v>
      </c>
      <c r="O47" s="9">
        <f t="shared" si="4"/>
        <v>28642</v>
      </c>
      <c r="P47" s="8">
        <f t="shared" si="11"/>
        <v>1.3744433333333334E-2</v>
      </c>
      <c r="Q47" s="8">
        <f t="shared" si="11"/>
        <v>0.29500729999999997</v>
      </c>
      <c r="R47" s="8">
        <f t="shared" si="11"/>
        <v>2.5079599999999997E-2</v>
      </c>
      <c r="S47" s="8">
        <f t="shared" si="11"/>
        <v>0.23291166666666666</v>
      </c>
      <c r="T47" s="8">
        <f t="shared" si="11"/>
        <v>3.2312666666666663E-2</v>
      </c>
      <c r="U47" s="8">
        <f t="shared" si="11"/>
        <v>4.9511966666666664E-2</v>
      </c>
    </row>
    <row r="48" spans="1:21" x14ac:dyDescent="0.25">
      <c r="A48" s="5">
        <f t="shared" si="2"/>
        <v>25812</v>
      </c>
      <c r="B48" s="4">
        <v>1.4515500000000001E-2</v>
      </c>
      <c r="C48" s="4">
        <v>0.30044759999999998</v>
      </c>
      <c r="D48" s="4">
        <v>2.0414999999999999E-2</v>
      </c>
      <c r="E48" s="4">
        <v>0.2392919</v>
      </c>
      <c r="F48" s="4">
        <v>3.8338499999999998E-2</v>
      </c>
      <c r="G48" s="4">
        <v>4.7462600000000001E-2</v>
      </c>
      <c r="H48" s="3">
        <f t="shared" si="5"/>
        <v>1.4452899999999999E-2</v>
      </c>
      <c r="I48" s="3">
        <f t="shared" si="6"/>
        <v>0.31203140000000001</v>
      </c>
      <c r="J48" s="3">
        <f t="shared" si="7"/>
        <v>1.9638033333333332E-2</v>
      </c>
      <c r="K48" s="3">
        <f t="shared" si="8"/>
        <v>0.24588570000000001</v>
      </c>
      <c r="L48" s="3">
        <f t="shared" si="9"/>
        <v>3.8040433333333332E-2</v>
      </c>
      <c r="M48" s="3">
        <f t="shared" si="10"/>
        <v>4.9153133333333328E-2</v>
      </c>
      <c r="O48" s="9">
        <f t="shared" si="4"/>
        <v>28734</v>
      </c>
      <c r="P48" s="8">
        <f t="shared" si="11"/>
        <v>1.51808E-2</v>
      </c>
      <c r="Q48" s="8">
        <f t="shared" si="11"/>
        <v>0.28444406666666672</v>
      </c>
      <c r="R48" s="8">
        <f t="shared" si="11"/>
        <v>2.4552866666666669E-2</v>
      </c>
      <c r="S48" s="8">
        <f t="shared" si="11"/>
        <v>0.23720096666666668</v>
      </c>
      <c r="T48" s="8">
        <f t="shared" si="11"/>
        <v>3.363943333333333E-2</v>
      </c>
      <c r="U48" s="8">
        <f t="shared" si="11"/>
        <v>4.9312966666666673E-2</v>
      </c>
    </row>
    <row r="49" spans="1:21" x14ac:dyDescent="0.25">
      <c r="A49" s="5">
        <f t="shared" si="2"/>
        <v>25842</v>
      </c>
      <c r="B49" s="4">
        <v>1.6451299999999999E-2</v>
      </c>
      <c r="C49" s="4">
        <v>0.33134540000000001</v>
      </c>
      <c r="D49" s="4">
        <v>2.0097799999999999E-2</v>
      </c>
      <c r="E49" s="4">
        <v>0.23289599999999999</v>
      </c>
      <c r="F49" s="4">
        <v>4.1647299999999998E-2</v>
      </c>
      <c r="G49" s="4">
        <v>5.6750700000000001E-2</v>
      </c>
      <c r="H49" s="3">
        <f t="shared" si="5"/>
        <v>1.4868399999999999E-2</v>
      </c>
      <c r="I49" s="3">
        <f t="shared" si="6"/>
        <v>0.31175093333333331</v>
      </c>
      <c r="J49" s="3">
        <f t="shared" si="7"/>
        <v>1.9726333333333332E-2</v>
      </c>
      <c r="K49" s="3">
        <f t="shared" si="8"/>
        <v>0.23983556666666664</v>
      </c>
      <c r="L49" s="3">
        <f t="shared" si="9"/>
        <v>3.8540666666666668E-2</v>
      </c>
      <c r="M49" s="3">
        <f t="shared" si="10"/>
        <v>5.0043433333333331E-2</v>
      </c>
      <c r="O49" s="9">
        <f t="shared" si="4"/>
        <v>28825</v>
      </c>
      <c r="P49" s="8">
        <f t="shared" si="11"/>
        <v>1.3886033333333332E-2</v>
      </c>
      <c r="Q49" s="8">
        <f t="shared" si="11"/>
        <v>0.27905249999999998</v>
      </c>
      <c r="R49" s="8">
        <f t="shared" si="11"/>
        <v>2.4661366666666667E-2</v>
      </c>
      <c r="S49" s="8">
        <f t="shared" si="11"/>
        <v>0.22751803333333334</v>
      </c>
      <c r="T49" s="8">
        <f t="shared" si="11"/>
        <v>3.2852266666666664E-2</v>
      </c>
      <c r="U49" s="8">
        <f t="shared" si="11"/>
        <v>4.6808666666666665E-2</v>
      </c>
    </row>
    <row r="50" spans="1:21" x14ac:dyDescent="0.25">
      <c r="A50" s="5">
        <f t="shared" si="2"/>
        <v>25873</v>
      </c>
      <c r="B50" s="4">
        <v>1.38537E-2</v>
      </c>
      <c r="C50" s="4">
        <v>0.28486450000000002</v>
      </c>
      <c r="D50" s="4">
        <v>2.1740300000000001E-2</v>
      </c>
      <c r="E50" s="4">
        <v>0.21048359999999999</v>
      </c>
      <c r="F50" s="4">
        <v>3.6005099999999998E-2</v>
      </c>
      <c r="G50" s="4">
        <v>4.4835300000000002E-2</v>
      </c>
      <c r="H50" s="3">
        <f t="shared" si="5"/>
        <v>1.4940166666666666E-2</v>
      </c>
      <c r="I50" s="3">
        <f t="shared" si="6"/>
        <v>0.30555250000000006</v>
      </c>
      <c r="J50" s="3">
        <f t="shared" si="7"/>
        <v>2.0751033333333335E-2</v>
      </c>
      <c r="K50" s="3">
        <f t="shared" si="8"/>
        <v>0.22755716666666667</v>
      </c>
      <c r="L50" s="3">
        <f t="shared" si="9"/>
        <v>3.8663633333333329E-2</v>
      </c>
      <c r="M50" s="3">
        <f t="shared" si="10"/>
        <v>4.9682866666666665E-2</v>
      </c>
      <c r="O50" s="9">
        <f t="shared" si="4"/>
        <v>28915</v>
      </c>
      <c r="P50" s="8">
        <f t="shared" si="11"/>
        <v>1.3790266666666667E-2</v>
      </c>
      <c r="Q50" s="8">
        <f t="shared" si="11"/>
        <v>0.28398363333333337</v>
      </c>
      <c r="R50" s="8">
        <f t="shared" si="11"/>
        <v>2.3891233333333334E-2</v>
      </c>
      <c r="S50" s="8">
        <f t="shared" si="11"/>
        <v>0.22959850000000001</v>
      </c>
      <c r="T50" s="8">
        <f t="shared" si="11"/>
        <v>3.3775366666666667E-2</v>
      </c>
      <c r="U50" s="8">
        <f t="shared" si="11"/>
        <v>4.9020000000000001E-2</v>
      </c>
    </row>
    <row r="51" spans="1:21" x14ac:dyDescent="0.25">
      <c r="A51" s="5">
        <f t="shared" si="2"/>
        <v>25903</v>
      </c>
      <c r="B51" s="4">
        <v>1.6416500000000001E-2</v>
      </c>
      <c r="C51" s="4">
        <v>0.31681389999999998</v>
      </c>
      <c r="D51" s="4">
        <v>2.06971E-2</v>
      </c>
      <c r="E51" s="4">
        <v>0.21835060000000001</v>
      </c>
      <c r="F51" s="4">
        <v>3.6991400000000001E-2</v>
      </c>
      <c r="G51" s="4">
        <v>4.7078500000000002E-2</v>
      </c>
      <c r="H51" s="3">
        <f t="shared" si="5"/>
        <v>1.5573833333333334E-2</v>
      </c>
      <c r="I51" s="3">
        <f t="shared" si="6"/>
        <v>0.31100793333333338</v>
      </c>
      <c r="J51" s="3">
        <f t="shared" si="7"/>
        <v>2.0845066666666665E-2</v>
      </c>
      <c r="K51" s="3">
        <f t="shared" si="8"/>
        <v>0.22057673333333336</v>
      </c>
      <c r="L51" s="3">
        <f t="shared" si="9"/>
        <v>3.8214599999999994E-2</v>
      </c>
      <c r="M51" s="3">
        <f t="shared" si="10"/>
        <v>4.9554833333333333E-2</v>
      </c>
      <c r="O51" s="9">
        <f t="shared" si="4"/>
        <v>29007</v>
      </c>
      <c r="P51" s="8">
        <f t="shared" si="11"/>
        <v>1.4514966666666665E-2</v>
      </c>
      <c r="Q51" s="8">
        <f t="shared" si="11"/>
        <v>0.29648313333333332</v>
      </c>
      <c r="R51" s="8">
        <f t="shared" si="11"/>
        <v>2.3718400000000001E-2</v>
      </c>
      <c r="S51" s="8">
        <f t="shared" si="11"/>
        <v>0.23801206666666666</v>
      </c>
      <c r="T51" s="8">
        <f t="shared" si="11"/>
        <v>3.4164333333333331E-2</v>
      </c>
      <c r="U51" s="8">
        <f t="shared" si="11"/>
        <v>4.9209633333333336E-2</v>
      </c>
    </row>
    <row r="52" spans="1:21" x14ac:dyDescent="0.25">
      <c r="A52" s="5">
        <f t="shared" si="2"/>
        <v>25934</v>
      </c>
      <c r="B52" s="4">
        <v>1.4429300000000001E-2</v>
      </c>
      <c r="C52" s="4">
        <v>0.27696700000000002</v>
      </c>
      <c r="D52" s="4">
        <v>2.0243400000000002E-2</v>
      </c>
      <c r="E52" s="4">
        <v>0.22734119999999999</v>
      </c>
      <c r="F52" s="4">
        <v>3.4648600000000002E-2</v>
      </c>
      <c r="G52" s="4">
        <v>4.4406800000000003E-2</v>
      </c>
      <c r="H52" s="3">
        <f t="shared" si="5"/>
        <v>1.4899833333333334E-2</v>
      </c>
      <c r="I52" s="3">
        <f t="shared" si="6"/>
        <v>0.29288179999999997</v>
      </c>
      <c r="J52" s="3">
        <f t="shared" si="7"/>
        <v>2.0893600000000002E-2</v>
      </c>
      <c r="K52" s="3">
        <f t="shared" si="8"/>
        <v>0.21872513333333332</v>
      </c>
      <c r="L52" s="3">
        <f t="shared" si="9"/>
        <v>3.5881699999999996E-2</v>
      </c>
      <c r="M52" s="3">
        <f t="shared" si="10"/>
        <v>4.5440200000000007E-2</v>
      </c>
      <c r="O52" s="9">
        <f t="shared" si="4"/>
        <v>29099</v>
      </c>
      <c r="P52" s="8">
        <f t="shared" si="11"/>
        <v>1.4938366666666666E-2</v>
      </c>
      <c r="Q52" s="8">
        <f t="shared" si="11"/>
        <v>0.29106033333333331</v>
      </c>
      <c r="R52" s="8">
        <f t="shared" si="11"/>
        <v>2.4171866666666667E-2</v>
      </c>
      <c r="S52" s="8">
        <f t="shared" si="11"/>
        <v>0.22448576666666667</v>
      </c>
      <c r="T52" s="8">
        <f t="shared" si="11"/>
        <v>3.3372000000000006E-2</v>
      </c>
      <c r="U52" s="8">
        <f t="shared" si="11"/>
        <v>5.0020700000000001E-2</v>
      </c>
    </row>
    <row r="53" spans="1:21" x14ac:dyDescent="0.25">
      <c r="A53" s="5">
        <f t="shared" si="2"/>
        <v>25965</v>
      </c>
      <c r="B53" s="4">
        <v>1.3617499999999999E-2</v>
      </c>
      <c r="C53" s="4">
        <v>0.26140000000000002</v>
      </c>
      <c r="D53" s="4">
        <v>2.0862700000000001E-2</v>
      </c>
      <c r="E53" s="4">
        <v>0.2326773</v>
      </c>
      <c r="F53" s="4">
        <v>3.3884200000000003E-2</v>
      </c>
      <c r="G53" s="4">
        <v>4.1602699999999999E-2</v>
      </c>
      <c r="H53" s="3">
        <f t="shared" si="5"/>
        <v>1.4821099999999999E-2</v>
      </c>
      <c r="I53" s="3">
        <f t="shared" si="6"/>
        <v>0.28506030000000004</v>
      </c>
      <c r="J53" s="3">
        <f t="shared" si="7"/>
        <v>2.0601066666666668E-2</v>
      </c>
      <c r="K53" s="3">
        <f t="shared" si="8"/>
        <v>0.22612303333333331</v>
      </c>
      <c r="L53" s="3">
        <f t="shared" si="9"/>
        <v>3.517473333333334E-2</v>
      </c>
      <c r="M53" s="3">
        <f t="shared" si="10"/>
        <v>4.4362666666666668E-2</v>
      </c>
      <c r="O53" s="9">
        <f t="shared" si="4"/>
        <v>29190</v>
      </c>
      <c r="P53" s="8">
        <f t="shared" si="11"/>
        <v>1.4869066666666667E-2</v>
      </c>
      <c r="Q53" s="8">
        <f t="shared" si="11"/>
        <v>0.28234013333333335</v>
      </c>
      <c r="R53" s="8">
        <f t="shared" si="11"/>
        <v>2.4520233333333332E-2</v>
      </c>
      <c r="S53" s="8">
        <f t="shared" si="11"/>
        <v>0.22099956666666665</v>
      </c>
      <c r="T53" s="8">
        <f t="shared" si="11"/>
        <v>3.2737866666666664E-2</v>
      </c>
      <c r="U53" s="8">
        <f t="shared" si="11"/>
        <v>4.8599099999999999E-2</v>
      </c>
    </row>
    <row r="54" spans="1:21" x14ac:dyDescent="0.25">
      <c r="A54" s="5">
        <f t="shared" si="2"/>
        <v>25993</v>
      </c>
      <c r="B54" s="4">
        <v>1.4278799999999999E-2</v>
      </c>
      <c r="C54" s="4">
        <v>0.27129350000000002</v>
      </c>
      <c r="D54" s="4">
        <v>2.0736500000000001E-2</v>
      </c>
      <c r="E54" s="4">
        <v>0.2275384</v>
      </c>
      <c r="F54" s="4">
        <v>3.5463799999999997E-2</v>
      </c>
      <c r="G54" s="4">
        <v>4.2597500000000003E-2</v>
      </c>
      <c r="H54" s="3">
        <f t="shared" si="5"/>
        <v>1.4108533333333333E-2</v>
      </c>
      <c r="I54" s="3">
        <f t="shared" si="6"/>
        <v>0.26988683333333335</v>
      </c>
      <c r="J54" s="3">
        <f t="shared" si="7"/>
        <v>2.0614200000000003E-2</v>
      </c>
      <c r="K54" s="3">
        <f t="shared" si="8"/>
        <v>0.22918563333333333</v>
      </c>
      <c r="L54" s="3">
        <f t="shared" si="9"/>
        <v>3.4665533333333332E-2</v>
      </c>
      <c r="M54" s="3">
        <f t="shared" si="10"/>
        <v>4.2868999999999997E-2</v>
      </c>
      <c r="O54" s="9">
        <f t="shared" si="4"/>
        <v>29281</v>
      </c>
      <c r="P54" s="8">
        <f t="shared" si="11"/>
        <v>1.5599633333333333E-2</v>
      </c>
      <c r="Q54" s="8">
        <f t="shared" si="11"/>
        <v>0.26604036666666664</v>
      </c>
      <c r="R54" s="8">
        <f t="shared" si="11"/>
        <v>2.41888E-2</v>
      </c>
      <c r="S54" s="8">
        <f t="shared" si="11"/>
        <v>0.23446296666666666</v>
      </c>
      <c r="T54" s="8">
        <f t="shared" si="11"/>
        <v>3.2951966666666666E-2</v>
      </c>
      <c r="U54" s="8">
        <f t="shared" si="11"/>
        <v>4.7495033333333332E-2</v>
      </c>
    </row>
    <row r="55" spans="1:21" x14ac:dyDescent="0.25">
      <c r="A55" s="5">
        <f t="shared" si="2"/>
        <v>26024</v>
      </c>
      <c r="B55" s="4">
        <v>1.47736E-2</v>
      </c>
      <c r="C55" s="4">
        <v>0.28562959999999998</v>
      </c>
      <c r="D55" s="4">
        <v>2.11749E-2</v>
      </c>
      <c r="E55" s="4">
        <v>0.23005970000000001</v>
      </c>
      <c r="F55" s="4">
        <v>3.60836E-2</v>
      </c>
      <c r="G55" s="4">
        <v>5.2183500000000001E-2</v>
      </c>
      <c r="H55" s="3">
        <f t="shared" si="5"/>
        <v>1.4223299999999999E-2</v>
      </c>
      <c r="I55" s="3">
        <f t="shared" si="6"/>
        <v>0.27277436666666666</v>
      </c>
      <c r="J55" s="3">
        <f t="shared" si="7"/>
        <v>2.0924700000000001E-2</v>
      </c>
      <c r="K55" s="3">
        <f t="shared" si="8"/>
        <v>0.23009179999999999</v>
      </c>
      <c r="L55" s="3">
        <f t="shared" si="9"/>
        <v>3.5143866666666662E-2</v>
      </c>
      <c r="M55" s="3">
        <f t="shared" si="10"/>
        <v>4.546123333333333E-2</v>
      </c>
      <c r="O55" s="9">
        <f t="shared" si="4"/>
        <v>29373</v>
      </c>
      <c r="P55" s="8">
        <f t="shared" si="11"/>
        <v>1.9691133333333333E-2</v>
      </c>
      <c r="Q55" s="8">
        <f t="shared" si="11"/>
        <v>0.2603164</v>
      </c>
      <c r="R55" s="8">
        <f t="shared" si="11"/>
        <v>2.6192766666666669E-2</v>
      </c>
      <c r="S55" s="8">
        <f t="shared" si="11"/>
        <v>0.20343730000000002</v>
      </c>
      <c r="T55" s="8">
        <f t="shared" si="11"/>
        <v>3.1496599999999993E-2</v>
      </c>
      <c r="U55" s="8">
        <f t="shared" si="11"/>
        <v>4.552606666666667E-2</v>
      </c>
    </row>
    <row r="56" spans="1:21" x14ac:dyDescent="0.25">
      <c r="A56" s="5">
        <f t="shared" si="2"/>
        <v>26054</v>
      </c>
      <c r="B56" s="4">
        <v>1.2466100000000001E-2</v>
      </c>
      <c r="C56" s="4">
        <v>0.2708064</v>
      </c>
      <c r="D56" s="4">
        <v>1.90058E-2</v>
      </c>
      <c r="E56" s="4">
        <v>0.2460986</v>
      </c>
      <c r="F56" s="4">
        <v>3.4167599999999999E-2</v>
      </c>
      <c r="G56" s="4">
        <v>4.2658799999999997E-2</v>
      </c>
      <c r="H56" s="3">
        <f t="shared" si="5"/>
        <v>1.3839499999999999E-2</v>
      </c>
      <c r="I56" s="3">
        <f t="shared" si="6"/>
        <v>0.27590983333333335</v>
      </c>
      <c r="J56" s="3">
        <f t="shared" si="7"/>
        <v>2.0305733333333336E-2</v>
      </c>
      <c r="K56" s="3">
        <f t="shared" si="8"/>
        <v>0.2345655666666667</v>
      </c>
      <c r="L56" s="3">
        <f t="shared" si="9"/>
        <v>3.5238333333333337E-2</v>
      </c>
      <c r="M56" s="3">
        <f t="shared" si="10"/>
        <v>4.5813266666666665E-2</v>
      </c>
      <c r="O56" s="9">
        <f t="shared" si="4"/>
        <v>29465</v>
      </c>
      <c r="P56" s="8">
        <f t="shared" si="11"/>
        <v>1.8265699999999999E-2</v>
      </c>
      <c r="Q56" s="8">
        <f t="shared" si="11"/>
        <v>0.26169783333333335</v>
      </c>
      <c r="R56" s="8">
        <f t="shared" si="11"/>
        <v>2.63422E-2</v>
      </c>
      <c r="S56" s="8">
        <f t="shared" si="11"/>
        <v>0.19763920000000001</v>
      </c>
      <c r="T56" s="8">
        <f t="shared" si="11"/>
        <v>3.1328133333333334E-2</v>
      </c>
      <c r="U56" s="8">
        <f t="shared" si="11"/>
        <v>4.6878033333333326E-2</v>
      </c>
    </row>
    <row r="57" spans="1:21" x14ac:dyDescent="0.25">
      <c r="A57" s="5">
        <f t="shared" si="2"/>
        <v>26085</v>
      </c>
      <c r="B57" s="4">
        <v>1.30513E-2</v>
      </c>
      <c r="C57" s="4">
        <v>0.25789420000000002</v>
      </c>
      <c r="D57" s="4">
        <v>2.4891699999999999E-2</v>
      </c>
      <c r="E57" s="4">
        <v>0.25025219999999998</v>
      </c>
      <c r="F57" s="4">
        <v>3.6895699999999997E-2</v>
      </c>
      <c r="G57" s="4">
        <v>4.4035699999999997E-2</v>
      </c>
      <c r="H57" s="3">
        <f t="shared" si="5"/>
        <v>1.3430333333333334E-2</v>
      </c>
      <c r="I57" s="3">
        <f t="shared" si="6"/>
        <v>0.27144339999999995</v>
      </c>
      <c r="J57" s="3">
        <f t="shared" si="7"/>
        <v>2.16908E-2</v>
      </c>
      <c r="K57" s="3">
        <f t="shared" si="8"/>
        <v>0.24213683333333336</v>
      </c>
      <c r="L57" s="3">
        <f t="shared" si="9"/>
        <v>3.571563333333333E-2</v>
      </c>
      <c r="M57" s="3">
        <f t="shared" si="10"/>
        <v>4.6292666666666669E-2</v>
      </c>
      <c r="O57" s="9">
        <f t="shared" si="4"/>
        <v>29556</v>
      </c>
      <c r="P57" s="8">
        <f t="shared" si="11"/>
        <v>1.6921466666666666E-2</v>
      </c>
      <c r="Q57" s="8">
        <f t="shared" si="11"/>
        <v>0.26140893333333332</v>
      </c>
      <c r="R57" s="8">
        <f t="shared" si="11"/>
        <v>2.7194633333333332E-2</v>
      </c>
      <c r="S57" s="8">
        <f t="shared" si="11"/>
        <v>0.19526503333333334</v>
      </c>
      <c r="T57" s="8">
        <f t="shared" si="11"/>
        <v>3.2208533333333331E-2</v>
      </c>
      <c r="U57" s="8">
        <f t="shared" si="11"/>
        <v>4.6182433333333328E-2</v>
      </c>
    </row>
    <row r="58" spans="1:21" x14ac:dyDescent="0.25">
      <c r="A58" s="5">
        <f t="shared" si="2"/>
        <v>26115</v>
      </c>
      <c r="B58" s="4">
        <v>1.3475300000000001E-2</v>
      </c>
      <c r="C58" s="4">
        <v>0.30906090000000003</v>
      </c>
      <c r="D58" s="4">
        <v>2.5284000000000001E-2</v>
      </c>
      <c r="E58" s="4">
        <v>0.23752180000000001</v>
      </c>
      <c r="F58" s="4">
        <v>3.9527100000000003E-2</v>
      </c>
      <c r="G58" s="4">
        <v>5.2974500000000001E-2</v>
      </c>
      <c r="H58" s="3">
        <f t="shared" si="5"/>
        <v>1.2997566666666668E-2</v>
      </c>
      <c r="I58" s="3">
        <f t="shared" si="6"/>
        <v>0.27925383333333337</v>
      </c>
      <c r="J58" s="3">
        <f t="shared" si="7"/>
        <v>2.3060500000000001E-2</v>
      </c>
      <c r="K58" s="3">
        <f t="shared" si="8"/>
        <v>0.24462419999999999</v>
      </c>
      <c r="L58" s="3">
        <f t="shared" si="9"/>
        <v>3.6863466666666671E-2</v>
      </c>
      <c r="M58" s="3">
        <f t="shared" si="10"/>
        <v>4.6556333333333332E-2</v>
      </c>
      <c r="O58" s="9">
        <f t="shared" si="4"/>
        <v>29646</v>
      </c>
      <c r="P58" s="8">
        <f t="shared" si="11"/>
        <v>1.65626E-2</v>
      </c>
      <c r="Q58" s="8">
        <f t="shared" si="11"/>
        <v>0.24132856666666669</v>
      </c>
      <c r="R58" s="8">
        <f t="shared" si="11"/>
        <v>2.7354466666666671E-2</v>
      </c>
      <c r="S58" s="8">
        <f t="shared" si="11"/>
        <v>0.20351160000000001</v>
      </c>
      <c r="T58" s="8">
        <f t="shared" si="11"/>
        <v>2.9638933333333329E-2</v>
      </c>
      <c r="U58" s="8">
        <f t="shared" si="11"/>
        <v>4.3782099999999997E-2</v>
      </c>
    </row>
    <row r="59" spans="1:21" x14ac:dyDescent="0.25">
      <c r="A59" s="5">
        <f t="shared" si="2"/>
        <v>26146</v>
      </c>
      <c r="B59" s="4">
        <v>1.4586E-2</v>
      </c>
      <c r="C59" s="4">
        <v>0.25688949999999999</v>
      </c>
      <c r="D59" s="4">
        <v>2.24E-2</v>
      </c>
      <c r="E59" s="4">
        <v>0.25722699999999998</v>
      </c>
      <c r="F59" s="4">
        <v>3.3292500000000003E-2</v>
      </c>
      <c r="G59" s="4">
        <v>4.5123299999999998E-2</v>
      </c>
      <c r="H59" s="3">
        <f t="shared" si="5"/>
        <v>1.37042E-2</v>
      </c>
      <c r="I59" s="3">
        <f t="shared" si="6"/>
        <v>0.27461486666666668</v>
      </c>
      <c r="J59" s="3">
        <f t="shared" si="7"/>
        <v>2.4191900000000002E-2</v>
      </c>
      <c r="K59" s="3">
        <f t="shared" si="8"/>
        <v>0.24833366666666667</v>
      </c>
      <c r="L59" s="3">
        <f t="shared" si="9"/>
        <v>3.6571766666666665E-2</v>
      </c>
      <c r="M59" s="3">
        <f t="shared" si="10"/>
        <v>4.7377833333333334E-2</v>
      </c>
      <c r="O59" s="9">
        <f t="shared" si="4"/>
        <v>29738</v>
      </c>
      <c r="P59" s="8">
        <f t="shared" si="11"/>
        <v>1.70073E-2</v>
      </c>
      <c r="Q59" s="8">
        <f t="shared" si="11"/>
        <v>0.25454579999999999</v>
      </c>
      <c r="R59" s="8">
        <f t="shared" si="11"/>
        <v>2.6113366666666665E-2</v>
      </c>
      <c r="S59" s="8">
        <f t="shared" si="11"/>
        <v>0.2004456</v>
      </c>
      <c r="T59" s="8">
        <f t="shared" si="11"/>
        <v>3.1239666666666666E-2</v>
      </c>
      <c r="U59" s="8">
        <f t="shared" si="11"/>
        <v>4.5949933333333332E-2</v>
      </c>
    </row>
    <row r="60" spans="1:21" x14ac:dyDescent="0.25">
      <c r="A60" s="5">
        <f t="shared" si="2"/>
        <v>26177</v>
      </c>
      <c r="B60" s="4">
        <v>1.55415E-2</v>
      </c>
      <c r="C60" s="4">
        <v>0.28926689999999999</v>
      </c>
      <c r="D60" s="4">
        <v>2.1283900000000001E-2</v>
      </c>
      <c r="E60" s="4">
        <v>0.25342290000000001</v>
      </c>
      <c r="F60" s="4">
        <v>3.9744399999999999E-2</v>
      </c>
      <c r="G60" s="4">
        <v>5.06367E-2</v>
      </c>
      <c r="H60" s="3">
        <f t="shared" si="5"/>
        <v>1.4534266666666665E-2</v>
      </c>
      <c r="I60" s="3">
        <f t="shared" si="6"/>
        <v>0.28507243333333332</v>
      </c>
      <c r="J60" s="3">
        <f t="shared" si="7"/>
        <v>2.2989300000000001E-2</v>
      </c>
      <c r="K60" s="3">
        <f t="shared" si="8"/>
        <v>0.24939056666666667</v>
      </c>
      <c r="L60" s="3">
        <f t="shared" si="9"/>
        <v>3.7521333333333337E-2</v>
      </c>
      <c r="M60" s="3">
        <f t="shared" si="10"/>
        <v>4.9578166666666666E-2</v>
      </c>
      <c r="O60" s="9">
        <f t="shared" si="4"/>
        <v>29830</v>
      </c>
      <c r="P60" s="8">
        <f t="shared" si="11"/>
        <v>1.7127733333333336E-2</v>
      </c>
      <c r="Q60" s="8">
        <f t="shared" si="11"/>
        <v>0.24620909999999999</v>
      </c>
      <c r="R60" s="8">
        <f t="shared" si="11"/>
        <v>2.70228E-2</v>
      </c>
      <c r="S60" s="8">
        <f t="shared" si="11"/>
        <v>0.21275896666666663</v>
      </c>
      <c r="T60" s="8">
        <f t="shared" si="11"/>
        <v>3.1026766666666667E-2</v>
      </c>
      <c r="U60" s="8">
        <f t="shared" si="11"/>
        <v>4.4690100000000003E-2</v>
      </c>
    </row>
    <row r="61" spans="1:21" x14ac:dyDescent="0.25">
      <c r="A61" s="5">
        <f t="shared" si="2"/>
        <v>26207</v>
      </c>
      <c r="B61" s="4">
        <v>1.14118E-2</v>
      </c>
      <c r="C61" s="4">
        <v>0.2502376</v>
      </c>
      <c r="D61" s="4">
        <v>2.1573100000000001E-2</v>
      </c>
      <c r="E61" s="4">
        <v>0.25084849999999997</v>
      </c>
      <c r="F61" s="4">
        <v>3.3491100000000003E-2</v>
      </c>
      <c r="G61" s="4">
        <v>4.6027400000000003E-2</v>
      </c>
      <c r="H61" s="3">
        <f t="shared" si="5"/>
        <v>1.3846433333333333E-2</v>
      </c>
      <c r="I61" s="3">
        <f t="shared" si="6"/>
        <v>0.26546466666666668</v>
      </c>
      <c r="J61" s="3">
        <f t="shared" si="7"/>
        <v>2.1752333333333332E-2</v>
      </c>
      <c r="K61" s="3">
        <f t="shared" si="8"/>
        <v>0.25383280000000003</v>
      </c>
      <c r="L61" s="3">
        <f t="shared" si="9"/>
        <v>3.5509333333333337E-2</v>
      </c>
      <c r="M61" s="3">
        <f t="shared" si="10"/>
        <v>4.7262466666666669E-2</v>
      </c>
      <c r="O61" s="9">
        <f t="shared" si="4"/>
        <v>29921</v>
      </c>
      <c r="P61" s="8">
        <f t="shared" si="11"/>
        <v>2.14524E-2</v>
      </c>
      <c r="Q61" s="8">
        <f t="shared" si="11"/>
        <v>0.2435702333333333</v>
      </c>
      <c r="R61" s="8">
        <f t="shared" si="11"/>
        <v>2.9147800000000001E-2</v>
      </c>
      <c r="S61" s="8">
        <f t="shared" si="11"/>
        <v>0.19963803333333333</v>
      </c>
      <c r="T61" s="8">
        <f t="shared" si="11"/>
        <v>3.0919266666666667E-2</v>
      </c>
      <c r="U61" s="8">
        <f t="shared" si="11"/>
        <v>4.3862766666666664E-2</v>
      </c>
    </row>
    <row r="62" spans="1:21" x14ac:dyDescent="0.25">
      <c r="A62" s="5">
        <f t="shared" si="2"/>
        <v>26238</v>
      </c>
      <c r="B62" s="4">
        <v>1.3274599999999999E-2</v>
      </c>
      <c r="C62" s="4">
        <v>0.26748840000000002</v>
      </c>
      <c r="D62" s="4">
        <v>2.3051200000000001E-2</v>
      </c>
      <c r="E62" s="4">
        <v>0.2288734</v>
      </c>
      <c r="F62" s="4">
        <v>3.2766099999999999E-2</v>
      </c>
      <c r="G62" s="4">
        <v>4.4634399999999998E-2</v>
      </c>
      <c r="H62" s="3">
        <f t="shared" si="5"/>
        <v>1.3409299999999999E-2</v>
      </c>
      <c r="I62" s="3">
        <f t="shared" si="6"/>
        <v>0.26899763333333332</v>
      </c>
      <c r="J62" s="3">
        <f t="shared" si="7"/>
        <v>2.19694E-2</v>
      </c>
      <c r="K62" s="3">
        <f t="shared" si="8"/>
        <v>0.24438159999999998</v>
      </c>
      <c r="L62" s="3">
        <f t="shared" si="9"/>
        <v>3.5333866666666665E-2</v>
      </c>
      <c r="M62" s="3">
        <f t="shared" si="10"/>
        <v>4.7099499999999996E-2</v>
      </c>
      <c r="O62" s="9">
        <f t="shared" si="4"/>
        <v>30011</v>
      </c>
      <c r="P62" s="8">
        <f t="shared" si="11"/>
        <v>2.004336666666667E-2</v>
      </c>
      <c r="Q62" s="8">
        <f t="shared" si="11"/>
        <v>0.22179386666666667</v>
      </c>
      <c r="R62" s="8">
        <f t="shared" si="11"/>
        <v>2.9910433333333333E-2</v>
      </c>
      <c r="S62" s="8">
        <f t="shared" si="11"/>
        <v>0.19708866666666669</v>
      </c>
      <c r="T62" s="8">
        <f t="shared" si="11"/>
        <v>2.9723599999999999E-2</v>
      </c>
      <c r="U62" s="8">
        <f t="shared" si="11"/>
        <v>4.2941399999999998E-2</v>
      </c>
    </row>
    <row r="63" spans="1:21" x14ac:dyDescent="0.25">
      <c r="A63" s="5">
        <f t="shared" si="2"/>
        <v>26268</v>
      </c>
      <c r="B63" s="4">
        <v>1.5111100000000001E-2</v>
      </c>
      <c r="C63" s="4">
        <v>0.30267139999999998</v>
      </c>
      <c r="D63" s="4">
        <v>2.05271E-2</v>
      </c>
      <c r="E63" s="4">
        <v>0.25048120000000001</v>
      </c>
      <c r="F63" s="4">
        <v>3.7407799999999998E-2</v>
      </c>
      <c r="G63" s="4">
        <v>4.9782600000000003E-2</v>
      </c>
      <c r="H63" s="3">
        <f t="shared" si="5"/>
        <v>1.3265833333333333E-2</v>
      </c>
      <c r="I63" s="3">
        <f t="shared" si="6"/>
        <v>0.27346580000000004</v>
      </c>
      <c r="J63" s="3">
        <f t="shared" si="7"/>
        <v>2.1717133333333333E-2</v>
      </c>
      <c r="K63" s="3">
        <f t="shared" si="8"/>
        <v>0.24340103333333332</v>
      </c>
      <c r="L63" s="3">
        <f t="shared" si="9"/>
        <v>3.4555000000000002E-2</v>
      </c>
      <c r="M63" s="3">
        <f t="shared" si="10"/>
        <v>4.6814799999999997E-2</v>
      </c>
      <c r="O63" s="9">
        <f t="shared" si="4"/>
        <v>30103</v>
      </c>
      <c r="P63" s="8">
        <f t="shared" si="11"/>
        <v>2.1484699999999999E-2</v>
      </c>
      <c r="Q63" s="8">
        <f t="shared" si="11"/>
        <v>0.21581516666666664</v>
      </c>
      <c r="R63" s="8">
        <f t="shared" si="11"/>
        <v>3.06553E-2</v>
      </c>
      <c r="S63" s="8">
        <f t="shared" si="11"/>
        <v>0.18400910000000001</v>
      </c>
      <c r="T63" s="8">
        <f t="shared" si="11"/>
        <v>2.8738133333333332E-2</v>
      </c>
      <c r="U63" s="8">
        <f t="shared" si="11"/>
        <v>4.1554100000000004E-2</v>
      </c>
    </row>
    <row r="64" spans="1:21" x14ac:dyDescent="0.25">
      <c r="A64" s="5">
        <f t="shared" si="2"/>
        <v>26299</v>
      </c>
      <c r="B64" s="4">
        <v>1.3856500000000001E-2</v>
      </c>
      <c r="C64" s="4">
        <v>0.28147070000000002</v>
      </c>
      <c r="D64" s="4">
        <v>2.2705900000000001E-2</v>
      </c>
      <c r="E64" s="4">
        <v>0.24422189999999999</v>
      </c>
      <c r="F64" s="4">
        <v>3.5954100000000003E-2</v>
      </c>
      <c r="G64" s="4">
        <v>4.4673999999999998E-2</v>
      </c>
      <c r="H64" s="3">
        <f t="shared" si="5"/>
        <v>1.4080733333333333E-2</v>
      </c>
      <c r="I64" s="3">
        <f t="shared" si="6"/>
        <v>0.2838768333333333</v>
      </c>
      <c r="J64" s="3">
        <f t="shared" si="7"/>
        <v>2.2094733333333335E-2</v>
      </c>
      <c r="K64" s="3">
        <f t="shared" si="8"/>
        <v>0.24119216666666668</v>
      </c>
      <c r="L64" s="3">
        <f t="shared" si="9"/>
        <v>3.5375999999999998E-2</v>
      </c>
      <c r="M64" s="3">
        <f t="shared" si="10"/>
        <v>4.6363666666666664E-2</v>
      </c>
      <c r="O64" s="9">
        <f t="shared" si="4"/>
        <v>30195</v>
      </c>
      <c r="P64" s="8">
        <f t="shared" si="11"/>
        <v>2.2032099999999999E-2</v>
      </c>
      <c r="Q64" s="8">
        <f t="shared" si="11"/>
        <v>0.21205383333333336</v>
      </c>
      <c r="R64" s="8">
        <f t="shared" si="11"/>
        <v>3.0816133333333332E-2</v>
      </c>
      <c r="S64" s="8">
        <f t="shared" si="11"/>
        <v>0.1813989</v>
      </c>
      <c r="T64" s="8">
        <f t="shared" si="11"/>
        <v>3.0623533333333331E-2</v>
      </c>
      <c r="U64" s="8">
        <f t="shared" si="11"/>
        <v>4.4861866666666667E-2</v>
      </c>
    </row>
    <row r="65" spans="1:21" x14ac:dyDescent="0.25">
      <c r="A65" s="5">
        <f t="shared" si="2"/>
        <v>26330</v>
      </c>
      <c r="B65" s="4">
        <v>1.2912399999999999E-2</v>
      </c>
      <c r="C65" s="4">
        <v>0.26501380000000002</v>
      </c>
      <c r="D65" s="4">
        <v>2.1287E-2</v>
      </c>
      <c r="E65" s="4">
        <v>0.24598100000000001</v>
      </c>
      <c r="F65" s="4">
        <v>3.3952200000000002E-2</v>
      </c>
      <c r="G65" s="4">
        <v>4.5649000000000002E-2</v>
      </c>
      <c r="H65" s="3">
        <f t="shared" si="5"/>
        <v>1.396E-2</v>
      </c>
      <c r="I65" s="3">
        <f t="shared" si="6"/>
        <v>0.28305196666666665</v>
      </c>
      <c r="J65" s="3">
        <f t="shared" si="7"/>
        <v>2.1506666666666664E-2</v>
      </c>
      <c r="K65" s="3">
        <f t="shared" si="8"/>
        <v>0.24689469999999999</v>
      </c>
      <c r="L65" s="3">
        <f t="shared" si="9"/>
        <v>3.5771366666666672E-2</v>
      </c>
      <c r="M65" s="3">
        <f t="shared" si="10"/>
        <v>4.6701866666666668E-2</v>
      </c>
      <c r="O65" s="9">
        <f t="shared" si="4"/>
        <v>30286</v>
      </c>
      <c r="P65" s="8">
        <f t="shared" si="11"/>
        <v>2.2672033333333331E-2</v>
      </c>
      <c r="Q65" s="8">
        <f t="shared" si="11"/>
        <v>0.19212603333333333</v>
      </c>
      <c r="R65" s="8">
        <f t="shared" si="11"/>
        <v>3.3035500000000002E-2</v>
      </c>
      <c r="S65" s="8">
        <f t="shared" si="11"/>
        <v>0.17169206666666667</v>
      </c>
      <c r="T65" s="8">
        <f t="shared" si="11"/>
        <v>2.9012033333333336E-2</v>
      </c>
      <c r="U65" s="8">
        <f t="shared" si="11"/>
        <v>3.9681666666666664E-2</v>
      </c>
    </row>
    <row r="66" spans="1:21" x14ac:dyDescent="0.25">
      <c r="A66" s="5">
        <f t="shared" si="2"/>
        <v>26359</v>
      </c>
      <c r="B66" s="4">
        <v>1.42083E-2</v>
      </c>
      <c r="C66" s="4">
        <v>0.30279699999999998</v>
      </c>
      <c r="D66" s="4">
        <v>2.2360399999999999E-2</v>
      </c>
      <c r="E66" s="4">
        <v>0.23493710000000001</v>
      </c>
      <c r="F66" s="4">
        <v>3.63944E-2</v>
      </c>
      <c r="G66" s="4">
        <v>5.1037699999999998E-2</v>
      </c>
      <c r="H66" s="3">
        <f t="shared" si="5"/>
        <v>1.3659066666666666E-2</v>
      </c>
      <c r="I66" s="3">
        <f t="shared" si="6"/>
        <v>0.28309383333333332</v>
      </c>
      <c r="J66" s="3">
        <f t="shared" si="7"/>
        <v>2.2117766666666667E-2</v>
      </c>
      <c r="K66" s="3">
        <f t="shared" si="8"/>
        <v>0.24171333333333334</v>
      </c>
      <c r="L66" s="3">
        <f t="shared" si="9"/>
        <v>3.5433566666666666E-2</v>
      </c>
      <c r="M66" s="3">
        <f t="shared" si="10"/>
        <v>4.7120233333333338E-2</v>
      </c>
      <c r="O66" s="9">
        <f t="shared" si="4"/>
        <v>30376</v>
      </c>
      <c r="P66" s="8">
        <f t="shared" si="11"/>
        <v>1.9149633333333336E-2</v>
      </c>
      <c r="Q66" s="8">
        <f t="shared" si="11"/>
        <v>0.18887406666666665</v>
      </c>
      <c r="R66" s="8">
        <f t="shared" si="11"/>
        <v>2.9178533333333329E-2</v>
      </c>
      <c r="S66" s="8">
        <f t="shared" si="11"/>
        <v>0.1689842</v>
      </c>
      <c r="T66" s="8">
        <f t="shared" si="11"/>
        <v>2.7826E-2</v>
      </c>
      <c r="U66" s="8">
        <f t="shared" si="11"/>
        <v>3.8159466666666662E-2</v>
      </c>
    </row>
    <row r="67" spans="1:21" x14ac:dyDescent="0.25">
      <c r="A67" s="5">
        <f t="shared" si="2"/>
        <v>26390</v>
      </c>
      <c r="B67" s="4">
        <v>1.1990199999999999E-2</v>
      </c>
      <c r="C67" s="4">
        <v>0.26184059999999998</v>
      </c>
      <c r="D67" s="4">
        <v>2.20799E-2</v>
      </c>
      <c r="E67" s="4">
        <v>0.23890839999999999</v>
      </c>
      <c r="F67" s="4">
        <v>3.4624000000000002E-2</v>
      </c>
      <c r="G67" s="4">
        <v>4.5218300000000003E-2</v>
      </c>
      <c r="H67" s="3">
        <f t="shared" si="5"/>
        <v>1.3036966666666665E-2</v>
      </c>
      <c r="I67" s="3">
        <f t="shared" si="6"/>
        <v>0.27655046666666666</v>
      </c>
      <c r="J67" s="3">
        <f t="shared" si="7"/>
        <v>2.1909100000000001E-2</v>
      </c>
      <c r="K67" s="3">
        <f t="shared" si="8"/>
        <v>0.23994216666666668</v>
      </c>
      <c r="L67" s="3">
        <f t="shared" si="9"/>
        <v>3.4990200000000006E-2</v>
      </c>
      <c r="M67" s="3">
        <f t="shared" si="10"/>
        <v>4.7301666666666665E-2</v>
      </c>
      <c r="O67" s="9">
        <f t="shared" si="4"/>
        <v>30468</v>
      </c>
      <c r="P67" s="8">
        <f t="shared" si="11"/>
        <v>1.9577800000000003E-2</v>
      </c>
      <c r="Q67" s="8">
        <f t="shared" si="11"/>
        <v>0.20683700000000002</v>
      </c>
      <c r="R67" s="8">
        <f t="shared" si="11"/>
        <v>3.2401566666666666E-2</v>
      </c>
      <c r="S67" s="8">
        <f t="shared" si="11"/>
        <v>0.17942416666666669</v>
      </c>
      <c r="T67" s="8">
        <f t="shared" si="11"/>
        <v>2.9882800000000001E-2</v>
      </c>
      <c r="U67" s="8">
        <f t="shared" si="11"/>
        <v>4.2686833333333334E-2</v>
      </c>
    </row>
    <row r="68" spans="1:21" x14ac:dyDescent="0.25">
      <c r="A68" s="5">
        <f t="shared" si="2"/>
        <v>26420</v>
      </c>
      <c r="B68" s="4">
        <v>1.27108E-2</v>
      </c>
      <c r="C68" s="4">
        <v>0.2850316</v>
      </c>
      <c r="D68" s="4">
        <v>1.8631700000000001E-2</v>
      </c>
      <c r="E68" s="4">
        <v>0.24507509999999999</v>
      </c>
      <c r="F68" s="4">
        <v>3.4342400000000002E-2</v>
      </c>
      <c r="G68" s="4">
        <v>4.5347400000000003E-2</v>
      </c>
      <c r="H68" s="3">
        <f t="shared" si="5"/>
        <v>1.2969766666666667E-2</v>
      </c>
      <c r="I68" s="3">
        <f t="shared" si="6"/>
        <v>0.28322306666666663</v>
      </c>
      <c r="J68" s="3">
        <f t="shared" si="7"/>
        <v>2.1024000000000001E-2</v>
      </c>
      <c r="K68" s="3">
        <f t="shared" si="8"/>
        <v>0.2396402</v>
      </c>
      <c r="L68" s="3">
        <f t="shared" si="9"/>
        <v>3.512026666666667E-2</v>
      </c>
      <c r="M68" s="3">
        <f t="shared" si="10"/>
        <v>4.7201133333333339E-2</v>
      </c>
      <c r="O68" s="9">
        <f t="shared" si="4"/>
        <v>30560</v>
      </c>
      <c r="P68" s="8">
        <f t="shared" si="11"/>
        <v>1.9058866666666664E-2</v>
      </c>
      <c r="Q68" s="8">
        <f t="shared" si="11"/>
        <v>0.21911239999999998</v>
      </c>
      <c r="R68" s="8">
        <f t="shared" si="11"/>
        <v>3.0262800000000003E-2</v>
      </c>
      <c r="S68" s="8">
        <f t="shared" si="11"/>
        <v>0.18989466666666668</v>
      </c>
      <c r="T68" s="8">
        <f t="shared" si="11"/>
        <v>2.8591133333333334E-2</v>
      </c>
      <c r="U68" s="8">
        <f t="shared" si="11"/>
        <v>4.2878666666666669E-2</v>
      </c>
    </row>
    <row r="69" spans="1:21" x14ac:dyDescent="0.25">
      <c r="A69" s="5">
        <f t="shared" si="2"/>
        <v>26451</v>
      </c>
      <c r="B69" s="4">
        <v>1.45702E-2</v>
      </c>
      <c r="C69" s="4">
        <v>0.31049450000000001</v>
      </c>
      <c r="D69" s="4">
        <v>2.4548400000000001E-2</v>
      </c>
      <c r="E69" s="4">
        <v>0.2371026</v>
      </c>
      <c r="F69" s="4">
        <v>3.8702199999999999E-2</v>
      </c>
      <c r="G69" s="4">
        <v>5.06642E-2</v>
      </c>
      <c r="H69" s="3">
        <f t="shared" si="5"/>
        <v>1.30904E-2</v>
      </c>
      <c r="I69" s="3">
        <f t="shared" si="6"/>
        <v>0.28578889999999996</v>
      </c>
      <c r="J69" s="3">
        <f t="shared" si="7"/>
        <v>2.1753333333333333E-2</v>
      </c>
      <c r="K69" s="3">
        <f t="shared" si="8"/>
        <v>0.24036203333333331</v>
      </c>
      <c r="L69" s="3">
        <f t="shared" si="9"/>
        <v>3.5889533333333334E-2</v>
      </c>
      <c r="M69" s="3">
        <f t="shared" si="10"/>
        <v>4.7076633333333333E-2</v>
      </c>
      <c r="O69" s="9">
        <f t="shared" si="4"/>
        <v>30651</v>
      </c>
      <c r="P69" s="8">
        <f t="shared" ref="P69:U100" si="12">VLOOKUP($O69,$A$4:$M$423,P$1)</f>
        <v>1.8493733333333331E-2</v>
      </c>
      <c r="Q69" s="8">
        <f t="shared" si="12"/>
        <v>0.22085489999999997</v>
      </c>
      <c r="R69" s="8">
        <f t="shared" si="12"/>
        <v>2.7924899999999999E-2</v>
      </c>
      <c r="S69" s="8">
        <f t="shared" si="12"/>
        <v>0.19205543333333333</v>
      </c>
      <c r="T69" s="8">
        <f t="shared" si="12"/>
        <v>2.9403466666666666E-2</v>
      </c>
      <c r="U69" s="8">
        <f t="shared" si="12"/>
        <v>4.3066333333333338E-2</v>
      </c>
    </row>
    <row r="70" spans="1:21" x14ac:dyDescent="0.25">
      <c r="A70" s="5">
        <f t="shared" ref="A70:A133" si="13">DATE(YEAR(A69),MONTH(A69)+1,1)</f>
        <v>26481</v>
      </c>
      <c r="B70" s="4">
        <v>1.3436699999999999E-2</v>
      </c>
      <c r="C70" s="4">
        <v>0.28774539999999998</v>
      </c>
      <c r="D70" s="4">
        <v>2.1528700000000001E-2</v>
      </c>
      <c r="E70" s="4">
        <v>0.23644680000000001</v>
      </c>
      <c r="F70" s="4">
        <v>3.5645000000000003E-2</v>
      </c>
      <c r="G70" s="4">
        <v>4.5384899999999999E-2</v>
      </c>
      <c r="H70" s="3">
        <f t="shared" si="5"/>
        <v>1.3572566666666666E-2</v>
      </c>
      <c r="I70" s="3">
        <f t="shared" si="6"/>
        <v>0.29442383333333333</v>
      </c>
      <c r="J70" s="3">
        <f t="shared" si="7"/>
        <v>2.1569599999999998E-2</v>
      </c>
      <c r="K70" s="3">
        <f t="shared" si="8"/>
        <v>0.23954149999999999</v>
      </c>
      <c r="L70" s="3">
        <f t="shared" si="9"/>
        <v>3.6229866666666666E-2</v>
      </c>
      <c r="M70" s="3">
        <f t="shared" si="10"/>
        <v>4.7132166666666669E-2</v>
      </c>
      <c r="O70" s="9">
        <f t="shared" ref="O70:O107" si="14">DATE(YEAR(O69),MONTH(O69)+3,1)</f>
        <v>30742</v>
      </c>
      <c r="P70" s="8">
        <f t="shared" si="12"/>
        <v>1.6564133333333331E-2</v>
      </c>
      <c r="Q70" s="8">
        <f t="shared" si="12"/>
        <v>0.2387852</v>
      </c>
      <c r="R70" s="8">
        <f t="shared" si="12"/>
        <v>2.8133566666666665E-2</v>
      </c>
      <c r="S70" s="8">
        <f t="shared" si="12"/>
        <v>0.20161573333333335</v>
      </c>
      <c r="T70" s="8">
        <f t="shared" si="12"/>
        <v>3.0879199999999999E-2</v>
      </c>
      <c r="U70" s="8">
        <f t="shared" si="12"/>
        <v>4.3165566666666662E-2</v>
      </c>
    </row>
    <row r="71" spans="1:21" x14ac:dyDescent="0.25">
      <c r="A71" s="5">
        <f t="shared" si="13"/>
        <v>26512</v>
      </c>
      <c r="B71" s="4">
        <v>1.34783E-2</v>
      </c>
      <c r="C71" s="4">
        <v>0.28244160000000001</v>
      </c>
      <c r="D71" s="4">
        <v>2.1310300000000001E-2</v>
      </c>
      <c r="E71" s="4">
        <v>0.2405378</v>
      </c>
      <c r="F71" s="4">
        <v>3.1811300000000001E-2</v>
      </c>
      <c r="G71" s="4">
        <v>4.7546600000000001E-2</v>
      </c>
      <c r="H71" s="3">
        <f t="shared" ref="H71:H134" si="15">AVERAGE(B69:B71)</f>
        <v>1.3828399999999999E-2</v>
      </c>
      <c r="I71" s="3">
        <f t="shared" ref="I71:I134" si="16">AVERAGE(C69:C71)</f>
        <v>0.29356050000000006</v>
      </c>
      <c r="J71" s="3">
        <f t="shared" ref="J71:J134" si="17">AVERAGE(D69:D71)</f>
        <v>2.2462466666666667E-2</v>
      </c>
      <c r="K71" s="3">
        <f t="shared" ref="K71:K134" si="18">AVERAGE(E69:E71)</f>
        <v>0.23802906666666668</v>
      </c>
      <c r="L71" s="3">
        <f t="shared" ref="L71:L134" si="19">AVERAGE(F69:F71)</f>
        <v>3.538616666666667E-2</v>
      </c>
      <c r="M71" s="3">
        <f t="shared" ref="M71:M134" si="20">AVERAGE(G69:G71)</f>
        <v>4.7865233333333333E-2</v>
      </c>
      <c r="O71" s="9">
        <f t="shared" si="14"/>
        <v>30834</v>
      </c>
      <c r="P71" s="8">
        <f t="shared" si="12"/>
        <v>1.5950333333333334E-2</v>
      </c>
      <c r="Q71" s="8">
        <f t="shared" si="12"/>
        <v>0.24592020000000001</v>
      </c>
      <c r="R71" s="8">
        <f t="shared" si="12"/>
        <v>2.8368600000000004E-2</v>
      </c>
      <c r="S71" s="8">
        <f t="shared" si="12"/>
        <v>0.19858863333333332</v>
      </c>
      <c r="T71" s="8">
        <f t="shared" si="12"/>
        <v>2.9765166666666665E-2</v>
      </c>
      <c r="U71" s="8">
        <f t="shared" si="12"/>
        <v>4.5366566666666663E-2</v>
      </c>
    </row>
    <row r="72" spans="1:21" x14ac:dyDescent="0.25">
      <c r="A72" s="5">
        <f t="shared" si="13"/>
        <v>26543</v>
      </c>
      <c r="B72" s="4">
        <v>1.4388400000000001E-2</v>
      </c>
      <c r="C72" s="4">
        <v>0.30191990000000002</v>
      </c>
      <c r="D72" s="4">
        <v>2.1785200000000001E-2</v>
      </c>
      <c r="E72" s="4">
        <v>0.24462529999999999</v>
      </c>
      <c r="F72" s="4">
        <v>4.1527599999999998E-2</v>
      </c>
      <c r="G72" s="4">
        <v>5.1312799999999999E-2</v>
      </c>
      <c r="H72" s="3">
        <f t="shared" si="15"/>
        <v>1.3767800000000002E-2</v>
      </c>
      <c r="I72" s="3">
        <f t="shared" si="16"/>
        <v>0.29070230000000002</v>
      </c>
      <c r="J72" s="3">
        <f t="shared" si="17"/>
        <v>2.1541400000000002E-2</v>
      </c>
      <c r="K72" s="3">
        <f t="shared" si="18"/>
        <v>0.24053663333333333</v>
      </c>
      <c r="L72" s="3">
        <f t="shared" si="19"/>
        <v>3.6327966666666663E-2</v>
      </c>
      <c r="M72" s="3">
        <f t="shared" si="20"/>
        <v>4.8081433333333333E-2</v>
      </c>
      <c r="O72" s="9">
        <f t="shared" si="14"/>
        <v>30926</v>
      </c>
      <c r="P72" s="8">
        <f t="shared" si="12"/>
        <v>1.7160433333333332E-2</v>
      </c>
      <c r="Q72" s="8">
        <f t="shared" si="12"/>
        <v>0.24243300000000001</v>
      </c>
      <c r="R72" s="8">
        <f t="shared" si="12"/>
        <v>2.8054999999999997E-2</v>
      </c>
      <c r="S72" s="8">
        <f t="shared" si="12"/>
        <v>0.21020030000000001</v>
      </c>
      <c r="T72" s="8">
        <f t="shared" si="12"/>
        <v>3.0654899999999999E-2</v>
      </c>
      <c r="U72" s="8">
        <f t="shared" si="12"/>
        <v>4.5394700000000003E-2</v>
      </c>
    </row>
    <row r="73" spans="1:21" x14ac:dyDescent="0.25">
      <c r="A73" s="5">
        <f t="shared" si="13"/>
        <v>26573</v>
      </c>
      <c r="B73" s="4">
        <v>1.2772800000000001E-2</v>
      </c>
      <c r="C73" s="4">
        <v>0.29070000000000001</v>
      </c>
      <c r="D73" s="4">
        <v>2.0694199999999999E-2</v>
      </c>
      <c r="E73" s="4">
        <v>0.23532710000000001</v>
      </c>
      <c r="F73" s="4">
        <v>3.6131700000000003E-2</v>
      </c>
      <c r="G73" s="4">
        <v>4.6735199999999998E-2</v>
      </c>
      <c r="H73" s="3">
        <f t="shared" si="15"/>
        <v>1.3546500000000001E-2</v>
      </c>
      <c r="I73" s="3">
        <f t="shared" si="16"/>
        <v>0.29168716666666666</v>
      </c>
      <c r="J73" s="3">
        <f t="shared" si="17"/>
        <v>2.1263233333333336E-2</v>
      </c>
      <c r="K73" s="3">
        <f t="shared" si="18"/>
        <v>0.2401634</v>
      </c>
      <c r="L73" s="3">
        <f t="shared" si="19"/>
        <v>3.64902E-2</v>
      </c>
      <c r="M73" s="3">
        <f t="shared" si="20"/>
        <v>4.8531533333333328E-2</v>
      </c>
      <c r="O73" s="9">
        <f t="shared" si="14"/>
        <v>31017</v>
      </c>
      <c r="P73" s="8">
        <f t="shared" si="12"/>
        <v>1.6744100000000001E-2</v>
      </c>
      <c r="Q73" s="8">
        <f t="shared" si="12"/>
        <v>0.23613663333333332</v>
      </c>
      <c r="R73" s="8">
        <f t="shared" si="12"/>
        <v>2.9940300000000003E-2</v>
      </c>
      <c r="S73" s="8">
        <f t="shared" si="12"/>
        <v>0.21527963333333333</v>
      </c>
      <c r="T73" s="8">
        <f t="shared" si="12"/>
        <v>3.1052399999999997E-2</v>
      </c>
      <c r="U73" s="8">
        <f t="shared" si="12"/>
        <v>4.5472133333333331E-2</v>
      </c>
    </row>
    <row r="74" spans="1:21" x14ac:dyDescent="0.25">
      <c r="A74" s="5">
        <f t="shared" si="13"/>
        <v>26604</v>
      </c>
      <c r="B74" s="4">
        <v>1.28361E-2</v>
      </c>
      <c r="C74" s="4">
        <v>0.30371769999999998</v>
      </c>
      <c r="D74" s="4">
        <v>2.0567599999999998E-2</v>
      </c>
      <c r="E74" s="4">
        <v>0.2690805</v>
      </c>
      <c r="F74" s="4">
        <v>3.92611E-2</v>
      </c>
      <c r="G74" s="4">
        <v>5.1637099999999998E-2</v>
      </c>
      <c r="H74" s="3">
        <f t="shared" si="15"/>
        <v>1.3332433333333333E-2</v>
      </c>
      <c r="I74" s="3">
        <f t="shared" si="16"/>
        <v>0.29877920000000002</v>
      </c>
      <c r="J74" s="3">
        <f t="shared" si="17"/>
        <v>2.1015666666666665E-2</v>
      </c>
      <c r="K74" s="3">
        <f t="shared" si="18"/>
        <v>0.24967763333333334</v>
      </c>
      <c r="L74" s="3">
        <f t="shared" si="19"/>
        <v>3.8973466666666672E-2</v>
      </c>
      <c r="M74" s="3">
        <f t="shared" si="20"/>
        <v>4.9895033333333332E-2</v>
      </c>
      <c r="O74" s="9">
        <f t="shared" si="14"/>
        <v>31107</v>
      </c>
      <c r="P74" s="8">
        <f t="shared" si="12"/>
        <v>1.6964533333333334E-2</v>
      </c>
      <c r="Q74" s="8">
        <f t="shared" si="12"/>
        <v>0.26000549999999994</v>
      </c>
      <c r="R74" s="8">
        <f t="shared" si="12"/>
        <v>2.7835133333333335E-2</v>
      </c>
      <c r="S74" s="8">
        <f t="shared" si="12"/>
        <v>0.20607513333333335</v>
      </c>
      <c r="T74" s="8">
        <f t="shared" si="12"/>
        <v>3.1219200000000003E-2</v>
      </c>
      <c r="U74" s="8">
        <f t="shared" si="12"/>
        <v>4.629833333333333E-2</v>
      </c>
    </row>
    <row r="75" spans="1:21" x14ac:dyDescent="0.25">
      <c r="A75" s="5">
        <f t="shared" si="13"/>
        <v>26634</v>
      </c>
      <c r="B75" s="4">
        <v>1.14869E-2</v>
      </c>
      <c r="C75" s="4">
        <v>0.3008943</v>
      </c>
      <c r="D75" s="4">
        <v>2.0940500000000001E-2</v>
      </c>
      <c r="E75" s="4">
        <v>0.25169259999999999</v>
      </c>
      <c r="F75" s="4">
        <v>3.4336199999999997E-2</v>
      </c>
      <c r="G75" s="4">
        <v>4.6495099999999998E-2</v>
      </c>
      <c r="H75" s="3">
        <f t="shared" si="15"/>
        <v>1.2365266666666666E-2</v>
      </c>
      <c r="I75" s="3">
        <f t="shared" si="16"/>
        <v>0.29843733333333328</v>
      </c>
      <c r="J75" s="3">
        <f t="shared" si="17"/>
        <v>2.0734100000000002E-2</v>
      </c>
      <c r="K75" s="3">
        <f t="shared" si="18"/>
        <v>0.25203339999999996</v>
      </c>
      <c r="L75" s="3">
        <f t="shared" si="19"/>
        <v>3.6576333333333336E-2</v>
      </c>
      <c r="M75" s="3">
        <f t="shared" si="20"/>
        <v>4.8289133333333324E-2</v>
      </c>
      <c r="O75" s="9">
        <f t="shared" si="14"/>
        <v>31199</v>
      </c>
      <c r="P75" s="8">
        <f t="shared" si="12"/>
        <v>1.8022E-2</v>
      </c>
      <c r="Q75" s="8">
        <f t="shared" si="12"/>
        <v>0.25473049999999997</v>
      </c>
      <c r="R75" s="8">
        <f t="shared" si="12"/>
        <v>2.8084300000000003E-2</v>
      </c>
      <c r="S75" s="8">
        <f t="shared" si="12"/>
        <v>0.20903923333333332</v>
      </c>
      <c r="T75" s="8">
        <f t="shared" si="12"/>
        <v>3.2507633333333334E-2</v>
      </c>
      <c r="U75" s="8">
        <f t="shared" si="12"/>
        <v>4.5363299999999995E-2</v>
      </c>
    </row>
    <row r="76" spans="1:21" x14ac:dyDescent="0.25">
      <c r="A76" s="5">
        <f t="shared" si="13"/>
        <v>26665</v>
      </c>
      <c r="B76" s="4">
        <v>1.24855E-2</v>
      </c>
      <c r="C76" s="4">
        <v>0.27516770000000002</v>
      </c>
      <c r="D76" s="4">
        <v>1.8686100000000001E-2</v>
      </c>
      <c r="E76" s="4">
        <v>0.29281190000000001</v>
      </c>
      <c r="F76" s="4">
        <v>3.8972399999999997E-2</v>
      </c>
      <c r="G76" s="4">
        <v>4.2704100000000002E-2</v>
      </c>
      <c r="H76" s="3">
        <f t="shared" si="15"/>
        <v>1.2269499999999997E-2</v>
      </c>
      <c r="I76" s="3">
        <f t="shared" si="16"/>
        <v>0.29325989999999996</v>
      </c>
      <c r="J76" s="3">
        <f t="shared" si="17"/>
        <v>2.0064733333333334E-2</v>
      </c>
      <c r="K76" s="3">
        <f t="shared" si="18"/>
        <v>0.27119500000000002</v>
      </c>
      <c r="L76" s="3">
        <f t="shared" si="19"/>
        <v>3.7523233333333329E-2</v>
      </c>
      <c r="M76" s="3">
        <f t="shared" si="20"/>
        <v>4.6945433333333335E-2</v>
      </c>
      <c r="O76" s="9">
        <f t="shared" si="14"/>
        <v>31291</v>
      </c>
      <c r="P76" s="8">
        <f t="shared" si="12"/>
        <v>1.7038533333333331E-2</v>
      </c>
      <c r="Q76" s="8">
        <f t="shared" si="12"/>
        <v>0.24921433333333334</v>
      </c>
      <c r="R76" s="8">
        <f t="shared" si="12"/>
        <v>2.703963333333333E-2</v>
      </c>
      <c r="S76" s="8">
        <f t="shared" si="12"/>
        <v>0.21233120000000003</v>
      </c>
      <c r="T76" s="8">
        <f t="shared" si="12"/>
        <v>2.9945299999999998E-2</v>
      </c>
      <c r="U76" s="8">
        <f t="shared" si="12"/>
        <v>4.8234733333333335E-2</v>
      </c>
    </row>
    <row r="77" spans="1:21" x14ac:dyDescent="0.25">
      <c r="A77" s="5">
        <f t="shared" si="13"/>
        <v>26696</v>
      </c>
      <c r="B77" s="4">
        <v>1.3269299999999999E-2</v>
      </c>
      <c r="C77" s="4">
        <v>0.3263527</v>
      </c>
      <c r="D77" s="4">
        <v>2.3529600000000001E-2</v>
      </c>
      <c r="E77" s="4">
        <v>0.26761790000000002</v>
      </c>
      <c r="F77" s="4">
        <v>3.5164300000000002E-2</v>
      </c>
      <c r="G77" s="4">
        <v>5.3670900000000001E-2</v>
      </c>
      <c r="H77" s="3">
        <f t="shared" si="15"/>
        <v>1.2413899999999999E-2</v>
      </c>
      <c r="I77" s="3">
        <f t="shared" si="16"/>
        <v>0.30080489999999999</v>
      </c>
      <c r="J77" s="3">
        <f t="shared" si="17"/>
        <v>2.1052066666666664E-2</v>
      </c>
      <c r="K77" s="3">
        <f t="shared" si="18"/>
        <v>0.27070746666666667</v>
      </c>
      <c r="L77" s="3">
        <f t="shared" si="19"/>
        <v>3.6157633333333335E-2</v>
      </c>
      <c r="M77" s="3">
        <f t="shared" si="20"/>
        <v>4.7623366666666667E-2</v>
      </c>
      <c r="O77" s="9">
        <f t="shared" si="14"/>
        <v>31382</v>
      </c>
      <c r="P77" s="8">
        <f t="shared" si="12"/>
        <v>1.6519166666666668E-2</v>
      </c>
      <c r="Q77" s="8">
        <f t="shared" si="12"/>
        <v>0.24299423333333334</v>
      </c>
      <c r="R77" s="8">
        <f t="shared" si="12"/>
        <v>2.7212166666666666E-2</v>
      </c>
      <c r="S77" s="8">
        <f t="shared" si="12"/>
        <v>0.21389963333333331</v>
      </c>
      <c r="T77" s="8">
        <f t="shared" si="12"/>
        <v>2.8597533333333331E-2</v>
      </c>
      <c r="U77" s="8">
        <f t="shared" si="12"/>
        <v>4.2875733333333332E-2</v>
      </c>
    </row>
    <row r="78" spans="1:21" x14ac:dyDescent="0.25">
      <c r="A78" s="5">
        <f t="shared" si="13"/>
        <v>26724</v>
      </c>
      <c r="B78" s="4">
        <v>1.2275899999999999E-2</v>
      </c>
      <c r="C78" s="4">
        <v>0.28779310000000002</v>
      </c>
      <c r="D78" s="4">
        <v>1.89777E-2</v>
      </c>
      <c r="E78" s="4">
        <v>0.25697399999999998</v>
      </c>
      <c r="F78" s="4">
        <v>3.5891100000000002E-2</v>
      </c>
      <c r="G78" s="4">
        <v>4.9158500000000001E-2</v>
      </c>
      <c r="H78" s="3">
        <f t="shared" si="15"/>
        <v>1.26769E-2</v>
      </c>
      <c r="I78" s="3">
        <f t="shared" si="16"/>
        <v>0.29643783333333334</v>
      </c>
      <c r="J78" s="3">
        <f t="shared" si="17"/>
        <v>2.0397800000000001E-2</v>
      </c>
      <c r="K78" s="3">
        <f t="shared" si="18"/>
        <v>0.27246793333333336</v>
      </c>
      <c r="L78" s="3">
        <f t="shared" si="19"/>
        <v>3.6675933333333334E-2</v>
      </c>
      <c r="M78" s="3">
        <f t="shared" si="20"/>
        <v>4.8511166666666668E-2</v>
      </c>
      <c r="O78" s="9">
        <f t="shared" si="14"/>
        <v>31472</v>
      </c>
      <c r="P78" s="8">
        <f t="shared" si="12"/>
        <v>1.6423066666666666E-2</v>
      </c>
      <c r="Q78" s="8">
        <f t="shared" si="12"/>
        <v>0.25973973333333333</v>
      </c>
      <c r="R78" s="8">
        <f t="shared" si="12"/>
        <v>2.7608066666666667E-2</v>
      </c>
      <c r="S78" s="8">
        <f t="shared" si="12"/>
        <v>0.21558440000000001</v>
      </c>
      <c r="T78" s="8">
        <f t="shared" si="12"/>
        <v>3.0185533333333334E-2</v>
      </c>
      <c r="U78" s="8">
        <f t="shared" si="12"/>
        <v>4.619023333333333E-2</v>
      </c>
    </row>
    <row r="79" spans="1:21" x14ac:dyDescent="0.25">
      <c r="A79" s="5">
        <f t="shared" si="13"/>
        <v>26755</v>
      </c>
      <c r="B79" s="4">
        <v>1.21663E-2</v>
      </c>
      <c r="C79" s="4">
        <v>0.28149239999999998</v>
      </c>
      <c r="D79" s="4">
        <v>2.1394199999999999E-2</v>
      </c>
      <c r="E79" s="4">
        <v>0.26769860000000001</v>
      </c>
      <c r="F79" s="4">
        <v>3.4628300000000001E-2</v>
      </c>
      <c r="G79" s="4">
        <v>4.7288999999999998E-2</v>
      </c>
      <c r="H79" s="3">
        <f t="shared" si="15"/>
        <v>1.2570499999999998E-2</v>
      </c>
      <c r="I79" s="3">
        <f t="shared" si="16"/>
        <v>0.29854606666666667</v>
      </c>
      <c r="J79" s="3">
        <f t="shared" si="17"/>
        <v>2.13005E-2</v>
      </c>
      <c r="K79" s="3">
        <f t="shared" si="18"/>
        <v>0.26409683333333334</v>
      </c>
      <c r="L79" s="3">
        <f t="shared" si="19"/>
        <v>3.5227899999999999E-2</v>
      </c>
      <c r="M79" s="3">
        <f t="shared" si="20"/>
        <v>5.0039466666666664E-2</v>
      </c>
      <c r="O79" s="9">
        <f t="shared" si="14"/>
        <v>31564</v>
      </c>
      <c r="P79" s="8">
        <f t="shared" si="12"/>
        <v>1.7017100000000004E-2</v>
      </c>
      <c r="Q79" s="8">
        <f t="shared" si="12"/>
        <v>0.25286896666666664</v>
      </c>
      <c r="R79" s="8">
        <f t="shared" si="12"/>
        <v>2.7119633333333334E-2</v>
      </c>
      <c r="S79" s="8">
        <f t="shared" si="12"/>
        <v>0.20056286666666667</v>
      </c>
      <c r="T79" s="8">
        <f t="shared" si="12"/>
        <v>2.8885533333333335E-2</v>
      </c>
      <c r="U79" s="8">
        <f t="shared" si="12"/>
        <v>4.5950466666666669E-2</v>
      </c>
    </row>
    <row r="80" spans="1:21" x14ac:dyDescent="0.25">
      <c r="A80" s="5">
        <f t="shared" si="13"/>
        <v>26785</v>
      </c>
      <c r="B80" s="4">
        <v>1.0784699999999999E-2</v>
      </c>
      <c r="C80" s="4">
        <v>0.28499950000000002</v>
      </c>
      <c r="D80" s="4">
        <v>1.8496599999999998E-2</v>
      </c>
      <c r="E80" s="4">
        <v>0.27461419999999997</v>
      </c>
      <c r="F80" s="4">
        <v>3.7275500000000003E-2</v>
      </c>
      <c r="G80" s="4">
        <v>4.5522699999999999E-2</v>
      </c>
      <c r="H80" s="3">
        <f t="shared" si="15"/>
        <v>1.1742299999999999E-2</v>
      </c>
      <c r="I80" s="3">
        <f t="shared" si="16"/>
        <v>0.28476166666666664</v>
      </c>
      <c r="J80" s="3">
        <f t="shared" si="17"/>
        <v>1.9622833333333336E-2</v>
      </c>
      <c r="K80" s="3">
        <f t="shared" si="18"/>
        <v>0.26642893333333334</v>
      </c>
      <c r="L80" s="3">
        <f t="shared" si="19"/>
        <v>3.5931633333333338E-2</v>
      </c>
      <c r="M80" s="3">
        <f t="shared" si="20"/>
        <v>4.7323399999999995E-2</v>
      </c>
      <c r="O80" s="9">
        <f t="shared" si="14"/>
        <v>31656</v>
      </c>
      <c r="P80" s="8">
        <f t="shared" si="12"/>
        <v>1.6070399999999999E-2</v>
      </c>
      <c r="Q80" s="8">
        <f t="shared" si="12"/>
        <v>0.24392550000000002</v>
      </c>
      <c r="R80" s="8">
        <f t="shared" si="12"/>
        <v>2.5706266666666668E-2</v>
      </c>
      <c r="S80" s="8">
        <f t="shared" si="12"/>
        <v>0.21159316666666669</v>
      </c>
      <c r="T80" s="8">
        <f t="shared" si="12"/>
        <v>2.9191733333333334E-2</v>
      </c>
      <c r="U80" s="8">
        <f t="shared" si="12"/>
        <v>4.5118133333333338E-2</v>
      </c>
    </row>
    <row r="81" spans="1:21" x14ac:dyDescent="0.25">
      <c r="A81" s="5">
        <f t="shared" si="13"/>
        <v>26816</v>
      </c>
      <c r="B81" s="4">
        <v>1.30426E-2</v>
      </c>
      <c r="C81" s="4">
        <v>0.3121775</v>
      </c>
      <c r="D81" s="4">
        <v>2.2571500000000001E-2</v>
      </c>
      <c r="E81" s="4">
        <v>0.26869910000000002</v>
      </c>
      <c r="F81" s="4">
        <v>3.9044099999999998E-2</v>
      </c>
      <c r="G81" s="4">
        <v>5.7419199999999997E-2</v>
      </c>
      <c r="H81" s="3">
        <f t="shared" si="15"/>
        <v>1.1997866666666667E-2</v>
      </c>
      <c r="I81" s="3">
        <f t="shared" si="16"/>
        <v>0.29288979999999998</v>
      </c>
      <c r="J81" s="3">
        <f t="shared" si="17"/>
        <v>2.0820766666666667E-2</v>
      </c>
      <c r="K81" s="3">
        <f t="shared" si="18"/>
        <v>0.2703373</v>
      </c>
      <c r="L81" s="3">
        <f t="shared" si="19"/>
        <v>3.6982633333333334E-2</v>
      </c>
      <c r="M81" s="3">
        <f t="shared" si="20"/>
        <v>5.0076966666666667E-2</v>
      </c>
      <c r="O81" s="9">
        <f t="shared" si="14"/>
        <v>31747</v>
      </c>
      <c r="P81" s="8">
        <f t="shared" si="12"/>
        <v>1.7211333333333332E-2</v>
      </c>
      <c r="Q81" s="8">
        <f t="shared" si="12"/>
        <v>0.2638629666666667</v>
      </c>
      <c r="R81" s="8">
        <f t="shared" si="12"/>
        <v>2.5067666666666665E-2</v>
      </c>
      <c r="S81" s="8">
        <f t="shared" si="12"/>
        <v>0.20201500000000003</v>
      </c>
      <c r="T81" s="8">
        <f t="shared" si="12"/>
        <v>2.8485766666666665E-2</v>
      </c>
      <c r="U81" s="8">
        <f t="shared" si="12"/>
        <v>4.5471733333333327E-2</v>
      </c>
    </row>
    <row r="82" spans="1:21" x14ac:dyDescent="0.25">
      <c r="A82" s="5">
        <f t="shared" si="13"/>
        <v>26846</v>
      </c>
      <c r="B82" s="4">
        <v>1.0917899999999999E-2</v>
      </c>
      <c r="C82" s="4">
        <v>0.30522120000000003</v>
      </c>
      <c r="D82" s="4">
        <v>2.1234800000000002E-2</v>
      </c>
      <c r="E82" s="4">
        <v>0.25633509999999998</v>
      </c>
      <c r="F82" s="4">
        <v>3.7727700000000003E-2</v>
      </c>
      <c r="G82" s="4">
        <v>4.6845199999999997E-2</v>
      </c>
      <c r="H82" s="3">
        <f t="shared" si="15"/>
        <v>1.1581733333333332E-2</v>
      </c>
      <c r="I82" s="3">
        <f t="shared" si="16"/>
        <v>0.30079940000000005</v>
      </c>
      <c r="J82" s="3">
        <f t="shared" si="17"/>
        <v>2.076763333333333E-2</v>
      </c>
      <c r="K82" s="3">
        <f t="shared" si="18"/>
        <v>0.26654946666666662</v>
      </c>
      <c r="L82" s="3">
        <f t="shared" si="19"/>
        <v>3.8015766666666666E-2</v>
      </c>
      <c r="M82" s="3">
        <f t="shared" si="20"/>
        <v>4.9929033333333338E-2</v>
      </c>
      <c r="O82" s="9">
        <f t="shared" si="14"/>
        <v>31837</v>
      </c>
      <c r="P82" s="8">
        <f t="shared" si="12"/>
        <v>1.58966E-2</v>
      </c>
      <c r="Q82" s="8">
        <f t="shared" si="12"/>
        <v>0.26313456666666668</v>
      </c>
      <c r="R82" s="8">
        <f t="shared" si="12"/>
        <v>2.5732666666666668E-2</v>
      </c>
      <c r="S82" s="8">
        <f t="shared" si="12"/>
        <v>0.20416489999999998</v>
      </c>
      <c r="T82" s="8">
        <f t="shared" si="12"/>
        <v>2.7669366666666667E-2</v>
      </c>
      <c r="U82" s="8">
        <f t="shared" si="12"/>
        <v>4.4727900000000008E-2</v>
      </c>
    </row>
    <row r="83" spans="1:21" x14ac:dyDescent="0.25">
      <c r="A83" s="5">
        <f t="shared" si="13"/>
        <v>26877</v>
      </c>
      <c r="B83" s="4">
        <v>1.1975299999999999E-2</v>
      </c>
      <c r="C83" s="4">
        <v>0.32394840000000003</v>
      </c>
      <c r="D83" s="4">
        <v>2.06982E-2</v>
      </c>
      <c r="E83" s="4">
        <v>0.27059709999999998</v>
      </c>
      <c r="F83" s="4">
        <v>4.06252E-2</v>
      </c>
      <c r="G83" s="4">
        <v>5.1418499999999999E-2</v>
      </c>
      <c r="H83" s="3">
        <f t="shared" si="15"/>
        <v>1.1978599999999999E-2</v>
      </c>
      <c r="I83" s="3">
        <f t="shared" si="16"/>
        <v>0.3137823666666667</v>
      </c>
      <c r="J83" s="3">
        <f t="shared" si="17"/>
        <v>2.1501500000000003E-2</v>
      </c>
      <c r="K83" s="3">
        <f t="shared" si="18"/>
        <v>0.26521043333333333</v>
      </c>
      <c r="L83" s="3">
        <f t="shared" si="19"/>
        <v>3.9132333333333331E-2</v>
      </c>
      <c r="M83" s="3">
        <f t="shared" si="20"/>
        <v>5.1894299999999997E-2</v>
      </c>
      <c r="O83" s="9">
        <f t="shared" si="14"/>
        <v>31929</v>
      </c>
      <c r="P83" s="8">
        <f t="shared" si="12"/>
        <v>1.4898833333333333E-2</v>
      </c>
      <c r="Q83" s="8">
        <f t="shared" si="12"/>
        <v>0.27400343333333327</v>
      </c>
      <c r="R83" s="8">
        <f t="shared" si="12"/>
        <v>2.5809499999999999E-2</v>
      </c>
      <c r="S83" s="8">
        <f t="shared" si="12"/>
        <v>0.21026556666666665</v>
      </c>
      <c r="T83" s="8">
        <f t="shared" si="12"/>
        <v>2.9115166666666664E-2</v>
      </c>
      <c r="U83" s="8">
        <f t="shared" si="12"/>
        <v>4.6439366666666669E-2</v>
      </c>
    </row>
    <row r="84" spans="1:21" x14ac:dyDescent="0.25">
      <c r="A84" s="5">
        <f t="shared" si="13"/>
        <v>26908</v>
      </c>
      <c r="B84" s="4">
        <v>1.23917E-2</v>
      </c>
      <c r="C84" s="4">
        <v>0.30097030000000002</v>
      </c>
      <c r="D84" s="4">
        <v>2.01484E-2</v>
      </c>
      <c r="E84" s="4">
        <v>0.26963910000000002</v>
      </c>
      <c r="F84" s="4">
        <v>3.6159999999999998E-2</v>
      </c>
      <c r="G84" s="4">
        <v>4.9337800000000001E-2</v>
      </c>
      <c r="H84" s="3">
        <f t="shared" si="15"/>
        <v>1.1761633333333334E-2</v>
      </c>
      <c r="I84" s="3">
        <f t="shared" si="16"/>
        <v>0.31004663333333332</v>
      </c>
      <c r="J84" s="3">
        <f t="shared" si="17"/>
        <v>2.0693799999999998E-2</v>
      </c>
      <c r="K84" s="3">
        <f t="shared" si="18"/>
        <v>0.26552376666666666</v>
      </c>
      <c r="L84" s="3">
        <f t="shared" si="19"/>
        <v>3.8170966666666667E-2</v>
      </c>
      <c r="M84" s="3">
        <f t="shared" si="20"/>
        <v>4.9200500000000001E-2</v>
      </c>
      <c r="O84" s="9">
        <f t="shared" si="14"/>
        <v>32021</v>
      </c>
      <c r="P84" s="8">
        <f t="shared" si="12"/>
        <v>1.4807500000000001E-2</v>
      </c>
      <c r="Q84" s="8">
        <f t="shared" si="12"/>
        <v>0.27138416666666665</v>
      </c>
      <c r="R84" s="8">
        <f t="shared" si="12"/>
        <v>2.3931933333333336E-2</v>
      </c>
      <c r="S84" s="8">
        <f t="shared" si="12"/>
        <v>0.20864786666666665</v>
      </c>
      <c r="T84" s="8">
        <f t="shared" si="12"/>
        <v>2.8474833333333335E-2</v>
      </c>
      <c r="U84" s="8">
        <f t="shared" si="12"/>
        <v>4.5683099999999997E-2</v>
      </c>
    </row>
    <row r="85" spans="1:21" x14ac:dyDescent="0.25">
      <c r="A85" s="5">
        <f t="shared" si="13"/>
        <v>26938</v>
      </c>
      <c r="B85" s="4">
        <v>1.0731900000000001E-2</v>
      </c>
      <c r="C85" s="4">
        <v>0.31891750000000002</v>
      </c>
      <c r="D85" s="4">
        <v>1.9203000000000001E-2</v>
      </c>
      <c r="E85" s="4">
        <v>0.25974340000000001</v>
      </c>
      <c r="F85" s="4">
        <v>3.4647900000000002E-2</v>
      </c>
      <c r="G85" s="4">
        <v>5.2266300000000002E-2</v>
      </c>
      <c r="H85" s="3">
        <f t="shared" si="15"/>
        <v>1.1699633333333334E-2</v>
      </c>
      <c r="I85" s="3">
        <f t="shared" si="16"/>
        <v>0.31461206666666669</v>
      </c>
      <c r="J85" s="3">
        <f t="shared" si="17"/>
        <v>2.0016533333333333E-2</v>
      </c>
      <c r="K85" s="3">
        <f t="shared" si="18"/>
        <v>0.26665986666666669</v>
      </c>
      <c r="L85" s="3">
        <f t="shared" si="19"/>
        <v>3.7144366666666671E-2</v>
      </c>
      <c r="M85" s="3">
        <f t="shared" si="20"/>
        <v>5.1007533333333334E-2</v>
      </c>
      <c r="O85" s="9">
        <f t="shared" si="14"/>
        <v>32112</v>
      </c>
      <c r="P85" s="8">
        <f t="shared" si="12"/>
        <v>1.4980033333333332E-2</v>
      </c>
      <c r="Q85" s="8">
        <f t="shared" si="12"/>
        <v>0.27934686666666669</v>
      </c>
      <c r="R85" s="8">
        <f t="shared" si="12"/>
        <v>2.3581366666666669E-2</v>
      </c>
      <c r="S85" s="8">
        <f t="shared" si="12"/>
        <v>0.2141391</v>
      </c>
      <c r="T85" s="8">
        <f t="shared" si="12"/>
        <v>2.8974233333333332E-2</v>
      </c>
      <c r="U85" s="8">
        <f t="shared" si="12"/>
        <v>4.7980099999999998E-2</v>
      </c>
    </row>
    <row r="86" spans="1:21" x14ac:dyDescent="0.25">
      <c r="A86" s="5">
        <f t="shared" si="13"/>
        <v>26969</v>
      </c>
      <c r="B86" s="4">
        <v>1.28789E-2</v>
      </c>
      <c r="C86" s="4">
        <v>0.33063429999999999</v>
      </c>
      <c r="D86" s="4">
        <v>2.0857199999999999E-2</v>
      </c>
      <c r="E86" s="4">
        <v>0.25919490000000001</v>
      </c>
      <c r="F86" s="4">
        <v>3.9157299999999999E-2</v>
      </c>
      <c r="G86" s="4">
        <v>5.5097500000000001E-2</v>
      </c>
      <c r="H86" s="3">
        <f t="shared" si="15"/>
        <v>1.2000833333333334E-2</v>
      </c>
      <c r="I86" s="3">
        <f t="shared" si="16"/>
        <v>0.31684070000000003</v>
      </c>
      <c r="J86" s="3">
        <f t="shared" si="17"/>
        <v>2.0069533333333334E-2</v>
      </c>
      <c r="K86" s="3">
        <f t="shared" si="18"/>
        <v>0.26285913333333338</v>
      </c>
      <c r="L86" s="3">
        <f t="shared" si="19"/>
        <v>3.6655066666666673E-2</v>
      </c>
      <c r="M86" s="3">
        <f t="shared" si="20"/>
        <v>5.2233866666666663E-2</v>
      </c>
      <c r="O86" s="9">
        <f t="shared" si="14"/>
        <v>32203</v>
      </c>
      <c r="P86" s="8">
        <f t="shared" si="12"/>
        <v>1.3817366666666666E-2</v>
      </c>
      <c r="Q86" s="8">
        <f t="shared" si="12"/>
        <v>0.27207846666666669</v>
      </c>
      <c r="R86" s="8">
        <f t="shared" si="12"/>
        <v>2.3020099999999998E-2</v>
      </c>
      <c r="S86" s="8">
        <f t="shared" si="12"/>
        <v>0.21685953333333333</v>
      </c>
      <c r="T86" s="8">
        <f t="shared" si="12"/>
        <v>2.86597E-2</v>
      </c>
      <c r="U86" s="8">
        <f t="shared" si="12"/>
        <v>4.8420299999999999E-2</v>
      </c>
    </row>
    <row r="87" spans="1:21" x14ac:dyDescent="0.25">
      <c r="A87" s="5">
        <f t="shared" si="13"/>
        <v>26999</v>
      </c>
      <c r="B87" s="4">
        <v>1.30294E-2</v>
      </c>
      <c r="C87" s="4">
        <v>0.30642340000000001</v>
      </c>
      <c r="D87" s="4">
        <v>2.1403800000000001E-2</v>
      </c>
      <c r="E87" s="4">
        <v>0.26296370000000002</v>
      </c>
      <c r="F87" s="4">
        <v>3.4646700000000002E-2</v>
      </c>
      <c r="G87" s="4">
        <v>4.7488799999999998E-2</v>
      </c>
      <c r="H87" s="3">
        <f t="shared" si="15"/>
        <v>1.2213399999999999E-2</v>
      </c>
      <c r="I87" s="3">
        <f t="shared" si="16"/>
        <v>0.31865840000000001</v>
      </c>
      <c r="J87" s="3">
        <f t="shared" si="17"/>
        <v>2.0488000000000003E-2</v>
      </c>
      <c r="K87" s="3">
        <f t="shared" si="18"/>
        <v>0.26063400000000003</v>
      </c>
      <c r="L87" s="3">
        <f t="shared" si="19"/>
        <v>3.6150633333333335E-2</v>
      </c>
      <c r="M87" s="3">
        <f t="shared" si="20"/>
        <v>5.1617533333333333E-2</v>
      </c>
      <c r="O87" s="9">
        <f t="shared" si="14"/>
        <v>32295</v>
      </c>
      <c r="P87" s="8">
        <f t="shared" si="12"/>
        <v>1.4375633333333332E-2</v>
      </c>
      <c r="Q87" s="8">
        <f t="shared" si="12"/>
        <v>0.30488816666666668</v>
      </c>
      <c r="R87" s="8">
        <f t="shared" si="12"/>
        <v>2.2664933333333331E-2</v>
      </c>
      <c r="S87" s="8">
        <f t="shared" si="12"/>
        <v>0.21114599999999997</v>
      </c>
      <c r="T87" s="8">
        <f t="shared" si="12"/>
        <v>3.0020199999999997E-2</v>
      </c>
      <c r="U87" s="8">
        <f t="shared" si="12"/>
        <v>5.0302933333333334E-2</v>
      </c>
    </row>
    <row r="88" spans="1:21" x14ac:dyDescent="0.25">
      <c r="A88" s="5">
        <f t="shared" si="13"/>
        <v>27030</v>
      </c>
      <c r="B88" s="4">
        <v>1.3465899999999999E-2</v>
      </c>
      <c r="C88" s="4">
        <v>0.30001499999999998</v>
      </c>
      <c r="D88" s="4">
        <v>1.9893000000000001E-2</v>
      </c>
      <c r="E88" s="4">
        <v>0.2411645</v>
      </c>
      <c r="F88" s="4">
        <v>3.4115600000000003E-2</v>
      </c>
      <c r="G88" s="4">
        <v>4.9445000000000003E-2</v>
      </c>
      <c r="H88" s="3">
        <f t="shared" si="15"/>
        <v>1.3124733333333333E-2</v>
      </c>
      <c r="I88" s="3">
        <f t="shared" si="16"/>
        <v>0.31235756666666664</v>
      </c>
      <c r="J88" s="3">
        <f t="shared" si="17"/>
        <v>2.0718E-2</v>
      </c>
      <c r="K88" s="3">
        <f t="shared" si="18"/>
        <v>0.25444103333333334</v>
      </c>
      <c r="L88" s="3">
        <f t="shared" si="19"/>
        <v>3.5973200000000004E-2</v>
      </c>
      <c r="M88" s="3">
        <f t="shared" si="20"/>
        <v>5.0677099999999996E-2</v>
      </c>
      <c r="O88" s="9">
        <f t="shared" si="14"/>
        <v>32387</v>
      </c>
      <c r="P88" s="8">
        <f t="shared" si="12"/>
        <v>1.3737366666666667E-2</v>
      </c>
      <c r="Q88" s="8">
        <f t="shared" si="12"/>
        <v>0.28900566666666666</v>
      </c>
      <c r="R88" s="8">
        <f t="shared" si="12"/>
        <v>2.2621499999999999E-2</v>
      </c>
      <c r="S88" s="8">
        <f t="shared" si="12"/>
        <v>0.20747669999999999</v>
      </c>
      <c r="T88" s="8">
        <f t="shared" si="12"/>
        <v>2.7335100000000001E-2</v>
      </c>
      <c r="U88" s="8">
        <f t="shared" si="12"/>
        <v>4.5498933333333332E-2</v>
      </c>
    </row>
    <row r="89" spans="1:21" x14ac:dyDescent="0.25">
      <c r="A89" s="5">
        <f t="shared" si="13"/>
        <v>27061</v>
      </c>
      <c r="B89" s="4">
        <v>1.44876E-2</v>
      </c>
      <c r="C89" s="4">
        <v>0.3371596</v>
      </c>
      <c r="D89" s="4">
        <v>2.12368E-2</v>
      </c>
      <c r="E89" s="4">
        <v>0.23016410000000001</v>
      </c>
      <c r="F89" s="4">
        <v>3.5614300000000002E-2</v>
      </c>
      <c r="G89" s="4">
        <v>5.0257599999999999E-2</v>
      </c>
      <c r="H89" s="3">
        <f t="shared" si="15"/>
        <v>1.3660966666666668E-2</v>
      </c>
      <c r="I89" s="3">
        <f t="shared" si="16"/>
        <v>0.31453266666666668</v>
      </c>
      <c r="J89" s="3">
        <f t="shared" si="17"/>
        <v>2.0844533333333332E-2</v>
      </c>
      <c r="K89" s="3">
        <f t="shared" si="18"/>
        <v>0.24476410000000001</v>
      </c>
      <c r="L89" s="3">
        <f t="shared" si="19"/>
        <v>3.4792200000000002E-2</v>
      </c>
      <c r="M89" s="3">
        <f t="shared" si="20"/>
        <v>4.9063799999999998E-2</v>
      </c>
      <c r="O89" s="9">
        <f t="shared" si="14"/>
        <v>32478</v>
      </c>
      <c r="P89" s="8">
        <f t="shared" si="12"/>
        <v>1.3580533333333334E-2</v>
      </c>
      <c r="Q89" s="8">
        <f t="shared" si="12"/>
        <v>0.27274903333333333</v>
      </c>
      <c r="R89" s="8">
        <f t="shared" si="12"/>
        <v>2.1085333333333331E-2</v>
      </c>
      <c r="S89" s="8">
        <f t="shared" si="12"/>
        <v>0.21951790000000002</v>
      </c>
      <c r="T89" s="8">
        <f t="shared" si="12"/>
        <v>2.9477300000000001E-2</v>
      </c>
      <c r="U89" s="8">
        <f t="shared" si="12"/>
        <v>4.7297166666666668E-2</v>
      </c>
    </row>
    <row r="90" spans="1:21" x14ac:dyDescent="0.25">
      <c r="A90" s="5">
        <f t="shared" si="13"/>
        <v>27089</v>
      </c>
      <c r="B90" s="4">
        <v>1.3933900000000001E-2</v>
      </c>
      <c r="C90" s="4">
        <v>0.2994366</v>
      </c>
      <c r="D90" s="4">
        <v>1.9114699999999998E-2</v>
      </c>
      <c r="E90" s="4">
        <v>0.2524497</v>
      </c>
      <c r="F90" s="4">
        <v>3.60732E-2</v>
      </c>
      <c r="G90" s="4">
        <v>4.8002799999999998E-2</v>
      </c>
      <c r="H90" s="3">
        <f t="shared" si="15"/>
        <v>1.3962466666666666E-2</v>
      </c>
      <c r="I90" s="3">
        <f t="shared" si="16"/>
        <v>0.31220373333333334</v>
      </c>
      <c r="J90" s="3">
        <f t="shared" si="17"/>
        <v>2.0081499999999999E-2</v>
      </c>
      <c r="K90" s="3">
        <f t="shared" si="18"/>
        <v>0.24125943333333333</v>
      </c>
      <c r="L90" s="3">
        <f t="shared" si="19"/>
        <v>3.5267700000000006E-2</v>
      </c>
      <c r="M90" s="3">
        <f t="shared" si="20"/>
        <v>4.9235133333333327E-2</v>
      </c>
      <c r="O90" s="9">
        <f t="shared" si="14"/>
        <v>32568</v>
      </c>
      <c r="P90" s="8">
        <f t="shared" si="12"/>
        <v>1.3768166666666666E-2</v>
      </c>
      <c r="Q90" s="8">
        <f t="shared" si="12"/>
        <v>0.30199540000000002</v>
      </c>
      <c r="R90" s="8">
        <f t="shared" si="12"/>
        <v>2.1942233333333335E-2</v>
      </c>
      <c r="S90" s="8">
        <f t="shared" si="12"/>
        <v>0.22332529999999998</v>
      </c>
      <c r="T90" s="8">
        <f t="shared" si="12"/>
        <v>2.8955666666666668E-2</v>
      </c>
      <c r="U90" s="8">
        <f t="shared" si="12"/>
        <v>5.0353000000000002E-2</v>
      </c>
    </row>
    <row r="91" spans="1:21" x14ac:dyDescent="0.25">
      <c r="A91" s="5">
        <f t="shared" si="13"/>
        <v>27120</v>
      </c>
      <c r="B91" s="4">
        <v>1.27548E-2</v>
      </c>
      <c r="C91" s="4">
        <v>0.27383940000000001</v>
      </c>
      <c r="D91" s="4">
        <v>1.8348099999999999E-2</v>
      </c>
      <c r="E91" s="4">
        <v>0.2589185</v>
      </c>
      <c r="F91" s="4">
        <v>3.5825999999999997E-2</v>
      </c>
      <c r="G91" s="4">
        <v>4.752E-2</v>
      </c>
      <c r="H91" s="3">
        <f t="shared" si="15"/>
        <v>1.3725433333333334E-2</v>
      </c>
      <c r="I91" s="3">
        <f t="shared" si="16"/>
        <v>0.30347853333333336</v>
      </c>
      <c r="J91" s="3">
        <f t="shared" si="17"/>
        <v>1.9566533333333334E-2</v>
      </c>
      <c r="K91" s="3">
        <f t="shared" si="18"/>
        <v>0.24717743333333334</v>
      </c>
      <c r="L91" s="3">
        <f t="shared" si="19"/>
        <v>3.5837833333333333E-2</v>
      </c>
      <c r="M91" s="3">
        <f t="shared" si="20"/>
        <v>4.8593466666666668E-2</v>
      </c>
      <c r="O91" s="9">
        <f t="shared" si="14"/>
        <v>32660</v>
      </c>
      <c r="P91" s="8">
        <f t="shared" si="12"/>
        <v>1.39918E-2</v>
      </c>
      <c r="Q91" s="8">
        <f t="shared" si="12"/>
        <v>0.29643970000000003</v>
      </c>
      <c r="R91" s="8">
        <f t="shared" si="12"/>
        <v>2.3270566666666669E-2</v>
      </c>
      <c r="S91" s="8">
        <f t="shared" si="12"/>
        <v>0.21656963333333334</v>
      </c>
      <c r="T91" s="8">
        <f t="shared" si="12"/>
        <v>2.8340866666666669E-2</v>
      </c>
      <c r="U91" s="8">
        <f t="shared" si="12"/>
        <v>4.7915433333333333E-2</v>
      </c>
    </row>
    <row r="92" spans="1:21" x14ac:dyDescent="0.25">
      <c r="A92" s="5">
        <f t="shared" si="13"/>
        <v>27150</v>
      </c>
      <c r="B92" s="4">
        <v>1.19378E-2</v>
      </c>
      <c r="C92" s="4">
        <v>0.33539330000000001</v>
      </c>
      <c r="D92" s="4">
        <v>2.1454500000000001E-2</v>
      </c>
      <c r="E92" s="4">
        <v>0.25938090000000003</v>
      </c>
      <c r="F92" s="4">
        <v>4.0574499999999999E-2</v>
      </c>
      <c r="G92" s="4">
        <v>5.2046799999999997E-2</v>
      </c>
      <c r="H92" s="3">
        <f t="shared" si="15"/>
        <v>1.28755E-2</v>
      </c>
      <c r="I92" s="3">
        <f t="shared" si="16"/>
        <v>0.30288976666666667</v>
      </c>
      <c r="J92" s="3">
        <f t="shared" si="17"/>
        <v>1.96391E-2</v>
      </c>
      <c r="K92" s="3">
        <f t="shared" si="18"/>
        <v>0.25691636666666667</v>
      </c>
      <c r="L92" s="3">
        <f t="shared" si="19"/>
        <v>3.7491233333333332E-2</v>
      </c>
      <c r="M92" s="3">
        <f t="shared" si="20"/>
        <v>4.9189866666666665E-2</v>
      </c>
      <c r="O92" s="9">
        <f t="shared" si="14"/>
        <v>32752</v>
      </c>
      <c r="P92" s="8">
        <f t="shared" si="12"/>
        <v>1.3730166666666668E-2</v>
      </c>
      <c r="Q92" s="8">
        <f t="shared" si="12"/>
        <v>0.29352566666666663</v>
      </c>
      <c r="R92" s="8">
        <f t="shared" si="12"/>
        <v>2.2929966666666666E-2</v>
      </c>
      <c r="S92" s="8">
        <f t="shared" si="12"/>
        <v>0.2057129</v>
      </c>
      <c r="T92" s="8">
        <f t="shared" si="12"/>
        <v>2.7595066666666668E-2</v>
      </c>
      <c r="U92" s="8">
        <f t="shared" si="12"/>
        <v>4.6548266666666664E-2</v>
      </c>
    </row>
    <row r="93" spans="1:21" x14ac:dyDescent="0.25">
      <c r="A93" s="5">
        <f t="shared" si="13"/>
        <v>27181</v>
      </c>
      <c r="B93" s="4">
        <v>1.4018299999999999E-2</v>
      </c>
      <c r="C93" s="4">
        <v>0.28801189999999999</v>
      </c>
      <c r="D93" s="4">
        <v>2.43635E-2</v>
      </c>
      <c r="E93" s="4">
        <v>0.2449228</v>
      </c>
      <c r="F93" s="4">
        <v>3.4678100000000003E-2</v>
      </c>
      <c r="G93" s="4">
        <v>4.9682999999999998E-2</v>
      </c>
      <c r="H93" s="3">
        <f t="shared" si="15"/>
        <v>1.2903633333333333E-2</v>
      </c>
      <c r="I93" s="3">
        <f t="shared" si="16"/>
        <v>0.29908153333333332</v>
      </c>
      <c r="J93" s="3">
        <f t="shared" si="17"/>
        <v>2.13887E-2</v>
      </c>
      <c r="K93" s="3">
        <f t="shared" si="18"/>
        <v>0.25440740000000001</v>
      </c>
      <c r="L93" s="3">
        <f t="shared" si="19"/>
        <v>3.7026200000000002E-2</v>
      </c>
      <c r="M93" s="3">
        <f t="shared" si="20"/>
        <v>4.9749933333333329E-2</v>
      </c>
      <c r="O93" s="9">
        <f t="shared" si="14"/>
        <v>32843</v>
      </c>
      <c r="P93" s="8">
        <f t="shared" si="12"/>
        <v>1.4821266666666668E-2</v>
      </c>
      <c r="Q93" s="8">
        <f t="shared" si="12"/>
        <v>0.29686343333333332</v>
      </c>
      <c r="R93" s="8">
        <f t="shared" si="12"/>
        <v>2.2955733333333336E-2</v>
      </c>
      <c r="S93" s="8">
        <f t="shared" si="12"/>
        <v>0.21106336666666667</v>
      </c>
      <c r="T93" s="8">
        <f t="shared" si="12"/>
        <v>2.82507E-2</v>
      </c>
      <c r="U93" s="8">
        <f t="shared" si="12"/>
        <v>4.8232066666666663E-2</v>
      </c>
    </row>
    <row r="94" spans="1:21" x14ac:dyDescent="0.25">
      <c r="A94" s="5">
        <f t="shared" si="13"/>
        <v>27211</v>
      </c>
      <c r="B94" s="4">
        <v>1.27767E-2</v>
      </c>
      <c r="C94" s="4">
        <v>0.28692459999999997</v>
      </c>
      <c r="D94" s="4">
        <v>2.24894E-2</v>
      </c>
      <c r="E94" s="4">
        <v>0.24058979999999999</v>
      </c>
      <c r="F94" s="4">
        <v>3.4292599999999999E-2</v>
      </c>
      <c r="G94" s="4">
        <v>4.5945899999999998E-2</v>
      </c>
      <c r="H94" s="3">
        <f t="shared" si="15"/>
        <v>1.2910933333333333E-2</v>
      </c>
      <c r="I94" s="3">
        <f t="shared" si="16"/>
        <v>0.30344326666666666</v>
      </c>
      <c r="J94" s="3">
        <f t="shared" si="17"/>
        <v>2.276913333333333E-2</v>
      </c>
      <c r="K94" s="3">
        <f t="shared" si="18"/>
        <v>0.24829783333333333</v>
      </c>
      <c r="L94" s="3">
        <f t="shared" si="19"/>
        <v>3.6515066666666672E-2</v>
      </c>
      <c r="M94" s="3">
        <f t="shared" si="20"/>
        <v>4.9225233333333333E-2</v>
      </c>
      <c r="O94" s="9">
        <f t="shared" si="14"/>
        <v>32933</v>
      </c>
      <c r="P94" s="8">
        <f t="shared" si="12"/>
        <v>1.4526066666666665E-2</v>
      </c>
      <c r="Q94" s="8">
        <f t="shared" si="12"/>
        <v>0.31105613333333332</v>
      </c>
      <c r="R94" s="8">
        <f t="shared" si="12"/>
        <v>2.2643966666666668E-2</v>
      </c>
      <c r="S94" s="8">
        <f t="shared" si="12"/>
        <v>0.21899866666666665</v>
      </c>
      <c r="T94" s="8">
        <f t="shared" si="12"/>
        <v>3.0063533333333337E-2</v>
      </c>
      <c r="U94" s="8">
        <f t="shared" si="12"/>
        <v>5.1716866666666667E-2</v>
      </c>
    </row>
    <row r="95" spans="1:21" x14ac:dyDescent="0.25">
      <c r="A95" s="5">
        <f t="shared" si="13"/>
        <v>27242</v>
      </c>
      <c r="B95" s="4">
        <v>1.39823E-2</v>
      </c>
      <c r="C95" s="4">
        <v>0.3111138</v>
      </c>
      <c r="D95" s="4">
        <v>2.2573300000000001E-2</v>
      </c>
      <c r="E95" s="4">
        <v>0.2543398</v>
      </c>
      <c r="F95" s="4">
        <v>3.7661600000000003E-2</v>
      </c>
      <c r="G95" s="4">
        <v>5.0469399999999998E-2</v>
      </c>
      <c r="H95" s="3">
        <f t="shared" si="15"/>
        <v>1.3592433333333334E-2</v>
      </c>
      <c r="I95" s="3">
        <f t="shared" si="16"/>
        <v>0.2953501</v>
      </c>
      <c r="J95" s="3">
        <f t="shared" si="17"/>
        <v>2.3142066666666669E-2</v>
      </c>
      <c r="K95" s="3">
        <f t="shared" si="18"/>
        <v>0.24661746666666665</v>
      </c>
      <c r="L95" s="3">
        <f t="shared" si="19"/>
        <v>3.5544100000000002E-2</v>
      </c>
      <c r="M95" s="3">
        <f t="shared" si="20"/>
        <v>4.8699433333333327E-2</v>
      </c>
      <c r="O95" s="9">
        <f t="shared" si="14"/>
        <v>33025</v>
      </c>
      <c r="P95" s="8">
        <f t="shared" si="12"/>
        <v>1.42005E-2</v>
      </c>
      <c r="Q95" s="8">
        <f t="shared" si="12"/>
        <v>0.28395536666666671</v>
      </c>
      <c r="R95" s="8">
        <f t="shared" si="12"/>
        <v>2.1762933333333335E-2</v>
      </c>
      <c r="S95" s="8">
        <f t="shared" si="12"/>
        <v>0.20963963333333333</v>
      </c>
      <c r="T95" s="8">
        <f t="shared" si="12"/>
        <v>2.7815566666666666E-2</v>
      </c>
      <c r="U95" s="8">
        <f t="shared" si="12"/>
        <v>4.7215333333333331E-2</v>
      </c>
    </row>
    <row r="96" spans="1:21" x14ac:dyDescent="0.25">
      <c r="A96" s="5">
        <f t="shared" si="13"/>
        <v>27273</v>
      </c>
      <c r="B96" s="4">
        <v>1.56302E-2</v>
      </c>
      <c r="C96" s="4">
        <v>0.29326980000000002</v>
      </c>
      <c r="D96" s="4">
        <v>2.54367E-2</v>
      </c>
      <c r="E96" s="4">
        <v>0.2233628</v>
      </c>
      <c r="F96" s="4">
        <v>3.5278999999999998E-2</v>
      </c>
      <c r="G96" s="4">
        <v>4.8657800000000001E-2</v>
      </c>
      <c r="H96" s="3">
        <f t="shared" si="15"/>
        <v>1.4129733333333333E-2</v>
      </c>
      <c r="I96" s="3">
        <f t="shared" si="16"/>
        <v>0.29710273333333331</v>
      </c>
      <c r="J96" s="3">
        <f t="shared" si="17"/>
        <v>2.3499799999999998E-2</v>
      </c>
      <c r="K96" s="3">
        <f t="shared" si="18"/>
        <v>0.23943079999999997</v>
      </c>
      <c r="L96" s="3">
        <f t="shared" si="19"/>
        <v>3.5744400000000003E-2</v>
      </c>
      <c r="M96" s="3">
        <f t="shared" si="20"/>
        <v>4.8357700000000003E-2</v>
      </c>
      <c r="O96" s="9">
        <f t="shared" si="14"/>
        <v>33117</v>
      </c>
      <c r="P96" s="8">
        <f t="shared" si="12"/>
        <v>1.4239533333333332E-2</v>
      </c>
      <c r="Q96" s="8">
        <f t="shared" si="12"/>
        <v>0.26666123333333336</v>
      </c>
      <c r="R96" s="8">
        <f t="shared" si="12"/>
        <v>2.2694833333333331E-2</v>
      </c>
      <c r="S96" s="8">
        <f t="shared" si="12"/>
        <v>0.20720163333333333</v>
      </c>
      <c r="T96" s="8">
        <f t="shared" si="12"/>
        <v>2.6720733333333333E-2</v>
      </c>
      <c r="U96" s="8">
        <f t="shared" si="12"/>
        <v>4.5197766666666667E-2</v>
      </c>
    </row>
    <row r="97" spans="1:21" x14ac:dyDescent="0.25">
      <c r="A97" s="5">
        <f t="shared" si="13"/>
        <v>27303</v>
      </c>
      <c r="B97" s="4">
        <v>1.5379E-2</v>
      </c>
      <c r="C97" s="4">
        <v>0.29521629999999999</v>
      </c>
      <c r="D97" s="4">
        <v>2.35293E-2</v>
      </c>
      <c r="E97" s="4">
        <v>0.2319087</v>
      </c>
      <c r="F97" s="4">
        <v>3.3869799999999999E-2</v>
      </c>
      <c r="G97" s="4">
        <v>4.6240099999999999E-2</v>
      </c>
      <c r="H97" s="3">
        <f t="shared" si="15"/>
        <v>1.4997166666666667E-2</v>
      </c>
      <c r="I97" s="3">
        <f t="shared" si="16"/>
        <v>0.29986663333333335</v>
      </c>
      <c r="J97" s="3">
        <f t="shared" si="17"/>
        <v>2.3846433333333333E-2</v>
      </c>
      <c r="K97" s="3">
        <f t="shared" si="18"/>
        <v>0.23653709999999997</v>
      </c>
      <c r="L97" s="3">
        <f t="shared" si="19"/>
        <v>3.5603466666666667E-2</v>
      </c>
      <c r="M97" s="3">
        <f t="shared" si="20"/>
        <v>4.8455766666666671E-2</v>
      </c>
      <c r="O97" s="9">
        <f t="shared" si="14"/>
        <v>33208</v>
      </c>
      <c r="P97" s="8">
        <f t="shared" si="12"/>
        <v>1.5816266666666665E-2</v>
      </c>
      <c r="Q97" s="8">
        <f t="shared" si="12"/>
        <v>0.26990780000000003</v>
      </c>
      <c r="R97" s="8">
        <f t="shared" si="12"/>
        <v>2.3959233333333333E-2</v>
      </c>
      <c r="S97" s="8">
        <f t="shared" si="12"/>
        <v>0.20150586666666667</v>
      </c>
      <c r="T97" s="8">
        <f t="shared" si="12"/>
        <v>2.6942533333333334E-2</v>
      </c>
      <c r="U97" s="8">
        <f t="shared" si="12"/>
        <v>4.6076733333333335E-2</v>
      </c>
    </row>
    <row r="98" spans="1:21" x14ac:dyDescent="0.25">
      <c r="A98" s="5">
        <f t="shared" si="13"/>
        <v>27334</v>
      </c>
      <c r="B98" s="4">
        <v>1.9041599999999999E-2</v>
      </c>
      <c r="C98" s="4">
        <v>0.29507679999999997</v>
      </c>
      <c r="D98" s="4">
        <v>2.63304E-2</v>
      </c>
      <c r="E98" s="4">
        <v>0.23580619999999999</v>
      </c>
      <c r="F98" s="4">
        <v>3.83545E-2</v>
      </c>
      <c r="G98" s="4">
        <v>4.7286700000000001E-2</v>
      </c>
      <c r="H98" s="3">
        <f t="shared" si="15"/>
        <v>1.66836E-2</v>
      </c>
      <c r="I98" s="3">
        <f t="shared" si="16"/>
        <v>0.29452096666666666</v>
      </c>
      <c r="J98" s="3">
        <f t="shared" si="17"/>
        <v>2.5098800000000001E-2</v>
      </c>
      <c r="K98" s="3">
        <f t="shared" si="18"/>
        <v>0.23035923333333333</v>
      </c>
      <c r="L98" s="3">
        <f t="shared" si="19"/>
        <v>3.5834433333333332E-2</v>
      </c>
      <c r="M98" s="3">
        <f t="shared" si="20"/>
        <v>4.7394866666666667E-2</v>
      </c>
      <c r="O98" s="9">
        <f t="shared" si="14"/>
        <v>33298</v>
      </c>
      <c r="P98" s="8">
        <f t="shared" si="12"/>
        <v>1.717906666666667E-2</v>
      </c>
      <c r="Q98" s="8">
        <f t="shared" si="12"/>
        <v>0.26059146666666666</v>
      </c>
      <c r="R98" s="8">
        <f t="shared" si="12"/>
        <v>2.486356666666667E-2</v>
      </c>
      <c r="S98" s="8">
        <f t="shared" si="12"/>
        <v>0.19472063333333334</v>
      </c>
      <c r="T98" s="8">
        <f t="shared" si="12"/>
        <v>2.7515266666666666E-2</v>
      </c>
      <c r="U98" s="8">
        <f t="shared" si="12"/>
        <v>4.4953700000000006E-2</v>
      </c>
    </row>
    <row r="99" spans="1:21" x14ac:dyDescent="0.25">
      <c r="A99" s="5">
        <f t="shared" si="13"/>
        <v>27364</v>
      </c>
      <c r="B99" s="4">
        <v>2.0912E-2</v>
      </c>
      <c r="C99" s="4">
        <v>0.23202400000000001</v>
      </c>
      <c r="D99" s="4">
        <v>2.30466E-2</v>
      </c>
      <c r="E99" s="4">
        <v>0.2340238</v>
      </c>
      <c r="F99" s="4">
        <v>3.4327000000000003E-2</v>
      </c>
      <c r="G99" s="4">
        <v>4.31058E-2</v>
      </c>
      <c r="H99" s="3">
        <f t="shared" si="15"/>
        <v>1.8444199999999997E-2</v>
      </c>
      <c r="I99" s="3">
        <f t="shared" si="16"/>
        <v>0.27410570000000001</v>
      </c>
      <c r="J99" s="3">
        <f t="shared" si="17"/>
        <v>2.4302100000000004E-2</v>
      </c>
      <c r="K99" s="3">
        <f t="shared" si="18"/>
        <v>0.23391289999999998</v>
      </c>
      <c r="L99" s="3">
        <f t="shared" si="19"/>
        <v>3.5517099999999996E-2</v>
      </c>
      <c r="M99" s="3">
        <f t="shared" si="20"/>
        <v>4.55442E-2</v>
      </c>
      <c r="O99" s="9">
        <f t="shared" si="14"/>
        <v>33390</v>
      </c>
      <c r="P99" s="8">
        <f t="shared" si="12"/>
        <v>1.6189366666666666E-2</v>
      </c>
      <c r="Q99" s="8">
        <f t="shared" si="12"/>
        <v>0.25445756666666669</v>
      </c>
      <c r="R99" s="8">
        <f t="shared" si="12"/>
        <v>2.5366733333333336E-2</v>
      </c>
      <c r="S99" s="8">
        <f t="shared" si="12"/>
        <v>0.19183883333333332</v>
      </c>
      <c r="T99" s="8">
        <f t="shared" si="12"/>
        <v>2.6661966666666665E-2</v>
      </c>
      <c r="U99" s="8">
        <f t="shared" si="12"/>
        <v>4.2302366666666667E-2</v>
      </c>
    </row>
    <row r="100" spans="1:21" x14ac:dyDescent="0.25">
      <c r="A100" s="5">
        <f t="shared" si="13"/>
        <v>27395</v>
      </c>
      <c r="B100" s="4">
        <v>2.4174299999999999E-2</v>
      </c>
      <c r="C100" s="4">
        <v>0.274424</v>
      </c>
      <c r="D100" s="4">
        <v>2.8531600000000001E-2</v>
      </c>
      <c r="E100" s="4">
        <v>0.2074492</v>
      </c>
      <c r="F100" s="4">
        <v>3.40793E-2</v>
      </c>
      <c r="G100" s="4">
        <v>4.6419599999999998E-2</v>
      </c>
      <c r="H100" s="3">
        <f t="shared" si="15"/>
        <v>2.1375966666666666E-2</v>
      </c>
      <c r="I100" s="3">
        <f t="shared" si="16"/>
        <v>0.26717493333333331</v>
      </c>
      <c r="J100" s="3">
        <f t="shared" si="17"/>
        <v>2.5969533333333336E-2</v>
      </c>
      <c r="K100" s="3">
        <f t="shared" si="18"/>
        <v>0.22575973333333332</v>
      </c>
      <c r="L100" s="3">
        <f t="shared" si="19"/>
        <v>3.5586933333333341E-2</v>
      </c>
      <c r="M100" s="3">
        <f t="shared" si="20"/>
        <v>4.5604033333333328E-2</v>
      </c>
      <c r="O100" s="9">
        <f t="shared" si="14"/>
        <v>33482</v>
      </c>
      <c r="P100" s="8">
        <f t="shared" si="12"/>
        <v>1.5262066666666666E-2</v>
      </c>
      <c r="Q100" s="8">
        <f t="shared" si="12"/>
        <v>0.24727416666666668</v>
      </c>
      <c r="R100" s="8">
        <f t="shared" si="12"/>
        <v>2.4708999999999998E-2</v>
      </c>
      <c r="S100" s="8">
        <f t="shared" si="12"/>
        <v>0.19468693333333334</v>
      </c>
      <c r="T100" s="8">
        <f t="shared" si="12"/>
        <v>2.5719266666666667E-2</v>
      </c>
      <c r="U100" s="8">
        <f t="shared" si="12"/>
        <v>4.2813933333333332E-2</v>
      </c>
    </row>
    <row r="101" spans="1:21" x14ac:dyDescent="0.25">
      <c r="A101" s="5">
        <f t="shared" si="13"/>
        <v>27426</v>
      </c>
      <c r="B101" s="4">
        <v>2.0794799999999999E-2</v>
      </c>
      <c r="C101" s="4">
        <v>0.2279786</v>
      </c>
      <c r="D101" s="4">
        <v>2.2622699999999999E-2</v>
      </c>
      <c r="E101" s="4">
        <v>0.20630709999999999</v>
      </c>
      <c r="F101" s="4">
        <v>3.3010100000000001E-2</v>
      </c>
      <c r="G101" s="4">
        <v>3.77609E-2</v>
      </c>
      <c r="H101" s="3">
        <f t="shared" si="15"/>
        <v>2.1960366666666665E-2</v>
      </c>
      <c r="I101" s="3">
        <f t="shared" si="16"/>
        <v>0.24480886666666668</v>
      </c>
      <c r="J101" s="3">
        <f t="shared" si="17"/>
        <v>2.4733633333333335E-2</v>
      </c>
      <c r="K101" s="3">
        <f t="shared" si="18"/>
        <v>0.2159267</v>
      </c>
      <c r="L101" s="3">
        <f t="shared" si="19"/>
        <v>3.3805466666666666E-2</v>
      </c>
      <c r="M101" s="3">
        <f t="shared" si="20"/>
        <v>4.2428766666666673E-2</v>
      </c>
      <c r="O101" s="9">
        <f t="shared" si="14"/>
        <v>33573</v>
      </c>
      <c r="P101" s="8">
        <f t="shared" ref="P101:U141" si="21">VLOOKUP($O101,$A$4:$M$423,P$1)</f>
        <v>1.6125E-2</v>
      </c>
      <c r="Q101" s="8">
        <f t="shared" si="21"/>
        <v>0.23653486666666668</v>
      </c>
      <c r="R101" s="8">
        <f t="shared" si="21"/>
        <v>2.6181133333333332E-2</v>
      </c>
      <c r="S101" s="8">
        <f t="shared" si="21"/>
        <v>0.19552550000000002</v>
      </c>
      <c r="T101" s="8">
        <f t="shared" si="21"/>
        <v>2.5437366666666666E-2</v>
      </c>
      <c r="U101" s="8">
        <f t="shared" si="21"/>
        <v>3.9768166666666667E-2</v>
      </c>
    </row>
    <row r="102" spans="1:21" x14ac:dyDescent="0.25">
      <c r="A102" s="5">
        <f t="shared" si="13"/>
        <v>27454</v>
      </c>
      <c r="B102" s="4">
        <v>1.9586200000000002E-2</v>
      </c>
      <c r="C102" s="4">
        <v>0.21146960000000001</v>
      </c>
      <c r="D102" s="4">
        <v>2.6977399999999999E-2</v>
      </c>
      <c r="E102" s="4">
        <v>0.1952595</v>
      </c>
      <c r="F102" s="4">
        <v>3.4562599999999999E-2</v>
      </c>
      <c r="G102" s="4">
        <v>4.1945999999999997E-2</v>
      </c>
      <c r="H102" s="3">
        <f t="shared" si="15"/>
        <v>2.1518433333333333E-2</v>
      </c>
      <c r="I102" s="3">
        <f t="shared" si="16"/>
        <v>0.23795740000000001</v>
      </c>
      <c r="J102" s="3">
        <f t="shared" si="17"/>
        <v>2.6043899999999998E-2</v>
      </c>
      <c r="K102" s="3">
        <f t="shared" si="18"/>
        <v>0.20300526666666666</v>
      </c>
      <c r="L102" s="3">
        <f t="shared" si="19"/>
        <v>3.3883999999999997E-2</v>
      </c>
      <c r="M102" s="3">
        <f t="shared" si="20"/>
        <v>4.2042166666666658E-2</v>
      </c>
      <c r="O102" s="9">
        <f t="shared" si="14"/>
        <v>33664</v>
      </c>
      <c r="P102" s="8">
        <f t="shared" si="21"/>
        <v>1.5622799999999999E-2</v>
      </c>
      <c r="Q102" s="8">
        <f t="shared" si="21"/>
        <v>0.23678713333333334</v>
      </c>
      <c r="R102" s="8">
        <f t="shared" si="21"/>
        <v>2.6666200000000001E-2</v>
      </c>
      <c r="S102" s="8">
        <f t="shared" si="21"/>
        <v>0.17494509999999999</v>
      </c>
      <c r="T102" s="8">
        <f t="shared" si="21"/>
        <v>2.5726433333333337E-2</v>
      </c>
      <c r="U102" s="8">
        <f t="shared" si="21"/>
        <v>4.3433799999999995E-2</v>
      </c>
    </row>
    <row r="103" spans="1:21" x14ac:dyDescent="0.25">
      <c r="A103" s="5">
        <f t="shared" si="13"/>
        <v>27485</v>
      </c>
      <c r="B103" s="4">
        <v>1.8799300000000001E-2</v>
      </c>
      <c r="C103" s="4">
        <v>0.21083689999999999</v>
      </c>
      <c r="D103" s="4">
        <v>2.45948E-2</v>
      </c>
      <c r="E103" s="4">
        <v>0.19452</v>
      </c>
      <c r="F103" s="4">
        <v>3.1582600000000002E-2</v>
      </c>
      <c r="G103" s="4">
        <v>4.0951099999999997E-2</v>
      </c>
      <c r="H103" s="3">
        <f t="shared" si="15"/>
        <v>1.972676666666667E-2</v>
      </c>
      <c r="I103" s="3">
        <f t="shared" si="16"/>
        <v>0.21676170000000003</v>
      </c>
      <c r="J103" s="3">
        <f t="shared" si="17"/>
        <v>2.4731633333333333E-2</v>
      </c>
      <c r="K103" s="3">
        <f t="shared" si="18"/>
        <v>0.19869553333333334</v>
      </c>
      <c r="L103" s="3">
        <f t="shared" si="19"/>
        <v>3.305176666666667E-2</v>
      </c>
      <c r="M103" s="3">
        <f t="shared" si="20"/>
        <v>4.0219333333333329E-2</v>
      </c>
      <c r="O103" s="9">
        <f t="shared" si="14"/>
        <v>33756</v>
      </c>
      <c r="P103" s="8">
        <f t="shared" si="21"/>
        <v>1.6154266666666667E-2</v>
      </c>
      <c r="Q103" s="8">
        <f t="shared" si="21"/>
        <v>0.22824829999999999</v>
      </c>
      <c r="R103" s="8">
        <f t="shared" si="21"/>
        <v>2.84003E-2</v>
      </c>
      <c r="S103" s="8">
        <f t="shared" si="21"/>
        <v>0.18212783333333335</v>
      </c>
      <c r="T103" s="8">
        <f t="shared" si="21"/>
        <v>2.5666900000000003E-2</v>
      </c>
      <c r="U103" s="8">
        <f t="shared" si="21"/>
        <v>4.1133799999999998E-2</v>
      </c>
    </row>
    <row r="104" spans="1:21" x14ac:dyDescent="0.25">
      <c r="A104" s="5">
        <f t="shared" si="13"/>
        <v>27515</v>
      </c>
      <c r="B104" s="4">
        <v>1.9581399999999999E-2</v>
      </c>
      <c r="C104" s="4">
        <v>0.2373789</v>
      </c>
      <c r="D104" s="4">
        <v>2.6297299999999999E-2</v>
      </c>
      <c r="E104" s="4">
        <v>0.19625880000000001</v>
      </c>
      <c r="F104" s="4">
        <v>3.4671100000000003E-2</v>
      </c>
      <c r="G104" s="4">
        <v>4.6738200000000001E-2</v>
      </c>
      <c r="H104" s="3">
        <f t="shared" si="15"/>
        <v>1.9322300000000001E-2</v>
      </c>
      <c r="I104" s="3">
        <f t="shared" si="16"/>
        <v>0.21989513333333335</v>
      </c>
      <c r="J104" s="3">
        <f t="shared" si="17"/>
        <v>2.5956499999999997E-2</v>
      </c>
      <c r="K104" s="3">
        <f t="shared" si="18"/>
        <v>0.19534609999999999</v>
      </c>
      <c r="L104" s="3">
        <f t="shared" si="19"/>
        <v>3.360543333333333E-2</v>
      </c>
      <c r="M104" s="3">
        <f t="shared" si="20"/>
        <v>4.3211766666666672E-2</v>
      </c>
      <c r="O104" s="9">
        <f t="shared" si="14"/>
        <v>33848</v>
      </c>
      <c r="P104" s="8">
        <f t="shared" si="21"/>
        <v>1.5655433333333333E-2</v>
      </c>
      <c r="Q104" s="8">
        <f t="shared" si="21"/>
        <v>0.22580926666666667</v>
      </c>
      <c r="R104" s="8">
        <f t="shared" si="21"/>
        <v>2.7000800000000002E-2</v>
      </c>
      <c r="S104" s="8">
        <f t="shared" si="21"/>
        <v>0.18785143333333332</v>
      </c>
      <c r="T104" s="8">
        <f t="shared" si="21"/>
        <v>2.5238333333333335E-2</v>
      </c>
      <c r="U104" s="8">
        <f t="shared" si="21"/>
        <v>4.1928166666666662E-2</v>
      </c>
    </row>
    <row r="105" spans="1:21" x14ac:dyDescent="0.25">
      <c r="A105" s="5">
        <f t="shared" si="13"/>
        <v>27546</v>
      </c>
      <c r="B105" s="4">
        <v>1.7699800000000002E-2</v>
      </c>
      <c r="C105" s="4">
        <v>0.22293170000000001</v>
      </c>
      <c r="D105" s="4">
        <v>2.7908200000000001E-2</v>
      </c>
      <c r="E105" s="4">
        <v>0.1939853</v>
      </c>
      <c r="F105" s="4">
        <v>3.4385199999999998E-2</v>
      </c>
      <c r="G105" s="4">
        <v>4.4072399999999998E-2</v>
      </c>
      <c r="H105" s="3">
        <f t="shared" si="15"/>
        <v>1.8693500000000002E-2</v>
      </c>
      <c r="I105" s="3">
        <f t="shared" si="16"/>
        <v>0.22371583333333334</v>
      </c>
      <c r="J105" s="3">
        <f t="shared" si="17"/>
        <v>2.6266766666666663E-2</v>
      </c>
      <c r="K105" s="3">
        <f t="shared" si="18"/>
        <v>0.19492136666666668</v>
      </c>
      <c r="L105" s="3">
        <f t="shared" si="19"/>
        <v>3.3546300000000001E-2</v>
      </c>
      <c r="M105" s="3">
        <f t="shared" si="20"/>
        <v>4.3920566666666661E-2</v>
      </c>
      <c r="O105" s="9">
        <f t="shared" si="14"/>
        <v>33939</v>
      </c>
      <c r="P105" s="8">
        <f t="shared" si="21"/>
        <v>1.5780533333333333E-2</v>
      </c>
      <c r="Q105" s="8">
        <f t="shared" si="21"/>
        <v>0.24202533333333334</v>
      </c>
      <c r="R105" s="8">
        <f t="shared" si="21"/>
        <v>2.7429533333333329E-2</v>
      </c>
      <c r="S105" s="8">
        <f t="shared" si="21"/>
        <v>0.19124110000000002</v>
      </c>
      <c r="T105" s="8">
        <f t="shared" si="21"/>
        <v>2.6379366666666664E-2</v>
      </c>
      <c r="U105" s="8">
        <f t="shared" si="21"/>
        <v>4.2784966666666667E-2</v>
      </c>
    </row>
    <row r="106" spans="1:21" x14ac:dyDescent="0.25">
      <c r="A106" s="5">
        <f t="shared" si="13"/>
        <v>27576</v>
      </c>
      <c r="B106" s="4">
        <v>1.78998E-2</v>
      </c>
      <c r="C106" s="4">
        <v>0.23654030000000001</v>
      </c>
      <c r="D106" s="4">
        <v>2.59746E-2</v>
      </c>
      <c r="E106" s="4">
        <v>0.19291800000000001</v>
      </c>
      <c r="F106" s="4">
        <v>3.1749399999999997E-2</v>
      </c>
      <c r="G106" s="4">
        <v>4.5172700000000003E-2</v>
      </c>
      <c r="H106" s="3">
        <f t="shared" si="15"/>
        <v>1.8393666666666666E-2</v>
      </c>
      <c r="I106" s="3">
        <f t="shared" si="16"/>
        <v>0.23228363333333335</v>
      </c>
      <c r="J106" s="3">
        <f t="shared" si="17"/>
        <v>2.6726700000000003E-2</v>
      </c>
      <c r="K106" s="3">
        <f t="shared" si="18"/>
        <v>0.19438736666666667</v>
      </c>
      <c r="L106" s="3">
        <f t="shared" si="19"/>
        <v>3.3601899999999997E-2</v>
      </c>
      <c r="M106" s="3">
        <f t="shared" si="20"/>
        <v>4.5327766666666665E-2</v>
      </c>
      <c r="O106" s="9">
        <f t="shared" si="14"/>
        <v>34029</v>
      </c>
      <c r="P106" s="8">
        <f t="shared" si="21"/>
        <v>1.4858966666666668E-2</v>
      </c>
      <c r="Q106" s="8">
        <f t="shared" si="21"/>
        <v>0.22668770000000002</v>
      </c>
      <c r="R106" s="8">
        <f t="shared" si="21"/>
        <v>2.6490366666666668E-2</v>
      </c>
      <c r="S106" s="8">
        <f t="shared" si="21"/>
        <v>0.19464193333333335</v>
      </c>
      <c r="T106" s="8">
        <f t="shared" si="21"/>
        <v>2.7402866666666664E-2</v>
      </c>
      <c r="U106" s="8">
        <f t="shared" si="21"/>
        <v>4.4399300000000003E-2</v>
      </c>
    </row>
    <row r="107" spans="1:21" x14ac:dyDescent="0.25">
      <c r="A107" s="5">
        <f t="shared" si="13"/>
        <v>27607</v>
      </c>
      <c r="B107" s="4">
        <v>1.7821300000000002E-2</v>
      </c>
      <c r="C107" s="4">
        <v>0.24470459999999999</v>
      </c>
      <c r="D107" s="4">
        <v>2.8070000000000001E-2</v>
      </c>
      <c r="E107" s="4">
        <v>0.20242560000000001</v>
      </c>
      <c r="F107" s="4">
        <v>3.5479700000000003E-2</v>
      </c>
      <c r="G107" s="4">
        <v>4.8504699999999998E-2</v>
      </c>
      <c r="H107" s="3">
        <f t="shared" si="15"/>
        <v>1.780696666666667E-2</v>
      </c>
      <c r="I107" s="3">
        <f t="shared" si="16"/>
        <v>0.23472553333333335</v>
      </c>
      <c r="J107" s="3">
        <f t="shared" si="17"/>
        <v>2.7317600000000001E-2</v>
      </c>
      <c r="K107" s="3">
        <f t="shared" si="18"/>
        <v>0.19644296666666669</v>
      </c>
      <c r="L107" s="3">
        <f t="shared" si="19"/>
        <v>3.3871433333333333E-2</v>
      </c>
      <c r="M107" s="3">
        <f t="shared" si="20"/>
        <v>4.5916599999999995E-2</v>
      </c>
      <c r="O107" s="9">
        <f t="shared" si="14"/>
        <v>34121</v>
      </c>
      <c r="P107" s="8">
        <f t="shared" si="21"/>
        <v>1.5258966666666665E-2</v>
      </c>
      <c r="Q107" s="8">
        <f t="shared" si="21"/>
        <v>0.23523983333333331</v>
      </c>
      <c r="R107" s="8">
        <f t="shared" si="21"/>
        <v>2.6743400000000001E-2</v>
      </c>
      <c r="S107" s="8">
        <f t="shared" si="21"/>
        <v>0.18058476666666667</v>
      </c>
      <c r="T107" s="8">
        <f t="shared" si="21"/>
        <v>2.6088766666666666E-2</v>
      </c>
      <c r="U107" s="8">
        <f t="shared" si="21"/>
        <v>4.2839533333333339E-2</v>
      </c>
    </row>
    <row r="108" spans="1:21" x14ac:dyDescent="0.25">
      <c r="A108" s="5">
        <f t="shared" si="13"/>
        <v>27638</v>
      </c>
      <c r="B108" s="4">
        <v>1.7812100000000001E-2</v>
      </c>
      <c r="C108" s="4">
        <v>0.23739499999999999</v>
      </c>
      <c r="D108" s="4">
        <v>2.7689800000000001E-2</v>
      </c>
      <c r="E108" s="4">
        <v>0.2080603</v>
      </c>
      <c r="F108" s="4">
        <v>3.6836000000000001E-2</v>
      </c>
      <c r="G108" s="4">
        <v>4.4417499999999999E-2</v>
      </c>
      <c r="H108" s="3">
        <f t="shared" si="15"/>
        <v>1.78444E-2</v>
      </c>
      <c r="I108" s="3">
        <f t="shared" si="16"/>
        <v>0.23954663333333334</v>
      </c>
      <c r="J108" s="3">
        <f t="shared" si="17"/>
        <v>2.72448E-2</v>
      </c>
      <c r="K108" s="3">
        <f t="shared" si="18"/>
        <v>0.20113463333333334</v>
      </c>
      <c r="L108" s="3">
        <f t="shared" si="19"/>
        <v>3.4688366666666665E-2</v>
      </c>
      <c r="M108" s="3">
        <f t="shared" si="20"/>
        <v>4.6031633333333329E-2</v>
      </c>
      <c r="O108" s="9">
        <f>DATE(YEAR(O107),MONTH(O107)+3,1)</f>
        <v>34213</v>
      </c>
      <c r="P108" s="8">
        <f t="shared" si="21"/>
        <v>1.5288433333333332E-2</v>
      </c>
      <c r="Q108" s="8">
        <f t="shared" si="21"/>
        <v>0.24437526666666667</v>
      </c>
      <c r="R108" s="8">
        <f t="shared" si="21"/>
        <v>2.6322533333333332E-2</v>
      </c>
      <c r="S108" s="8">
        <f t="shared" si="21"/>
        <v>0.19758526666666665</v>
      </c>
      <c r="T108" s="8">
        <f t="shared" si="21"/>
        <v>2.6758933333333335E-2</v>
      </c>
      <c r="U108" s="8">
        <f t="shared" si="21"/>
        <v>4.3703766666666664E-2</v>
      </c>
    </row>
    <row r="109" spans="1:21" x14ac:dyDescent="0.25">
      <c r="A109" s="5">
        <f t="shared" si="13"/>
        <v>27668</v>
      </c>
      <c r="B109" s="4">
        <v>1.7593000000000001E-2</v>
      </c>
      <c r="C109" s="4">
        <v>0.2358799</v>
      </c>
      <c r="D109" s="4">
        <v>2.7909300000000001E-2</v>
      </c>
      <c r="E109" s="4">
        <v>0.21649479999999999</v>
      </c>
      <c r="F109" s="4">
        <v>3.49912E-2</v>
      </c>
      <c r="G109" s="4">
        <v>4.7949699999999998E-2</v>
      </c>
      <c r="H109" s="3">
        <f t="shared" si="15"/>
        <v>1.7742133333333337E-2</v>
      </c>
      <c r="I109" s="3">
        <f t="shared" si="16"/>
        <v>0.2393265</v>
      </c>
      <c r="J109" s="3">
        <f t="shared" si="17"/>
        <v>2.78897E-2</v>
      </c>
      <c r="K109" s="3">
        <f t="shared" si="18"/>
        <v>0.20899356666666669</v>
      </c>
      <c r="L109" s="3">
        <f t="shared" si="19"/>
        <v>3.5768966666666673E-2</v>
      </c>
      <c r="M109" s="3">
        <f t="shared" si="20"/>
        <v>4.69573E-2</v>
      </c>
      <c r="O109" s="9">
        <f t="shared" ref="O109:O132" si="22">DATE(YEAR(O108),MONTH(O108)+3,1)</f>
        <v>34304</v>
      </c>
      <c r="P109" s="8">
        <f t="shared" si="21"/>
        <v>1.48323E-2</v>
      </c>
      <c r="Q109" s="8">
        <f t="shared" si="21"/>
        <v>0.24193916666666668</v>
      </c>
      <c r="R109" s="8">
        <f t="shared" si="21"/>
        <v>2.64403E-2</v>
      </c>
      <c r="S109" s="8">
        <f t="shared" si="21"/>
        <v>0.20025623333333331</v>
      </c>
      <c r="T109" s="8">
        <f t="shared" si="21"/>
        <v>2.5498966666666668E-2</v>
      </c>
      <c r="U109" s="8">
        <f t="shared" si="21"/>
        <v>4.2579733333333335E-2</v>
      </c>
    </row>
    <row r="110" spans="1:21" x14ac:dyDescent="0.25">
      <c r="A110" s="5">
        <f t="shared" si="13"/>
        <v>27699</v>
      </c>
      <c r="B110" s="4">
        <v>1.6560399999999999E-2</v>
      </c>
      <c r="C110" s="4">
        <v>0.21509310000000001</v>
      </c>
      <c r="D110" s="4">
        <v>2.5737599999999999E-2</v>
      </c>
      <c r="E110" s="4">
        <v>0.21810889999999999</v>
      </c>
      <c r="F110" s="4">
        <v>3.4383900000000002E-2</v>
      </c>
      <c r="G110" s="4">
        <v>3.9565999999999997E-2</v>
      </c>
      <c r="H110" s="3">
        <f t="shared" si="15"/>
        <v>1.7321833333333331E-2</v>
      </c>
      <c r="I110" s="3">
        <f t="shared" si="16"/>
        <v>0.22945599999999999</v>
      </c>
      <c r="J110" s="3">
        <f t="shared" si="17"/>
        <v>2.7112233333333333E-2</v>
      </c>
      <c r="K110" s="3">
        <f t="shared" si="18"/>
        <v>0.21422133333333329</v>
      </c>
      <c r="L110" s="3">
        <f t="shared" si="19"/>
        <v>3.5403700000000003E-2</v>
      </c>
      <c r="M110" s="3">
        <f t="shared" si="20"/>
        <v>4.3977733333333331E-2</v>
      </c>
      <c r="O110" s="9">
        <f t="shared" si="22"/>
        <v>34394</v>
      </c>
      <c r="P110" s="8">
        <f t="shared" si="21"/>
        <v>1.3811200000000001E-2</v>
      </c>
      <c r="Q110" s="8">
        <f t="shared" si="21"/>
        <v>0.25913366666666665</v>
      </c>
      <c r="R110" s="8">
        <f t="shared" si="21"/>
        <v>2.9424533333333332E-2</v>
      </c>
      <c r="S110" s="8">
        <f t="shared" si="21"/>
        <v>0.22045378333333332</v>
      </c>
      <c r="T110" s="8">
        <f t="shared" si="21"/>
        <v>2.9143283333333336E-2</v>
      </c>
      <c r="U110" s="8">
        <f t="shared" si="21"/>
        <v>4.8354500000000002E-2</v>
      </c>
    </row>
    <row r="111" spans="1:21" x14ac:dyDescent="0.25">
      <c r="A111" s="5">
        <f t="shared" si="13"/>
        <v>27729</v>
      </c>
      <c r="B111" s="4">
        <v>1.6998800000000001E-2</v>
      </c>
      <c r="C111" s="4">
        <v>0.23407990000000001</v>
      </c>
      <c r="D111" s="4">
        <v>3.0172299999999999E-2</v>
      </c>
      <c r="E111" s="4">
        <v>0.20803060000000001</v>
      </c>
      <c r="F111" s="4">
        <v>3.5823099999999997E-2</v>
      </c>
      <c r="G111" s="4">
        <v>4.47286E-2</v>
      </c>
      <c r="H111" s="3">
        <f t="shared" si="15"/>
        <v>1.7050733333333335E-2</v>
      </c>
      <c r="I111" s="3">
        <f t="shared" si="16"/>
        <v>0.22835096666666668</v>
      </c>
      <c r="J111" s="3">
        <f t="shared" si="17"/>
        <v>2.7939733333333331E-2</v>
      </c>
      <c r="K111" s="3">
        <f t="shared" si="18"/>
        <v>0.21421143333333334</v>
      </c>
      <c r="L111" s="3">
        <f t="shared" si="19"/>
        <v>3.5066066666666666E-2</v>
      </c>
      <c r="M111" s="3">
        <f t="shared" si="20"/>
        <v>4.4081433333333336E-2</v>
      </c>
      <c r="O111" s="9">
        <f t="shared" si="22"/>
        <v>34486</v>
      </c>
      <c r="P111" s="8">
        <f t="shared" si="21"/>
        <v>1.4985499999999999E-2</v>
      </c>
      <c r="Q111" s="8">
        <f t="shared" si="21"/>
        <v>0.26730996666666668</v>
      </c>
      <c r="R111" s="8">
        <f t="shared" si="21"/>
        <v>2.8485933333333335E-2</v>
      </c>
      <c r="S111" s="8">
        <f t="shared" si="21"/>
        <v>0.24891759999999999</v>
      </c>
      <c r="T111" s="8">
        <f t="shared" si="21"/>
        <v>2.7713166666666667E-2</v>
      </c>
      <c r="U111" s="8">
        <f t="shared" si="21"/>
        <v>4.5181666666666669E-2</v>
      </c>
    </row>
    <row r="112" spans="1:21" x14ac:dyDescent="0.25">
      <c r="A112" s="5">
        <f t="shared" si="13"/>
        <v>27760</v>
      </c>
      <c r="B112" s="4">
        <v>1.49076E-2</v>
      </c>
      <c r="C112" s="4">
        <v>0.21860350000000001</v>
      </c>
      <c r="D112" s="4">
        <v>2.8603400000000001E-2</v>
      </c>
      <c r="E112" s="4">
        <v>0.19502449999999999</v>
      </c>
      <c r="F112" s="4">
        <v>3.2403399999999999E-2</v>
      </c>
      <c r="G112" s="4">
        <v>4.6910199999999999E-2</v>
      </c>
      <c r="H112" s="3">
        <f t="shared" si="15"/>
        <v>1.6155599999999999E-2</v>
      </c>
      <c r="I112" s="3">
        <f t="shared" si="16"/>
        <v>0.22259216666666667</v>
      </c>
      <c r="J112" s="3">
        <f t="shared" si="17"/>
        <v>2.8171100000000001E-2</v>
      </c>
      <c r="K112" s="3">
        <f t="shared" si="18"/>
        <v>0.20705466666666669</v>
      </c>
      <c r="L112" s="3">
        <f t="shared" si="19"/>
        <v>3.4203466666666661E-2</v>
      </c>
      <c r="M112" s="3">
        <f t="shared" si="20"/>
        <v>4.3734933333333337E-2</v>
      </c>
      <c r="O112" s="9">
        <f t="shared" si="22"/>
        <v>34578</v>
      </c>
      <c r="P112" s="8">
        <f t="shared" si="21"/>
        <v>1.4509133333333332E-2</v>
      </c>
      <c r="Q112" s="8">
        <f t="shared" si="21"/>
        <v>0.26358046666666662</v>
      </c>
      <c r="R112" s="8">
        <f t="shared" si="21"/>
        <v>2.8583333333333336E-2</v>
      </c>
      <c r="S112" s="8">
        <f t="shared" si="21"/>
        <v>0.23878813333333335</v>
      </c>
      <c r="T112" s="8">
        <f t="shared" si="21"/>
        <v>2.6647900000000002E-2</v>
      </c>
      <c r="U112" s="8">
        <f t="shared" si="21"/>
        <v>4.3258466666666662E-2</v>
      </c>
    </row>
    <row r="113" spans="1:21" x14ac:dyDescent="0.25">
      <c r="A113" s="5">
        <f t="shared" si="13"/>
        <v>27791</v>
      </c>
      <c r="B113" s="4">
        <v>1.4795000000000001E-2</v>
      </c>
      <c r="C113" s="4">
        <v>0.22801730000000001</v>
      </c>
      <c r="D113" s="4">
        <v>2.60822E-2</v>
      </c>
      <c r="E113" s="4">
        <v>0.19215769999999999</v>
      </c>
      <c r="F113" s="4">
        <v>3.5127199999999997E-2</v>
      </c>
      <c r="G113" s="4">
        <v>4.1099700000000003E-2</v>
      </c>
      <c r="H113" s="3">
        <f t="shared" si="15"/>
        <v>1.5567133333333335E-2</v>
      </c>
      <c r="I113" s="3">
        <f t="shared" si="16"/>
        <v>0.22690023333333334</v>
      </c>
      <c r="J113" s="3">
        <f t="shared" si="17"/>
        <v>2.8285966666666666E-2</v>
      </c>
      <c r="K113" s="3">
        <f t="shared" si="18"/>
        <v>0.19840426666666666</v>
      </c>
      <c r="L113" s="3">
        <f t="shared" si="19"/>
        <v>3.4451233333333331E-2</v>
      </c>
      <c r="M113" s="3">
        <f t="shared" si="20"/>
        <v>4.4246166666666663E-2</v>
      </c>
      <c r="O113" s="9">
        <f t="shared" si="22"/>
        <v>34669</v>
      </c>
      <c r="P113" s="8">
        <f t="shared" si="21"/>
        <v>1.34013E-2</v>
      </c>
      <c r="Q113" s="8">
        <f t="shared" si="21"/>
        <v>0.27328850000000005</v>
      </c>
      <c r="R113" s="8">
        <f t="shared" si="21"/>
        <v>2.7016233333333334E-2</v>
      </c>
      <c r="S113" s="8">
        <f t="shared" si="21"/>
        <v>0.24123636666666667</v>
      </c>
      <c r="T113" s="8">
        <f t="shared" si="21"/>
        <v>2.7372066666666667E-2</v>
      </c>
      <c r="U113" s="8">
        <f t="shared" si="21"/>
        <v>4.5432733333333329E-2</v>
      </c>
    </row>
    <row r="114" spans="1:21" x14ac:dyDescent="0.25">
      <c r="A114" s="5">
        <f t="shared" si="13"/>
        <v>27820</v>
      </c>
      <c r="B114" s="4">
        <v>1.5671899999999999E-2</v>
      </c>
      <c r="C114" s="4">
        <v>0.238205</v>
      </c>
      <c r="D114" s="4">
        <v>2.5796300000000001E-2</v>
      </c>
      <c r="E114" s="4">
        <v>0.2202674</v>
      </c>
      <c r="F114" s="4">
        <v>3.3018800000000001E-2</v>
      </c>
      <c r="G114" s="4">
        <v>4.2347099999999999E-2</v>
      </c>
      <c r="H114" s="3">
        <f t="shared" si="15"/>
        <v>1.5124833333333332E-2</v>
      </c>
      <c r="I114" s="3">
        <f t="shared" si="16"/>
        <v>0.22827526666666667</v>
      </c>
      <c r="J114" s="3">
        <f t="shared" si="17"/>
        <v>2.6827299999999998E-2</v>
      </c>
      <c r="K114" s="3">
        <f t="shared" si="18"/>
        <v>0.2024832</v>
      </c>
      <c r="L114" s="3">
        <f t="shared" si="19"/>
        <v>3.3516466666666668E-2</v>
      </c>
      <c r="M114" s="3">
        <f t="shared" si="20"/>
        <v>4.3452333333333336E-2</v>
      </c>
      <c r="O114" s="9">
        <f t="shared" si="22"/>
        <v>34759</v>
      </c>
      <c r="P114" s="8">
        <f t="shared" si="21"/>
        <v>1.4234233333333332E-2</v>
      </c>
      <c r="Q114" s="8">
        <f t="shared" si="21"/>
        <v>0.29360976666666666</v>
      </c>
      <c r="R114" s="8">
        <f t="shared" si="21"/>
        <v>2.6312600000000002E-2</v>
      </c>
      <c r="S114" s="8">
        <f t="shared" si="21"/>
        <v>0.23660843333333334</v>
      </c>
      <c r="T114" s="8">
        <f t="shared" si="21"/>
        <v>2.7795666666666666E-2</v>
      </c>
      <c r="U114" s="8">
        <f t="shared" si="21"/>
        <v>4.6055699999999998E-2</v>
      </c>
    </row>
    <row r="115" spans="1:21" x14ac:dyDescent="0.25">
      <c r="A115" s="5">
        <f t="shared" si="13"/>
        <v>27851</v>
      </c>
      <c r="B115" s="4">
        <v>1.6049899999999999E-2</v>
      </c>
      <c r="C115" s="4">
        <v>0.25700469999999997</v>
      </c>
      <c r="D115" s="4">
        <v>2.7994600000000001E-2</v>
      </c>
      <c r="E115" s="4">
        <v>0.2124818</v>
      </c>
      <c r="F115" s="4">
        <v>3.54603E-2</v>
      </c>
      <c r="G115" s="4">
        <v>4.9222399999999999E-2</v>
      </c>
      <c r="H115" s="3">
        <f t="shared" si="15"/>
        <v>1.55056E-2</v>
      </c>
      <c r="I115" s="3">
        <f t="shared" si="16"/>
        <v>0.24107566666666666</v>
      </c>
      <c r="J115" s="3">
        <f t="shared" si="17"/>
        <v>2.6624366666666666E-2</v>
      </c>
      <c r="K115" s="3">
        <f t="shared" si="18"/>
        <v>0.20830230000000002</v>
      </c>
      <c r="L115" s="3">
        <f t="shared" si="19"/>
        <v>3.453543333333333E-2</v>
      </c>
      <c r="M115" s="3">
        <f t="shared" si="20"/>
        <v>4.4223066666666665E-2</v>
      </c>
      <c r="O115" s="9">
        <f t="shared" si="22"/>
        <v>34851</v>
      </c>
      <c r="P115" s="8">
        <f t="shared" si="21"/>
        <v>1.3973093333333334E-2</v>
      </c>
      <c r="Q115" s="8">
        <f t="shared" si="21"/>
        <v>0.26278964666666665</v>
      </c>
      <c r="R115" s="8">
        <f t="shared" si="21"/>
        <v>2.894477333333333E-2</v>
      </c>
      <c r="S115" s="8">
        <f t="shared" si="21"/>
        <v>0.23789528000000001</v>
      </c>
      <c r="T115" s="8">
        <f t="shared" si="21"/>
        <v>2.7698533333333331E-2</v>
      </c>
      <c r="U115" s="8">
        <f t="shared" si="21"/>
        <v>4.079639333333334E-2</v>
      </c>
    </row>
    <row r="116" spans="1:21" x14ac:dyDescent="0.25">
      <c r="A116" s="5">
        <f t="shared" si="13"/>
        <v>27881</v>
      </c>
      <c r="B116" s="4">
        <v>1.38961E-2</v>
      </c>
      <c r="C116" s="4">
        <v>0.2350949</v>
      </c>
      <c r="D116" s="4">
        <v>2.5050300000000001E-2</v>
      </c>
      <c r="E116" s="4">
        <v>0.2281764</v>
      </c>
      <c r="F116" s="4">
        <v>3.46828E-2</v>
      </c>
      <c r="G116" s="4">
        <v>4.5034900000000003E-2</v>
      </c>
      <c r="H116" s="3">
        <f t="shared" si="15"/>
        <v>1.5205966666666666E-2</v>
      </c>
      <c r="I116" s="3">
        <f t="shared" si="16"/>
        <v>0.24343486666666667</v>
      </c>
      <c r="J116" s="3">
        <f t="shared" si="17"/>
        <v>2.6280399999999999E-2</v>
      </c>
      <c r="K116" s="3">
        <f t="shared" si="18"/>
        <v>0.22030853333333333</v>
      </c>
      <c r="L116" s="3">
        <f t="shared" si="19"/>
        <v>3.4387300000000003E-2</v>
      </c>
      <c r="M116" s="3">
        <f t="shared" si="20"/>
        <v>4.5534800000000007E-2</v>
      </c>
      <c r="O116" s="9">
        <f t="shared" si="22"/>
        <v>34943</v>
      </c>
      <c r="P116" s="8">
        <f t="shared" si="21"/>
        <v>1.3952040000000001E-2</v>
      </c>
      <c r="Q116" s="8">
        <f t="shared" si="21"/>
        <v>0.26802721999999995</v>
      </c>
      <c r="R116" s="8">
        <f t="shared" si="21"/>
        <v>2.8500859999999999E-2</v>
      </c>
      <c r="S116" s="8">
        <f t="shared" si="21"/>
        <v>0.24627412000000001</v>
      </c>
      <c r="T116" s="8">
        <f t="shared" si="21"/>
        <v>2.6870599999999998E-2</v>
      </c>
      <c r="U116" s="8">
        <f t="shared" si="21"/>
        <v>4.1983939999999997E-2</v>
      </c>
    </row>
    <row r="117" spans="1:21" x14ac:dyDescent="0.25">
      <c r="A117" s="5">
        <f t="shared" si="13"/>
        <v>27912</v>
      </c>
      <c r="B117" s="4">
        <v>1.5838499999999998E-2</v>
      </c>
      <c r="C117" s="4">
        <v>0.2298916</v>
      </c>
      <c r="D117" s="4">
        <v>2.7357900000000001E-2</v>
      </c>
      <c r="E117" s="4">
        <v>0.1948867</v>
      </c>
      <c r="F117" s="4">
        <v>3.3185899999999997E-2</v>
      </c>
      <c r="G117" s="4">
        <v>4.6201300000000001E-2</v>
      </c>
      <c r="H117" s="3">
        <f t="shared" si="15"/>
        <v>1.5261499999999999E-2</v>
      </c>
      <c r="I117" s="3">
        <f t="shared" si="16"/>
        <v>0.24066373333333332</v>
      </c>
      <c r="J117" s="3">
        <f t="shared" si="17"/>
        <v>2.6800933333333336E-2</v>
      </c>
      <c r="K117" s="3">
        <f t="shared" si="18"/>
        <v>0.21184829999999999</v>
      </c>
      <c r="L117" s="3">
        <f t="shared" si="19"/>
        <v>3.4443000000000001E-2</v>
      </c>
      <c r="M117" s="3">
        <f t="shared" si="20"/>
        <v>4.681953333333333E-2</v>
      </c>
      <c r="O117" s="9">
        <f t="shared" si="22"/>
        <v>35034</v>
      </c>
      <c r="P117" s="8">
        <f t="shared" si="21"/>
        <v>1.3506599999999999E-2</v>
      </c>
      <c r="Q117" s="8">
        <f t="shared" si="21"/>
        <v>0.27389886666666663</v>
      </c>
      <c r="R117" s="8">
        <f t="shared" si="21"/>
        <v>2.7573699999999996E-2</v>
      </c>
      <c r="S117" s="8">
        <f t="shared" si="21"/>
        <v>0.24162573333333337</v>
      </c>
      <c r="T117" s="8">
        <f t="shared" si="21"/>
        <v>2.6911266666666666E-2</v>
      </c>
      <c r="U117" s="8">
        <f t="shared" si="21"/>
        <v>4.38266E-2</v>
      </c>
    </row>
    <row r="118" spans="1:21" x14ac:dyDescent="0.25">
      <c r="A118" s="5">
        <f t="shared" si="13"/>
        <v>27942</v>
      </c>
      <c r="B118" s="4">
        <v>1.77223E-2</v>
      </c>
      <c r="C118" s="4">
        <v>0.27649319999999999</v>
      </c>
      <c r="D118" s="4">
        <v>2.73434E-2</v>
      </c>
      <c r="E118" s="4">
        <v>0.21440390000000001</v>
      </c>
      <c r="F118" s="4">
        <v>3.4988199999999997E-2</v>
      </c>
      <c r="G118" s="4">
        <v>5.0160400000000001E-2</v>
      </c>
      <c r="H118" s="3">
        <f t="shared" si="15"/>
        <v>1.5818966666666667E-2</v>
      </c>
      <c r="I118" s="3">
        <f t="shared" si="16"/>
        <v>0.24715989999999999</v>
      </c>
      <c r="J118" s="3">
        <f t="shared" si="17"/>
        <v>2.6583866666666667E-2</v>
      </c>
      <c r="K118" s="3">
        <f t="shared" si="18"/>
        <v>0.21248900000000001</v>
      </c>
      <c r="L118" s="3">
        <f t="shared" si="19"/>
        <v>3.4285633333333336E-2</v>
      </c>
      <c r="M118" s="3">
        <f t="shared" si="20"/>
        <v>4.7132200000000006E-2</v>
      </c>
      <c r="O118" s="9">
        <f t="shared" si="22"/>
        <v>35125</v>
      </c>
      <c r="P118" s="8">
        <f t="shared" si="21"/>
        <v>1.39848E-2</v>
      </c>
      <c r="Q118" s="8">
        <f t="shared" si="21"/>
        <v>0.28454106666666662</v>
      </c>
      <c r="R118" s="8">
        <f t="shared" si="21"/>
        <v>2.7957366666666664E-2</v>
      </c>
      <c r="S118" s="8">
        <f t="shared" si="21"/>
        <v>0.23940136666666667</v>
      </c>
      <c r="T118" s="8">
        <f t="shared" si="21"/>
        <v>2.7366933333333333E-2</v>
      </c>
      <c r="U118" s="8">
        <f t="shared" si="21"/>
        <v>4.6403066666666666E-2</v>
      </c>
    </row>
    <row r="119" spans="1:21" x14ac:dyDescent="0.25">
      <c r="A119" s="5">
        <f t="shared" si="13"/>
        <v>27973</v>
      </c>
      <c r="B119" s="4">
        <v>1.5806400000000002E-2</v>
      </c>
      <c r="C119" s="4">
        <v>0.23725789999999999</v>
      </c>
      <c r="D119" s="4">
        <v>2.8793599999999999E-2</v>
      </c>
      <c r="E119" s="4">
        <v>0.20372560000000001</v>
      </c>
      <c r="F119" s="4">
        <v>3.3964599999999998E-2</v>
      </c>
      <c r="G119" s="4">
        <v>4.63369E-2</v>
      </c>
      <c r="H119" s="3">
        <f t="shared" si="15"/>
        <v>1.6455733333333333E-2</v>
      </c>
      <c r="I119" s="3">
        <f t="shared" si="16"/>
        <v>0.24788089999999999</v>
      </c>
      <c r="J119" s="3">
        <f t="shared" si="17"/>
        <v>2.7831633333333331E-2</v>
      </c>
      <c r="K119" s="3">
        <f t="shared" si="18"/>
        <v>0.20433873333333333</v>
      </c>
      <c r="L119" s="3">
        <f t="shared" si="19"/>
        <v>3.4046233333333328E-2</v>
      </c>
      <c r="M119" s="3">
        <f t="shared" si="20"/>
        <v>4.7566200000000003E-2</v>
      </c>
      <c r="O119" s="9">
        <f t="shared" si="22"/>
        <v>35217</v>
      </c>
      <c r="P119" s="8">
        <f t="shared" si="21"/>
        <v>1.4045433333333334E-2</v>
      </c>
      <c r="Q119" s="8">
        <f t="shared" si="21"/>
        <v>0.26205300000000004</v>
      </c>
      <c r="R119" s="8">
        <f t="shared" si="21"/>
        <v>2.6145100000000001E-2</v>
      </c>
      <c r="S119" s="8">
        <f t="shared" si="21"/>
        <v>0.25316283333333334</v>
      </c>
      <c r="T119" s="8">
        <f t="shared" si="21"/>
        <v>2.6020966666666669E-2</v>
      </c>
      <c r="U119" s="8">
        <f t="shared" si="21"/>
        <v>4.2474433333333339E-2</v>
      </c>
    </row>
    <row r="120" spans="1:21" x14ac:dyDescent="0.25">
      <c r="A120" s="5">
        <f t="shared" si="13"/>
        <v>28004</v>
      </c>
      <c r="B120" s="4">
        <v>1.5878E-2</v>
      </c>
      <c r="C120" s="4">
        <v>0.25069350000000001</v>
      </c>
      <c r="D120" s="4">
        <v>2.7522600000000001E-2</v>
      </c>
      <c r="E120" s="4">
        <v>0.22791549999999999</v>
      </c>
      <c r="F120" s="4">
        <v>3.8086299999999997E-2</v>
      </c>
      <c r="G120" s="4">
        <v>4.8488000000000003E-2</v>
      </c>
      <c r="H120" s="3">
        <f t="shared" si="15"/>
        <v>1.6468899999999998E-2</v>
      </c>
      <c r="I120" s="3">
        <f t="shared" si="16"/>
        <v>0.2548148666666667</v>
      </c>
      <c r="J120" s="3">
        <f t="shared" si="17"/>
        <v>2.7886533333333335E-2</v>
      </c>
      <c r="K120" s="3">
        <f t="shared" si="18"/>
        <v>0.21534833333333334</v>
      </c>
      <c r="L120" s="3">
        <f t="shared" si="19"/>
        <v>3.5679700000000002E-2</v>
      </c>
      <c r="M120" s="3">
        <f t="shared" si="20"/>
        <v>4.8328433333333337E-2</v>
      </c>
      <c r="O120" s="9">
        <f t="shared" si="22"/>
        <v>35309</v>
      </c>
      <c r="P120" s="8">
        <f t="shared" si="21"/>
        <v>1.2827933333333333E-2</v>
      </c>
      <c r="Q120" s="8">
        <f t="shared" si="21"/>
        <v>0.27461966666666665</v>
      </c>
      <c r="R120" s="8">
        <f t="shared" si="21"/>
        <v>2.6013999999999999E-2</v>
      </c>
      <c r="S120" s="8">
        <f t="shared" si="21"/>
        <v>0.24426713333333336</v>
      </c>
      <c r="T120" s="8">
        <f t="shared" si="21"/>
        <v>2.6201333333333337E-2</v>
      </c>
      <c r="U120" s="8">
        <f t="shared" si="21"/>
        <v>4.3351400000000005E-2</v>
      </c>
    </row>
    <row r="121" spans="1:21" x14ac:dyDescent="0.25">
      <c r="A121" s="5">
        <f t="shared" si="13"/>
        <v>28034</v>
      </c>
      <c r="B121" s="4">
        <v>1.5791199999999998E-2</v>
      </c>
      <c r="C121" s="4">
        <v>0.24028430000000001</v>
      </c>
      <c r="D121" s="4">
        <v>2.8475799999999999E-2</v>
      </c>
      <c r="E121" s="4">
        <v>0.2184721</v>
      </c>
      <c r="F121" s="4">
        <v>3.1116899999999999E-2</v>
      </c>
      <c r="G121" s="4">
        <v>4.3973400000000003E-2</v>
      </c>
      <c r="H121" s="3">
        <f t="shared" si="15"/>
        <v>1.5825200000000001E-2</v>
      </c>
      <c r="I121" s="3">
        <f t="shared" si="16"/>
        <v>0.24274523333333334</v>
      </c>
      <c r="J121" s="3">
        <f t="shared" si="17"/>
        <v>2.8263999999999997E-2</v>
      </c>
      <c r="K121" s="3">
        <f t="shared" si="18"/>
        <v>0.21670440000000002</v>
      </c>
      <c r="L121" s="3">
        <f t="shared" si="19"/>
        <v>3.4389266666666668E-2</v>
      </c>
      <c r="M121" s="3">
        <f t="shared" si="20"/>
        <v>4.6266100000000004E-2</v>
      </c>
      <c r="O121" s="9">
        <f t="shared" si="22"/>
        <v>35400</v>
      </c>
      <c r="P121" s="8">
        <f t="shared" si="21"/>
        <v>1.27571E-2</v>
      </c>
      <c r="Q121" s="8">
        <f t="shared" si="21"/>
        <v>0.28299223333333329</v>
      </c>
      <c r="R121" s="8">
        <f t="shared" si="21"/>
        <v>2.6772233333333336E-2</v>
      </c>
      <c r="S121" s="8">
        <f t="shared" si="21"/>
        <v>0.22747556666666666</v>
      </c>
      <c r="T121" s="8">
        <f t="shared" si="21"/>
        <v>2.5309633333333331E-2</v>
      </c>
      <c r="U121" s="8">
        <f t="shared" si="21"/>
        <v>4.2509999999999999E-2</v>
      </c>
    </row>
    <row r="122" spans="1:21" x14ac:dyDescent="0.25">
      <c r="A122" s="5">
        <f t="shared" si="13"/>
        <v>28065</v>
      </c>
      <c r="B122" s="4">
        <v>1.63267E-2</v>
      </c>
      <c r="C122" s="4">
        <v>0.22810240000000001</v>
      </c>
      <c r="D122" s="4">
        <v>2.6079999999999999E-2</v>
      </c>
      <c r="E122" s="4">
        <v>0.20704210000000001</v>
      </c>
      <c r="F122" s="4">
        <v>3.2603899999999998E-2</v>
      </c>
      <c r="G122" s="4">
        <v>4.4410600000000001E-2</v>
      </c>
      <c r="H122" s="3">
        <f t="shared" si="15"/>
        <v>1.5998633333333331E-2</v>
      </c>
      <c r="I122" s="3">
        <f t="shared" si="16"/>
        <v>0.23969340000000003</v>
      </c>
      <c r="J122" s="3">
        <f t="shared" si="17"/>
        <v>2.7359466666666665E-2</v>
      </c>
      <c r="K122" s="3">
        <f t="shared" si="18"/>
        <v>0.2178099</v>
      </c>
      <c r="L122" s="3">
        <f t="shared" si="19"/>
        <v>3.3935699999999992E-2</v>
      </c>
      <c r="M122" s="3">
        <f t="shared" si="20"/>
        <v>4.5623999999999998E-2</v>
      </c>
      <c r="O122" s="9">
        <f t="shared" si="22"/>
        <v>35490</v>
      </c>
      <c r="P122" s="8">
        <f t="shared" si="21"/>
        <v>1.2839933333333333E-2</v>
      </c>
      <c r="Q122" s="8">
        <f t="shared" si="21"/>
        <v>0.29751976666666669</v>
      </c>
      <c r="R122" s="8">
        <f t="shared" si="21"/>
        <v>2.6631733333333334E-2</v>
      </c>
      <c r="S122" s="8">
        <f t="shared" si="21"/>
        <v>0.23634896666666669</v>
      </c>
      <c r="T122" s="8">
        <f t="shared" si="21"/>
        <v>2.7279466666666669E-2</v>
      </c>
      <c r="U122" s="8">
        <f t="shared" si="21"/>
        <v>4.628733333333334E-2</v>
      </c>
    </row>
    <row r="123" spans="1:21" x14ac:dyDescent="0.25">
      <c r="A123" s="5">
        <f t="shared" si="13"/>
        <v>28095</v>
      </c>
      <c r="B123" s="4">
        <v>1.75335E-2</v>
      </c>
      <c r="C123" s="4">
        <v>0.25121909999999997</v>
      </c>
      <c r="D123" s="4">
        <v>2.6380199999999999E-2</v>
      </c>
      <c r="E123" s="4">
        <v>0.2102793</v>
      </c>
      <c r="F123" s="4">
        <v>3.5257900000000002E-2</v>
      </c>
      <c r="G123" s="4">
        <v>5.0434600000000003E-2</v>
      </c>
      <c r="H123" s="3">
        <f t="shared" si="15"/>
        <v>1.6550466666666666E-2</v>
      </c>
      <c r="I123" s="3">
        <f t="shared" si="16"/>
        <v>0.23986860000000002</v>
      </c>
      <c r="J123" s="3">
        <f t="shared" si="17"/>
        <v>2.6978666666666668E-2</v>
      </c>
      <c r="K123" s="3">
        <f t="shared" si="18"/>
        <v>0.21193116666666667</v>
      </c>
      <c r="L123" s="3">
        <f t="shared" si="19"/>
        <v>3.2992899999999999E-2</v>
      </c>
      <c r="M123" s="3">
        <f t="shared" si="20"/>
        <v>4.6272866666666669E-2</v>
      </c>
      <c r="O123" s="9">
        <f t="shared" si="22"/>
        <v>35582</v>
      </c>
      <c r="P123" s="8">
        <f t="shared" si="21"/>
        <v>1.3287199999999999E-2</v>
      </c>
      <c r="Q123" s="8">
        <f t="shared" si="21"/>
        <v>0.28995213333333331</v>
      </c>
      <c r="R123" s="8">
        <f t="shared" si="21"/>
        <v>2.3788666666666666E-2</v>
      </c>
      <c r="S123" s="8">
        <f t="shared" si="21"/>
        <v>0.25009316666666664</v>
      </c>
      <c r="T123" s="8">
        <f t="shared" si="21"/>
        <v>2.6671366666666668E-2</v>
      </c>
      <c r="U123" s="8">
        <f t="shared" si="21"/>
        <v>4.3423500000000004E-2</v>
      </c>
    </row>
    <row r="124" spans="1:21" x14ac:dyDescent="0.25">
      <c r="A124" s="5">
        <f t="shared" si="13"/>
        <v>28126</v>
      </c>
      <c r="B124" s="4">
        <v>1.5557E-2</v>
      </c>
      <c r="C124" s="4">
        <v>0.22781470000000001</v>
      </c>
      <c r="D124" s="4">
        <v>2.6238500000000001E-2</v>
      </c>
      <c r="E124" s="4">
        <v>0.20439489999999999</v>
      </c>
      <c r="F124" s="4">
        <v>3.4460499999999998E-2</v>
      </c>
      <c r="G124" s="4">
        <v>4.10547E-2</v>
      </c>
      <c r="H124" s="3">
        <f t="shared" si="15"/>
        <v>1.6472400000000002E-2</v>
      </c>
      <c r="I124" s="3">
        <f t="shared" si="16"/>
        <v>0.23571206666666666</v>
      </c>
      <c r="J124" s="3">
        <f t="shared" si="17"/>
        <v>2.62329E-2</v>
      </c>
      <c r="K124" s="3">
        <f t="shared" si="18"/>
        <v>0.20723876666666666</v>
      </c>
      <c r="L124" s="3">
        <f t="shared" si="19"/>
        <v>3.4107433333333333E-2</v>
      </c>
      <c r="M124" s="3">
        <f t="shared" si="20"/>
        <v>4.529996666666667E-2</v>
      </c>
      <c r="O124" s="9">
        <f t="shared" si="22"/>
        <v>35674</v>
      </c>
      <c r="P124" s="8">
        <f t="shared" si="21"/>
        <v>1.1856366666666666E-2</v>
      </c>
      <c r="Q124" s="8">
        <f t="shared" si="21"/>
        <v>0.27108403333333336</v>
      </c>
      <c r="R124" s="8">
        <f t="shared" si="21"/>
        <v>2.4640266666666664E-2</v>
      </c>
      <c r="S124" s="8">
        <f t="shared" si="21"/>
        <v>0.25128820000000002</v>
      </c>
      <c r="T124" s="8">
        <f t="shared" si="21"/>
        <v>2.5659533333333335E-2</v>
      </c>
      <c r="U124" s="8">
        <f t="shared" si="21"/>
        <v>4.1618766666666668E-2</v>
      </c>
    </row>
    <row r="125" spans="1:21" x14ac:dyDescent="0.25">
      <c r="A125" s="5">
        <f t="shared" si="13"/>
        <v>28157</v>
      </c>
      <c r="B125" s="4">
        <v>1.7250100000000001E-2</v>
      </c>
      <c r="C125" s="4">
        <v>0.23444490000000001</v>
      </c>
      <c r="D125" s="4">
        <v>2.69246E-2</v>
      </c>
      <c r="E125" s="4">
        <v>0.20306109999999999</v>
      </c>
      <c r="F125" s="4">
        <v>3.11846E-2</v>
      </c>
      <c r="G125" s="4">
        <v>4.5363199999999999E-2</v>
      </c>
      <c r="H125" s="3">
        <f t="shared" si="15"/>
        <v>1.6780199999999999E-2</v>
      </c>
      <c r="I125" s="3">
        <f t="shared" si="16"/>
        <v>0.23782623333333333</v>
      </c>
      <c r="J125" s="3">
        <f t="shared" si="17"/>
        <v>2.6514433333333337E-2</v>
      </c>
      <c r="K125" s="3">
        <f t="shared" si="18"/>
        <v>0.20591176666666666</v>
      </c>
      <c r="L125" s="3">
        <f t="shared" si="19"/>
        <v>3.3634333333333329E-2</v>
      </c>
      <c r="M125" s="3">
        <f t="shared" si="20"/>
        <v>4.5617499999999998E-2</v>
      </c>
      <c r="O125" s="9">
        <f t="shared" si="22"/>
        <v>35765</v>
      </c>
      <c r="P125" s="8">
        <f t="shared" si="21"/>
        <v>1.2474533333333334E-2</v>
      </c>
      <c r="Q125" s="8">
        <f t="shared" si="21"/>
        <v>0.30661900000000003</v>
      </c>
      <c r="R125" s="8">
        <f t="shared" si="21"/>
        <v>2.2547866666666666E-2</v>
      </c>
      <c r="S125" s="8">
        <f t="shared" si="21"/>
        <v>0.24885686666666665</v>
      </c>
      <c r="T125" s="8">
        <f t="shared" si="21"/>
        <v>2.7449233333333333E-2</v>
      </c>
      <c r="U125" s="8">
        <f t="shared" si="21"/>
        <v>4.7756366666666661E-2</v>
      </c>
    </row>
    <row r="126" spans="1:21" x14ac:dyDescent="0.25">
      <c r="A126" s="5">
        <f t="shared" si="13"/>
        <v>28185</v>
      </c>
      <c r="B126" s="4">
        <v>1.55598E-2</v>
      </c>
      <c r="C126" s="4">
        <v>0.2727214</v>
      </c>
      <c r="D126" s="4">
        <v>2.7324399999999999E-2</v>
      </c>
      <c r="E126" s="4">
        <v>0.2053722</v>
      </c>
      <c r="F126" s="4">
        <v>3.1137999999999999E-2</v>
      </c>
      <c r="G126" s="4">
        <v>4.5157999999999997E-2</v>
      </c>
      <c r="H126" s="3">
        <f t="shared" si="15"/>
        <v>1.6122299999999999E-2</v>
      </c>
      <c r="I126" s="3">
        <f t="shared" si="16"/>
        <v>0.24499366666666667</v>
      </c>
      <c r="J126" s="3">
        <f t="shared" si="17"/>
        <v>2.6829166666666668E-2</v>
      </c>
      <c r="K126" s="3">
        <f t="shared" si="18"/>
        <v>0.20427606666666667</v>
      </c>
      <c r="L126" s="3">
        <f t="shared" si="19"/>
        <v>3.2261033333333335E-2</v>
      </c>
      <c r="M126" s="3">
        <f t="shared" si="20"/>
        <v>4.3858633333333334E-2</v>
      </c>
      <c r="O126" s="9">
        <f t="shared" si="22"/>
        <v>35855</v>
      </c>
      <c r="P126" s="8">
        <f t="shared" si="21"/>
        <v>1.2461699999999999E-2</v>
      </c>
      <c r="Q126" s="8">
        <f t="shared" si="21"/>
        <v>0.30207413333333333</v>
      </c>
      <c r="R126" s="8">
        <f t="shared" si="21"/>
        <v>2.474436666666667E-2</v>
      </c>
      <c r="S126" s="8">
        <f t="shared" si="21"/>
        <v>0.2555081666666667</v>
      </c>
      <c r="T126" s="8">
        <f t="shared" si="21"/>
        <v>2.6745000000000001E-2</v>
      </c>
      <c r="U126" s="8">
        <f t="shared" si="21"/>
        <v>4.7780966666666667E-2</v>
      </c>
    </row>
    <row r="127" spans="1:21" x14ac:dyDescent="0.25">
      <c r="A127" s="5">
        <f t="shared" si="13"/>
        <v>28216</v>
      </c>
      <c r="B127" s="4">
        <v>1.52055E-2</v>
      </c>
      <c r="C127" s="4">
        <v>0.28017049999999999</v>
      </c>
      <c r="D127" s="4">
        <v>2.8558699999999999E-2</v>
      </c>
      <c r="E127" s="4">
        <v>0.22667709999999999</v>
      </c>
      <c r="F127" s="4">
        <v>3.45764E-2</v>
      </c>
      <c r="G127" s="4">
        <v>4.7243300000000002E-2</v>
      </c>
      <c r="H127" s="3">
        <f t="shared" si="15"/>
        <v>1.6005133333333334E-2</v>
      </c>
      <c r="I127" s="3">
        <f t="shared" si="16"/>
        <v>0.2624456</v>
      </c>
      <c r="J127" s="3">
        <f t="shared" si="17"/>
        <v>2.7602566666666665E-2</v>
      </c>
      <c r="K127" s="3">
        <f t="shared" si="18"/>
        <v>0.21170346666666665</v>
      </c>
      <c r="L127" s="3">
        <f t="shared" si="19"/>
        <v>3.2299666666666664E-2</v>
      </c>
      <c r="M127" s="3">
        <f t="shared" si="20"/>
        <v>4.5921500000000004E-2</v>
      </c>
      <c r="O127" s="9">
        <f t="shared" si="22"/>
        <v>35947</v>
      </c>
      <c r="P127" s="8">
        <f t="shared" si="21"/>
        <v>1.1925866666666668E-2</v>
      </c>
      <c r="Q127" s="8">
        <f t="shared" si="21"/>
        <v>0.30917416666666669</v>
      </c>
      <c r="R127" s="8">
        <f t="shared" si="21"/>
        <v>2.1702299999999997E-2</v>
      </c>
      <c r="S127" s="8">
        <f t="shared" si="21"/>
        <v>0.24642869999999997</v>
      </c>
      <c r="T127" s="8">
        <f t="shared" si="21"/>
        <v>2.7171133333333333E-2</v>
      </c>
      <c r="U127" s="8">
        <f t="shared" si="21"/>
        <v>4.5010266666666666E-2</v>
      </c>
    </row>
    <row r="128" spans="1:21" x14ac:dyDescent="0.25">
      <c r="A128" s="5">
        <f t="shared" si="13"/>
        <v>28246</v>
      </c>
      <c r="B128" s="4">
        <v>1.35776E-2</v>
      </c>
      <c r="C128" s="4">
        <v>0.24849019999999999</v>
      </c>
      <c r="D128" s="4">
        <v>2.4956099999999998E-2</v>
      </c>
      <c r="E128" s="4">
        <v>0.23402329999999999</v>
      </c>
      <c r="F128" s="4">
        <v>3.3799700000000002E-2</v>
      </c>
      <c r="G128" s="4">
        <v>4.4748999999999997E-2</v>
      </c>
      <c r="H128" s="3">
        <f t="shared" si="15"/>
        <v>1.4780966666666668E-2</v>
      </c>
      <c r="I128" s="3">
        <f t="shared" si="16"/>
        <v>0.26712736666666664</v>
      </c>
      <c r="J128" s="3">
        <f t="shared" si="17"/>
        <v>2.6946399999999999E-2</v>
      </c>
      <c r="K128" s="3">
        <f t="shared" si="18"/>
        <v>0.22202419999999998</v>
      </c>
      <c r="L128" s="3">
        <f t="shared" si="19"/>
        <v>3.3171366666666667E-2</v>
      </c>
      <c r="M128" s="3">
        <f t="shared" si="20"/>
        <v>4.5716766666666665E-2</v>
      </c>
      <c r="O128" s="9">
        <f t="shared" si="22"/>
        <v>36039</v>
      </c>
      <c r="P128" s="8">
        <f t="shared" si="21"/>
        <v>1.2448866666666667E-2</v>
      </c>
      <c r="Q128" s="8">
        <f t="shared" si="21"/>
        <v>0.29391683333333335</v>
      </c>
      <c r="R128" s="8">
        <f t="shared" si="21"/>
        <v>2.2476766666666665E-2</v>
      </c>
      <c r="S128" s="8">
        <f t="shared" si="21"/>
        <v>0.24618720000000002</v>
      </c>
      <c r="T128" s="8">
        <f t="shared" si="21"/>
        <v>2.7406433333333331E-2</v>
      </c>
      <c r="U128" s="8">
        <f t="shared" si="21"/>
        <v>4.8374966666666665E-2</v>
      </c>
    </row>
    <row r="129" spans="1:21" x14ac:dyDescent="0.25">
      <c r="A129" s="5">
        <f t="shared" si="13"/>
        <v>28277</v>
      </c>
      <c r="B129" s="4">
        <v>1.68133E-2</v>
      </c>
      <c r="C129" s="4">
        <v>0.26758949999999998</v>
      </c>
      <c r="D129" s="4">
        <v>2.8186699999999999E-2</v>
      </c>
      <c r="E129" s="4">
        <v>0.22297120000000001</v>
      </c>
      <c r="F129" s="4">
        <v>3.5002699999999998E-2</v>
      </c>
      <c r="G129" s="4">
        <v>5.36284E-2</v>
      </c>
      <c r="H129" s="3">
        <f t="shared" si="15"/>
        <v>1.5198799999999998E-2</v>
      </c>
      <c r="I129" s="3">
        <f t="shared" si="16"/>
        <v>0.26541673333333332</v>
      </c>
      <c r="J129" s="3">
        <f t="shared" si="17"/>
        <v>2.7233833333333332E-2</v>
      </c>
      <c r="K129" s="3">
        <f t="shared" si="18"/>
        <v>0.22789053333333334</v>
      </c>
      <c r="L129" s="3">
        <f t="shared" si="19"/>
        <v>3.44596E-2</v>
      </c>
      <c r="M129" s="3">
        <f t="shared" si="20"/>
        <v>4.8540233333333328E-2</v>
      </c>
      <c r="O129" s="9">
        <f t="shared" si="22"/>
        <v>36130</v>
      </c>
      <c r="P129" s="8">
        <f t="shared" si="21"/>
        <v>1.2117166666666667E-2</v>
      </c>
      <c r="Q129" s="8">
        <f t="shared" si="21"/>
        <v>0.31077243333333332</v>
      </c>
      <c r="R129" s="8">
        <f t="shared" si="21"/>
        <v>2.2687233333333334E-2</v>
      </c>
      <c r="S129" s="8">
        <f t="shared" si="21"/>
        <v>0.26092599999999999</v>
      </c>
      <c r="T129" s="8">
        <f t="shared" si="21"/>
        <v>2.9092766666666669E-2</v>
      </c>
      <c r="U129" s="8">
        <f t="shared" si="21"/>
        <v>5.1927966666666665E-2</v>
      </c>
    </row>
    <row r="130" spans="1:21" x14ac:dyDescent="0.25">
      <c r="A130" s="5">
        <f t="shared" si="13"/>
        <v>28307</v>
      </c>
      <c r="B130" s="4">
        <v>1.5739300000000001E-2</v>
      </c>
      <c r="C130" s="4">
        <v>0.26829599999999998</v>
      </c>
      <c r="D130" s="4">
        <v>2.3872600000000001E-2</v>
      </c>
      <c r="E130" s="4">
        <v>0.2273319</v>
      </c>
      <c r="F130" s="4">
        <v>3.2914100000000002E-2</v>
      </c>
      <c r="G130" s="4">
        <v>4.1251099999999999E-2</v>
      </c>
      <c r="H130" s="3">
        <f t="shared" si="15"/>
        <v>1.5376733333333331E-2</v>
      </c>
      <c r="I130" s="3">
        <f t="shared" si="16"/>
        <v>0.26145856666666661</v>
      </c>
      <c r="J130" s="3">
        <f t="shared" si="17"/>
        <v>2.5671799999999998E-2</v>
      </c>
      <c r="K130" s="3">
        <f t="shared" si="18"/>
        <v>0.2281088</v>
      </c>
      <c r="L130" s="3">
        <f t="shared" si="19"/>
        <v>3.3905499999999998E-2</v>
      </c>
      <c r="M130" s="3">
        <f t="shared" si="20"/>
        <v>4.6542833333333332E-2</v>
      </c>
      <c r="O130" s="9">
        <f t="shared" si="22"/>
        <v>36220</v>
      </c>
      <c r="P130" s="8">
        <f t="shared" si="21"/>
        <v>1.1481333333333335E-2</v>
      </c>
      <c r="Q130" s="8">
        <f t="shared" si="21"/>
        <v>0.32246540000000001</v>
      </c>
      <c r="R130" s="8">
        <f t="shared" si="21"/>
        <v>2.3677333333333338E-2</v>
      </c>
      <c r="S130" s="8">
        <f t="shared" si="21"/>
        <v>0.25198486666666664</v>
      </c>
      <c r="T130" s="8">
        <f t="shared" si="21"/>
        <v>2.8790833333333335E-2</v>
      </c>
      <c r="U130" s="8">
        <f t="shared" si="21"/>
        <v>5.0566733333333336E-2</v>
      </c>
    </row>
    <row r="131" spans="1:21" x14ac:dyDescent="0.25">
      <c r="A131" s="5">
        <f t="shared" si="13"/>
        <v>28338</v>
      </c>
      <c r="B131" s="4">
        <v>1.6059500000000001E-2</v>
      </c>
      <c r="C131" s="4">
        <v>0.26271719999999998</v>
      </c>
      <c r="D131" s="4">
        <v>2.65378E-2</v>
      </c>
      <c r="E131" s="4">
        <v>0.20810719999999999</v>
      </c>
      <c r="F131" s="4">
        <v>3.1561100000000002E-2</v>
      </c>
      <c r="G131" s="4">
        <v>4.3915299999999997E-2</v>
      </c>
      <c r="H131" s="3">
        <f t="shared" si="15"/>
        <v>1.6204033333333336E-2</v>
      </c>
      <c r="I131" s="3">
        <f t="shared" si="16"/>
        <v>0.26620090000000002</v>
      </c>
      <c r="J131" s="3">
        <f t="shared" si="17"/>
        <v>2.6199033333333333E-2</v>
      </c>
      <c r="K131" s="3">
        <f t="shared" si="18"/>
        <v>0.2194701</v>
      </c>
      <c r="L131" s="3">
        <f t="shared" si="19"/>
        <v>3.3159300000000003E-2</v>
      </c>
      <c r="M131" s="3">
        <f t="shared" si="20"/>
        <v>4.6264933333333334E-2</v>
      </c>
      <c r="O131" s="9">
        <f t="shared" si="22"/>
        <v>36312</v>
      </c>
      <c r="P131" s="8">
        <f t="shared" si="21"/>
        <v>1.2294600000000001E-2</v>
      </c>
      <c r="Q131" s="8">
        <f t="shared" si="21"/>
        <v>0.3053361</v>
      </c>
      <c r="R131" s="8">
        <f t="shared" si="21"/>
        <v>2.1006333333333332E-2</v>
      </c>
      <c r="S131" s="8">
        <f t="shared" si="21"/>
        <v>0.25172973333333332</v>
      </c>
      <c r="T131" s="8">
        <f t="shared" si="21"/>
        <v>2.875253333333333E-2</v>
      </c>
      <c r="U131" s="8">
        <f t="shared" si="21"/>
        <v>4.9600600000000002E-2</v>
      </c>
    </row>
    <row r="132" spans="1:21" x14ac:dyDescent="0.25">
      <c r="A132" s="5">
        <f t="shared" si="13"/>
        <v>28369</v>
      </c>
      <c r="B132" s="4">
        <v>1.5644399999999999E-2</v>
      </c>
      <c r="C132" s="4">
        <v>0.27404060000000002</v>
      </c>
      <c r="D132" s="4">
        <v>2.5949400000000001E-2</v>
      </c>
      <c r="E132" s="4">
        <v>0.23501659999999999</v>
      </c>
      <c r="F132" s="4">
        <v>3.62595E-2</v>
      </c>
      <c r="G132" s="4">
        <v>4.9808400000000003E-2</v>
      </c>
      <c r="H132" s="3">
        <f t="shared" si="15"/>
        <v>1.5814400000000003E-2</v>
      </c>
      <c r="I132" s="3">
        <f t="shared" si="16"/>
        <v>0.2683512666666667</v>
      </c>
      <c r="J132" s="3">
        <f t="shared" si="17"/>
        <v>2.5453266666666668E-2</v>
      </c>
      <c r="K132" s="3">
        <f t="shared" si="18"/>
        <v>0.22348523333333334</v>
      </c>
      <c r="L132" s="3">
        <f t="shared" si="19"/>
        <v>3.3578233333333339E-2</v>
      </c>
      <c r="M132" s="3">
        <f t="shared" si="20"/>
        <v>4.49916E-2</v>
      </c>
      <c r="O132" s="9">
        <f t="shared" si="22"/>
        <v>36404</v>
      </c>
      <c r="P132" s="8">
        <f t="shared" si="21"/>
        <v>1.1625366666666666E-2</v>
      </c>
      <c r="Q132" s="8">
        <f t="shared" si="21"/>
        <v>0.31343013333333331</v>
      </c>
      <c r="R132" s="8">
        <f t="shared" si="21"/>
        <v>2.21861E-2</v>
      </c>
      <c r="S132" s="8">
        <f t="shared" si="21"/>
        <v>0.23468336666666667</v>
      </c>
      <c r="T132" s="8">
        <f t="shared" si="21"/>
        <v>2.8651300000000001E-2</v>
      </c>
      <c r="U132" s="8">
        <f t="shared" si="21"/>
        <v>4.7989499999999997E-2</v>
      </c>
    </row>
    <row r="133" spans="1:21" x14ac:dyDescent="0.25">
      <c r="A133" s="5">
        <f t="shared" si="13"/>
        <v>28399</v>
      </c>
      <c r="B133" s="4">
        <v>1.5277199999999999E-2</v>
      </c>
      <c r="C133" s="4">
        <v>0.26136599999999999</v>
      </c>
      <c r="D133" s="4">
        <v>2.4709700000000001E-2</v>
      </c>
      <c r="E133" s="4">
        <v>0.21749170000000001</v>
      </c>
      <c r="F133" s="4">
        <v>3.2967400000000001E-2</v>
      </c>
      <c r="G133" s="4">
        <v>4.7160500000000001E-2</v>
      </c>
      <c r="H133" s="3">
        <f t="shared" si="15"/>
        <v>1.5660366666666665E-2</v>
      </c>
      <c r="I133" s="3">
        <f t="shared" si="16"/>
        <v>0.26604126666666666</v>
      </c>
      <c r="J133" s="3">
        <f t="shared" si="17"/>
        <v>2.57323E-2</v>
      </c>
      <c r="K133" s="3">
        <f t="shared" si="18"/>
        <v>0.22020516666666667</v>
      </c>
      <c r="L133" s="3">
        <f t="shared" si="19"/>
        <v>3.3596000000000008E-2</v>
      </c>
      <c r="M133" s="3">
        <f t="shared" si="20"/>
        <v>4.6961399999999993E-2</v>
      </c>
      <c r="O133" s="9">
        <f>DATE(YEAR(O132),MONTH(O132)+3,1)</f>
        <v>36495</v>
      </c>
      <c r="P133" s="8">
        <f t="shared" si="21"/>
        <v>1.1449966666666667E-2</v>
      </c>
      <c r="Q133" s="8">
        <f t="shared" si="21"/>
        <v>0.32060493333333334</v>
      </c>
      <c r="R133" s="8">
        <f t="shared" si="21"/>
        <v>2.2376533333333334E-2</v>
      </c>
      <c r="S133" s="8">
        <f t="shared" si="21"/>
        <v>0.25724903333333332</v>
      </c>
      <c r="T133" s="8">
        <f t="shared" si="21"/>
        <v>2.79195E-2</v>
      </c>
      <c r="U133" s="8">
        <f t="shared" si="21"/>
        <v>4.9973366666666665E-2</v>
      </c>
    </row>
    <row r="134" spans="1:21" x14ac:dyDescent="0.25">
      <c r="A134" s="5">
        <f t="shared" ref="A134:A197" si="23">DATE(YEAR(A133),MONTH(A133)+1,1)</f>
        <v>28430</v>
      </c>
      <c r="B134" s="4">
        <v>1.45431E-2</v>
      </c>
      <c r="C134" s="4">
        <v>0.23942759999999999</v>
      </c>
      <c r="D134" s="4">
        <v>2.67335E-2</v>
      </c>
      <c r="E134" s="4">
        <v>0.22342419999999999</v>
      </c>
      <c r="F134" s="4">
        <v>3.0361099999999999E-2</v>
      </c>
      <c r="G134" s="4">
        <v>4.5466199999999998E-2</v>
      </c>
      <c r="H134" s="3">
        <f t="shared" si="15"/>
        <v>1.5154899999999999E-2</v>
      </c>
      <c r="I134" s="3">
        <f t="shared" si="16"/>
        <v>0.25827806666666664</v>
      </c>
      <c r="J134" s="3">
        <f t="shared" si="17"/>
        <v>2.5797533333333334E-2</v>
      </c>
      <c r="K134" s="3">
        <f t="shared" si="18"/>
        <v>0.22531083333333332</v>
      </c>
      <c r="L134" s="3">
        <f t="shared" si="19"/>
        <v>3.3196000000000003E-2</v>
      </c>
      <c r="M134" s="3">
        <f t="shared" si="20"/>
        <v>4.747836666666666E-2</v>
      </c>
      <c r="O134" s="9">
        <f t="shared" ref="O134:O141" si="24">DATE(YEAR(O133),MONTH(O133)+3,1)</f>
        <v>36586</v>
      </c>
      <c r="P134" s="8">
        <f t="shared" si="21"/>
        <v>1.1356E-2</v>
      </c>
      <c r="Q134" s="8">
        <f t="shared" si="21"/>
        <v>0.35206150000000003</v>
      </c>
      <c r="R134" s="8">
        <f t="shared" si="21"/>
        <v>2.2669999999999999E-2</v>
      </c>
      <c r="S134" s="8">
        <f t="shared" si="21"/>
        <v>0.24979309999999999</v>
      </c>
      <c r="T134" s="8">
        <f t="shared" si="21"/>
        <v>2.9365199999999998E-2</v>
      </c>
      <c r="U134" s="8">
        <f t="shared" si="21"/>
        <v>5.4235499999999999E-2</v>
      </c>
    </row>
    <row r="135" spans="1:21" x14ac:dyDescent="0.25">
      <c r="A135" s="5">
        <f t="shared" si="23"/>
        <v>28460</v>
      </c>
      <c r="B135" s="4">
        <v>1.5307400000000001E-2</v>
      </c>
      <c r="C135" s="4">
        <v>0.29333090000000001</v>
      </c>
      <c r="D135" s="4">
        <v>2.47396E-2</v>
      </c>
      <c r="E135" s="4">
        <v>0.22832150000000001</v>
      </c>
      <c r="F135" s="4">
        <v>3.4075899999999999E-2</v>
      </c>
      <c r="G135" s="4">
        <v>4.7277100000000002E-2</v>
      </c>
      <c r="H135" s="3">
        <f t="shared" ref="H135:H198" si="25">AVERAGE(B133:B135)</f>
        <v>1.5042566666666667E-2</v>
      </c>
      <c r="I135" s="3">
        <f t="shared" ref="I135:I198" si="26">AVERAGE(C133:C135)</f>
        <v>0.26470816666666663</v>
      </c>
      <c r="J135" s="3">
        <f t="shared" ref="J135:J198" si="27">AVERAGE(D133:D135)</f>
        <v>2.5394266666666665E-2</v>
      </c>
      <c r="K135" s="3">
        <f t="shared" ref="K135:K198" si="28">AVERAGE(E133:E135)</f>
        <v>0.22307913333333337</v>
      </c>
      <c r="L135" s="3">
        <f t="shared" ref="L135:L198" si="29">AVERAGE(F133:F135)</f>
        <v>3.2468133333333336E-2</v>
      </c>
      <c r="M135" s="3">
        <f t="shared" ref="M135:M198" si="30">AVERAGE(G133:G135)</f>
        <v>4.6634600000000005E-2</v>
      </c>
      <c r="O135" s="9">
        <f t="shared" si="24"/>
        <v>36678</v>
      </c>
      <c r="P135" s="8">
        <f t="shared" si="21"/>
        <v>1.1539333333333332E-2</v>
      </c>
      <c r="Q135" s="8">
        <f t="shared" si="21"/>
        <v>0.31289756666666668</v>
      </c>
      <c r="R135" s="8">
        <f t="shared" si="21"/>
        <v>2.0709366666666663E-2</v>
      </c>
      <c r="S135" s="8">
        <f t="shared" si="21"/>
        <v>0.26666543333333331</v>
      </c>
      <c r="T135" s="8">
        <f t="shared" si="21"/>
        <v>2.8271866666666663E-2</v>
      </c>
      <c r="U135" s="8">
        <f t="shared" si="21"/>
        <v>4.665476666666666E-2</v>
      </c>
    </row>
    <row r="136" spans="1:21" x14ac:dyDescent="0.25">
      <c r="A136" s="5">
        <f t="shared" si="23"/>
        <v>28491</v>
      </c>
      <c r="B136" s="4">
        <v>1.4833000000000001E-2</v>
      </c>
      <c r="C136" s="4">
        <v>0.26536710000000002</v>
      </c>
      <c r="D136" s="4">
        <v>2.4762699999999999E-2</v>
      </c>
      <c r="E136" s="4">
        <v>0.22443469999999999</v>
      </c>
      <c r="F136" s="4">
        <v>3.29365E-2</v>
      </c>
      <c r="G136" s="4">
        <v>4.3889600000000001E-2</v>
      </c>
      <c r="H136" s="3">
        <f t="shared" si="25"/>
        <v>1.48945E-2</v>
      </c>
      <c r="I136" s="3">
        <f t="shared" si="26"/>
        <v>0.26604186666666668</v>
      </c>
      <c r="J136" s="3">
        <f t="shared" si="27"/>
        <v>2.5411933333333331E-2</v>
      </c>
      <c r="K136" s="3">
        <f t="shared" si="28"/>
        <v>0.22539346666666668</v>
      </c>
      <c r="L136" s="3">
        <f t="shared" si="29"/>
        <v>3.2457833333333332E-2</v>
      </c>
      <c r="M136" s="3">
        <f t="shared" si="30"/>
        <v>4.5544300000000003E-2</v>
      </c>
      <c r="O136" s="9">
        <f t="shared" si="24"/>
        <v>36770</v>
      </c>
      <c r="P136" s="8">
        <f t="shared" si="21"/>
        <v>1.1552366666666668E-2</v>
      </c>
      <c r="Q136" s="8">
        <f t="shared" si="21"/>
        <v>0.30783690000000002</v>
      </c>
      <c r="R136" s="8">
        <f t="shared" si="21"/>
        <v>2.0126166666666667E-2</v>
      </c>
      <c r="S136" s="8">
        <f t="shared" si="21"/>
        <v>0.25448589999999999</v>
      </c>
      <c r="T136" s="8">
        <f t="shared" si="21"/>
        <v>2.6874733333333335E-2</v>
      </c>
      <c r="U136" s="8">
        <f t="shared" si="21"/>
        <v>4.6696600000000005E-2</v>
      </c>
    </row>
    <row r="137" spans="1:21" x14ac:dyDescent="0.25">
      <c r="A137" s="5">
        <f t="shared" si="23"/>
        <v>28522</v>
      </c>
      <c r="B137" s="4">
        <v>1.5010600000000001E-2</v>
      </c>
      <c r="C137" s="4">
        <v>0.28995389999999999</v>
      </c>
      <c r="D137" s="4">
        <v>2.5194299999999999E-2</v>
      </c>
      <c r="E137" s="4">
        <v>0.24136260000000001</v>
      </c>
      <c r="F137" s="4">
        <v>3.551E-2</v>
      </c>
      <c r="G137" s="4">
        <v>4.8730500000000003E-2</v>
      </c>
      <c r="H137" s="3">
        <f t="shared" si="25"/>
        <v>1.5050333333333334E-2</v>
      </c>
      <c r="I137" s="3">
        <f t="shared" si="26"/>
        <v>0.28288396666666665</v>
      </c>
      <c r="J137" s="3">
        <f t="shared" si="27"/>
        <v>2.4898866666666668E-2</v>
      </c>
      <c r="K137" s="3">
        <f t="shared" si="28"/>
        <v>0.23137293333333334</v>
      </c>
      <c r="L137" s="3">
        <f t="shared" si="29"/>
        <v>3.4174133333333336E-2</v>
      </c>
      <c r="M137" s="3">
        <f t="shared" si="30"/>
        <v>4.6632399999999997E-2</v>
      </c>
      <c r="O137" s="9">
        <f t="shared" si="24"/>
        <v>36861</v>
      </c>
      <c r="P137" s="8">
        <f t="shared" si="21"/>
        <v>1.0694E-2</v>
      </c>
      <c r="Q137" s="8">
        <f t="shared" si="21"/>
        <v>0.3161007666666667</v>
      </c>
      <c r="R137" s="8">
        <f t="shared" si="21"/>
        <v>2.0211699999999999E-2</v>
      </c>
      <c r="S137" s="8">
        <f t="shared" si="21"/>
        <v>0.24191359999999998</v>
      </c>
      <c r="T137" s="8">
        <f t="shared" si="21"/>
        <v>2.9935966666666664E-2</v>
      </c>
      <c r="U137" s="8">
        <f t="shared" si="21"/>
        <v>5.1697799999999995E-2</v>
      </c>
    </row>
    <row r="138" spans="1:21" x14ac:dyDescent="0.25">
      <c r="A138" s="5">
        <f t="shared" si="23"/>
        <v>28550</v>
      </c>
      <c r="B138" s="4">
        <v>1.3846199999999999E-2</v>
      </c>
      <c r="C138" s="4">
        <v>0.26394600000000001</v>
      </c>
      <c r="D138" s="4">
        <v>2.5521599999999998E-2</v>
      </c>
      <c r="E138" s="4">
        <v>0.22246940000000001</v>
      </c>
      <c r="F138" s="4">
        <v>3.4035700000000002E-2</v>
      </c>
      <c r="G138" s="4">
        <v>4.8579200000000003E-2</v>
      </c>
      <c r="H138" s="3">
        <f t="shared" si="25"/>
        <v>1.4563266666666666E-2</v>
      </c>
      <c r="I138" s="3">
        <f t="shared" si="26"/>
        <v>0.27308899999999997</v>
      </c>
      <c r="J138" s="3">
        <f t="shared" si="27"/>
        <v>2.5159533333333334E-2</v>
      </c>
      <c r="K138" s="3">
        <f t="shared" si="28"/>
        <v>0.22942223333333334</v>
      </c>
      <c r="L138" s="3">
        <f t="shared" si="29"/>
        <v>3.4160733333333332E-2</v>
      </c>
      <c r="M138" s="3">
        <f t="shared" si="30"/>
        <v>4.7066433333333345E-2</v>
      </c>
      <c r="O138" s="9">
        <f t="shared" si="24"/>
        <v>36951</v>
      </c>
      <c r="P138" s="8">
        <f t="shared" si="21"/>
        <v>1.2382299999999999E-2</v>
      </c>
      <c r="Q138" s="8">
        <f t="shared" si="21"/>
        <v>0.32626859999999996</v>
      </c>
      <c r="R138" s="8">
        <f t="shared" si="21"/>
        <v>2.22738E-2</v>
      </c>
      <c r="S138" s="8">
        <f t="shared" si="21"/>
        <v>0.2414892333333333</v>
      </c>
      <c r="T138" s="8">
        <f t="shared" si="21"/>
        <v>3.0770333333333334E-2</v>
      </c>
      <c r="U138" s="8">
        <f t="shared" si="21"/>
        <v>5.5940566666666663E-2</v>
      </c>
    </row>
    <row r="139" spans="1:21" x14ac:dyDescent="0.25">
      <c r="A139" s="5">
        <f t="shared" si="23"/>
        <v>28581</v>
      </c>
      <c r="B139" s="4">
        <v>1.34022E-2</v>
      </c>
      <c r="C139" s="4">
        <v>0.29884709999999998</v>
      </c>
      <c r="D139" s="4">
        <v>2.4200699999999999E-2</v>
      </c>
      <c r="E139" s="4">
        <v>0.23576739999999999</v>
      </c>
      <c r="F139" s="4">
        <v>3.0412600000000001E-2</v>
      </c>
      <c r="G139" s="4">
        <v>4.9285599999999999E-2</v>
      </c>
      <c r="H139" s="3">
        <f t="shared" si="25"/>
        <v>1.4086333333333334E-2</v>
      </c>
      <c r="I139" s="3">
        <f t="shared" si="26"/>
        <v>0.28424899999999997</v>
      </c>
      <c r="J139" s="3">
        <f t="shared" si="27"/>
        <v>2.49722E-2</v>
      </c>
      <c r="K139" s="3">
        <f t="shared" si="28"/>
        <v>0.23319979999999998</v>
      </c>
      <c r="L139" s="3">
        <f t="shared" si="29"/>
        <v>3.3319433333333336E-2</v>
      </c>
      <c r="M139" s="3">
        <f t="shared" si="30"/>
        <v>4.8865099999999995E-2</v>
      </c>
      <c r="O139" s="9">
        <f t="shared" si="24"/>
        <v>37043</v>
      </c>
      <c r="P139" s="8">
        <f t="shared" si="21"/>
        <v>1.2889266666666668E-2</v>
      </c>
      <c r="Q139" s="8">
        <f t="shared" si="21"/>
        <v>0.3060562</v>
      </c>
      <c r="R139" s="8">
        <f t="shared" si="21"/>
        <v>2.0848966666666666E-2</v>
      </c>
      <c r="S139" s="8">
        <f t="shared" si="21"/>
        <v>0.25299579999999999</v>
      </c>
      <c r="T139" s="8">
        <f t="shared" si="21"/>
        <v>3.0820500000000001E-2</v>
      </c>
      <c r="U139" s="8">
        <f t="shared" si="21"/>
        <v>4.7113633333333328E-2</v>
      </c>
    </row>
    <row r="140" spans="1:21" x14ac:dyDescent="0.25">
      <c r="A140" s="5">
        <f t="shared" si="23"/>
        <v>28611</v>
      </c>
      <c r="B140" s="4">
        <v>1.3417800000000001E-2</v>
      </c>
      <c r="C140" s="4">
        <v>0.27417940000000002</v>
      </c>
      <c r="D140" s="4">
        <v>2.5967799999999999E-2</v>
      </c>
      <c r="E140" s="4">
        <v>0.24194660000000001</v>
      </c>
      <c r="F140" s="4">
        <v>3.1586200000000002E-2</v>
      </c>
      <c r="G140" s="4">
        <v>4.3729400000000002E-2</v>
      </c>
      <c r="H140" s="3">
        <f t="shared" si="25"/>
        <v>1.35554E-2</v>
      </c>
      <c r="I140" s="3">
        <f t="shared" si="26"/>
        <v>0.2789908333333333</v>
      </c>
      <c r="J140" s="3">
        <f t="shared" si="27"/>
        <v>2.5230033333333332E-2</v>
      </c>
      <c r="K140" s="3">
        <f t="shared" si="28"/>
        <v>0.23339446666666666</v>
      </c>
      <c r="L140" s="3">
        <f t="shared" si="29"/>
        <v>3.2011499999999998E-2</v>
      </c>
      <c r="M140" s="3">
        <f t="shared" si="30"/>
        <v>4.719806666666667E-2</v>
      </c>
      <c r="O140" s="9">
        <f t="shared" si="24"/>
        <v>37135</v>
      </c>
      <c r="P140" s="8">
        <f t="shared" si="21"/>
        <v>1.2449699999999999E-2</v>
      </c>
      <c r="Q140" s="8">
        <f t="shared" si="21"/>
        <v>0.28264983333333332</v>
      </c>
      <c r="R140" s="8">
        <f t="shared" si="21"/>
        <v>2.2466966666666668E-2</v>
      </c>
      <c r="S140" s="8">
        <f t="shared" si="21"/>
        <v>0.23768619999999999</v>
      </c>
      <c r="T140" s="8">
        <f t="shared" si="21"/>
        <v>2.9607599999999998E-2</v>
      </c>
      <c r="U140" s="8">
        <f t="shared" si="21"/>
        <v>4.8837600000000002E-2</v>
      </c>
    </row>
    <row r="141" spans="1:21" x14ac:dyDescent="0.25">
      <c r="A141" s="5">
        <f t="shared" si="23"/>
        <v>28642</v>
      </c>
      <c r="B141" s="4">
        <v>1.44133E-2</v>
      </c>
      <c r="C141" s="4">
        <v>0.31199539999999998</v>
      </c>
      <c r="D141" s="4">
        <v>2.50703E-2</v>
      </c>
      <c r="E141" s="4">
        <v>0.221021</v>
      </c>
      <c r="F141" s="4">
        <v>3.4939199999999997E-2</v>
      </c>
      <c r="G141" s="4">
        <v>5.5520899999999998E-2</v>
      </c>
      <c r="H141" s="3">
        <f t="shared" si="25"/>
        <v>1.3744433333333334E-2</v>
      </c>
      <c r="I141" s="3">
        <f t="shared" si="26"/>
        <v>0.29500729999999997</v>
      </c>
      <c r="J141" s="3">
        <f t="shared" si="27"/>
        <v>2.5079599999999997E-2</v>
      </c>
      <c r="K141" s="3">
        <f t="shared" si="28"/>
        <v>0.23291166666666666</v>
      </c>
      <c r="L141" s="3">
        <f t="shared" si="29"/>
        <v>3.2312666666666663E-2</v>
      </c>
      <c r="M141" s="3">
        <f t="shared" si="30"/>
        <v>4.9511966666666664E-2</v>
      </c>
      <c r="O141" s="9">
        <f t="shared" si="24"/>
        <v>37226</v>
      </c>
      <c r="P141" s="8">
        <f t="shared" si="21"/>
        <v>1.4422333333333334E-2</v>
      </c>
      <c r="Q141" s="8">
        <f t="shared" si="21"/>
        <v>0.27123406666666666</v>
      </c>
      <c r="R141" s="8">
        <f t="shared" si="21"/>
        <v>2.6298600000000002E-2</v>
      </c>
      <c r="S141" s="8">
        <f t="shared" si="21"/>
        <v>0.22660130000000001</v>
      </c>
      <c r="T141" s="8">
        <f t="shared" si="21"/>
        <v>2.9426366666666665E-2</v>
      </c>
      <c r="U141" s="8">
        <f t="shared" si="21"/>
        <v>4.8372866666666674E-2</v>
      </c>
    </row>
    <row r="142" spans="1:21" x14ac:dyDescent="0.25">
      <c r="A142" s="5">
        <f t="shared" si="23"/>
        <v>28672</v>
      </c>
      <c r="B142" s="4">
        <v>1.56519E-2</v>
      </c>
      <c r="C142" s="4">
        <v>0.25972269999999997</v>
      </c>
      <c r="D142" s="4">
        <v>2.44201E-2</v>
      </c>
      <c r="E142" s="4">
        <v>0.24432280000000001</v>
      </c>
      <c r="F142" s="4">
        <v>3.2846599999999997E-2</v>
      </c>
      <c r="G142" s="4">
        <v>4.5604499999999999E-2</v>
      </c>
      <c r="H142" s="3">
        <f t="shared" si="25"/>
        <v>1.4494333333333333E-2</v>
      </c>
      <c r="I142" s="3">
        <f t="shared" si="26"/>
        <v>0.2819658333333333</v>
      </c>
      <c r="J142" s="3">
        <f t="shared" si="27"/>
        <v>2.5152733333333333E-2</v>
      </c>
      <c r="K142" s="3">
        <f t="shared" si="28"/>
        <v>0.23576346666666667</v>
      </c>
      <c r="L142" s="3">
        <f t="shared" si="29"/>
        <v>3.3123999999999994E-2</v>
      </c>
      <c r="M142" s="3">
        <f t="shared" si="30"/>
        <v>4.8284933333333335E-2</v>
      </c>
      <c r="O142" s="9"/>
    </row>
    <row r="143" spans="1:21" x14ac:dyDescent="0.25">
      <c r="A143" s="5">
        <f t="shared" si="23"/>
        <v>28703</v>
      </c>
      <c r="B143" s="4">
        <v>1.41245E-2</v>
      </c>
      <c r="C143" s="4">
        <v>0.2772809</v>
      </c>
      <c r="D143" s="4">
        <v>2.37851E-2</v>
      </c>
      <c r="E143" s="4">
        <v>0.2341744</v>
      </c>
      <c r="F143" s="4">
        <v>3.1219799999999999E-2</v>
      </c>
      <c r="G143" s="4">
        <v>4.6505900000000003E-2</v>
      </c>
      <c r="H143" s="3">
        <f t="shared" si="25"/>
        <v>1.4729899999999999E-2</v>
      </c>
      <c r="I143" s="3">
        <f t="shared" si="26"/>
        <v>0.2829996666666667</v>
      </c>
      <c r="J143" s="3">
        <f t="shared" si="27"/>
        <v>2.4425166666666668E-2</v>
      </c>
      <c r="K143" s="3">
        <f t="shared" si="28"/>
        <v>0.23317273333333333</v>
      </c>
      <c r="L143" s="3">
        <f t="shared" si="29"/>
        <v>3.3001866666666664E-2</v>
      </c>
      <c r="M143" s="3">
        <f t="shared" si="30"/>
        <v>4.9210433333333338E-2</v>
      </c>
      <c r="O143" s="9"/>
    </row>
    <row r="144" spans="1:21" x14ac:dyDescent="0.25">
      <c r="A144" s="5">
        <f t="shared" si="23"/>
        <v>28734</v>
      </c>
      <c r="B144" s="4">
        <v>1.5765999999999999E-2</v>
      </c>
      <c r="C144" s="4">
        <v>0.31632860000000002</v>
      </c>
      <c r="D144" s="4">
        <v>2.5453400000000001E-2</v>
      </c>
      <c r="E144" s="4">
        <v>0.2331057</v>
      </c>
      <c r="F144" s="4">
        <v>3.68519E-2</v>
      </c>
      <c r="G144" s="4">
        <v>5.5828500000000003E-2</v>
      </c>
      <c r="H144" s="3">
        <f t="shared" si="25"/>
        <v>1.51808E-2</v>
      </c>
      <c r="I144" s="3">
        <f t="shared" si="26"/>
        <v>0.28444406666666672</v>
      </c>
      <c r="J144" s="3">
        <f t="shared" si="27"/>
        <v>2.4552866666666669E-2</v>
      </c>
      <c r="K144" s="3">
        <f t="shared" si="28"/>
        <v>0.23720096666666668</v>
      </c>
      <c r="L144" s="3">
        <f t="shared" si="29"/>
        <v>3.363943333333333E-2</v>
      </c>
      <c r="M144" s="3">
        <f t="shared" si="30"/>
        <v>4.9312966666666673E-2</v>
      </c>
      <c r="O144" s="9"/>
    </row>
    <row r="145" spans="1:15" x14ac:dyDescent="0.25">
      <c r="A145" s="5">
        <f t="shared" si="23"/>
        <v>28764</v>
      </c>
      <c r="B145" s="4">
        <v>1.40991E-2</v>
      </c>
      <c r="C145" s="4">
        <v>0.29656779999999999</v>
      </c>
      <c r="D145" s="4">
        <v>2.49635E-2</v>
      </c>
      <c r="E145" s="4">
        <v>0.22370139999999999</v>
      </c>
      <c r="F145" s="4">
        <v>3.2144199999999998E-2</v>
      </c>
      <c r="G145" s="4">
        <v>4.63948E-2</v>
      </c>
      <c r="H145" s="3">
        <f t="shared" si="25"/>
        <v>1.4663200000000001E-2</v>
      </c>
      <c r="I145" s="3">
        <f t="shared" si="26"/>
        <v>0.29672576666666667</v>
      </c>
      <c r="J145" s="3">
        <f t="shared" si="27"/>
        <v>2.4734000000000003E-2</v>
      </c>
      <c r="K145" s="3">
        <f t="shared" si="28"/>
        <v>0.23032716666666664</v>
      </c>
      <c r="L145" s="3">
        <f t="shared" si="29"/>
        <v>3.3405299999999999E-2</v>
      </c>
      <c r="M145" s="3">
        <f t="shared" si="30"/>
        <v>4.95764E-2</v>
      </c>
      <c r="O145" s="9"/>
    </row>
    <row r="146" spans="1:15" x14ac:dyDescent="0.25">
      <c r="A146" s="5">
        <f t="shared" si="23"/>
        <v>28795</v>
      </c>
      <c r="B146" s="4">
        <v>1.37395E-2</v>
      </c>
      <c r="C146" s="4">
        <v>0.29967080000000001</v>
      </c>
      <c r="D146" s="4">
        <v>2.53577E-2</v>
      </c>
      <c r="E146" s="4">
        <v>0.23356489999999999</v>
      </c>
      <c r="F146" s="4">
        <v>3.5990899999999999E-2</v>
      </c>
      <c r="G146" s="4">
        <v>4.9836600000000002E-2</v>
      </c>
      <c r="H146" s="3">
        <f t="shared" si="25"/>
        <v>1.4534866666666667E-2</v>
      </c>
      <c r="I146" s="3">
        <f t="shared" si="26"/>
        <v>0.30418906666666667</v>
      </c>
      <c r="J146" s="3">
        <f t="shared" si="27"/>
        <v>2.5258199999999998E-2</v>
      </c>
      <c r="K146" s="3">
        <f t="shared" si="28"/>
        <v>0.230124</v>
      </c>
      <c r="L146" s="3">
        <f t="shared" si="29"/>
        <v>3.4995666666666668E-2</v>
      </c>
      <c r="M146" s="3">
        <f t="shared" si="30"/>
        <v>5.0686633333333335E-2</v>
      </c>
      <c r="O146" s="9"/>
    </row>
    <row r="147" spans="1:15" x14ac:dyDescent="0.25">
      <c r="A147" s="5">
        <f t="shared" si="23"/>
        <v>28825</v>
      </c>
      <c r="B147" s="4">
        <v>1.38195E-2</v>
      </c>
      <c r="C147" s="4">
        <v>0.24091889999999999</v>
      </c>
      <c r="D147" s="4">
        <v>2.3662900000000001E-2</v>
      </c>
      <c r="E147" s="4">
        <v>0.22528780000000001</v>
      </c>
      <c r="F147" s="4">
        <v>3.0421699999999999E-2</v>
      </c>
      <c r="G147" s="4">
        <v>4.4194600000000001E-2</v>
      </c>
      <c r="H147" s="3">
        <f t="shared" si="25"/>
        <v>1.3886033333333332E-2</v>
      </c>
      <c r="I147" s="3">
        <f t="shared" si="26"/>
        <v>0.27905249999999998</v>
      </c>
      <c r="J147" s="3">
        <f t="shared" si="27"/>
        <v>2.4661366666666667E-2</v>
      </c>
      <c r="K147" s="3">
        <f t="shared" si="28"/>
        <v>0.22751803333333334</v>
      </c>
      <c r="L147" s="3">
        <f t="shared" si="29"/>
        <v>3.2852266666666664E-2</v>
      </c>
      <c r="M147" s="3">
        <f t="shared" si="30"/>
        <v>4.6808666666666665E-2</v>
      </c>
      <c r="O147" s="9"/>
    </row>
    <row r="148" spans="1:15" x14ac:dyDescent="0.25">
      <c r="A148" s="5">
        <f t="shared" si="23"/>
        <v>28856</v>
      </c>
      <c r="B148" s="4">
        <v>1.38379E-2</v>
      </c>
      <c r="C148" s="4">
        <v>0.27427489999999999</v>
      </c>
      <c r="D148" s="4">
        <v>2.1915500000000001E-2</v>
      </c>
      <c r="E148" s="4">
        <v>0.22711219999999999</v>
      </c>
      <c r="F148" s="4">
        <v>3.3995999999999998E-2</v>
      </c>
      <c r="G148" s="4">
        <v>4.9746400000000003E-2</v>
      </c>
      <c r="H148" s="3">
        <f t="shared" si="25"/>
        <v>1.3798966666666667E-2</v>
      </c>
      <c r="I148" s="3">
        <f t="shared" si="26"/>
        <v>0.27162153333333333</v>
      </c>
      <c r="J148" s="3">
        <f t="shared" si="27"/>
        <v>2.3645366666666667E-2</v>
      </c>
      <c r="K148" s="3">
        <f t="shared" si="28"/>
        <v>0.22865496666666665</v>
      </c>
      <c r="L148" s="3">
        <f t="shared" si="29"/>
        <v>3.3469533333333336E-2</v>
      </c>
      <c r="M148" s="3">
        <f t="shared" si="30"/>
        <v>4.7925866666666671E-2</v>
      </c>
      <c r="O148" s="9"/>
    </row>
    <row r="149" spans="1:15" x14ac:dyDescent="0.25">
      <c r="A149" s="5">
        <f t="shared" si="23"/>
        <v>28887</v>
      </c>
      <c r="B149" s="4">
        <v>1.4407100000000001E-2</v>
      </c>
      <c r="C149" s="4">
        <v>0.28932720000000001</v>
      </c>
      <c r="D149" s="4">
        <v>2.5478500000000001E-2</v>
      </c>
      <c r="E149" s="4">
        <v>0.23815749999999999</v>
      </c>
      <c r="F149" s="4">
        <v>3.4290000000000001E-2</v>
      </c>
      <c r="G149" s="4">
        <v>4.7553900000000003E-2</v>
      </c>
      <c r="H149" s="3">
        <f t="shared" si="25"/>
        <v>1.4021499999999999E-2</v>
      </c>
      <c r="I149" s="3">
        <f t="shared" si="26"/>
        <v>0.2681736666666667</v>
      </c>
      <c r="J149" s="3">
        <f t="shared" si="27"/>
        <v>2.3685633333333334E-2</v>
      </c>
      <c r="K149" s="3">
        <f t="shared" si="28"/>
        <v>0.23018583333333334</v>
      </c>
      <c r="L149" s="3">
        <f t="shared" si="29"/>
        <v>3.2902566666666667E-2</v>
      </c>
      <c r="M149" s="3">
        <f t="shared" si="30"/>
        <v>4.7164966666666669E-2</v>
      </c>
    </row>
    <row r="150" spans="1:15" x14ac:dyDescent="0.25">
      <c r="A150" s="5">
        <f t="shared" si="23"/>
        <v>28915</v>
      </c>
      <c r="B150" s="4">
        <v>1.31258E-2</v>
      </c>
      <c r="C150" s="4">
        <v>0.28834880000000002</v>
      </c>
      <c r="D150" s="4">
        <v>2.4279700000000001E-2</v>
      </c>
      <c r="E150" s="4">
        <v>0.2235258</v>
      </c>
      <c r="F150" s="4">
        <v>3.3040100000000003E-2</v>
      </c>
      <c r="G150" s="4">
        <v>4.9759699999999997E-2</v>
      </c>
      <c r="H150" s="3">
        <f t="shared" si="25"/>
        <v>1.3790266666666667E-2</v>
      </c>
      <c r="I150" s="3">
        <f t="shared" si="26"/>
        <v>0.28398363333333337</v>
      </c>
      <c r="J150" s="3">
        <f t="shared" si="27"/>
        <v>2.3891233333333334E-2</v>
      </c>
      <c r="K150" s="3">
        <f t="shared" si="28"/>
        <v>0.22959850000000001</v>
      </c>
      <c r="L150" s="3">
        <f t="shared" si="29"/>
        <v>3.3775366666666667E-2</v>
      </c>
      <c r="M150" s="3">
        <f t="shared" si="30"/>
        <v>4.9020000000000001E-2</v>
      </c>
    </row>
    <row r="151" spans="1:15" x14ac:dyDescent="0.25">
      <c r="A151" s="5">
        <f t="shared" si="23"/>
        <v>28946</v>
      </c>
      <c r="B151" s="4">
        <v>1.4300800000000001E-2</v>
      </c>
      <c r="C151" s="4">
        <v>0.2685401</v>
      </c>
      <c r="D151" s="4">
        <v>2.3545199999999999E-2</v>
      </c>
      <c r="E151" s="4">
        <v>0.24614469999999999</v>
      </c>
      <c r="F151" s="4">
        <v>3.3822199999999997E-2</v>
      </c>
      <c r="G151" s="4">
        <v>4.6291899999999997E-2</v>
      </c>
      <c r="H151" s="3">
        <f t="shared" si="25"/>
        <v>1.3944566666666667E-2</v>
      </c>
      <c r="I151" s="3">
        <f t="shared" si="26"/>
        <v>0.28207203333333336</v>
      </c>
      <c r="J151" s="3">
        <f t="shared" si="27"/>
        <v>2.4434466666666668E-2</v>
      </c>
      <c r="K151" s="3">
        <f t="shared" si="28"/>
        <v>0.23594266666666666</v>
      </c>
      <c r="L151" s="3">
        <f t="shared" si="29"/>
        <v>3.3717433333333331E-2</v>
      </c>
      <c r="M151" s="3">
        <f t="shared" si="30"/>
        <v>4.7868500000000001E-2</v>
      </c>
    </row>
    <row r="152" spans="1:15" x14ac:dyDescent="0.25">
      <c r="A152" s="5">
        <f t="shared" si="23"/>
        <v>28976</v>
      </c>
      <c r="B152" s="4">
        <v>1.3370399999999999E-2</v>
      </c>
      <c r="C152" s="4">
        <v>0.30274240000000002</v>
      </c>
      <c r="D152" s="4">
        <v>2.3612299999999999E-2</v>
      </c>
      <c r="E152" s="4">
        <v>0.23083490000000001</v>
      </c>
      <c r="F152" s="4">
        <v>3.3955300000000001E-2</v>
      </c>
      <c r="G152" s="4">
        <v>4.63615E-2</v>
      </c>
      <c r="H152" s="3">
        <f t="shared" si="25"/>
        <v>1.3599E-2</v>
      </c>
      <c r="I152" s="3">
        <f t="shared" si="26"/>
        <v>0.28654376666666664</v>
      </c>
      <c r="J152" s="3">
        <f t="shared" si="27"/>
        <v>2.3812400000000001E-2</v>
      </c>
      <c r="K152" s="3">
        <f t="shared" si="28"/>
        <v>0.23350179999999998</v>
      </c>
      <c r="L152" s="3">
        <f t="shared" si="29"/>
        <v>3.3605866666666671E-2</v>
      </c>
      <c r="M152" s="3">
        <f t="shared" si="30"/>
        <v>4.7471033333333329E-2</v>
      </c>
    </row>
    <row r="153" spans="1:15" x14ac:dyDescent="0.25">
      <c r="A153" s="5">
        <f t="shared" si="23"/>
        <v>29007</v>
      </c>
      <c r="B153" s="4">
        <v>1.5873700000000001E-2</v>
      </c>
      <c r="C153" s="4">
        <v>0.31816689999999997</v>
      </c>
      <c r="D153" s="4">
        <v>2.39977E-2</v>
      </c>
      <c r="E153" s="4">
        <v>0.23705660000000001</v>
      </c>
      <c r="F153" s="4">
        <v>3.4715500000000003E-2</v>
      </c>
      <c r="G153" s="4">
        <v>5.4975499999999997E-2</v>
      </c>
      <c r="H153" s="3">
        <f t="shared" si="25"/>
        <v>1.4514966666666665E-2</v>
      </c>
      <c r="I153" s="3">
        <f t="shared" si="26"/>
        <v>0.29648313333333332</v>
      </c>
      <c r="J153" s="3">
        <f t="shared" si="27"/>
        <v>2.3718400000000001E-2</v>
      </c>
      <c r="K153" s="3">
        <f t="shared" si="28"/>
        <v>0.23801206666666666</v>
      </c>
      <c r="L153" s="3">
        <f t="shared" si="29"/>
        <v>3.4164333333333331E-2</v>
      </c>
      <c r="M153" s="3">
        <f t="shared" si="30"/>
        <v>4.9209633333333336E-2</v>
      </c>
    </row>
    <row r="154" spans="1:15" x14ac:dyDescent="0.25">
      <c r="A154" s="5">
        <f t="shared" si="23"/>
        <v>29037</v>
      </c>
      <c r="B154" s="4">
        <v>1.45767E-2</v>
      </c>
      <c r="C154" s="4">
        <v>0.29215370000000002</v>
      </c>
      <c r="D154" s="4">
        <v>2.2653E-2</v>
      </c>
      <c r="E154" s="4">
        <v>0.24134050000000001</v>
      </c>
      <c r="F154" s="4">
        <v>3.1871999999999998E-2</v>
      </c>
      <c r="G154" s="4">
        <v>4.7794099999999999E-2</v>
      </c>
      <c r="H154" s="3">
        <f t="shared" si="25"/>
        <v>1.4606933333333334E-2</v>
      </c>
      <c r="I154" s="3">
        <f t="shared" si="26"/>
        <v>0.30435433333333334</v>
      </c>
      <c r="J154" s="3">
        <f t="shared" si="27"/>
        <v>2.3420999999999997E-2</v>
      </c>
      <c r="K154" s="3">
        <f t="shared" si="28"/>
        <v>0.23641066666666669</v>
      </c>
      <c r="L154" s="3">
        <f t="shared" si="29"/>
        <v>3.3514266666666667E-2</v>
      </c>
      <c r="M154" s="3">
        <f t="shared" si="30"/>
        <v>4.9710366666666665E-2</v>
      </c>
    </row>
    <row r="155" spans="1:15" x14ac:dyDescent="0.25">
      <c r="A155" s="5">
        <f t="shared" si="23"/>
        <v>29068</v>
      </c>
      <c r="B155" s="4">
        <v>1.62425E-2</v>
      </c>
      <c r="C155" s="4">
        <v>0.27750239999999998</v>
      </c>
      <c r="D155" s="4">
        <v>2.58871E-2</v>
      </c>
      <c r="E155" s="4">
        <v>0.22387000000000001</v>
      </c>
      <c r="F155" s="4">
        <v>3.5530399999999997E-2</v>
      </c>
      <c r="G155" s="4">
        <v>5.0672000000000002E-2</v>
      </c>
      <c r="H155" s="3">
        <f t="shared" si="25"/>
        <v>1.5564300000000001E-2</v>
      </c>
      <c r="I155" s="3">
        <f t="shared" si="26"/>
        <v>0.29594100000000001</v>
      </c>
      <c r="J155" s="3">
        <f t="shared" si="27"/>
        <v>2.4179266666666668E-2</v>
      </c>
      <c r="K155" s="3">
        <f t="shared" si="28"/>
        <v>0.23408903333333334</v>
      </c>
      <c r="L155" s="3">
        <f t="shared" si="29"/>
        <v>3.4039299999999995E-2</v>
      </c>
      <c r="M155" s="3">
        <f t="shared" si="30"/>
        <v>5.1147199999999997E-2</v>
      </c>
    </row>
    <row r="156" spans="1:15" x14ac:dyDescent="0.25">
      <c r="A156" s="5">
        <f t="shared" si="23"/>
        <v>29099</v>
      </c>
      <c r="B156" s="4">
        <v>1.39959E-2</v>
      </c>
      <c r="C156" s="4">
        <v>0.30352489999999999</v>
      </c>
      <c r="D156" s="4">
        <v>2.39755E-2</v>
      </c>
      <c r="E156" s="4">
        <v>0.20824680000000001</v>
      </c>
      <c r="F156" s="4">
        <v>3.2713600000000002E-2</v>
      </c>
      <c r="G156" s="4">
        <v>5.1596000000000003E-2</v>
      </c>
      <c r="H156" s="3">
        <f t="shared" si="25"/>
        <v>1.4938366666666666E-2</v>
      </c>
      <c r="I156" s="3">
        <f t="shared" si="26"/>
        <v>0.29106033333333331</v>
      </c>
      <c r="J156" s="3">
        <f t="shared" si="27"/>
        <v>2.4171866666666667E-2</v>
      </c>
      <c r="K156" s="3">
        <f t="shared" si="28"/>
        <v>0.22448576666666667</v>
      </c>
      <c r="L156" s="3">
        <f t="shared" si="29"/>
        <v>3.3372000000000006E-2</v>
      </c>
      <c r="M156" s="3">
        <f t="shared" si="30"/>
        <v>5.0020700000000001E-2</v>
      </c>
    </row>
    <row r="157" spans="1:15" x14ac:dyDescent="0.25">
      <c r="A157" s="5">
        <f t="shared" si="23"/>
        <v>29129</v>
      </c>
      <c r="B157" s="4">
        <v>1.5030999999999999E-2</v>
      </c>
      <c r="C157" s="4">
        <v>0.28226519999999999</v>
      </c>
      <c r="D157" s="4">
        <v>2.4665699999999999E-2</v>
      </c>
      <c r="E157" s="4">
        <v>0.21807650000000001</v>
      </c>
      <c r="F157" s="4">
        <v>3.2122999999999999E-2</v>
      </c>
      <c r="G157" s="4">
        <v>4.6360499999999999E-2</v>
      </c>
      <c r="H157" s="3">
        <f t="shared" si="25"/>
        <v>1.50898E-2</v>
      </c>
      <c r="I157" s="3">
        <f t="shared" si="26"/>
        <v>0.28776416666666665</v>
      </c>
      <c r="J157" s="3">
        <f t="shared" si="27"/>
        <v>2.4842766666666665E-2</v>
      </c>
      <c r="K157" s="3">
        <f t="shared" si="28"/>
        <v>0.21673109999999998</v>
      </c>
      <c r="L157" s="3">
        <f t="shared" si="29"/>
        <v>3.3455666666666668E-2</v>
      </c>
      <c r="M157" s="3">
        <f t="shared" si="30"/>
        <v>4.9542833333333335E-2</v>
      </c>
    </row>
    <row r="158" spans="1:15" x14ac:dyDescent="0.25">
      <c r="A158" s="5">
        <f t="shared" si="23"/>
        <v>29160</v>
      </c>
      <c r="B158" s="4">
        <v>1.63179E-2</v>
      </c>
      <c r="C158" s="4">
        <v>0.29603819999999997</v>
      </c>
      <c r="D158" s="4">
        <v>2.2233099999999999E-2</v>
      </c>
      <c r="E158" s="4">
        <v>0.233655</v>
      </c>
      <c r="F158" s="4">
        <v>3.4799200000000002E-2</v>
      </c>
      <c r="G158" s="4">
        <v>5.1639200000000003E-2</v>
      </c>
      <c r="H158" s="3">
        <f t="shared" si="25"/>
        <v>1.5114933333333335E-2</v>
      </c>
      <c r="I158" s="3">
        <f t="shared" si="26"/>
        <v>0.29394276666666669</v>
      </c>
      <c r="J158" s="3">
        <f t="shared" si="27"/>
        <v>2.3624766666666668E-2</v>
      </c>
      <c r="K158" s="3">
        <f t="shared" si="28"/>
        <v>0.21999276666666667</v>
      </c>
      <c r="L158" s="3">
        <f t="shared" si="29"/>
        <v>3.3211933333333332E-2</v>
      </c>
      <c r="M158" s="3">
        <f t="shared" si="30"/>
        <v>4.9865233333333335E-2</v>
      </c>
    </row>
    <row r="159" spans="1:15" x14ac:dyDescent="0.25">
      <c r="A159" s="5">
        <f t="shared" si="23"/>
        <v>29190</v>
      </c>
      <c r="B159" s="4">
        <v>1.3258300000000001E-2</v>
      </c>
      <c r="C159" s="4">
        <v>0.26871699999999998</v>
      </c>
      <c r="D159" s="4">
        <v>2.6661899999999999E-2</v>
      </c>
      <c r="E159" s="4">
        <v>0.21126719999999999</v>
      </c>
      <c r="F159" s="4">
        <v>3.1291399999999997E-2</v>
      </c>
      <c r="G159" s="4">
        <v>4.7797600000000003E-2</v>
      </c>
      <c r="H159" s="3">
        <f t="shared" si="25"/>
        <v>1.4869066666666667E-2</v>
      </c>
      <c r="I159" s="3">
        <f t="shared" si="26"/>
        <v>0.28234013333333335</v>
      </c>
      <c r="J159" s="3">
        <f t="shared" si="27"/>
        <v>2.4520233333333332E-2</v>
      </c>
      <c r="K159" s="3">
        <f t="shared" si="28"/>
        <v>0.22099956666666665</v>
      </c>
      <c r="L159" s="3">
        <f t="shared" si="29"/>
        <v>3.2737866666666664E-2</v>
      </c>
      <c r="M159" s="3">
        <f t="shared" si="30"/>
        <v>4.8599099999999999E-2</v>
      </c>
    </row>
    <row r="160" spans="1:15" x14ac:dyDescent="0.25">
      <c r="A160" s="5">
        <f t="shared" si="23"/>
        <v>29221</v>
      </c>
      <c r="B160" s="4">
        <v>1.54164E-2</v>
      </c>
      <c r="C160" s="4">
        <v>0.24997340000000001</v>
      </c>
      <c r="D160" s="4">
        <v>2.53665E-2</v>
      </c>
      <c r="E160" s="4">
        <v>0.2472</v>
      </c>
      <c r="F160" s="4">
        <v>3.24418E-2</v>
      </c>
      <c r="G160" s="4">
        <v>4.6611800000000002E-2</v>
      </c>
      <c r="H160" s="3">
        <f t="shared" si="25"/>
        <v>1.4997533333333334E-2</v>
      </c>
      <c r="I160" s="3">
        <f t="shared" si="26"/>
        <v>0.27157619999999999</v>
      </c>
      <c r="J160" s="3">
        <f t="shared" si="27"/>
        <v>2.4753833333333333E-2</v>
      </c>
      <c r="K160" s="3">
        <f t="shared" si="28"/>
        <v>0.23070740000000001</v>
      </c>
      <c r="L160" s="3">
        <f t="shared" si="29"/>
        <v>3.2844133333333331E-2</v>
      </c>
      <c r="M160" s="3">
        <f t="shared" si="30"/>
        <v>4.8682866666666665E-2</v>
      </c>
    </row>
    <row r="161" spans="1:13" x14ac:dyDescent="0.25">
      <c r="A161" s="5">
        <f t="shared" si="23"/>
        <v>29252</v>
      </c>
      <c r="B161" s="4">
        <v>1.6431000000000001E-2</v>
      </c>
      <c r="C161" s="4">
        <v>0.28784510000000002</v>
      </c>
      <c r="D161" s="4">
        <v>2.3955899999999999E-2</v>
      </c>
      <c r="E161" s="4">
        <v>0.23905860000000001</v>
      </c>
      <c r="F161" s="4">
        <v>3.3733699999999998E-2</v>
      </c>
      <c r="G161" s="4">
        <v>4.8937599999999998E-2</v>
      </c>
      <c r="H161" s="3">
        <f t="shared" si="25"/>
        <v>1.5035233333333333E-2</v>
      </c>
      <c r="I161" s="3">
        <f t="shared" si="26"/>
        <v>0.26884516666666669</v>
      </c>
      <c r="J161" s="3">
        <f t="shared" si="27"/>
        <v>2.5328100000000003E-2</v>
      </c>
      <c r="K161" s="3">
        <f t="shared" si="28"/>
        <v>0.23250859999999998</v>
      </c>
      <c r="L161" s="3">
        <f t="shared" si="29"/>
        <v>3.2488966666666667E-2</v>
      </c>
      <c r="M161" s="3">
        <f t="shared" si="30"/>
        <v>4.7782333333333336E-2</v>
      </c>
    </row>
    <row r="162" spans="1:13" x14ac:dyDescent="0.25">
      <c r="A162" s="5">
        <f t="shared" si="23"/>
        <v>29281</v>
      </c>
      <c r="B162" s="4">
        <v>1.49515E-2</v>
      </c>
      <c r="C162" s="4">
        <v>0.2603026</v>
      </c>
      <c r="D162" s="4">
        <v>2.3244000000000001E-2</v>
      </c>
      <c r="E162" s="4">
        <v>0.2171303</v>
      </c>
      <c r="F162" s="4">
        <v>3.2680399999999998E-2</v>
      </c>
      <c r="G162" s="4">
        <v>4.6935699999999997E-2</v>
      </c>
      <c r="H162" s="3">
        <f t="shared" si="25"/>
        <v>1.5599633333333333E-2</v>
      </c>
      <c r="I162" s="3">
        <f t="shared" si="26"/>
        <v>0.26604036666666664</v>
      </c>
      <c r="J162" s="3">
        <f t="shared" si="27"/>
        <v>2.41888E-2</v>
      </c>
      <c r="K162" s="3">
        <f t="shared" si="28"/>
        <v>0.23446296666666666</v>
      </c>
      <c r="L162" s="3">
        <f t="shared" si="29"/>
        <v>3.2951966666666666E-2</v>
      </c>
      <c r="M162" s="3">
        <f t="shared" si="30"/>
        <v>4.7495033333333332E-2</v>
      </c>
    </row>
    <row r="163" spans="1:13" x14ac:dyDescent="0.25">
      <c r="A163" s="5">
        <f t="shared" si="23"/>
        <v>29312</v>
      </c>
      <c r="B163" s="4">
        <v>1.92844E-2</v>
      </c>
      <c r="C163" s="4">
        <v>0.25492530000000002</v>
      </c>
      <c r="D163" s="4">
        <v>2.51544E-2</v>
      </c>
      <c r="E163" s="4">
        <v>0.20980270000000001</v>
      </c>
      <c r="F163" s="4">
        <v>2.9839000000000001E-2</v>
      </c>
      <c r="G163" s="4">
        <v>4.3186599999999999E-2</v>
      </c>
      <c r="H163" s="3">
        <f t="shared" si="25"/>
        <v>1.6888966666666668E-2</v>
      </c>
      <c r="I163" s="3">
        <f t="shared" si="26"/>
        <v>0.26769100000000001</v>
      </c>
      <c r="J163" s="3">
        <f t="shared" si="27"/>
        <v>2.4118100000000003E-2</v>
      </c>
      <c r="K163" s="3">
        <f t="shared" si="28"/>
        <v>0.22199720000000001</v>
      </c>
      <c r="L163" s="3">
        <f t="shared" si="29"/>
        <v>3.2084366666666669E-2</v>
      </c>
      <c r="M163" s="3">
        <f t="shared" si="30"/>
        <v>4.6353299999999993E-2</v>
      </c>
    </row>
    <row r="164" spans="1:13" x14ac:dyDescent="0.25">
      <c r="A164" s="5">
        <f t="shared" si="23"/>
        <v>29342</v>
      </c>
      <c r="B164" s="4">
        <v>2.1714799999999999E-2</v>
      </c>
      <c r="C164" s="4">
        <v>0.27495589999999998</v>
      </c>
      <c r="D164" s="4">
        <v>2.8731099999999999E-2</v>
      </c>
      <c r="E164" s="4">
        <v>0.2076189</v>
      </c>
      <c r="F164" s="4">
        <v>3.3090799999999997E-2</v>
      </c>
      <c r="G164" s="4">
        <v>4.9230000000000003E-2</v>
      </c>
      <c r="H164" s="3">
        <f t="shared" si="25"/>
        <v>1.8650233333333332E-2</v>
      </c>
      <c r="I164" s="3">
        <f t="shared" si="26"/>
        <v>0.26339459999999998</v>
      </c>
      <c r="J164" s="3">
        <f t="shared" si="27"/>
        <v>2.5709833333333335E-2</v>
      </c>
      <c r="K164" s="3">
        <f t="shared" si="28"/>
        <v>0.21151729999999999</v>
      </c>
      <c r="L164" s="3">
        <f t="shared" si="29"/>
        <v>3.1870066666666669E-2</v>
      </c>
      <c r="M164" s="3">
        <f t="shared" si="30"/>
        <v>4.6450766666666664E-2</v>
      </c>
    </row>
    <row r="165" spans="1:13" x14ac:dyDescent="0.25">
      <c r="A165" s="5">
        <f t="shared" si="23"/>
        <v>29373</v>
      </c>
      <c r="B165" s="4">
        <v>1.8074199999999999E-2</v>
      </c>
      <c r="C165" s="4">
        <v>0.25106800000000001</v>
      </c>
      <c r="D165" s="4">
        <v>2.4692800000000001E-2</v>
      </c>
      <c r="E165" s="4">
        <v>0.19289029999999999</v>
      </c>
      <c r="F165" s="4">
        <v>3.1559999999999998E-2</v>
      </c>
      <c r="G165" s="4">
        <v>4.4161600000000002E-2</v>
      </c>
      <c r="H165" s="3">
        <f t="shared" si="25"/>
        <v>1.9691133333333333E-2</v>
      </c>
      <c r="I165" s="3">
        <f t="shared" si="26"/>
        <v>0.2603164</v>
      </c>
      <c r="J165" s="3">
        <f t="shared" si="27"/>
        <v>2.6192766666666669E-2</v>
      </c>
      <c r="K165" s="3">
        <f t="shared" si="28"/>
        <v>0.20343730000000002</v>
      </c>
      <c r="L165" s="3">
        <f t="shared" si="29"/>
        <v>3.1496599999999993E-2</v>
      </c>
      <c r="M165" s="3">
        <f t="shared" si="30"/>
        <v>4.552606666666667E-2</v>
      </c>
    </row>
    <row r="166" spans="1:13" x14ac:dyDescent="0.25">
      <c r="A166" s="5">
        <f t="shared" si="23"/>
        <v>29403</v>
      </c>
      <c r="B166" s="4">
        <v>1.88557E-2</v>
      </c>
      <c r="C166" s="4">
        <v>0.25345659999999998</v>
      </c>
      <c r="D166" s="4">
        <v>2.6074300000000002E-2</v>
      </c>
      <c r="E166" s="4">
        <v>0.18736630000000001</v>
      </c>
      <c r="F166" s="4">
        <v>2.8793300000000001E-2</v>
      </c>
      <c r="G166" s="4">
        <v>4.4686999999999998E-2</v>
      </c>
      <c r="H166" s="3">
        <f t="shared" si="25"/>
        <v>1.9548233333333331E-2</v>
      </c>
      <c r="I166" s="3">
        <f t="shared" si="26"/>
        <v>0.25982683333333334</v>
      </c>
      <c r="J166" s="3">
        <f t="shared" si="27"/>
        <v>2.6499399999999996E-2</v>
      </c>
      <c r="K166" s="3">
        <f t="shared" si="28"/>
        <v>0.19595850000000001</v>
      </c>
      <c r="L166" s="3">
        <f t="shared" si="29"/>
        <v>3.1148033333333335E-2</v>
      </c>
      <c r="M166" s="3">
        <f t="shared" si="30"/>
        <v>4.6026199999999996E-2</v>
      </c>
    </row>
    <row r="167" spans="1:13" x14ac:dyDescent="0.25">
      <c r="A167" s="5">
        <f t="shared" si="23"/>
        <v>29434</v>
      </c>
      <c r="B167" s="4">
        <v>1.9488700000000001E-2</v>
      </c>
      <c r="C167" s="4">
        <v>0.26857340000000002</v>
      </c>
      <c r="D167" s="4">
        <v>2.7966299999999999E-2</v>
      </c>
      <c r="E167" s="4">
        <v>0.2055749</v>
      </c>
      <c r="F167" s="4">
        <v>3.29565E-2</v>
      </c>
      <c r="G167" s="4">
        <v>4.8548000000000001E-2</v>
      </c>
      <c r="H167" s="3">
        <f t="shared" si="25"/>
        <v>1.8806199999999999E-2</v>
      </c>
      <c r="I167" s="3">
        <f t="shared" si="26"/>
        <v>0.25769933333333334</v>
      </c>
      <c r="J167" s="3">
        <f t="shared" si="27"/>
        <v>2.6244466666666671E-2</v>
      </c>
      <c r="K167" s="3">
        <f t="shared" si="28"/>
        <v>0.1952771666666667</v>
      </c>
      <c r="L167" s="3">
        <f t="shared" si="29"/>
        <v>3.1103266666666667E-2</v>
      </c>
      <c r="M167" s="3">
        <f t="shared" si="30"/>
        <v>4.5798866666666667E-2</v>
      </c>
    </row>
    <row r="168" spans="1:13" x14ac:dyDescent="0.25">
      <c r="A168" s="5">
        <f t="shared" si="23"/>
        <v>29465</v>
      </c>
      <c r="B168" s="4">
        <v>1.6452700000000001E-2</v>
      </c>
      <c r="C168" s="4">
        <v>0.26306350000000001</v>
      </c>
      <c r="D168" s="4">
        <v>2.4986000000000001E-2</v>
      </c>
      <c r="E168" s="4">
        <v>0.1999764</v>
      </c>
      <c r="F168" s="4">
        <v>3.2234600000000002E-2</v>
      </c>
      <c r="G168" s="4">
        <v>4.73991E-2</v>
      </c>
      <c r="H168" s="3">
        <f t="shared" si="25"/>
        <v>1.8265699999999999E-2</v>
      </c>
      <c r="I168" s="3">
        <f t="shared" si="26"/>
        <v>0.26169783333333335</v>
      </c>
      <c r="J168" s="3">
        <f t="shared" si="27"/>
        <v>2.63422E-2</v>
      </c>
      <c r="K168" s="3">
        <f t="shared" si="28"/>
        <v>0.19763920000000001</v>
      </c>
      <c r="L168" s="3">
        <f t="shared" si="29"/>
        <v>3.1328133333333334E-2</v>
      </c>
      <c r="M168" s="3">
        <f t="shared" si="30"/>
        <v>4.6878033333333326E-2</v>
      </c>
    </row>
    <row r="169" spans="1:13" x14ac:dyDescent="0.25">
      <c r="A169" s="5">
        <f t="shared" si="23"/>
        <v>29495</v>
      </c>
      <c r="B169" s="4">
        <v>1.84507E-2</v>
      </c>
      <c r="C169" s="4">
        <v>0.27322190000000002</v>
      </c>
      <c r="D169" s="4">
        <v>2.8336900000000002E-2</v>
      </c>
      <c r="E169" s="4">
        <v>0.18602779999999999</v>
      </c>
      <c r="F169" s="4">
        <v>3.3210499999999997E-2</v>
      </c>
      <c r="G169" s="4">
        <v>4.7790199999999998E-2</v>
      </c>
      <c r="H169" s="3">
        <f t="shared" si="25"/>
        <v>1.81307E-2</v>
      </c>
      <c r="I169" s="3">
        <f t="shared" si="26"/>
        <v>0.26828626666666672</v>
      </c>
      <c r="J169" s="3">
        <f t="shared" si="27"/>
        <v>2.7096400000000003E-2</v>
      </c>
      <c r="K169" s="3">
        <f t="shared" si="28"/>
        <v>0.19719303333333335</v>
      </c>
      <c r="L169" s="3">
        <f t="shared" si="29"/>
        <v>3.2800533333333333E-2</v>
      </c>
      <c r="M169" s="3">
        <f t="shared" si="30"/>
        <v>4.7912433333333337E-2</v>
      </c>
    </row>
    <row r="170" spans="1:13" x14ac:dyDescent="0.25">
      <c r="A170" s="5">
        <f t="shared" si="23"/>
        <v>29526</v>
      </c>
      <c r="B170" s="4">
        <v>1.5690900000000001E-2</v>
      </c>
      <c r="C170" s="4">
        <v>0.2481042</v>
      </c>
      <c r="D170" s="4">
        <v>2.7266200000000001E-2</v>
      </c>
      <c r="E170" s="4">
        <v>0.19281100000000001</v>
      </c>
      <c r="F170" s="4">
        <v>3.0049900000000001E-2</v>
      </c>
      <c r="G170" s="4">
        <v>4.5255499999999997E-2</v>
      </c>
      <c r="H170" s="3">
        <f t="shared" si="25"/>
        <v>1.6864766666666666E-2</v>
      </c>
      <c r="I170" s="3">
        <f t="shared" si="26"/>
        <v>0.26146320000000001</v>
      </c>
      <c r="J170" s="3">
        <f t="shared" si="27"/>
        <v>2.6863033333333338E-2</v>
      </c>
      <c r="K170" s="3">
        <f t="shared" si="28"/>
        <v>0.19293839999999998</v>
      </c>
      <c r="L170" s="3">
        <f t="shared" si="29"/>
        <v>3.1831666666666668E-2</v>
      </c>
      <c r="M170" s="3">
        <f t="shared" si="30"/>
        <v>4.6814933333333336E-2</v>
      </c>
    </row>
    <row r="171" spans="1:13" x14ac:dyDescent="0.25">
      <c r="A171" s="5">
        <f t="shared" si="23"/>
        <v>29556</v>
      </c>
      <c r="B171" s="4">
        <v>1.66228E-2</v>
      </c>
      <c r="C171" s="4">
        <v>0.26290069999999999</v>
      </c>
      <c r="D171" s="4">
        <v>2.5980799999999998E-2</v>
      </c>
      <c r="E171" s="4">
        <v>0.20695630000000001</v>
      </c>
      <c r="F171" s="4">
        <v>3.3365199999999998E-2</v>
      </c>
      <c r="G171" s="4">
        <v>4.5501600000000003E-2</v>
      </c>
      <c r="H171" s="3">
        <f t="shared" si="25"/>
        <v>1.6921466666666666E-2</v>
      </c>
      <c r="I171" s="3">
        <f t="shared" si="26"/>
        <v>0.26140893333333332</v>
      </c>
      <c r="J171" s="3">
        <f t="shared" si="27"/>
        <v>2.7194633333333332E-2</v>
      </c>
      <c r="K171" s="3">
        <f t="shared" si="28"/>
        <v>0.19526503333333334</v>
      </c>
      <c r="L171" s="3">
        <f t="shared" si="29"/>
        <v>3.2208533333333331E-2</v>
      </c>
      <c r="M171" s="3">
        <f t="shared" si="30"/>
        <v>4.6182433333333328E-2</v>
      </c>
    </row>
    <row r="172" spans="1:13" x14ac:dyDescent="0.25">
      <c r="A172" s="5">
        <f t="shared" si="23"/>
        <v>29587</v>
      </c>
      <c r="B172" s="4">
        <v>1.66468E-2</v>
      </c>
      <c r="C172" s="4">
        <v>0.23808689999999999</v>
      </c>
      <c r="D172" s="4">
        <v>2.90254E-2</v>
      </c>
      <c r="E172" s="4">
        <v>0.19349949999999999</v>
      </c>
      <c r="F172" s="4">
        <v>2.9276099999999999E-2</v>
      </c>
      <c r="G172" s="4">
        <v>4.6615799999999999E-2</v>
      </c>
      <c r="H172" s="3">
        <f t="shared" si="25"/>
        <v>1.6320166666666667E-2</v>
      </c>
      <c r="I172" s="3">
        <f t="shared" si="26"/>
        <v>0.24969726666666667</v>
      </c>
      <c r="J172" s="3">
        <f t="shared" si="27"/>
        <v>2.7424133333333333E-2</v>
      </c>
      <c r="K172" s="3">
        <f t="shared" si="28"/>
        <v>0.19775560000000003</v>
      </c>
      <c r="L172" s="3">
        <f t="shared" si="29"/>
        <v>3.0897066666666667E-2</v>
      </c>
      <c r="M172" s="3">
        <f t="shared" si="30"/>
        <v>4.5790966666666676E-2</v>
      </c>
    </row>
    <row r="173" spans="1:13" x14ac:dyDescent="0.25">
      <c r="A173" s="5">
        <f t="shared" si="23"/>
        <v>29618</v>
      </c>
      <c r="B173" s="4">
        <v>1.6019200000000001E-2</v>
      </c>
      <c r="C173" s="4">
        <v>0.23055020000000001</v>
      </c>
      <c r="D173" s="4">
        <v>2.4818300000000001E-2</v>
      </c>
      <c r="E173" s="4">
        <v>0.21459610000000001</v>
      </c>
      <c r="F173" s="4">
        <v>3.0469799999999998E-2</v>
      </c>
      <c r="G173" s="4">
        <v>3.9897299999999997E-2</v>
      </c>
      <c r="H173" s="3">
        <f t="shared" si="25"/>
        <v>1.6429599999999999E-2</v>
      </c>
      <c r="I173" s="3">
        <f t="shared" si="26"/>
        <v>0.24384593333333335</v>
      </c>
      <c r="J173" s="3">
        <f t="shared" si="27"/>
        <v>2.6608166666666665E-2</v>
      </c>
      <c r="K173" s="3">
        <f t="shared" si="28"/>
        <v>0.20501730000000004</v>
      </c>
      <c r="L173" s="3">
        <f t="shared" si="29"/>
        <v>3.1037033333333335E-2</v>
      </c>
      <c r="M173" s="3">
        <f t="shared" si="30"/>
        <v>4.4004899999999993E-2</v>
      </c>
    </row>
    <row r="174" spans="1:13" x14ac:dyDescent="0.25">
      <c r="A174" s="5">
        <f t="shared" si="23"/>
        <v>29646</v>
      </c>
      <c r="B174" s="4">
        <v>1.70218E-2</v>
      </c>
      <c r="C174" s="4">
        <v>0.25534859999999998</v>
      </c>
      <c r="D174" s="4">
        <v>2.82197E-2</v>
      </c>
      <c r="E174" s="4">
        <v>0.20243920000000001</v>
      </c>
      <c r="F174" s="4">
        <v>2.91709E-2</v>
      </c>
      <c r="G174" s="4">
        <v>4.4833199999999997E-2</v>
      </c>
      <c r="H174" s="3">
        <f t="shared" si="25"/>
        <v>1.65626E-2</v>
      </c>
      <c r="I174" s="3">
        <f t="shared" si="26"/>
        <v>0.24132856666666669</v>
      </c>
      <c r="J174" s="3">
        <f t="shared" si="27"/>
        <v>2.7354466666666671E-2</v>
      </c>
      <c r="K174" s="3">
        <f t="shared" si="28"/>
        <v>0.20351160000000001</v>
      </c>
      <c r="L174" s="3">
        <f t="shared" si="29"/>
        <v>2.9638933333333329E-2</v>
      </c>
      <c r="M174" s="3">
        <f t="shared" si="30"/>
        <v>4.3782099999999997E-2</v>
      </c>
    </row>
    <row r="175" spans="1:13" x14ac:dyDescent="0.25">
      <c r="A175" s="5">
        <f t="shared" si="23"/>
        <v>29677</v>
      </c>
      <c r="B175" s="4">
        <v>1.7059999999999999E-2</v>
      </c>
      <c r="C175" s="4">
        <v>0.27988069999999998</v>
      </c>
      <c r="D175" s="4">
        <v>2.6428199999999999E-2</v>
      </c>
      <c r="E175" s="4">
        <v>0.19343689999999999</v>
      </c>
      <c r="F175" s="4">
        <v>3.2130199999999998E-2</v>
      </c>
      <c r="G175" s="4">
        <v>5.14861E-2</v>
      </c>
      <c r="H175" s="3">
        <f t="shared" si="25"/>
        <v>1.6700333333333334E-2</v>
      </c>
      <c r="I175" s="3">
        <f t="shared" si="26"/>
        <v>0.2552598333333333</v>
      </c>
      <c r="J175" s="3">
        <f t="shared" si="27"/>
        <v>2.6488733333333334E-2</v>
      </c>
      <c r="K175" s="3">
        <f t="shared" si="28"/>
        <v>0.20349073333333334</v>
      </c>
      <c r="L175" s="3">
        <f t="shared" si="29"/>
        <v>3.0590299999999997E-2</v>
      </c>
      <c r="M175" s="3">
        <f t="shared" si="30"/>
        <v>4.5405533333333331E-2</v>
      </c>
    </row>
    <row r="176" spans="1:13" x14ac:dyDescent="0.25">
      <c r="A176" s="5">
        <f t="shared" si="23"/>
        <v>29707</v>
      </c>
      <c r="B176" s="4">
        <v>1.7058899999999998E-2</v>
      </c>
      <c r="C176" s="4">
        <v>0.2368401</v>
      </c>
      <c r="D176" s="4">
        <v>2.70426E-2</v>
      </c>
      <c r="E176" s="4">
        <v>0.20183980000000001</v>
      </c>
      <c r="F176" s="4">
        <v>2.9362599999999999E-2</v>
      </c>
      <c r="G176" s="4">
        <v>4.5849599999999997E-2</v>
      </c>
      <c r="H176" s="3">
        <f t="shared" si="25"/>
        <v>1.70469E-2</v>
      </c>
      <c r="I176" s="3">
        <f t="shared" si="26"/>
        <v>0.25735646666666662</v>
      </c>
      <c r="J176" s="3">
        <f t="shared" si="27"/>
        <v>2.7230166666666666E-2</v>
      </c>
      <c r="K176" s="3">
        <f t="shared" si="28"/>
        <v>0.19923863333333336</v>
      </c>
      <c r="L176" s="3">
        <f t="shared" si="29"/>
        <v>3.0221233333333333E-2</v>
      </c>
      <c r="M176" s="3">
        <f t="shared" si="30"/>
        <v>4.7389633333333327E-2</v>
      </c>
    </row>
    <row r="177" spans="1:13" x14ac:dyDescent="0.25">
      <c r="A177" s="5">
        <f t="shared" si="23"/>
        <v>29738</v>
      </c>
      <c r="B177" s="4">
        <v>1.6903000000000001E-2</v>
      </c>
      <c r="C177" s="4">
        <v>0.24691660000000001</v>
      </c>
      <c r="D177" s="4">
        <v>2.48693E-2</v>
      </c>
      <c r="E177" s="4">
        <v>0.2060601</v>
      </c>
      <c r="F177" s="4">
        <v>3.2226200000000003E-2</v>
      </c>
      <c r="G177" s="4">
        <v>4.0514099999999997E-2</v>
      </c>
      <c r="H177" s="3">
        <f t="shared" si="25"/>
        <v>1.70073E-2</v>
      </c>
      <c r="I177" s="3">
        <f t="shared" si="26"/>
        <v>0.25454579999999999</v>
      </c>
      <c r="J177" s="3">
        <f t="shared" si="27"/>
        <v>2.6113366666666665E-2</v>
      </c>
      <c r="K177" s="3">
        <f t="shared" si="28"/>
        <v>0.2004456</v>
      </c>
      <c r="L177" s="3">
        <f t="shared" si="29"/>
        <v>3.1239666666666666E-2</v>
      </c>
      <c r="M177" s="3">
        <f t="shared" si="30"/>
        <v>4.5949933333333332E-2</v>
      </c>
    </row>
    <row r="178" spans="1:13" x14ac:dyDescent="0.25">
      <c r="A178" s="5">
        <f t="shared" si="23"/>
        <v>29768</v>
      </c>
      <c r="B178" s="4">
        <v>1.7056999999999999E-2</v>
      </c>
      <c r="C178" s="4">
        <v>0.26979399999999998</v>
      </c>
      <c r="D178" s="4">
        <v>2.6795599999999999E-2</v>
      </c>
      <c r="E178" s="4">
        <v>0.2148687</v>
      </c>
      <c r="F178" s="4">
        <v>3.1553699999999997E-2</v>
      </c>
      <c r="G178" s="4">
        <v>5.0756099999999998E-2</v>
      </c>
      <c r="H178" s="3">
        <f t="shared" si="25"/>
        <v>1.7006300000000002E-2</v>
      </c>
      <c r="I178" s="3">
        <f t="shared" si="26"/>
        <v>0.25118356666666669</v>
      </c>
      <c r="J178" s="3">
        <f t="shared" si="27"/>
        <v>2.6235833333333333E-2</v>
      </c>
      <c r="K178" s="3">
        <f t="shared" si="28"/>
        <v>0.20758953333333333</v>
      </c>
      <c r="L178" s="3">
        <f t="shared" si="29"/>
        <v>3.1047499999999995E-2</v>
      </c>
      <c r="M178" s="3">
        <f t="shared" si="30"/>
        <v>4.5706599999999993E-2</v>
      </c>
    </row>
    <row r="179" spans="1:13" x14ac:dyDescent="0.25">
      <c r="A179" s="5">
        <f t="shared" si="23"/>
        <v>29799</v>
      </c>
      <c r="B179" s="4">
        <v>1.65206E-2</v>
      </c>
      <c r="C179" s="4">
        <v>0.23387820000000001</v>
      </c>
      <c r="D179" s="4">
        <v>2.6677099999999999E-2</v>
      </c>
      <c r="E179" s="4">
        <v>0.20373740000000001</v>
      </c>
      <c r="F179" s="4">
        <v>2.85207E-2</v>
      </c>
      <c r="G179" s="4">
        <v>4.1654499999999997E-2</v>
      </c>
      <c r="H179" s="3">
        <f t="shared" si="25"/>
        <v>1.6826866666666666E-2</v>
      </c>
      <c r="I179" s="3">
        <f t="shared" si="26"/>
        <v>0.25019626666666667</v>
      </c>
      <c r="J179" s="3">
        <f t="shared" si="27"/>
        <v>2.6113999999999998E-2</v>
      </c>
      <c r="K179" s="3">
        <f t="shared" si="28"/>
        <v>0.20822206666666668</v>
      </c>
      <c r="L179" s="3">
        <f t="shared" si="29"/>
        <v>3.0766866666666667E-2</v>
      </c>
      <c r="M179" s="3">
        <f t="shared" si="30"/>
        <v>4.4308233333333336E-2</v>
      </c>
    </row>
    <row r="180" spans="1:13" x14ac:dyDescent="0.25">
      <c r="A180" s="5">
        <f t="shared" si="23"/>
        <v>29830</v>
      </c>
      <c r="B180" s="4">
        <v>1.7805600000000001E-2</v>
      </c>
      <c r="C180" s="4">
        <v>0.2349551</v>
      </c>
      <c r="D180" s="4">
        <v>2.7595700000000001E-2</v>
      </c>
      <c r="E180" s="4">
        <v>0.2196708</v>
      </c>
      <c r="F180" s="4">
        <v>3.3005899999999998E-2</v>
      </c>
      <c r="G180" s="4">
        <v>4.1659700000000001E-2</v>
      </c>
      <c r="H180" s="3">
        <f t="shared" si="25"/>
        <v>1.7127733333333336E-2</v>
      </c>
      <c r="I180" s="3">
        <f t="shared" si="26"/>
        <v>0.24620909999999999</v>
      </c>
      <c r="J180" s="3">
        <f t="shared" si="27"/>
        <v>2.70228E-2</v>
      </c>
      <c r="K180" s="3">
        <f t="shared" si="28"/>
        <v>0.21275896666666663</v>
      </c>
      <c r="L180" s="3">
        <f t="shared" si="29"/>
        <v>3.1026766666666667E-2</v>
      </c>
      <c r="M180" s="3">
        <f t="shared" si="30"/>
        <v>4.4690100000000003E-2</v>
      </c>
    </row>
    <row r="181" spans="1:13" x14ac:dyDescent="0.25">
      <c r="A181" s="5">
        <f t="shared" si="23"/>
        <v>29860</v>
      </c>
      <c r="B181" s="4">
        <v>2.06707E-2</v>
      </c>
      <c r="C181" s="4">
        <v>0.26016240000000002</v>
      </c>
      <c r="D181" s="4">
        <v>3.0376199999999999E-2</v>
      </c>
      <c r="E181" s="4">
        <v>0.2058238</v>
      </c>
      <c r="F181" s="4">
        <v>3.1352400000000002E-2</v>
      </c>
      <c r="G181" s="4">
        <v>5.12694E-2</v>
      </c>
      <c r="H181" s="3">
        <f t="shared" si="25"/>
        <v>1.8332299999999999E-2</v>
      </c>
      <c r="I181" s="3">
        <f t="shared" si="26"/>
        <v>0.24299856666666667</v>
      </c>
      <c r="J181" s="3">
        <f t="shared" si="27"/>
        <v>2.8216333333333333E-2</v>
      </c>
      <c r="K181" s="3">
        <f t="shared" si="28"/>
        <v>0.20974400000000001</v>
      </c>
      <c r="L181" s="3">
        <f t="shared" si="29"/>
        <v>3.0959666666666667E-2</v>
      </c>
      <c r="M181" s="3">
        <f t="shared" si="30"/>
        <v>4.4861199999999997E-2</v>
      </c>
    </row>
    <row r="182" spans="1:13" x14ac:dyDescent="0.25">
      <c r="A182" s="5">
        <f t="shared" si="23"/>
        <v>29891</v>
      </c>
      <c r="B182" s="4">
        <v>2.04218E-2</v>
      </c>
      <c r="C182" s="4">
        <v>0.23420949999999999</v>
      </c>
      <c r="D182" s="4">
        <v>2.9035700000000001E-2</v>
      </c>
      <c r="E182" s="4">
        <v>0.19638639999999999</v>
      </c>
      <c r="F182" s="4">
        <v>2.9457299999999999E-2</v>
      </c>
      <c r="G182" s="4">
        <v>4.0327399999999999E-2</v>
      </c>
      <c r="H182" s="3">
        <f t="shared" si="25"/>
        <v>1.9632700000000003E-2</v>
      </c>
      <c r="I182" s="3">
        <f t="shared" si="26"/>
        <v>0.24310899999999999</v>
      </c>
      <c r="J182" s="3">
        <f t="shared" si="27"/>
        <v>2.9002533333333334E-2</v>
      </c>
      <c r="K182" s="3">
        <f t="shared" si="28"/>
        <v>0.20729366666666668</v>
      </c>
      <c r="L182" s="3">
        <f t="shared" si="29"/>
        <v>3.1271866666666669E-2</v>
      </c>
      <c r="M182" s="3">
        <f t="shared" si="30"/>
        <v>4.4418833333333331E-2</v>
      </c>
    </row>
    <row r="183" spans="1:13" x14ac:dyDescent="0.25">
      <c r="A183" s="5">
        <f t="shared" si="23"/>
        <v>29921</v>
      </c>
      <c r="B183" s="4">
        <v>2.3264699999999999E-2</v>
      </c>
      <c r="C183" s="4">
        <v>0.23633879999999999</v>
      </c>
      <c r="D183" s="4">
        <v>2.8031500000000001E-2</v>
      </c>
      <c r="E183" s="4">
        <v>0.19670389999999999</v>
      </c>
      <c r="F183" s="4">
        <v>3.19481E-2</v>
      </c>
      <c r="G183" s="4">
        <v>3.9991499999999999E-2</v>
      </c>
      <c r="H183" s="3">
        <f t="shared" si="25"/>
        <v>2.14524E-2</v>
      </c>
      <c r="I183" s="3">
        <f t="shared" si="26"/>
        <v>0.2435702333333333</v>
      </c>
      <c r="J183" s="3">
        <f t="shared" si="27"/>
        <v>2.9147800000000001E-2</v>
      </c>
      <c r="K183" s="3">
        <f t="shared" si="28"/>
        <v>0.19963803333333333</v>
      </c>
      <c r="L183" s="3">
        <f t="shared" si="29"/>
        <v>3.0919266666666667E-2</v>
      </c>
      <c r="M183" s="3">
        <f t="shared" si="30"/>
        <v>4.3862766666666664E-2</v>
      </c>
    </row>
    <row r="184" spans="1:13" x14ac:dyDescent="0.25">
      <c r="A184" s="5">
        <f t="shared" si="23"/>
        <v>29952</v>
      </c>
      <c r="B184" s="4">
        <v>1.97004E-2</v>
      </c>
      <c r="C184" s="4">
        <v>0.2272093</v>
      </c>
      <c r="D184" s="4">
        <v>2.9493399999999999E-2</v>
      </c>
      <c r="E184" s="4">
        <v>0.1962612</v>
      </c>
      <c r="F184" s="4">
        <v>2.90236E-2</v>
      </c>
      <c r="G184" s="4">
        <v>4.5175E-2</v>
      </c>
      <c r="H184" s="3">
        <f t="shared" si="25"/>
        <v>2.1128966666666665E-2</v>
      </c>
      <c r="I184" s="3">
        <f t="shared" si="26"/>
        <v>0.23258586666666667</v>
      </c>
      <c r="J184" s="3">
        <f t="shared" si="27"/>
        <v>2.8853533333333334E-2</v>
      </c>
      <c r="K184" s="3">
        <f t="shared" si="28"/>
        <v>0.1964505</v>
      </c>
      <c r="L184" s="3">
        <f t="shared" si="29"/>
        <v>3.0143E-2</v>
      </c>
      <c r="M184" s="3">
        <f t="shared" si="30"/>
        <v>4.1831299999999995E-2</v>
      </c>
    </row>
    <row r="185" spans="1:13" x14ac:dyDescent="0.25">
      <c r="A185" s="5">
        <f t="shared" si="23"/>
        <v>29983</v>
      </c>
      <c r="B185" s="4">
        <v>1.87406E-2</v>
      </c>
      <c r="C185" s="4">
        <v>0.21536739999999999</v>
      </c>
      <c r="D185" s="4">
        <v>3.0185500000000001E-2</v>
      </c>
      <c r="E185" s="4">
        <v>0.2008791</v>
      </c>
      <c r="F185" s="4">
        <v>3.0915999999999999E-2</v>
      </c>
      <c r="G185" s="4">
        <v>3.9707100000000002E-2</v>
      </c>
      <c r="H185" s="3">
        <f t="shared" si="25"/>
        <v>2.0568566666666666E-2</v>
      </c>
      <c r="I185" s="3">
        <f t="shared" si="26"/>
        <v>0.22630516666666667</v>
      </c>
      <c r="J185" s="3">
        <f t="shared" si="27"/>
        <v>2.9236800000000004E-2</v>
      </c>
      <c r="K185" s="3">
        <f t="shared" si="28"/>
        <v>0.19794806666666664</v>
      </c>
      <c r="L185" s="3">
        <f t="shared" si="29"/>
        <v>3.0629233333333335E-2</v>
      </c>
      <c r="M185" s="3">
        <f t="shared" si="30"/>
        <v>4.1624533333333331E-2</v>
      </c>
    </row>
    <row r="186" spans="1:13" x14ac:dyDescent="0.25">
      <c r="A186" s="5">
        <f t="shared" si="23"/>
        <v>30011</v>
      </c>
      <c r="B186" s="4">
        <v>2.1689099999999999E-2</v>
      </c>
      <c r="C186" s="4">
        <v>0.2228049</v>
      </c>
      <c r="D186" s="4">
        <v>3.00524E-2</v>
      </c>
      <c r="E186" s="4">
        <v>0.19412570000000001</v>
      </c>
      <c r="F186" s="4">
        <v>2.9231199999999999E-2</v>
      </c>
      <c r="G186" s="4">
        <v>4.3942099999999998E-2</v>
      </c>
      <c r="H186" s="3">
        <f t="shared" si="25"/>
        <v>2.004336666666667E-2</v>
      </c>
      <c r="I186" s="3">
        <f t="shared" si="26"/>
        <v>0.22179386666666667</v>
      </c>
      <c r="J186" s="3">
        <f t="shared" si="27"/>
        <v>2.9910433333333333E-2</v>
      </c>
      <c r="K186" s="3">
        <f t="shared" si="28"/>
        <v>0.19708866666666669</v>
      </c>
      <c r="L186" s="3">
        <f t="shared" si="29"/>
        <v>2.9723599999999999E-2</v>
      </c>
      <c r="M186" s="3">
        <f t="shared" si="30"/>
        <v>4.2941399999999998E-2</v>
      </c>
    </row>
    <row r="187" spans="1:13" x14ac:dyDescent="0.25">
      <c r="A187" s="5">
        <f t="shared" si="23"/>
        <v>30042</v>
      </c>
      <c r="B187" s="4">
        <v>2.2965200000000002E-2</v>
      </c>
      <c r="C187" s="4">
        <v>0.22568469999999999</v>
      </c>
      <c r="D187" s="4">
        <v>3.0927699999999999E-2</v>
      </c>
      <c r="E187" s="4">
        <v>0.18904260000000001</v>
      </c>
      <c r="F187" s="4">
        <v>3.0707100000000001E-2</v>
      </c>
      <c r="G187" s="4">
        <v>4.36234E-2</v>
      </c>
      <c r="H187" s="3">
        <f t="shared" si="25"/>
        <v>2.1131633333333334E-2</v>
      </c>
      <c r="I187" s="3">
        <f t="shared" si="26"/>
        <v>0.22128566666666663</v>
      </c>
      <c r="J187" s="3">
        <f t="shared" si="27"/>
        <v>3.0388533333333332E-2</v>
      </c>
      <c r="K187" s="3">
        <f t="shared" si="28"/>
        <v>0.19468246666666666</v>
      </c>
      <c r="L187" s="3">
        <f t="shared" si="29"/>
        <v>3.0284766666666667E-2</v>
      </c>
      <c r="M187" s="3">
        <f t="shared" si="30"/>
        <v>4.2424200000000002E-2</v>
      </c>
    </row>
    <row r="188" spans="1:13" x14ac:dyDescent="0.25">
      <c r="A188" s="5">
        <f t="shared" si="23"/>
        <v>30072</v>
      </c>
      <c r="B188" s="4">
        <v>2.07712E-2</v>
      </c>
      <c r="C188" s="4">
        <v>0.21786159999999999</v>
      </c>
      <c r="D188" s="4">
        <v>3.3357999999999999E-2</v>
      </c>
      <c r="E188" s="4">
        <v>0.17973449999999999</v>
      </c>
      <c r="F188" s="4">
        <v>2.6955300000000001E-2</v>
      </c>
      <c r="G188" s="4">
        <v>4.2067100000000003E-2</v>
      </c>
      <c r="H188" s="3">
        <f t="shared" si="25"/>
        <v>2.1808499999999998E-2</v>
      </c>
      <c r="I188" s="3">
        <f t="shared" si="26"/>
        <v>0.22211706666666667</v>
      </c>
      <c r="J188" s="3">
        <f t="shared" si="27"/>
        <v>3.1446033333333331E-2</v>
      </c>
      <c r="K188" s="3">
        <f t="shared" si="28"/>
        <v>0.18763426666666669</v>
      </c>
      <c r="L188" s="3">
        <f t="shared" si="29"/>
        <v>2.8964533333333334E-2</v>
      </c>
      <c r="M188" s="3">
        <f t="shared" si="30"/>
        <v>4.321086666666666E-2</v>
      </c>
    </row>
    <row r="189" spans="1:13" x14ac:dyDescent="0.25">
      <c r="A189" s="5">
        <f t="shared" si="23"/>
        <v>30103</v>
      </c>
      <c r="B189" s="4">
        <v>2.0717699999999999E-2</v>
      </c>
      <c r="C189" s="4">
        <v>0.2038992</v>
      </c>
      <c r="D189" s="4">
        <v>2.7680199999999999E-2</v>
      </c>
      <c r="E189" s="4">
        <v>0.1832502</v>
      </c>
      <c r="F189" s="4">
        <v>2.8552000000000001E-2</v>
      </c>
      <c r="G189" s="4">
        <v>3.8971800000000001E-2</v>
      </c>
      <c r="H189" s="3">
        <f t="shared" si="25"/>
        <v>2.1484699999999999E-2</v>
      </c>
      <c r="I189" s="3">
        <f t="shared" si="26"/>
        <v>0.21581516666666664</v>
      </c>
      <c r="J189" s="3">
        <f t="shared" si="27"/>
        <v>3.06553E-2</v>
      </c>
      <c r="K189" s="3">
        <f t="shared" si="28"/>
        <v>0.18400910000000001</v>
      </c>
      <c r="L189" s="3">
        <f t="shared" si="29"/>
        <v>2.8738133333333332E-2</v>
      </c>
      <c r="M189" s="3">
        <f t="shared" si="30"/>
        <v>4.1554100000000004E-2</v>
      </c>
    </row>
    <row r="190" spans="1:13" x14ac:dyDescent="0.25">
      <c r="A190" s="5">
        <f t="shared" si="23"/>
        <v>30133</v>
      </c>
      <c r="B190" s="4">
        <v>2.2394399999999998E-2</v>
      </c>
      <c r="C190" s="4">
        <v>0.2186929</v>
      </c>
      <c r="D190" s="4">
        <v>3.1798699999999999E-2</v>
      </c>
      <c r="E190" s="4">
        <v>0.18556310000000001</v>
      </c>
      <c r="F190" s="4">
        <v>3.1565099999999999E-2</v>
      </c>
      <c r="G190" s="4">
        <v>4.78098E-2</v>
      </c>
      <c r="H190" s="3">
        <f t="shared" si="25"/>
        <v>2.1294433333333331E-2</v>
      </c>
      <c r="I190" s="3">
        <f t="shared" si="26"/>
        <v>0.21348456666666668</v>
      </c>
      <c r="J190" s="3">
        <f t="shared" si="27"/>
        <v>3.0945633333333333E-2</v>
      </c>
      <c r="K190" s="3">
        <f t="shared" si="28"/>
        <v>0.18284926666666668</v>
      </c>
      <c r="L190" s="3">
        <f t="shared" si="29"/>
        <v>2.902413333333333E-2</v>
      </c>
      <c r="M190" s="3">
        <f t="shared" si="30"/>
        <v>4.2949566666666661E-2</v>
      </c>
    </row>
    <row r="191" spans="1:13" x14ac:dyDescent="0.25">
      <c r="A191" s="5">
        <f t="shared" si="23"/>
        <v>30164</v>
      </c>
      <c r="B191" s="4">
        <v>2.02028E-2</v>
      </c>
      <c r="C191" s="4">
        <v>0.20558309999999999</v>
      </c>
      <c r="D191" s="4">
        <v>3.09398E-2</v>
      </c>
      <c r="E191" s="4">
        <v>0.17808959999999999</v>
      </c>
      <c r="F191" s="4">
        <v>2.8671200000000001E-2</v>
      </c>
      <c r="G191" s="4">
        <v>4.0825E-2</v>
      </c>
      <c r="H191" s="3">
        <f t="shared" si="25"/>
        <v>2.1104966666666669E-2</v>
      </c>
      <c r="I191" s="3">
        <f t="shared" si="26"/>
        <v>0.20939173333333336</v>
      </c>
      <c r="J191" s="3">
        <f t="shared" si="27"/>
        <v>3.0139566666666669E-2</v>
      </c>
      <c r="K191" s="3">
        <f t="shared" si="28"/>
        <v>0.18230096666666665</v>
      </c>
      <c r="L191" s="3">
        <f t="shared" si="29"/>
        <v>2.95961E-2</v>
      </c>
      <c r="M191" s="3">
        <f t="shared" si="30"/>
        <v>4.253553333333334E-2</v>
      </c>
    </row>
    <row r="192" spans="1:13" x14ac:dyDescent="0.25">
      <c r="A192" s="5">
        <f t="shared" si="23"/>
        <v>30195</v>
      </c>
      <c r="B192" s="4">
        <v>2.3499099999999998E-2</v>
      </c>
      <c r="C192" s="4">
        <v>0.2118855</v>
      </c>
      <c r="D192" s="4">
        <v>2.9709900000000001E-2</v>
      </c>
      <c r="E192" s="4">
        <v>0.18054400000000001</v>
      </c>
      <c r="F192" s="4">
        <v>3.1634299999999997E-2</v>
      </c>
      <c r="G192" s="4">
        <v>4.59508E-2</v>
      </c>
      <c r="H192" s="3">
        <f t="shared" si="25"/>
        <v>2.2032099999999999E-2</v>
      </c>
      <c r="I192" s="3">
        <f t="shared" si="26"/>
        <v>0.21205383333333336</v>
      </c>
      <c r="J192" s="3">
        <f t="shared" si="27"/>
        <v>3.0816133333333332E-2</v>
      </c>
      <c r="K192" s="3">
        <f t="shared" si="28"/>
        <v>0.1813989</v>
      </c>
      <c r="L192" s="3">
        <f t="shared" si="29"/>
        <v>3.0623533333333331E-2</v>
      </c>
      <c r="M192" s="3">
        <f t="shared" si="30"/>
        <v>4.4861866666666667E-2</v>
      </c>
    </row>
    <row r="193" spans="1:13" x14ac:dyDescent="0.25">
      <c r="A193" s="5">
        <f t="shared" si="23"/>
        <v>30225</v>
      </c>
      <c r="B193" s="4">
        <v>2.31448E-2</v>
      </c>
      <c r="C193" s="4">
        <v>0.19376589999999999</v>
      </c>
      <c r="D193" s="4">
        <v>3.1200200000000001E-2</v>
      </c>
      <c r="E193" s="4">
        <v>0.1757811</v>
      </c>
      <c r="F193" s="4">
        <v>3.00542E-2</v>
      </c>
      <c r="G193" s="4">
        <v>3.8943600000000002E-2</v>
      </c>
      <c r="H193" s="3">
        <f t="shared" si="25"/>
        <v>2.2282233333333335E-2</v>
      </c>
      <c r="I193" s="3">
        <f t="shared" si="26"/>
        <v>0.20374483333333329</v>
      </c>
      <c r="J193" s="3">
        <f t="shared" si="27"/>
        <v>3.0616633333333334E-2</v>
      </c>
      <c r="K193" s="3">
        <f t="shared" si="28"/>
        <v>0.17813823333333334</v>
      </c>
      <c r="L193" s="3">
        <f t="shared" si="29"/>
        <v>3.0119900000000002E-2</v>
      </c>
      <c r="M193" s="3">
        <f t="shared" si="30"/>
        <v>4.190646666666667E-2</v>
      </c>
    </row>
    <row r="194" spans="1:13" x14ac:dyDescent="0.25">
      <c r="A194" s="5">
        <f t="shared" si="23"/>
        <v>30256</v>
      </c>
      <c r="B194" s="4">
        <v>2.2350499999999999E-2</v>
      </c>
      <c r="C194" s="4">
        <v>0.17381769999999999</v>
      </c>
      <c r="D194" s="4">
        <v>3.1196000000000002E-2</v>
      </c>
      <c r="E194" s="4">
        <v>0.1662892</v>
      </c>
      <c r="F194" s="4">
        <v>2.7388699999999998E-2</v>
      </c>
      <c r="G194" s="4">
        <v>4.0526899999999998E-2</v>
      </c>
      <c r="H194" s="3">
        <f t="shared" si="25"/>
        <v>2.2998133333333334E-2</v>
      </c>
      <c r="I194" s="3">
        <f t="shared" si="26"/>
        <v>0.19315636666666666</v>
      </c>
      <c r="J194" s="3">
        <f t="shared" si="27"/>
        <v>3.0702033333333333E-2</v>
      </c>
      <c r="K194" s="3">
        <f t="shared" si="28"/>
        <v>0.17420476666666665</v>
      </c>
      <c r="L194" s="3">
        <f t="shared" si="29"/>
        <v>2.9692399999999997E-2</v>
      </c>
      <c r="M194" s="3">
        <f t="shared" si="30"/>
        <v>4.1807100000000007E-2</v>
      </c>
    </row>
    <row r="195" spans="1:13" x14ac:dyDescent="0.25">
      <c r="A195" s="5">
        <f t="shared" si="23"/>
        <v>30286</v>
      </c>
      <c r="B195" s="4">
        <v>2.2520800000000001E-2</v>
      </c>
      <c r="C195" s="4">
        <v>0.20879449999999999</v>
      </c>
      <c r="D195" s="4">
        <v>3.6710300000000001E-2</v>
      </c>
      <c r="E195" s="4">
        <v>0.17300589999999999</v>
      </c>
      <c r="F195" s="4">
        <v>2.95932E-2</v>
      </c>
      <c r="G195" s="4">
        <v>3.9574499999999999E-2</v>
      </c>
      <c r="H195" s="3">
        <f t="shared" si="25"/>
        <v>2.2672033333333331E-2</v>
      </c>
      <c r="I195" s="3">
        <f t="shared" si="26"/>
        <v>0.19212603333333333</v>
      </c>
      <c r="J195" s="3">
        <f t="shared" si="27"/>
        <v>3.3035500000000002E-2</v>
      </c>
      <c r="K195" s="3">
        <f t="shared" si="28"/>
        <v>0.17169206666666667</v>
      </c>
      <c r="L195" s="3">
        <f t="shared" si="29"/>
        <v>2.9012033333333336E-2</v>
      </c>
      <c r="M195" s="3">
        <f t="shared" si="30"/>
        <v>3.9681666666666664E-2</v>
      </c>
    </row>
    <row r="196" spans="1:13" x14ac:dyDescent="0.25">
      <c r="A196" s="5">
        <f t="shared" si="23"/>
        <v>30317</v>
      </c>
      <c r="B196" s="4">
        <v>1.9307700000000001E-2</v>
      </c>
      <c r="C196" s="4">
        <v>0.1921465</v>
      </c>
      <c r="D196" s="4">
        <v>2.9460699999999999E-2</v>
      </c>
      <c r="E196" s="4">
        <v>0.16448209999999999</v>
      </c>
      <c r="F196" s="4">
        <v>2.7337E-2</v>
      </c>
      <c r="G196" s="4">
        <v>3.7529899999999998E-2</v>
      </c>
      <c r="H196" s="3">
        <f t="shared" si="25"/>
        <v>2.1392999999999999E-2</v>
      </c>
      <c r="I196" s="3">
        <f t="shared" si="26"/>
        <v>0.19158623333333333</v>
      </c>
      <c r="J196" s="3">
        <f t="shared" si="27"/>
        <v>3.2455666666666667E-2</v>
      </c>
      <c r="K196" s="3">
        <f t="shared" si="28"/>
        <v>0.1679257333333333</v>
      </c>
      <c r="L196" s="3">
        <f t="shared" si="29"/>
        <v>2.8106300000000001E-2</v>
      </c>
      <c r="M196" s="3">
        <f t="shared" si="30"/>
        <v>3.9210433333333329E-2</v>
      </c>
    </row>
    <row r="197" spans="1:13" x14ac:dyDescent="0.25">
      <c r="A197" s="5">
        <f t="shared" si="23"/>
        <v>30348</v>
      </c>
      <c r="B197" s="4">
        <v>1.8838500000000001E-2</v>
      </c>
      <c r="C197" s="4">
        <v>0.1811883</v>
      </c>
      <c r="D197" s="4">
        <v>2.81841E-2</v>
      </c>
      <c r="E197" s="4">
        <v>0.1749522</v>
      </c>
      <c r="F197" s="4">
        <v>2.75981E-2</v>
      </c>
      <c r="G197" s="4">
        <v>3.7334199999999998E-2</v>
      </c>
      <c r="H197" s="3">
        <f t="shared" si="25"/>
        <v>2.0222333333333335E-2</v>
      </c>
      <c r="I197" s="3">
        <f t="shared" si="26"/>
        <v>0.1940431</v>
      </c>
      <c r="J197" s="3">
        <f t="shared" si="27"/>
        <v>3.1451700000000006E-2</v>
      </c>
      <c r="K197" s="3">
        <f t="shared" si="28"/>
        <v>0.1708134</v>
      </c>
      <c r="L197" s="3">
        <f t="shared" si="29"/>
        <v>2.8176099999999999E-2</v>
      </c>
      <c r="M197" s="3">
        <f t="shared" si="30"/>
        <v>3.8146199999999998E-2</v>
      </c>
    </row>
    <row r="198" spans="1:13" x14ac:dyDescent="0.25">
      <c r="A198" s="5">
        <f t="shared" ref="A198:A261" si="31">DATE(YEAR(A197),MONTH(A197)+1,1)</f>
        <v>30376</v>
      </c>
      <c r="B198" s="4">
        <v>1.9302699999999999E-2</v>
      </c>
      <c r="C198" s="4">
        <v>0.1932874</v>
      </c>
      <c r="D198" s="4">
        <v>2.9890799999999999E-2</v>
      </c>
      <c r="E198" s="4">
        <v>0.16751830000000001</v>
      </c>
      <c r="F198" s="4">
        <v>2.85429E-2</v>
      </c>
      <c r="G198" s="4">
        <v>3.9614299999999998E-2</v>
      </c>
      <c r="H198" s="3">
        <f t="shared" si="25"/>
        <v>1.9149633333333336E-2</v>
      </c>
      <c r="I198" s="3">
        <f t="shared" si="26"/>
        <v>0.18887406666666665</v>
      </c>
      <c r="J198" s="3">
        <f t="shared" si="27"/>
        <v>2.9178533333333329E-2</v>
      </c>
      <c r="K198" s="3">
        <f t="shared" si="28"/>
        <v>0.1689842</v>
      </c>
      <c r="L198" s="3">
        <f t="shared" si="29"/>
        <v>2.7826E-2</v>
      </c>
      <c r="M198" s="3">
        <f t="shared" si="30"/>
        <v>3.8159466666666662E-2</v>
      </c>
    </row>
    <row r="199" spans="1:13" x14ac:dyDescent="0.25">
      <c r="A199" s="5">
        <f t="shared" si="31"/>
        <v>30407</v>
      </c>
      <c r="B199" s="4">
        <v>2.0424000000000001E-2</v>
      </c>
      <c r="C199" s="4">
        <v>0.20696290000000001</v>
      </c>
      <c r="D199" s="4">
        <v>3.3089199999999999E-2</v>
      </c>
      <c r="E199" s="4">
        <v>0.178622</v>
      </c>
      <c r="F199" s="4">
        <v>2.9061E-2</v>
      </c>
      <c r="G199" s="4">
        <v>4.1464899999999999E-2</v>
      </c>
      <c r="H199" s="3">
        <f t="shared" ref="H199:H262" si="32">AVERAGE(B197:B199)</f>
        <v>1.9521733333333333E-2</v>
      </c>
      <c r="I199" s="3">
        <f t="shared" ref="I199:I262" si="33">AVERAGE(C197:C199)</f>
        <v>0.19381286666666667</v>
      </c>
      <c r="J199" s="3">
        <f t="shared" ref="J199:J262" si="34">AVERAGE(D197:D199)</f>
        <v>3.0388033333333331E-2</v>
      </c>
      <c r="K199" s="3">
        <f t="shared" ref="K199:K262" si="35">AVERAGE(E197:E199)</f>
        <v>0.17369749999999998</v>
      </c>
      <c r="L199" s="3">
        <f t="shared" ref="L199:L262" si="36">AVERAGE(F197:F199)</f>
        <v>2.8400666666666668E-2</v>
      </c>
      <c r="M199" s="3">
        <f t="shared" ref="M199:M262" si="37">AVERAGE(G197:G199)</f>
        <v>3.9471133333333332E-2</v>
      </c>
    </row>
    <row r="200" spans="1:13" x14ac:dyDescent="0.25">
      <c r="A200" s="5">
        <f t="shared" si="31"/>
        <v>30437</v>
      </c>
      <c r="B200" s="4">
        <v>1.7881399999999999E-2</v>
      </c>
      <c r="C200" s="4">
        <v>0.19501350000000001</v>
      </c>
      <c r="D200" s="4">
        <v>3.1855000000000001E-2</v>
      </c>
      <c r="E200" s="4">
        <v>0.1745768</v>
      </c>
      <c r="F200" s="4">
        <v>3.02597E-2</v>
      </c>
      <c r="G200" s="4">
        <v>4.0419099999999999E-2</v>
      </c>
      <c r="H200" s="3">
        <f t="shared" si="32"/>
        <v>1.92027E-2</v>
      </c>
      <c r="I200" s="3">
        <f t="shared" si="33"/>
        <v>0.19842126666666668</v>
      </c>
      <c r="J200" s="3">
        <f t="shared" si="34"/>
        <v>3.161166666666667E-2</v>
      </c>
      <c r="K200" s="3">
        <f t="shared" si="35"/>
        <v>0.17357236666666667</v>
      </c>
      <c r="L200" s="3">
        <f t="shared" si="36"/>
        <v>2.9287866666666666E-2</v>
      </c>
      <c r="M200" s="3">
        <f t="shared" si="37"/>
        <v>4.0499433333333328E-2</v>
      </c>
    </row>
    <row r="201" spans="1:13" x14ac:dyDescent="0.25">
      <c r="A201" s="5">
        <f t="shared" si="31"/>
        <v>30468</v>
      </c>
      <c r="B201" s="4">
        <v>2.0428000000000002E-2</v>
      </c>
      <c r="C201" s="4">
        <v>0.2185346</v>
      </c>
      <c r="D201" s="4">
        <v>3.2260499999999998E-2</v>
      </c>
      <c r="E201" s="4">
        <v>0.18507370000000001</v>
      </c>
      <c r="F201" s="4">
        <v>3.0327699999999999E-2</v>
      </c>
      <c r="G201" s="4">
        <v>4.6176500000000002E-2</v>
      </c>
      <c r="H201" s="3">
        <f t="shared" si="32"/>
        <v>1.9577800000000003E-2</v>
      </c>
      <c r="I201" s="3">
        <f t="shared" si="33"/>
        <v>0.20683700000000002</v>
      </c>
      <c r="J201" s="3">
        <f t="shared" si="34"/>
        <v>3.2401566666666666E-2</v>
      </c>
      <c r="K201" s="3">
        <f t="shared" si="35"/>
        <v>0.17942416666666669</v>
      </c>
      <c r="L201" s="3">
        <f t="shared" si="36"/>
        <v>2.9882800000000001E-2</v>
      </c>
      <c r="M201" s="3">
        <f t="shared" si="37"/>
        <v>4.2686833333333334E-2</v>
      </c>
    </row>
    <row r="202" spans="1:13" x14ac:dyDescent="0.25">
      <c r="A202" s="5">
        <f t="shared" si="31"/>
        <v>30498</v>
      </c>
      <c r="B202" s="4">
        <v>1.8414900000000001E-2</v>
      </c>
      <c r="C202" s="4">
        <v>0.21448200000000001</v>
      </c>
      <c r="D202" s="4">
        <v>2.7989400000000001E-2</v>
      </c>
      <c r="E202" s="4">
        <v>0.19536220000000001</v>
      </c>
      <c r="F202" s="4">
        <v>2.7104E-2</v>
      </c>
      <c r="G202" s="4">
        <v>4.1806200000000002E-2</v>
      </c>
      <c r="H202" s="3">
        <f t="shared" si="32"/>
        <v>1.8908100000000001E-2</v>
      </c>
      <c r="I202" s="3">
        <f t="shared" si="33"/>
        <v>0.20934336666666664</v>
      </c>
      <c r="J202" s="3">
        <f t="shared" si="34"/>
        <v>3.0701633333333329E-2</v>
      </c>
      <c r="K202" s="3">
        <f t="shared" si="35"/>
        <v>0.18500423333333335</v>
      </c>
      <c r="L202" s="3">
        <f t="shared" si="36"/>
        <v>2.9230466666666666E-2</v>
      </c>
      <c r="M202" s="3">
        <f t="shared" si="37"/>
        <v>4.2800600000000001E-2</v>
      </c>
    </row>
    <row r="203" spans="1:13" x14ac:dyDescent="0.25">
      <c r="A203" s="5">
        <f t="shared" si="31"/>
        <v>30529</v>
      </c>
      <c r="B203" s="4">
        <v>1.9597799999999999E-2</v>
      </c>
      <c r="C203" s="4">
        <v>0.21386549999999999</v>
      </c>
      <c r="D203" s="4">
        <v>3.11711E-2</v>
      </c>
      <c r="E203" s="4">
        <v>0.181281</v>
      </c>
      <c r="F203" s="4">
        <v>2.7396400000000001E-2</v>
      </c>
      <c r="G203" s="4">
        <v>4.0177900000000003E-2</v>
      </c>
      <c r="H203" s="3">
        <f t="shared" si="32"/>
        <v>1.9480233333333333E-2</v>
      </c>
      <c r="I203" s="3">
        <f t="shared" si="33"/>
        <v>0.21562736666666668</v>
      </c>
      <c r="J203" s="3">
        <f t="shared" si="34"/>
        <v>3.0473666666666666E-2</v>
      </c>
      <c r="K203" s="3">
        <f t="shared" si="35"/>
        <v>0.1872389666666667</v>
      </c>
      <c r="L203" s="3">
        <f t="shared" si="36"/>
        <v>2.8276033333333336E-2</v>
      </c>
      <c r="M203" s="3">
        <f t="shared" si="37"/>
        <v>4.2720200000000007E-2</v>
      </c>
    </row>
    <row r="204" spans="1:13" x14ac:dyDescent="0.25">
      <c r="A204" s="5">
        <f t="shared" si="31"/>
        <v>30560</v>
      </c>
      <c r="B204" s="4">
        <v>1.9163900000000001E-2</v>
      </c>
      <c r="C204" s="4">
        <v>0.22898969999999999</v>
      </c>
      <c r="D204" s="4">
        <v>3.16279E-2</v>
      </c>
      <c r="E204" s="4">
        <v>0.19304080000000001</v>
      </c>
      <c r="F204" s="4">
        <v>3.1273000000000002E-2</v>
      </c>
      <c r="G204" s="4">
        <v>4.6651900000000003E-2</v>
      </c>
      <c r="H204" s="3">
        <f t="shared" si="32"/>
        <v>1.9058866666666664E-2</v>
      </c>
      <c r="I204" s="3">
        <f t="shared" si="33"/>
        <v>0.21911239999999998</v>
      </c>
      <c r="J204" s="3">
        <f t="shared" si="34"/>
        <v>3.0262800000000003E-2</v>
      </c>
      <c r="K204" s="3">
        <f t="shared" si="35"/>
        <v>0.18989466666666668</v>
      </c>
      <c r="L204" s="3">
        <f t="shared" si="36"/>
        <v>2.8591133333333334E-2</v>
      </c>
      <c r="M204" s="3">
        <f t="shared" si="37"/>
        <v>4.2878666666666669E-2</v>
      </c>
    </row>
    <row r="205" spans="1:13" x14ac:dyDescent="0.25">
      <c r="A205" s="5">
        <f t="shared" si="31"/>
        <v>30590</v>
      </c>
      <c r="B205" s="4">
        <v>1.88486E-2</v>
      </c>
      <c r="C205" s="4">
        <v>0.20367859999999999</v>
      </c>
      <c r="D205" s="4">
        <v>2.71449E-2</v>
      </c>
      <c r="E205" s="4">
        <v>0.19542319999999999</v>
      </c>
      <c r="F205" s="4">
        <v>3.02387E-2</v>
      </c>
      <c r="G205" s="4">
        <v>4.0935300000000001E-2</v>
      </c>
      <c r="H205" s="3">
        <f t="shared" si="32"/>
        <v>1.9203433333333332E-2</v>
      </c>
      <c r="I205" s="3">
        <f t="shared" si="33"/>
        <v>0.21551126666666667</v>
      </c>
      <c r="J205" s="3">
        <f t="shared" si="34"/>
        <v>2.9981299999999999E-2</v>
      </c>
      <c r="K205" s="3">
        <f t="shared" si="35"/>
        <v>0.18991500000000003</v>
      </c>
      <c r="L205" s="3">
        <f t="shared" si="36"/>
        <v>2.9636033333333336E-2</v>
      </c>
      <c r="M205" s="3">
        <f t="shared" si="37"/>
        <v>4.2588366666666676E-2</v>
      </c>
    </row>
    <row r="206" spans="1:13" x14ac:dyDescent="0.25">
      <c r="A206" s="5">
        <f t="shared" si="31"/>
        <v>30621</v>
      </c>
      <c r="B206" s="4">
        <v>1.74658E-2</v>
      </c>
      <c r="C206" s="4">
        <v>0.22588349999999999</v>
      </c>
      <c r="D206" s="4">
        <v>2.7725400000000001E-2</v>
      </c>
      <c r="E206" s="4">
        <v>0.18503729999999999</v>
      </c>
      <c r="F206" s="4">
        <v>2.7254799999999999E-2</v>
      </c>
      <c r="G206" s="4">
        <v>4.3346500000000003E-2</v>
      </c>
      <c r="H206" s="3">
        <f t="shared" si="32"/>
        <v>1.8492766666666671E-2</v>
      </c>
      <c r="I206" s="3">
        <f t="shared" si="33"/>
        <v>0.21951726666666668</v>
      </c>
      <c r="J206" s="3">
        <f t="shared" si="34"/>
        <v>2.8832733333333332E-2</v>
      </c>
      <c r="K206" s="3">
        <f t="shared" si="35"/>
        <v>0.19116710000000001</v>
      </c>
      <c r="L206" s="3">
        <f t="shared" si="36"/>
        <v>2.9588833333333332E-2</v>
      </c>
      <c r="M206" s="3">
        <f t="shared" si="37"/>
        <v>4.3644566666666669E-2</v>
      </c>
    </row>
    <row r="207" spans="1:13" x14ac:dyDescent="0.25">
      <c r="A207" s="5">
        <f t="shared" si="31"/>
        <v>30651</v>
      </c>
      <c r="B207" s="4">
        <v>1.9166800000000001E-2</v>
      </c>
      <c r="C207" s="4">
        <v>0.2330026</v>
      </c>
      <c r="D207" s="4">
        <v>2.89044E-2</v>
      </c>
      <c r="E207" s="4">
        <v>0.19570580000000001</v>
      </c>
      <c r="F207" s="4">
        <v>3.0716899999999998E-2</v>
      </c>
      <c r="G207" s="4">
        <v>4.4917199999999997E-2</v>
      </c>
      <c r="H207" s="3">
        <f t="shared" si="32"/>
        <v>1.8493733333333331E-2</v>
      </c>
      <c r="I207" s="3">
        <f t="shared" si="33"/>
        <v>0.22085489999999997</v>
      </c>
      <c r="J207" s="3">
        <f t="shared" si="34"/>
        <v>2.7924899999999999E-2</v>
      </c>
      <c r="K207" s="3">
        <f t="shared" si="35"/>
        <v>0.19205543333333333</v>
      </c>
      <c r="L207" s="3">
        <f t="shared" si="36"/>
        <v>2.9403466666666666E-2</v>
      </c>
      <c r="M207" s="3">
        <f t="shared" si="37"/>
        <v>4.3066333333333338E-2</v>
      </c>
    </row>
    <row r="208" spans="1:13" x14ac:dyDescent="0.25">
      <c r="A208" s="5">
        <f t="shared" si="31"/>
        <v>30682</v>
      </c>
      <c r="B208" s="4">
        <v>1.6010900000000002E-2</v>
      </c>
      <c r="C208" s="4">
        <v>0.2347061</v>
      </c>
      <c r="D208" s="4">
        <v>2.7940699999999999E-2</v>
      </c>
      <c r="E208" s="4">
        <v>0.1966212</v>
      </c>
      <c r="F208" s="4">
        <v>3.1263899999999997E-2</v>
      </c>
      <c r="G208" s="4">
        <v>4.2788300000000001E-2</v>
      </c>
      <c r="H208" s="3">
        <f t="shared" si="32"/>
        <v>1.7547833333333335E-2</v>
      </c>
      <c r="I208" s="3">
        <f t="shared" si="33"/>
        <v>0.2311974</v>
      </c>
      <c r="J208" s="3">
        <f t="shared" si="34"/>
        <v>2.8190166666666665E-2</v>
      </c>
      <c r="K208" s="3">
        <f t="shared" si="35"/>
        <v>0.19245476666666664</v>
      </c>
      <c r="L208" s="3">
        <f t="shared" si="36"/>
        <v>2.9745199999999999E-2</v>
      </c>
      <c r="M208" s="3">
        <f t="shared" si="37"/>
        <v>4.3684000000000001E-2</v>
      </c>
    </row>
    <row r="209" spans="1:13" x14ac:dyDescent="0.25">
      <c r="A209" s="5">
        <f t="shared" si="31"/>
        <v>30713</v>
      </c>
      <c r="B209" s="4">
        <v>1.73759E-2</v>
      </c>
      <c r="C209" s="4">
        <v>0.24473490000000001</v>
      </c>
      <c r="D209" s="4">
        <v>2.8208400000000002E-2</v>
      </c>
      <c r="E209" s="4">
        <v>0.20577580000000001</v>
      </c>
      <c r="F209" s="4">
        <v>3.0885099999999999E-2</v>
      </c>
      <c r="G209" s="4">
        <v>4.4983099999999998E-2</v>
      </c>
      <c r="H209" s="3">
        <f t="shared" si="32"/>
        <v>1.751786666666667E-2</v>
      </c>
      <c r="I209" s="3">
        <f t="shared" si="33"/>
        <v>0.23748119999999998</v>
      </c>
      <c r="J209" s="3">
        <f t="shared" si="34"/>
        <v>2.8351166666666667E-2</v>
      </c>
      <c r="K209" s="3">
        <f t="shared" si="35"/>
        <v>0.19936759999999998</v>
      </c>
      <c r="L209" s="3">
        <f t="shared" si="36"/>
        <v>3.0955300000000002E-2</v>
      </c>
      <c r="M209" s="3">
        <f t="shared" si="37"/>
        <v>4.4229533333333328E-2</v>
      </c>
    </row>
    <row r="210" spans="1:13" x14ac:dyDescent="0.25">
      <c r="A210" s="5">
        <f t="shared" si="31"/>
        <v>30742</v>
      </c>
      <c r="B210" s="4">
        <v>1.63056E-2</v>
      </c>
      <c r="C210" s="4">
        <v>0.2369146</v>
      </c>
      <c r="D210" s="4">
        <v>2.8251600000000002E-2</v>
      </c>
      <c r="E210" s="4">
        <v>0.2024502</v>
      </c>
      <c r="F210" s="4">
        <v>3.0488600000000001E-2</v>
      </c>
      <c r="G210" s="4">
        <v>4.17253E-2</v>
      </c>
      <c r="H210" s="3">
        <f t="shared" si="32"/>
        <v>1.6564133333333331E-2</v>
      </c>
      <c r="I210" s="3">
        <f t="shared" si="33"/>
        <v>0.2387852</v>
      </c>
      <c r="J210" s="3">
        <f t="shared" si="34"/>
        <v>2.8133566666666665E-2</v>
      </c>
      <c r="K210" s="3">
        <f t="shared" si="35"/>
        <v>0.20161573333333335</v>
      </c>
      <c r="L210" s="3">
        <f t="shared" si="36"/>
        <v>3.0879199999999999E-2</v>
      </c>
      <c r="M210" s="3">
        <f t="shared" si="37"/>
        <v>4.3165566666666662E-2</v>
      </c>
    </row>
    <row r="211" spans="1:13" x14ac:dyDescent="0.25">
      <c r="A211" s="5">
        <f t="shared" si="31"/>
        <v>30773</v>
      </c>
      <c r="B211" s="4">
        <v>1.4977900000000001E-2</v>
      </c>
      <c r="C211" s="4">
        <v>0.23521310000000001</v>
      </c>
      <c r="D211" s="4">
        <v>3.2116499999999999E-2</v>
      </c>
      <c r="E211" s="4">
        <v>0.18987809999999999</v>
      </c>
      <c r="F211" s="4">
        <v>2.7549899999999999E-2</v>
      </c>
      <c r="G211" s="4">
        <v>4.0905700000000003E-2</v>
      </c>
      <c r="H211" s="3">
        <f t="shared" si="32"/>
        <v>1.6219800000000003E-2</v>
      </c>
      <c r="I211" s="3">
        <f t="shared" si="33"/>
        <v>0.23895420000000001</v>
      </c>
      <c r="J211" s="3">
        <f t="shared" si="34"/>
        <v>2.95255E-2</v>
      </c>
      <c r="K211" s="3">
        <f t="shared" si="35"/>
        <v>0.19936803333333333</v>
      </c>
      <c r="L211" s="3">
        <f t="shared" si="36"/>
        <v>2.9641200000000003E-2</v>
      </c>
      <c r="M211" s="3">
        <f t="shared" si="37"/>
        <v>4.2538033333333336E-2</v>
      </c>
    </row>
    <row r="212" spans="1:13" x14ac:dyDescent="0.25">
      <c r="A212" s="5">
        <f t="shared" si="31"/>
        <v>30803</v>
      </c>
      <c r="B212" s="4">
        <v>1.5749099999999999E-2</v>
      </c>
      <c r="C212" s="4">
        <v>0.23563500000000001</v>
      </c>
      <c r="D212" s="4">
        <v>2.7829099999999999E-2</v>
      </c>
      <c r="E212" s="4">
        <v>0.19467509999999999</v>
      </c>
      <c r="F212" s="4">
        <v>2.8418200000000001E-2</v>
      </c>
      <c r="G212" s="4">
        <v>4.62884E-2</v>
      </c>
      <c r="H212" s="3">
        <f t="shared" si="32"/>
        <v>1.567753333333333E-2</v>
      </c>
      <c r="I212" s="3">
        <f t="shared" si="33"/>
        <v>0.23592090000000002</v>
      </c>
      <c r="J212" s="3">
        <f t="shared" si="34"/>
        <v>2.9399066666666668E-2</v>
      </c>
      <c r="K212" s="3">
        <f t="shared" si="35"/>
        <v>0.19566779999999998</v>
      </c>
      <c r="L212" s="3">
        <f t="shared" si="36"/>
        <v>2.8818899999999998E-2</v>
      </c>
      <c r="M212" s="3">
        <f t="shared" si="37"/>
        <v>4.2973133333333337E-2</v>
      </c>
    </row>
    <row r="213" spans="1:13" x14ac:dyDescent="0.25">
      <c r="A213" s="5">
        <f t="shared" si="31"/>
        <v>30834</v>
      </c>
      <c r="B213" s="4">
        <v>1.7124E-2</v>
      </c>
      <c r="C213" s="4">
        <v>0.2669125</v>
      </c>
      <c r="D213" s="4">
        <v>2.5160200000000001E-2</v>
      </c>
      <c r="E213" s="4">
        <v>0.2112127</v>
      </c>
      <c r="F213" s="4">
        <v>3.33274E-2</v>
      </c>
      <c r="G213" s="4">
        <v>4.89056E-2</v>
      </c>
      <c r="H213" s="3">
        <f t="shared" si="32"/>
        <v>1.5950333333333334E-2</v>
      </c>
      <c r="I213" s="3">
        <f t="shared" si="33"/>
        <v>0.24592020000000001</v>
      </c>
      <c r="J213" s="3">
        <f t="shared" si="34"/>
        <v>2.8368600000000004E-2</v>
      </c>
      <c r="K213" s="3">
        <f t="shared" si="35"/>
        <v>0.19858863333333332</v>
      </c>
      <c r="L213" s="3">
        <f t="shared" si="36"/>
        <v>2.9765166666666665E-2</v>
      </c>
      <c r="M213" s="3">
        <f t="shared" si="37"/>
        <v>4.5366566666666663E-2</v>
      </c>
    </row>
    <row r="214" spans="1:13" x14ac:dyDescent="0.25">
      <c r="A214" s="5">
        <f t="shared" si="31"/>
        <v>30864</v>
      </c>
      <c r="B214" s="4">
        <v>1.6257199999999999E-2</v>
      </c>
      <c r="C214" s="4">
        <v>0.24367720000000001</v>
      </c>
      <c r="D214" s="4">
        <v>2.8634199999999999E-2</v>
      </c>
      <c r="E214" s="4">
        <v>0.20517179999999999</v>
      </c>
      <c r="F214" s="4">
        <v>3.0492999999999999E-2</v>
      </c>
      <c r="G214" s="4">
        <v>4.4779899999999997E-2</v>
      </c>
      <c r="H214" s="3">
        <f t="shared" si="32"/>
        <v>1.6376766666666667E-2</v>
      </c>
      <c r="I214" s="3">
        <f t="shared" si="33"/>
        <v>0.24874156666666669</v>
      </c>
      <c r="J214" s="3">
        <f t="shared" si="34"/>
        <v>2.7207833333333334E-2</v>
      </c>
      <c r="K214" s="3">
        <f t="shared" si="35"/>
        <v>0.20368653333333334</v>
      </c>
      <c r="L214" s="3">
        <f t="shared" si="36"/>
        <v>3.0746200000000001E-2</v>
      </c>
      <c r="M214" s="3">
        <f t="shared" si="37"/>
        <v>4.6657966666666661E-2</v>
      </c>
    </row>
    <row r="215" spans="1:13" x14ac:dyDescent="0.25">
      <c r="A215" s="5">
        <f t="shared" si="31"/>
        <v>30895</v>
      </c>
      <c r="B215" s="4">
        <v>1.8845000000000001E-2</v>
      </c>
      <c r="C215" s="4">
        <v>0.2562238</v>
      </c>
      <c r="D215" s="4">
        <v>2.8374099999999999E-2</v>
      </c>
      <c r="E215" s="4">
        <v>0.2114579</v>
      </c>
      <c r="F215" s="4">
        <v>3.3439299999999998E-2</v>
      </c>
      <c r="G215" s="4">
        <v>4.7568899999999997E-2</v>
      </c>
      <c r="H215" s="3">
        <f t="shared" si="32"/>
        <v>1.7408733333333332E-2</v>
      </c>
      <c r="I215" s="3">
        <f t="shared" si="33"/>
        <v>0.25560450000000001</v>
      </c>
      <c r="J215" s="3">
        <f t="shared" si="34"/>
        <v>2.7389500000000001E-2</v>
      </c>
      <c r="K215" s="3">
        <f t="shared" si="35"/>
        <v>0.20928080000000002</v>
      </c>
      <c r="L215" s="3">
        <f t="shared" si="36"/>
        <v>3.2419900000000001E-2</v>
      </c>
      <c r="M215" s="3">
        <f t="shared" si="37"/>
        <v>4.7084800000000003E-2</v>
      </c>
    </row>
    <row r="216" spans="1:13" x14ac:dyDescent="0.25">
      <c r="A216" s="5">
        <f t="shared" si="31"/>
        <v>30926</v>
      </c>
      <c r="B216" s="4">
        <v>1.6379100000000001E-2</v>
      </c>
      <c r="C216" s="4">
        <v>0.22739799999999999</v>
      </c>
      <c r="D216" s="4">
        <v>2.7156699999999999E-2</v>
      </c>
      <c r="E216" s="4">
        <v>0.2139712</v>
      </c>
      <c r="F216" s="4">
        <v>2.8032399999999999E-2</v>
      </c>
      <c r="G216" s="4">
        <v>4.3835300000000001E-2</v>
      </c>
      <c r="H216" s="3">
        <f t="shared" si="32"/>
        <v>1.7160433333333332E-2</v>
      </c>
      <c r="I216" s="3">
        <f t="shared" si="33"/>
        <v>0.24243300000000001</v>
      </c>
      <c r="J216" s="3">
        <f t="shared" si="34"/>
        <v>2.8054999999999997E-2</v>
      </c>
      <c r="K216" s="3">
        <f t="shared" si="35"/>
        <v>0.21020030000000001</v>
      </c>
      <c r="L216" s="3">
        <f t="shared" si="36"/>
        <v>3.0654899999999999E-2</v>
      </c>
      <c r="M216" s="3">
        <f t="shared" si="37"/>
        <v>4.5394700000000003E-2</v>
      </c>
    </row>
    <row r="217" spans="1:13" x14ac:dyDescent="0.25">
      <c r="A217" s="5">
        <f t="shared" si="31"/>
        <v>30956</v>
      </c>
      <c r="B217" s="4">
        <v>1.7480099999999998E-2</v>
      </c>
      <c r="C217" s="4">
        <v>0.2363442</v>
      </c>
      <c r="D217" s="4">
        <v>3.04281E-2</v>
      </c>
      <c r="E217" s="4">
        <v>0.21737690000000001</v>
      </c>
      <c r="F217" s="4">
        <v>2.9947499999999998E-2</v>
      </c>
      <c r="G217" s="4">
        <v>4.2345399999999998E-2</v>
      </c>
      <c r="H217" s="3">
        <f t="shared" si="32"/>
        <v>1.7568066666666667E-2</v>
      </c>
      <c r="I217" s="3">
        <f t="shared" si="33"/>
        <v>0.23998866666666666</v>
      </c>
      <c r="J217" s="3">
        <f t="shared" si="34"/>
        <v>2.8652966666666668E-2</v>
      </c>
      <c r="K217" s="3">
        <f t="shared" si="35"/>
        <v>0.21426866666666666</v>
      </c>
      <c r="L217" s="3">
        <f t="shared" si="36"/>
        <v>3.0473066666666663E-2</v>
      </c>
      <c r="M217" s="3">
        <f t="shared" si="37"/>
        <v>4.4583199999999996E-2</v>
      </c>
    </row>
    <row r="218" spans="1:13" x14ac:dyDescent="0.25">
      <c r="A218" s="5">
        <f t="shared" si="31"/>
        <v>30987</v>
      </c>
      <c r="B218" s="4">
        <v>1.7076000000000001E-2</v>
      </c>
      <c r="C218" s="4">
        <v>0.24832170000000001</v>
      </c>
      <c r="D218" s="4">
        <v>2.8993100000000001E-2</v>
      </c>
      <c r="E218" s="4">
        <v>0.22289990000000001</v>
      </c>
      <c r="F218" s="4">
        <v>3.2722800000000003E-2</v>
      </c>
      <c r="G218" s="4">
        <v>4.8109100000000002E-2</v>
      </c>
      <c r="H218" s="3">
        <f t="shared" si="32"/>
        <v>1.6978400000000001E-2</v>
      </c>
      <c r="I218" s="3">
        <f t="shared" si="33"/>
        <v>0.23735463333333331</v>
      </c>
      <c r="J218" s="3">
        <f t="shared" si="34"/>
        <v>2.8859300000000001E-2</v>
      </c>
      <c r="K218" s="3">
        <f t="shared" si="35"/>
        <v>0.21808266666666667</v>
      </c>
      <c r="L218" s="3">
        <f t="shared" si="36"/>
        <v>3.0234233333333332E-2</v>
      </c>
      <c r="M218" s="3">
        <f t="shared" si="37"/>
        <v>4.4763266666666669E-2</v>
      </c>
    </row>
    <row r="219" spans="1:13" x14ac:dyDescent="0.25">
      <c r="A219" s="5">
        <f t="shared" si="31"/>
        <v>31017</v>
      </c>
      <c r="B219" s="4">
        <v>1.5676200000000001E-2</v>
      </c>
      <c r="C219" s="4">
        <v>0.223744</v>
      </c>
      <c r="D219" s="4">
        <v>3.0399700000000002E-2</v>
      </c>
      <c r="E219" s="4">
        <v>0.2055621</v>
      </c>
      <c r="F219" s="4">
        <v>3.0486900000000001E-2</v>
      </c>
      <c r="G219" s="4">
        <v>4.59619E-2</v>
      </c>
      <c r="H219" s="3">
        <f t="shared" si="32"/>
        <v>1.6744100000000001E-2</v>
      </c>
      <c r="I219" s="3">
        <f t="shared" si="33"/>
        <v>0.23613663333333332</v>
      </c>
      <c r="J219" s="3">
        <f t="shared" si="34"/>
        <v>2.9940300000000003E-2</v>
      </c>
      <c r="K219" s="3">
        <f t="shared" si="35"/>
        <v>0.21527963333333333</v>
      </c>
      <c r="L219" s="3">
        <f t="shared" si="36"/>
        <v>3.1052399999999997E-2</v>
      </c>
      <c r="M219" s="3">
        <f t="shared" si="37"/>
        <v>4.5472133333333331E-2</v>
      </c>
    </row>
    <row r="220" spans="1:13" x14ac:dyDescent="0.25">
      <c r="A220" s="5">
        <f t="shared" si="31"/>
        <v>31048</v>
      </c>
      <c r="B220" s="4">
        <v>1.6846799999999999E-2</v>
      </c>
      <c r="C220" s="4">
        <v>0.24355769999999999</v>
      </c>
      <c r="D220" s="4">
        <v>2.6135700000000001E-2</v>
      </c>
      <c r="E220" s="4">
        <v>0.20612230000000001</v>
      </c>
      <c r="F220" s="4">
        <v>2.9443E-2</v>
      </c>
      <c r="G220" s="4">
        <v>4.5683700000000001E-2</v>
      </c>
      <c r="H220" s="3">
        <f t="shared" si="32"/>
        <v>1.6533000000000003E-2</v>
      </c>
      <c r="I220" s="3">
        <f t="shared" si="33"/>
        <v>0.23854113333333335</v>
      </c>
      <c r="J220" s="3">
        <f t="shared" si="34"/>
        <v>2.8509500000000004E-2</v>
      </c>
      <c r="K220" s="3">
        <f t="shared" si="35"/>
        <v>0.2115281</v>
      </c>
      <c r="L220" s="3">
        <f t="shared" si="36"/>
        <v>3.0884233333333334E-2</v>
      </c>
      <c r="M220" s="3">
        <f t="shared" si="37"/>
        <v>4.6584900000000005E-2</v>
      </c>
    </row>
    <row r="221" spans="1:13" x14ac:dyDescent="0.25">
      <c r="A221" s="5">
        <f t="shared" si="31"/>
        <v>31079</v>
      </c>
      <c r="B221" s="4">
        <v>1.77562E-2</v>
      </c>
      <c r="C221" s="4">
        <v>0.27081319999999998</v>
      </c>
      <c r="D221" s="4">
        <v>2.7486400000000001E-2</v>
      </c>
      <c r="E221" s="4">
        <v>0.20572480000000001</v>
      </c>
      <c r="F221" s="4">
        <v>3.3278200000000001E-2</v>
      </c>
      <c r="G221" s="4">
        <v>4.8409899999999999E-2</v>
      </c>
      <c r="H221" s="3">
        <f t="shared" si="32"/>
        <v>1.6759733333333332E-2</v>
      </c>
      <c r="I221" s="3">
        <f t="shared" si="33"/>
        <v>0.24603830000000002</v>
      </c>
      <c r="J221" s="3">
        <f t="shared" si="34"/>
        <v>2.8007266666666669E-2</v>
      </c>
      <c r="K221" s="3">
        <f t="shared" si="35"/>
        <v>0.20580306666666667</v>
      </c>
      <c r="L221" s="3">
        <f t="shared" si="36"/>
        <v>3.1069366666666667E-2</v>
      </c>
      <c r="M221" s="3">
        <f t="shared" si="37"/>
        <v>4.6685166666666666E-2</v>
      </c>
    </row>
    <row r="222" spans="1:13" x14ac:dyDescent="0.25">
      <c r="A222" s="5">
        <f t="shared" si="31"/>
        <v>31107</v>
      </c>
      <c r="B222" s="4">
        <v>1.6290599999999999E-2</v>
      </c>
      <c r="C222" s="4">
        <v>0.26564559999999998</v>
      </c>
      <c r="D222" s="4">
        <v>2.9883300000000002E-2</v>
      </c>
      <c r="E222" s="4">
        <v>0.20637829999999999</v>
      </c>
      <c r="F222" s="4">
        <v>3.0936399999999999E-2</v>
      </c>
      <c r="G222" s="4">
        <v>4.4801399999999998E-2</v>
      </c>
      <c r="H222" s="3">
        <f t="shared" si="32"/>
        <v>1.6964533333333334E-2</v>
      </c>
      <c r="I222" s="3">
        <f t="shared" si="33"/>
        <v>0.26000549999999994</v>
      </c>
      <c r="J222" s="3">
        <f t="shared" si="34"/>
        <v>2.7835133333333335E-2</v>
      </c>
      <c r="K222" s="3">
        <f t="shared" si="35"/>
        <v>0.20607513333333335</v>
      </c>
      <c r="L222" s="3">
        <f t="shared" si="36"/>
        <v>3.1219200000000003E-2</v>
      </c>
      <c r="M222" s="3">
        <f t="shared" si="37"/>
        <v>4.629833333333333E-2</v>
      </c>
    </row>
    <row r="223" spans="1:13" x14ac:dyDescent="0.25">
      <c r="A223" s="5">
        <f t="shared" si="31"/>
        <v>31138</v>
      </c>
      <c r="B223" s="4">
        <v>1.7620799999999999E-2</v>
      </c>
      <c r="C223" s="4">
        <v>0.24847620000000001</v>
      </c>
      <c r="D223" s="4">
        <v>2.9304199999999999E-2</v>
      </c>
      <c r="E223" s="4">
        <v>0.21525259999999999</v>
      </c>
      <c r="F223" s="4">
        <v>3.0783399999999999E-2</v>
      </c>
      <c r="G223" s="4">
        <v>4.4362699999999998E-2</v>
      </c>
      <c r="H223" s="3">
        <f t="shared" si="32"/>
        <v>1.7222533333333335E-2</v>
      </c>
      <c r="I223" s="3">
        <f t="shared" si="33"/>
        <v>0.26164499999999996</v>
      </c>
      <c r="J223" s="3">
        <f t="shared" si="34"/>
        <v>2.8891299999999998E-2</v>
      </c>
      <c r="K223" s="3">
        <f t="shared" si="35"/>
        <v>0.20911856666666664</v>
      </c>
      <c r="L223" s="3">
        <f t="shared" si="36"/>
        <v>3.1666E-2</v>
      </c>
      <c r="M223" s="3">
        <f t="shared" si="37"/>
        <v>4.5858000000000003E-2</v>
      </c>
    </row>
    <row r="224" spans="1:13" x14ac:dyDescent="0.25">
      <c r="A224" s="5">
        <f t="shared" si="31"/>
        <v>31168</v>
      </c>
      <c r="B224" s="4">
        <v>1.8816699999999999E-2</v>
      </c>
      <c r="C224" s="4">
        <v>0.26751229999999998</v>
      </c>
      <c r="D224" s="4">
        <v>2.92322E-2</v>
      </c>
      <c r="E224" s="4">
        <v>0.20671239999999999</v>
      </c>
      <c r="F224" s="4">
        <v>3.5087399999999998E-2</v>
      </c>
      <c r="G224" s="4">
        <v>4.97113E-2</v>
      </c>
      <c r="H224" s="3">
        <f t="shared" si="32"/>
        <v>1.7576033333333331E-2</v>
      </c>
      <c r="I224" s="3">
        <f t="shared" si="33"/>
        <v>0.26054470000000002</v>
      </c>
      <c r="J224" s="3">
        <f t="shared" si="34"/>
        <v>2.9473233333333335E-2</v>
      </c>
      <c r="K224" s="3">
        <f t="shared" si="35"/>
        <v>0.20944776666666665</v>
      </c>
      <c r="L224" s="3">
        <f t="shared" si="36"/>
        <v>3.2269066666666665E-2</v>
      </c>
      <c r="M224" s="3">
        <f t="shared" si="37"/>
        <v>4.6291799999999994E-2</v>
      </c>
    </row>
    <row r="225" spans="1:13" x14ac:dyDescent="0.25">
      <c r="A225" s="5">
        <f t="shared" si="31"/>
        <v>31199</v>
      </c>
      <c r="B225" s="4">
        <v>1.7628499999999998E-2</v>
      </c>
      <c r="C225" s="4">
        <v>0.24820300000000001</v>
      </c>
      <c r="D225" s="4">
        <v>2.57165E-2</v>
      </c>
      <c r="E225" s="4">
        <v>0.20515269999999999</v>
      </c>
      <c r="F225" s="4">
        <v>3.1652100000000002E-2</v>
      </c>
      <c r="G225" s="4">
        <v>4.2015900000000002E-2</v>
      </c>
      <c r="H225" s="3">
        <f t="shared" si="32"/>
        <v>1.8022E-2</v>
      </c>
      <c r="I225" s="3">
        <f t="shared" si="33"/>
        <v>0.25473049999999997</v>
      </c>
      <c r="J225" s="3">
        <f t="shared" si="34"/>
        <v>2.8084300000000003E-2</v>
      </c>
      <c r="K225" s="3">
        <f t="shared" si="35"/>
        <v>0.20903923333333332</v>
      </c>
      <c r="L225" s="3">
        <f t="shared" si="36"/>
        <v>3.2507633333333334E-2</v>
      </c>
      <c r="M225" s="3">
        <f t="shared" si="37"/>
        <v>4.5363299999999995E-2</v>
      </c>
    </row>
    <row r="226" spans="1:13" x14ac:dyDescent="0.25">
      <c r="A226" s="5">
        <f t="shared" si="31"/>
        <v>31229</v>
      </c>
      <c r="B226" s="4">
        <v>1.6204099999999999E-2</v>
      </c>
      <c r="C226" s="4">
        <v>0.2343035</v>
      </c>
      <c r="D226" s="4">
        <v>2.78021E-2</v>
      </c>
      <c r="E226" s="4">
        <v>0.2053343</v>
      </c>
      <c r="F226" s="4">
        <v>3.0272E-2</v>
      </c>
      <c r="G226" s="4">
        <v>4.8683400000000002E-2</v>
      </c>
      <c r="H226" s="3">
        <f t="shared" si="32"/>
        <v>1.7549766666666664E-2</v>
      </c>
      <c r="I226" s="3">
        <f t="shared" si="33"/>
        <v>0.25000626666666664</v>
      </c>
      <c r="J226" s="3">
        <f t="shared" si="34"/>
        <v>2.75836E-2</v>
      </c>
      <c r="K226" s="3">
        <f t="shared" si="35"/>
        <v>0.20573313333333332</v>
      </c>
      <c r="L226" s="3">
        <f t="shared" si="36"/>
        <v>3.2337166666666667E-2</v>
      </c>
      <c r="M226" s="3">
        <f t="shared" si="37"/>
        <v>4.6803533333333334E-2</v>
      </c>
    </row>
    <row r="227" spans="1:13" x14ac:dyDescent="0.25">
      <c r="A227" s="5">
        <f t="shared" si="31"/>
        <v>31260</v>
      </c>
      <c r="B227" s="4">
        <v>1.76551E-2</v>
      </c>
      <c r="C227" s="4">
        <v>0.25840410000000003</v>
      </c>
      <c r="D227" s="4">
        <v>2.5990200000000001E-2</v>
      </c>
      <c r="E227" s="4">
        <v>0.22927700000000001</v>
      </c>
      <c r="F227" s="4">
        <v>3.0807299999999999E-2</v>
      </c>
      <c r="G227" s="4">
        <v>4.9342799999999999E-2</v>
      </c>
      <c r="H227" s="3">
        <f t="shared" si="32"/>
        <v>1.7162566666666667E-2</v>
      </c>
      <c r="I227" s="3">
        <f t="shared" si="33"/>
        <v>0.24697020000000003</v>
      </c>
      <c r="J227" s="3">
        <f t="shared" si="34"/>
        <v>2.6502933333333336E-2</v>
      </c>
      <c r="K227" s="3">
        <f t="shared" si="35"/>
        <v>0.21325466666666668</v>
      </c>
      <c r="L227" s="3">
        <f t="shared" si="36"/>
        <v>3.0910466666666667E-2</v>
      </c>
      <c r="M227" s="3">
        <f t="shared" si="37"/>
        <v>4.6680699999999999E-2</v>
      </c>
    </row>
    <row r="228" spans="1:13" x14ac:dyDescent="0.25">
      <c r="A228" s="5">
        <f t="shared" si="31"/>
        <v>31291</v>
      </c>
      <c r="B228" s="4">
        <v>1.7256400000000002E-2</v>
      </c>
      <c r="C228" s="4">
        <v>0.25493539999999998</v>
      </c>
      <c r="D228" s="4">
        <v>2.73266E-2</v>
      </c>
      <c r="E228" s="4">
        <v>0.20238229999999999</v>
      </c>
      <c r="F228" s="4">
        <v>2.87566E-2</v>
      </c>
      <c r="G228" s="4">
        <v>4.6677999999999997E-2</v>
      </c>
      <c r="H228" s="3">
        <f t="shared" si="32"/>
        <v>1.7038533333333331E-2</v>
      </c>
      <c r="I228" s="3">
        <f t="shared" si="33"/>
        <v>0.24921433333333334</v>
      </c>
      <c r="J228" s="3">
        <f t="shared" si="34"/>
        <v>2.703963333333333E-2</v>
      </c>
      <c r="K228" s="3">
        <f t="shared" si="35"/>
        <v>0.21233120000000003</v>
      </c>
      <c r="L228" s="3">
        <f t="shared" si="36"/>
        <v>2.9945299999999998E-2</v>
      </c>
      <c r="M228" s="3">
        <f t="shared" si="37"/>
        <v>4.8234733333333335E-2</v>
      </c>
    </row>
    <row r="229" spans="1:13" x14ac:dyDescent="0.25">
      <c r="A229" s="5">
        <f t="shared" si="31"/>
        <v>31321</v>
      </c>
      <c r="B229" s="4">
        <v>1.7318199999999999E-2</v>
      </c>
      <c r="C229" s="4">
        <v>0.23873449999999999</v>
      </c>
      <c r="D229" s="4">
        <v>2.7646199999999999E-2</v>
      </c>
      <c r="E229" s="4">
        <v>0.2145927</v>
      </c>
      <c r="F229" s="4">
        <v>2.9137099999999999E-2</v>
      </c>
      <c r="G229" s="4">
        <v>4.2059699999999998E-2</v>
      </c>
      <c r="H229" s="3">
        <f t="shared" si="32"/>
        <v>1.7409899999999999E-2</v>
      </c>
      <c r="I229" s="3">
        <f t="shared" si="33"/>
        <v>0.25069133333333332</v>
      </c>
      <c r="J229" s="3">
        <f t="shared" si="34"/>
        <v>2.6987666666666663E-2</v>
      </c>
      <c r="K229" s="3">
        <f t="shared" si="35"/>
        <v>0.21541733333333332</v>
      </c>
      <c r="L229" s="3">
        <f t="shared" si="36"/>
        <v>2.9567E-2</v>
      </c>
      <c r="M229" s="3">
        <f t="shared" si="37"/>
        <v>4.6026833333333329E-2</v>
      </c>
    </row>
    <row r="230" spans="1:13" x14ac:dyDescent="0.25">
      <c r="A230" s="5">
        <f t="shared" si="31"/>
        <v>31352</v>
      </c>
      <c r="B230" s="4">
        <v>1.7071200000000002E-2</v>
      </c>
      <c r="C230" s="4">
        <v>0.2557373</v>
      </c>
      <c r="D230" s="4">
        <v>2.7257199999999999E-2</v>
      </c>
      <c r="E230" s="4">
        <v>0.22884779999999999</v>
      </c>
      <c r="F230" s="4">
        <v>3.0461200000000001E-2</v>
      </c>
      <c r="G230" s="4">
        <v>4.39861E-2</v>
      </c>
      <c r="H230" s="3">
        <f t="shared" si="32"/>
        <v>1.7215266666666666E-2</v>
      </c>
      <c r="I230" s="3">
        <f t="shared" si="33"/>
        <v>0.24980240000000001</v>
      </c>
      <c r="J230" s="3">
        <f t="shared" si="34"/>
        <v>2.741E-2</v>
      </c>
      <c r="K230" s="3">
        <f t="shared" si="35"/>
        <v>0.21527426666666663</v>
      </c>
      <c r="L230" s="3">
        <f t="shared" si="36"/>
        <v>2.9451633333333335E-2</v>
      </c>
      <c r="M230" s="3">
        <f t="shared" si="37"/>
        <v>4.4241266666666668E-2</v>
      </c>
    </row>
    <row r="231" spans="1:13" x14ac:dyDescent="0.25">
      <c r="A231" s="5">
        <f t="shared" si="31"/>
        <v>31382</v>
      </c>
      <c r="B231" s="4">
        <v>1.51681E-2</v>
      </c>
      <c r="C231" s="4">
        <v>0.23451089999999999</v>
      </c>
      <c r="D231" s="4">
        <v>2.6733099999999999E-2</v>
      </c>
      <c r="E231" s="4">
        <v>0.1982584</v>
      </c>
      <c r="F231" s="4">
        <v>2.61943E-2</v>
      </c>
      <c r="G231" s="4">
        <v>4.2581399999999998E-2</v>
      </c>
      <c r="H231" s="3">
        <f t="shared" si="32"/>
        <v>1.6519166666666668E-2</v>
      </c>
      <c r="I231" s="3">
        <f t="shared" si="33"/>
        <v>0.24299423333333334</v>
      </c>
      <c r="J231" s="3">
        <f t="shared" si="34"/>
        <v>2.7212166666666666E-2</v>
      </c>
      <c r="K231" s="3">
        <f t="shared" si="35"/>
        <v>0.21389963333333331</v>
      </c>
      <c r="L231" s="3">
        <f t="shared" si="36"/>
        <v>2.8597533333333331E-2</v>
      </c>
      <c r="M231" s="3">
        <f t="shared" si="37"/>
        <v>4.2875733333333332E-2</v>
      </c>
    </row>
    <row r="232" spans="1:13" x14ac:dyDescent="0.25">
      <c r="A232" s="5">
        <f t="shared" si="31"/>
        <v>31413</v>
      </c>
      <c r="B232" s="4">
        <v>1.5647999999999999E-2</v>
      </c>
      <c r="C232" s="4">
        <v>0.28551490000000002</v>
      </c>
      <c r="D232" s="4">
        <v>2.5729700000000001E-2</v>
      </c>
      <c r="E232" s="4">
        <v>0.22973299999999999</v>
      </c>
      <c r="F232" s="4">
        <v>3.1690599999999999E-2</v>
      </c>
      <c r="G232" s="4">
        <v>4.9730099999999999E-2</v>
      </c>
      <c r="H232" s="3">
        <f t="shared" si="32"/>
        <v>1.5962433333333331E-2</v>
      </c>
      <c r="I232" s="3">
        <f t="shared" si="33"/>
        <v>0.25858770000000003</v>
      </c>
      <c r="J232" s="3">
        <f t="shared" si="34"/>
        <v>2.6573333333333334E-2</v>
      </c>
      <c r="K232" s="3">
        <f t="shared" si="35"/>
        <v>0.21894639999999999</v>
      </c>
      <c r="L232" s="3">
        <f t="shared" si="36"/>
        <v>2.9448699999999998E-2</v>
      </c>
      <c r="M232" s="3">
        <f t="shared" si="37"/>
        <v>4.543253333333333E-2</v>
      </c>
    </row>
    <row r="233" spans="1:13" x14ac:dyDescent="0.25">
      <c r="A233" s="5">
        <f t="shared" si="31"/>
        <v>31444</v>
      </c>
      <c r="B233" s="4">
        <v>1.6670000000000001E-2</v>
      </c>
      <c r="C233" s="4">
        <v>0.23569190000000001</v>
      </c>
      <c r="D233" s="4">
        <v>2.8930399999999998E-2</v>
      </c>
      <c r="E233" s="4">
        <v>0.2191893</v>
      </c>
      <c r="F233" s="4">
        <v>2.90961E-2</v>
      </c>
      <c r="G233" s="4">
        <v>4.2776799999999997E-2</v>
      </c>
      <c r="H233" s="3">
        <f t="shared" si="32"/>
        <v>1.5828700000000001E-2</v>
      </c>
      <c r="I233" s="3">
        <f t="shared" si="33"/>
        <v>0.25190589999999996</v>
      </c>
      <c r="J233" s="3">
        <f t="shared" si="34"/>
        <v>2.7131066666666665E-2</v>
      </c>
      <c r="K233" s="3">
        <f t="shared" si="35"/>
        <v>0.21572690000000003</v>
      </c>
      <c r="L233" s="3">
        <f t="shared" si="36"/>
        <v>2.8993666666666668E-2</v>
      </c>
      <c r="M233" s="3">
        <f t="shared" si="37"/>
        <v>4.5029433333333334E-2</v>
      </c>
    </row>
    <row r="234" spans="1:13" x14ac:dyDescent="0.25">
      <c r="A234" s="5">
        <f t="shared" si="31"/>
        <v>31472</v>
      </c>
      <c r="B234" s="4">
        <v>1.69512E-2</v>
      </c>
      <c r="C234" s="4">
        <v>0.25801239999999998</v>
      </c>
      <c r="D234" s="4">
        <v>2.8164100000000001E-2</v>
      </c>
      <c r="E234" s="4">
        <v>0.1978309</v>
      </c>
      <c r="F234" s="4">
        <v>2.9769899999999998E-2</v>
      </c>
      <c r="G234" s="4">
        <v>4.6063800000000002E-2</v>
      </c>
      <c r="H234" s="3">
        <f t="shared" si="32"/>
        <v>1.6423066666666666E-2</v>
      </c>
      <c r="I234" s="3">
        <f t="shared" si="33"/>
        <v>0.25973973333333333</v>
      </c>
      <c r="J234" s="3">
        <f t="shared" si="34"/>
        <v>2.7608066666666667E-2</v>
      </c>
      <c r="K234" s="3">
        <f t="shared" si="35"/>
        <v>0.21558440000000001</v>
      </c>
      <c r="L234" s="3">
        <f t="shared" si="36"/>
        <v>3.0185533333333334E-2</v>
      </c>
      <c r="M234" s="3">
        <f t="shared" si="37"/>
        <v>4.619023333333333E-2</v>
      </c>
    </row>
    <row r="235" spans="1:13" x14ac:dyDescent="0.25">
      <c r="A235" s="5">
        <f t="shared" si="31"/>
        <v>31503</v>
      </c>
      <c r="B235" s="4">
        <v>1.6220600000000002E-2</v>
      </c>
      <c r="C235" s="4">
        <v>0.2484547</v>
      </c>
      <c r="D235" s="4">
        <v>2.9281100000000001E-2</v>
      </c>
      <c r="E235" s="4">
        <v>0.21003069999999999</v>
      </c>
      <c r="F235" s="4">
        <v>2.8232500000000001E-2</v>
      </c>
      <c r="G235" s="4">
        <v>4.3530100000000002E-2</v>
      </c>
      <c r="H235" s="3">
        <f t="shared" si="32"/>
        <v>1.6613933333333334E-2</v>
      </c>
      <c r="I235" s="3">
        <f t="shared" si="33"/>
        <v>0.24738633333333335</v>
      </c>
      <c r="J235" s="3">
        <f t="shared" si="34"/>
        <v>2.8791866666666666E-2</v>
      </c>
      <c r="K235" s="3">
        <f t="shared" si="35"/>
        <v>0.20901696666666666</v>
      </c>
      <c r="L235" s="3">
        <f t="shared" si="36"/>
        <v>2.9032833333333331E-2</v>
      </c>
      <c r="M235" s="3">
        <f t="shared" si="37"/>
        <v>4.4123566666666669E-2</v>
      </c>
    </row>
    <row r="236" spans="1:13" x14ac:dyDescent="0.25">
      <c r="A236" s="5">
        <f t="shared" si="31"/>
        <v>31533</v>
      </c>
      <c r="B236" s="4">
        <v>1.8948300000000001E-2</v>
      </c>
      <c r="C236" s="4">
        <v>0.25698870000000001</v>
      </c>
      <c r="D236" s="4">
        <v>2.7505100000000001E-2</v>
      </c>
      <c r="E236" s="4">
        <v>0.2001579</v>
      </c>
      <c r="F236" s="4">
        <v>3.0846700000000001E-2</v>
      </c>
      <c r="G236" s="4">
        <v>4.98059E-2</v>
      </c>
      <c r="H236" s="3">
        <f t="shared" si="32"/>
        <v>1.7373366666666668E-2</v>
      </c>
      <c r="I236" s="3">
        <f t="shared" si="33"/>
        <v>0.25448526666666665</v>
      </c>
      <c r="J236" s="3">
        <f t="shared" si="34"/>
        <v>2.831676666666667E-2</v>
      </c>
      <c r="K236" s="3">
        <f t="shared" si="35"/>
        <v>0.20267316666666665</v>
      </c>
      <c r="L236" s="3">
        <f t="shared" si="36"/>
        <v>2.9616366666666668E-2</v>
      </c>
      <c r="M236" s="3">
        <f t="shared" si="37"/>
        <v>4.6466600000000004E-2</v>
      </c>
    </row>
    <row r="237" spans="1:13" x14ac:dyDescent="0.25">
      <c r="A237" s="5">
        <f t="shared" si="31"/>
        <v>31564</v>
      </c>
      <c r="B237" s="4">
        <v>1.5882400000000001E-2</v>
      </c>
      <c r="C237" s="4">
        <v>0.25316349999999999</v>
      </c>
      <c r="D237" s="4">
        <v>2.4572699999999999E-2</v>
      </c>
      <c r="E237" s="4">
        <v>0.1915</v>
      </c>
      <c r="F237" s="4">
        <v>2.7577399999999998E-2</v>
      </c>
      <c r="G237" s="4">
        <v>4.4515399999999997E-2</v>
      </c>
      <c r="H237" s="3">
        <f t="shared" si="32"/>
        <v>1.7017100000000004E-2</v>
      </c>
      <c r="I237" s="3">
        <f t="shared" si="33"/>
        <v>0.25286896666666664</v>
      </c>
      <c r="J237" s="3">
        <f t="shared" si="34"/>
        <v>2.7119633333333334E-2</v>
      </c>
      <c r="K237" s="3">
        <f t="shared" si="35"/>
        <v>0.20056286666666667</v>
      </c>
      <c r="L237" s="3">
        <f t="shared" si="36"/>
        <v>2.8885533333333335E-2</v>
      </c>
      <c r="M237" s="3">
        <f t="shared" si="37"/>
        <v>4.5950466666666669E-2</v>
      </c>
    </row>
    <row r="238" spans="1:13" x14ac:dyDescent="0.25">
      <c r="A238" s="5">
        <f t="shared" si="31"/>
        <v>31594</v>
      </c>
      <c r="B238" s="4">
        <v>1.6287699999999999E-2</v>
      </c>
      <c r="C238" s="4">
        <v>0.23459769999999999</v>
      </c>
      <c r="D238" s="4">
        <v>2.5409000000000001E-2</v>
      </c>
      <c r="E238" s="4">
        <v>0.2195772</v>
      </c>
      <c r="F238" s="4">
        <v>2.7847500000000001E-2</v>
      </c>
      <c r="G238" s="4">
        <v>4.62107E-2</v>
      </c>
      <c r="H238" s="3">
        <f t="shared" si="32"/>
        <v>1.7039466666666669E-2</v>
      </c>
      <c r="I238" s="3">
        <f t="shared" si="33"/>
        <v>0.24824996666666668</v>
      </c>
      <c r="J238" s="3">
        <f t="shared" si="34"/>
        <v>2.5828933333333332E-2</v>
      </c>
      <c r="K238" s="3">
        <f t="shared" si="35"/>
        <v>0.20374503333333335</v>
      </c>
      <c r="L238" s="3">
        <f t="shared" si="36"/>
        <v>2.87572E-2</v>
      </c>
      <c r="M238" s="3">
        <f t="shared" si="37"/>
        <v>4.6843999999999997E-2</v>
      </c>
    </row>
    <row r="239" spans="1:13" x14ac:dyDescent="0.25">
      <c r="A239" s="5">
        <f t="shared" si="31"/>
        <v>31625</v>
      </c>
      <c r="B239" s="4">
        <v>1.6364E-2</v>
      </c>
      <c r="C239" s="4">
        <v>0.26493990000000001</v>
      </c>
      <c r="D239" s="4">
        <v>2.51627E-2</v>
      </c>
      <c r="E239" s="4">
        <v>0.20489769999999999</v>
      </c>
      <c r="F239" s="4">
        <v>3.0617999999999999E-2</v>
      </c>
      <c r="G239" s="4">
        <v>4.6632600000000003E-2</v>
      </c>
      <c r="H239" s="3">
        <f t="shared" si="32"/>
        <v>1.6178033333333331E-2</v>
      </c>
      <c r="I239" s="3">
        <f t="shared" si="33"/>
        <v>0.25090036666666665</v>
      </c>
      <c r="J239" s="3">
        <f t="shared" si="34"/>
        <v>2.5048133333333333E-2</v>
      </c>
      <c r="K239" s="3">
        <f t="shared" si="35"/>
        <v>0.20532496666666666</v>
      </c>
      <c r="L239" s="3">
        <f t="shared" si="36"/>
        <v>2.8680966666666668E-2</v>
      </c>
      <c r="M239" s="3">
        <f t="shared" si="37"/>
        <v>4.5786233333333336E-2</v>
      </c>
    </row>
    <row r="240" spans="1:13" x14ac:dyDescent="0.25">
      <c r="A240" s="5">
        <f t="shared" si="31"/>
        <v>31656</v>
      </c>
      <c r="B240" s="4">
        <v>1.55595E-2</v>
      </c>
      <c r="C240" s="4">
        <v>0.2322389</v>
      </c>
      <c r="D240" s="4">
        <v>2.6547100000000001E-2</v>
      </c>
      <c r="E240" s="4">
        <v>0.21030460000000001</v>
      </c>
      <c r="F240" s="4">
        <v>2.9109699999999999E-2</v>
      </c>
      <c r="G240" s="4">
        <v>4.2511100000000003E-2</v>
      </c>
      <c r="H240" s="3">
        <f t="shared" si="32"/>
        <v>1.6070399999999999E-2</v>
      </c>
      <c r="I240" s="3">
        <f t="shared" si="33"/>
        <v>0.24392550000000002</v>
      </c>
      <c r="J240" s="3">
        <f t="shared" si="34"/>
        <v>2.5706266666666668E-2</v>
      </c>
      <c r="K240" s="3">
        <f t="shared" si="35"/>
        <v>0.21159316666666669</v>
      </c>
      <c r="L240" s="3">
        <f t="shared" si="36"/>
        <v>2.9191733333333334E-2</v>
      </c>
      <c r="M240" s="3">
        <f t="shared" si="37"/>
        <v>4.5118133333333338E-2</v>
      </c>
    </row>
    <row r="241" spans="1:13" x14ac:dyDescent="0.25">
      <c r="A241" s="5">
        <f t="shared" si="31"/>
        <v>31686</v>
      </c>
      <c r="B241" s="4">
        <v>1.8633500000000001E-2</v>
      </c>
      <c r="C241" s="4">
        <v>0.25683030000000001</v>
      </c>
      <c r="D241" s="4">
        <v>2.5703E-2</v>
      </c>
      <c r="E241" s="4">
        <v>0.2077359</v>
      </c>
      <c r="F241" s="4">
        <v>2.9089E-2</v>
      </c>
      <c r="G241" s="4">
        <v>4.6236600000000003E-2</v>
      </c>
      <c r="H241" s="3">
        <f t="shared" si="32"/>
        <v>1.6852333333333334E-2</v>
      </c>
      <c r="I241" s="3">
        <f t="shared" si="33"/>
        <v>0.25133636666666664</v>
      </c>
      <c r="J241" s="3">
        <f t="shared" si="34"/>
        <v>2.5804266666666669E-2</v>
      </c>
      <c r="K241" s="3">
        <f t="shared" si="35"/>
        <v>0.20764606666666666</v>
      </c>
      <c r="L241" s="3">
        <f t="shared" si="36"/>
        <v>2.9605566666666666E-2</v>
      </c>
      <c r="M241" s="3">
        <f t="shared" si="37"/>
        <v>4.5126766666666672E-2</v>
      </c>
    </row>
    <row r="242" spans="1:13" x14ac:dyDescent="0.25">
      <c r="A242" s="5">
        <f t="shared" si="31"/>
        <v>31717</v>
      </c>
      <c r="B242" s="4">
        <v>1.6207599999999999E-2</v>
      </c>
      <c r="C242" s="4">
        <v>0.25286710000000001</v>
      </c>
      <c r="D242" s="4">
        <v>2.64858E-2</v>
      </c>
      <c r="E242" s="4">
        <v>0.19961719999999999</v>
      </c>
      <c r="F242" s="4">
        <v>2.7756400000000001E-2</v>
      </c>
      <c r="G242" s="4">
        <v>4.4380099999999999E-2</v>
      </c>
      <c r="H242" s="3">
        <f t="shared" si="32"/>
        <v>1.6800200000000001E-2</v>
      </c>
      <c r="I242" s="3">
        <f t="shared" si="33"/>
        <v>0.24731210000000001</v>
      </c>
      <c r="J242" s="3">
        <f t="shared" si="34"/>
        <v>2.6245299999999999E-2</v>
      </c>
      <c r="K242" s="3">
        <f t="shared" si="35"/>
        <v>0.20588590000000004</v>
      </c>
      <c r="L242" s="3">
        <f t="shared" si="36"/>
        <v>2.8651700000000002E-2</v>
      </c>
      <c r="M242" s="3">
        <f t="shared" si="37"/>
        <v>4.4375933333333339E-2</v>
      </c>
    </row>
    <row r="243" spans="1:13" x14ac:dyDescent="0.25">
      <c r="A243" s="5">
        <f t="shared" si="31"/>
        <v>31747</v>
      </c>
      <c r="B243" s="4">
        <v>1.6792899999999999E-2</v>
      </c>
      <c r="C243" s="4">
        <v>0.28189150000000002</v>
      </c>
      <c r="D243" s="4">
        <v>2.3014199999999999E-2</v>
      </c>
      <c r="E243" s="4">
        <v>0.1986919</v>
      </c>
      <c r="F243" s="4">
        <v>2.8611899999999999E-2</v>
      </c>
      <c r="G243" s="4">
        <v>4.5798499999999999E-2</v>
      </c>
      <c r="H243" s="3">
        <f t="shared" si="32"/>
        <v>1.7211333333333332E-2</v>
      </c>
      <c r="I243" s="3">
        <f t="shared" si="33"/>
        <v>0.2638629666666667</v>
      </c>
      <c r="J243" s="3">
        <f t="shared" si="34"/>
        <v>2.5067666666666665E-2</v>
      </c>
      <c r="K243" s="3">
        <f t="shared" si="35"/>
        <v>0.20201500000000003</v>
      </c>
      <c r="L243" s="3">
        <f t="shared" si="36"/>
        <v>2.8485766666666665E-2</v>
      </c>
      <c r="M243" s="3">
        <f t="shared" si="37"/>
        <v>4.5471733333333327E-2</v>
      </c>
    </row>
    <row r="244" spans="1:13" x14ac:dyDescent="0.25">
      <c r="A244" s="5">
        <f t="shared" si="31"/>
        <v>31778</v>
      </c>
      <c r="B244" s="4">
        <v>1.5164499999999999E-2</v>
      </c>
      <c r="C244" s="4">
        <v>0.27855200000000002</v>
      </c>
      <c r="D244" s="4">
        <v>2.7116700000000001E-2</v>
      </c>
      <c r="E244" s="4">
        <v>0.18545970000000001</v>
      </c>
      <c r="F244" s="4">
        <v>2.8870199999999999E-2</v>
      </c>
      <c r="G244" s="4">
        <v>4.4821E-2</v>
      </c>
      <c r="H244" s="3">
        <f t="shared" si="32"/>
        <v>1.6055E-2</v>
      </c>
      <c r="I244" s="3">
        <f t="shared" si="33"/>
        <v>0.27110353333333331</v>
      </c>
      <c r="J244" s="3">
        <f t="shared" si="34"/>
        <v>2.5538900000000003E-2</v>
      </c>
      <c r="K244" s="3">
        <f t="shared" si="35"/>
        <v>0.1945896</v>
      </c>
      <c r="L244" s="3">
        <f t="shared" si="36"/>
        <v>2.8412833333333332E-2</v>
      </c>
      <c r="M244" s="3">
        <f t="shared" si="37"/>
        <v>4.4999866666666666E-2</v>
      </c>
    </row>
    <row r="245" spans="1:13" x14ac:dyDescent="0.25">
      <c r="A245" s="5">
        <f t="shared" si="31"/>
        <v>31809</v>
      </c>
      <c r="B245" s="4">
        <v>1.59247E-2</v>
      </c>
      <c r="C245" s="4">
        <v>0.24661569999999999</v>
      </c>
      <c r="D245" s="4">
        <v>2.43997E-2</v>
      </c>
      <c r="E245" s="4">
        <v>0.21739359999999999</v>
      </c>
      <c r="F245" s="4">
        <v>2.6755899999999999E-2</v>
      </c>
      <c r="G245" s="4">
        <v>4.3173700000000002E-2</v>
      </c>
      <c r="H245" s="3">
        <f t="shared" si="32"/>
        <v>1.5960699999999998E-2</v>
      </c>
      <c r="I245" s="3">
        <f t="shared" si="33"/>
        <v>0.26901973333333334</v>
      </c>
      <c r="J245" s="3">
        <f t="shared" si="34"/>
        <v>2.4843533333333334E-2</v>
      </c>
      <c r="K245" s="3">
        <f t="shared" si="35"/>
        <v>0.20051506666666666</v>
      </c>
      <c r="L245" s="3">
        <f t="shared" si="36"/>
        <v>2.8079333333333331E-2</v>
      </c>
      <c r="M245" s="3">
        <f t="shared" si="37"/>
        <v>4.4597733333333334E-2</v>
      </c>
    </row>
    <row r="246" spans="1:13" x14ac:dyDescent="0.25">
      <c r="A246" s="5">
        <f t="shared" si="31"/>
        <v>31837</v>
      </c>
      <c r="B246" s="4">
        <v>1.66006E-2</v>
      </c>
      <c r="C246" s="4">
        <v>0.26423600000000003</v>
      </c>
      <c r="D246" s="4">
        <v>2.5681599999999999E-2</v>
      </c>
      <c r="E246" s="4">
        <v>0.20964140000000001</v>
      </c>
      <c r="F246" s="4">
        <v>2.7382E-2</v>
      </c>
      <c r="G246" s="4">
        <v>4.6189000000000001E-2</v>
      </c>
      <c r="H246" s="3">
        <f t="shared" si="32"/>
        <v>1.58966E-2</v>
      </c>
      <c r="I246" s="3">
        <f t="shared" si="33"/>
        <v>0.26313456666666668</v>
      </c>
      <c r="J246" s="3">
        <f t="shared" si="34"/>
        <v>2.5732666666666668E-2</v>
      </c>
      <c r="K246" s="3">
        <f t="shared" si="35"/>
        <v>0.20416489999999998</v>
      </c>
      <c r="L246" s="3">
        <f t="shared" si="36"/>
        <v>2.7669366666666667E-2</v>
      </c>
      <c r="M246" s="3">
        <f t="shared" si="37"/>
        <v>4.4727900000000008E-2</v>
      </c>
    </row>
    <row r="247" spans="1:13" x14ac:dyDescent="0.25">
      <c r="A247" s="5">
        <f t="shared" si="31"/>
        <v>31868</v>
      </c>
      <c r="B247" s="4">
        <v>1.49955E-2</v>
      </c>
      <c r="C247" s="4">
        <v>0.28755779999999997</v>
      </c>
      <c r="D247" s="4">
        <v>2.8183799999999998E-2</v>
      </c>
      <c r="E247" s="4">
        <v>0.22359229999999999</v>
      </c>
      <c r="F247" s="4">
        <v>3.2326199999999999E-2</v>
      </c>
      <c r="G247" s="4">
        <v>4.8786599999999999E-2</v>
      </c>
      <c r="H247" s="3">
        <f t="shared" si="32"/>
        <v>1.5840266666666668E-2</v>
      </c>
      <c r="I247" s="3">
        <f t="shared" si="33"/>
        <v>0.2661365</v>
      </c>
      <c r="J247" s="3">
        <f t="shared" si="34"/>
        <v>2.6088366666666665E-2</v>
      </c>
      <c r="K247" s="3">
        <f t="shared" si="35"/>
        <v>0.21687576666666666</v>
      </c>
      <c r="L247" s="3">
        <f t="shared" si="36"/>
        <v>2.8821366666666667E-2</v>
      </c>
      <c r="M247" s="3">
        <f t="shared" si="37"/>
        <v>4.6049766666666665E-2</v>
      </c>
    </row>
    <row r="248" spans="1:13" x14ac:dyDescent="0.25">
      <c r="A248" s="5">
        <f t="shared" si="31"/>
        <v>31898</v>
      </c>
      <c r="B248" s="4">
        <v>1.50067E-2</v>
      </c>
      <c r="C248" s="4">
        <v>0.26891280000000001</v>
      </c>
      <c r="D248" s="4">
        <v>2.78932E-2</v>
      </c>
      <c r="E248" s="4">
        <v>0.1943898</v>
      </c>
      <c r="F248" s="4">
        <v>2.7513900000000001E-2</v>
      </c>
      <c r="G248" s="4">
        <v>4.7040999999999999E-2</v>
      </c>
      <c r="H248" s="3">
        <f t="shared" si="32"/>
        <v>1.5534266666666666E-2</v>
      </c>
      <c r="I248" s="3">
        <f t="shared" si="33"/>
        <v>0.27356886666666669</v>
      </c>
      <c r="J248" s="3">
        <f t="shared" si="34"/>
        <v>2.7252866666666663E-2</v>
      </c>
      <c r="K248" s="3">
        <f t="shared" si="35"/>
        <v>0.20920783333333334</v>
      </c>
      <c r="L248" s="3">
        <f t="shared" si="36"/>
        <v>2.9074033333333332E-2</v>
      </c>
      <c r="M248" s="3">
        <f t="shared" si="37"/>
        <v>4.7338866666666667E-2</v>
      </c>
    </row>
    <row r="249" spans="1:13" x14ac:dyDescent="0.25">
      <c r="A249" s="5">
        <f t="shared" si="31"/>
        <v>31929</v>
      </c>
      <c r="B249" s="4">
        <v>1.46943E-2</v>
      </c>
      <c r="C249" s="4">
        <v>0.26553969999999999</v>
      </c>
      <c r="D249" s="4">
        <v>2.1351499999999999E-2</v>
      </c>
      <c r="E249" s="4">
        <v>0.21281459999999999</v>
      </c>
      <c r="F249" s="4">
        <v>2.7505399999999999E-2</v>
      </c>
      <c r="G249" s="4">
        <v>4.3490500000000001E-2</v>
      </c>
      <c r="H249" s="3">
        <f t="shared" si="32"/>
        <v>1.4898833333333333E-2</v>
      </c>
      <c r="I249" s="3">
        <f t="shared" si="33"/>
        <v>0.27400343333333327</v>
      </c>
      <c r="J249" s="3">
        <f t="shared" si="34"/>
        <v>2.5809499999999999E-2</v>
      </c>
      <c r="K249" s="3">
        <f t="shared" si="35"/>
        <v>0.21026556666666665</v>
      </c>
      <c r="L249" s="3">
        <f t="shared" si="36"/>
        <v>2.9115166666666664E-2</v>
      </c>
      <c r="M249" s="3">
        <f t="shared" si="37"/>
        <v>4.6439366666666669E-2</v>
      </c>
    </row>
    <row r="250" spans="1:13" x14ac:dyDescent="0.25">
      <c r="A250" s="5">
        <f t="shared" si="31"/>
        <v>31959</v>
      </c>
      <c r="B250" s="4">
        <v>1.5495699999999999E-2</v>
      </c>
      <c r="C250" s="4">
        <v>0.29283599999999999</v>
      </c>
      <c r="D250" s="4">
        <v>2.4356200000000001E-2</v>
      </c>
      <c r="E250" s="4">
        <v>0.20293919999999999</v>
      </c>
      <c r="F250" s="4">
        <v>2.8821200000000002E-2</v>
      </c>
      <c r="G250" s="4">
        <v>4.9481600000000001E-2</v>
      </c>
      <c r="H250" s="3">
        <f t="shared" si="32"/>
        <v>1.5065566666666667E-2</v>
      </c>
      <c r="I250" s="3">
        <f t="shared" si="33"/>
        <v>0.27576283333333335</v>
      </c>
      <c r="J250" s="3">
        <f t="shared" si="34"/>
        <v>2.4533633333333332E-2</v>
      </c>
      <c r="K250" s="3">
        <f t="shared" si="35"/>
        <v>0.20338120000000001</v>
      </c>
      <c r="L250" s="3">
        <f t="shared" si="36"/>
        <v>2.7946833333333334E-2</v>
      </c>
      <c r="M250" s="3">
        <f t="shared" si="37"/>
        <v>4.6671033333333334E-2</v>
      </c>
    </row>
    <row r="251" spans="1:13" x14ac:dyDescent="0.25">
      <c r="A251" s="5">
        <f t="shared" si="31"/>
        <v>31990</v>
      </c>
      <c r="B251" s="4">
        <v>1.44726E-2</v>
      </c>
      <c r="C251" s="4">
        <v>0.25440699999999999</v>
      </c>
      <c r="D251" s="4">
        <v>2.3282500000000001E-2</v>
      </c>
      <c r="E251" s="4">
        <v>0.1982014</v>
      </c>
      <c r="F251" s="4">
        <v>2.7724700000000001E-2</v>
      </c>
      <c r="G251" s="4">
        <v>4.4699900000000001E-2</v>
      </c>
      <c r="H251" s="3">
        <f t="shared" si="32"/>
        <v>1.4887533333333335E-2</v>
      </c>
      <c r="I251" s="3">
        <f t="shared" si="33"/>
        <v>0.27092756666666667</v>
      </c>
      <c r="J251" s="3">
        <f t="shared" si="34"/>
        <v>2.2996733333333335E-2</v>
      </c>
      <c r="K251" s="3">
        <f t="shared" si="35"/>
        <v>0.20465173333333331</v>
      </c>
      <c r="L251" s="3">
        <f t="shared" si="36"/>
        <v>2.8017100000000003E-2</v>
      </c>
      <c r="M251" s="3">
        <f t="shared" si="37"/>
        <v>4.589066666666667E-2</v>
      </c>
    </row>
    <row r="252" spans="1:13" x14ac:dyDescent="0.25">
      <c r="A252" s="5">
        <f t="shared" si="31"/>
        <v>32021</v>
      </c>
      <c r="B252" s="4">
        <v>1.44542E-2</v>
      </c>
      <c r="C252" s="4">
        <v>0.26690950000000002</v>
      </c>
      <c r="D252" s="4">
        <v>2.4157100000000001E-2</v>
      </c>
      <c r="E252" s="4">
        <v>0.224803</v>
      </c>
      <c r="F252" s="4">
        <v>2.8878600000000001E-2</v>
      </c>
      <c r="G252" s="4">
        <v>4.2867799999999998E-2</v>
      </c>
      <c r="H252" s="3">
        <f t="shared" si="32"/>
        <v>1.4807500000000001E-2</v>
      </c>
      <c r="I252" s="3">
        <f t="shared" si="33"/>
        <v>0.27138416666666665</v>
      </c>
      <c r="J252" s="3">
        <f t="shared" si="34"/>
        <v>2.3931933333333336E-2</v>
      </c>
      <c r="K252" s="3">
        <f t="shared" si="35"/>
        <v>0.20864786666666665</v>
      </c>
      <c r="L252" s="3">
        <f t="shared" si="36"/>
        <v>2.8474833333333335E-2</v>
      </c>
      <c r="M252" s="3">
        <f t="shared" si="37"/>
        <v>4.5683099999999997E-2</v>
      </c>
    </row>
    <row r="253" spans="1:13" x14ac:dyDescent="0.25">
      <c r="A253" s="5">
        <f t="shared" si="31"/>
        <v>32051</v>
      </c>
      <c r="B253" s="4">
        <v>1.5635900000000001E-2</v>
      </c>
      <c r="C253" s="4">
        <v>0.2842114</v>
      </c>
      <c r="D253" s="4">
        <v>2.39919E-2</v>
      </c>
      <c r="E253" s="4">
        <v>0.2030042</v>
      </c>
      <c r="F253" s="4">
        <v>2.8455399999999999E-2</v>
      </c>
      <c r="G253" s="4">
        <v>5.07663E-2</v>
      </c>
      <c r="H253" s="3">
        <f t="shared" si="32"/>
        <v>1.4854233333333335E-2</v>
      </c>
      <c r="I253" s="3">
        <f t="shared" si="33"/>
        <v>0.26850930000000001</v>
      </c>
      <c r="J253" s="3">
        <f t="shared" si="34"/>
        <v>2.3810499999999998E-2</v>
      </c>
      <c r="K253" s="3">
        <f t="shared" si="35"/>
        <v>0.20866953333333335</v>
      </c>
      <c r="L253" s="3">
        <f t="shared" si="36"/>
        <v>2.83529E-2</v>
      </c>
      <c r="M253" s="3">
        <f t="shared" si="37"/>
        <v>4.6111333333333338E-2</v>
      </c>
    </row>
    <row r="254" spans="1:13" x14ac:dyDescent="0.25">
      <c r="A254" s="5">
        <f t="shared" si="31"/>
        <v>32082</v>
      </c>
      <c r="B254" s="4">
        <v>1.35867E-2</v>
      </c>
      <c r="C254" s="4">
        <v>0.2611502</v>
      </c>
      <c r="D254" s="4">
        <v>2.3087300000000002E-2</v>
      </c>
      <c r="E254" s="4">
        <v>0.21036920000000001</v>
      </c>
      <c r="F254" s="4">
        <v>2.9073499999999999E-2</v>
      </c>
      <c r="G254" s="4">
        <v>4.40925E-2</v>
      </c>
      <c r="H254" s="3">
        <f t="shared" si="32"/>
        <v>1.4558933333333334E-2</v>
      </c>
      <c r="I254" s="3">
        <f t="shared" si="33"/>
        <v>0.27075703333333334</v>
      </c>
      <c r="J254" s="3">
        <f t="shared" si="34"/>
        <v>2.3745433333333333E-2</v>
      </c>
      <c r="K254" s="3">
        <f t="shared" si="35"/>
        <v>0.21272546666666667</v>
      </c>
      <c r="L254" s="3">
        <f t="shared" si="36"/>
        <v>2.8802499999999998E-2</v>
      </c>
      <c r="M254" s="3">
        <f t="shared" si="37"/>
        <v>4.5908866666666666E-2</v>
      </c>
    </row>
    <row r="255" spans="1:13" x14ac:dyDescent="0.25">
      <c r="A255" s="5">
        <f t="shared" si="31"/>
        <v>32112</v>
      </c>
      <c r="B255" s="4">
        <v>1.5717499999999999E-2</v>
      </c>
      <c r="C255" s="4">
        <v>0.29267900000000002</v>
      </c>
      <c r="D255" s="4">
        <v>2.3664899999999999E-2</v>
      </c>
      <c r="E255" s="4">
        <v>0.22904389999999999</v>
      </c>
      <c r="F255" s="4">
        <v>2.9393800000000001E-2</v>
      </c>
      <c r="G255" s="4">
        <v>4.90815E-2</v>
      </c>
      <c r="H255" s="3">
        <f t="shared" si="32"/>
        <v>1.4980033333333332E-2</v>
      </c>
      <c r="I255" s="3">
        <f t="shared" si="33"/>
        <v>0.27934686666666669</v>
      </c>
      <c r="J255" s="3">
        <f t="shared" si="34"/>
        <v>2.3581366666666669E-2</v>
      </c>
      <c r="K255" s="3">
        <f t="shared" si="35"/>
        <v>0.2141391</v>
      </c>
      <c r="L255" s="3">
        <f t="shared" si="36"/>
        <v>2.8974233333333332E-2</v>
      </c>
      <c r="M255" s="3">
        <f t="shared" si="37"/>
        <v>4.7980099999999998E-2</v>
      </c>
    </row>
    <row r="256" spans="1:13" x14ac:dyDescent="0.25">
      <c r="A256" s="5">
        <f t="shared" si="31"/>
        <v>32143</v>
      </c>
      <c r="B256" s="4">
        <v>1.40876E-2</v>
      </c>
      <c r="C256" s="4">
        <v>0.26550760000000001</v>
      </c>
      <c r="D256" s="4">
        <v>2.6026799999999999E-2</v>
      </c>
      <c r="E256" s="4">
        <v>0.2214921</v>
      </c>
      <c r="F256" s="4">
        <v>2.9121999999999999E-2</v>
      </c>
      <c r="G256" s="4">
        <v>4.8825399999999998E-2</v>
      </c>
      <c r="H256" s="3">
        <f t="shared" si="32"/>
        <v>1.4463933333333333E-2</v>
      </c>
      <c r="I256" s="3">
        <f t="shared" si="33"/>
        <v>0.27311226666666671</v>
      </c>
      <c r="J256" s="3">
        <f t="shared" si="34"/>
        <v>2.4259666666666665E-2</v>
      </c>
      <c r="K256" s="3">
        <f t="shared" si="35"/>
        <v>0.22030173333333333</v>
      </c>
      <c r="L256" s="3">
        <f t="shared" si="36"/>
        <v>2.919643333333333E-2</v>
      </c>
      <c r="M256" s="3">
        <f t="shared" si="37"/>
        <v>4.7333133333333333E-2</v>
      </c>
    </row>
    <row r="257" spans="1:13" x14ac:dyDescent="0.25">
      <c r="A257" s="5">
        <f t="shared" si="31"/>
        <v>32174</v>
      </c>
      <c r="B257" s="4">
        <v>1.3373100000000001E-2</v>
      </c>
      <c r="C257" s="4">
        <v>0.27694449999999998</v>
      </c>
      <c r="D257" s="4">
        <v>2.18432E-2</v>
      </c>
      <c r="E257" s="4">
        <v>0.21154890000000001</v>
      </c>
      <c r="F257" s="4">
        <v>2.9192699999999999E-2</v>
      </c>
      <c r="G257" s="4">
        <v>4.9154099999999999E-2</v>
      </c>
      <c r="H257" s="3">
        <f t="shared" si="32"/>
        <v>1.4392733333333333E-2</v>
      </c>
      <c r="I257" s="3">
        <f t="shared" si="33"/>
        <v>0.2783770333333333</v>
      </c>
      <c r="J257" s="3">
        <f t="shared" si="34"/>
        <v>2.3844966666666665E-2</v>
      </c>
      <c r="K257" s="3">
        <f t="shared" si="35"/>
        <v>0.22069496666666666</v>
      </c>
      <c r="L257" s="3">
        <f t="shared" si="36"/>
        <v>2.9236166666666664E-2</v>
      </c>
      <c r="M257" s="3">
        <f t="shared" si="37"/>
        <v>4.9020333333333332E-2</v>
      </c>
    </row>
    <row r="258" spans="1:13" x14ac:dyDescent="0.25">
      <c r="A258" s="5">
        <f t="shared" si="31"/>
        <v>32203</v>
      </c>
      <c r="B258" s="4">
        <v>1.3991399999999999E-2</v>
      </c>
      <c r="C258" s="4">
        <v>0.27378330000000001</v>
      </c>
      <c r="D258" s="4">
        <v>2.1190299999999999E-2</v>
      </c>
      <c r="E258" s="4">
        <v>0.2175376</v>
      </c>
      <c r="F258" s="4">
        <v>2.7664399999999999E-2</v>
      </c>
      <c r="G258" s="4">
        <v>4.7281400000000001E-2</v>
      </c>
      <c r="H258" s="3">
        <f t="shared" si="32"/>
        <v>1.3817366666666666E-2</v>
      </c>
      <c r="I258" s="3">
        <f t="shared" si="33"/>
        <v>0.27207846666666669</v>
      </c>
      <c r="J258" s="3">
        <f t="shared" si="34"/>
        <v>2.3020099999999998E-2</v>
      </c>
      <c r="K258" s="3">
        <f t="shared" si="35"/>
        <v>0.21685953333333333</v>
      </c>
      <c r="L258" s="3">
        <f t="shared" si="36"/>
        <v>2.86597E-2</v>
      </c>
      <c r="M258" s="3">
        <f t="shared" si="37"/>
        <v>4.8420299999999999E-2</v>
      </c>
    </row>
    <row r="259" spans="1:13" x14ac:dyDescent="0.25">
      <c r="A259" s="5">
        <f t="shared" si="31"/>
        <v>32234</v>
      </c>
      <c r="B259" s="4">
        <v>1.48659E-2</v>
      </c>
      <c r="C259" s="4">
        <v>0.32634059999999998</v>
      </c>
      <c r="D259" s="4">
        <v>2.3887599999999998E-2</v>
      </c>
      <c r="E259" s="4">
        <v>0.20872360000000001</v>
      </c>
      <c r="F259" s="4">
        <v>3.08218E-2</v>
      </c>
      <c r="G259" s="4">
        <v>5.2486600000000001E-2</v>
      </c>
      <c r="H259" s="3">
        <f t="shared" si="32"/>
        <v>1.40768E-2</v>
      </c>
      <c r="I259" s="3">
        <f t="shared" si="33"/>
        <v>0.29235613333333332</v>
      </c>
      <c r="J259" s="3">
        <f t="shared" si="34"/>
        <v>2.2307033333333334E-2</v>
      </c>
      <c r="K259" s="3">
        <f t="shared" si="35"/>
        <v>0.21260336666666668</v>
      </c>
      <c r="L259" s="3">
        <f t="shared" si="36"/>
        <v>2.9226299999999997E-2</v>
      </c>
      <c r="M259" s="3">
        <f t="shared" si="37"/>
        <v>4.9640700000000003E-2</v>
      </c>
    </row>
    <row r="260" spans="1:13" x14ac:dyDescent="0.25">
      <c r="A260" s="5">
        <f t="shared" si="31"/>
        <v>32264</v>
      </c>
      <c r="B260" s="4">
        <v>1.45506E-2</v>
      </c>
      <c r="C260" s="4">
        <v>0.27383600000000002</v>
      </c>
      <c r="D260" s="4">
        <v>2.4535499999999998E-2</v>
      </c>
      <c r="E260" s="4">
        <v>0.21695719999999999</v>
      </c>
      <c r="F260" s="4">
        <v>2.9738899999999999E-2</v>
      </c>
      <c r="G260" s="4">
        <v>4.7174199999999999E-2</v>
      </c>
      <c r="H260" s="3">
        <f t="shared" si="32"/>
        <v>1.4469299999999999E-2</v>
      </c>
      <c r="I260" s="3">
        <f t="shared" si="33"/>
        <v>0.29131996666666665</v>
      </c>
      <c r="J260" s="3">
        <f t="shared" si="34"/>
        <v>2.3204466666666663E-2</v>
      </c>
      <c r="K260" s="3">
        <f t="shared" si="35"/>
        <v>0.21440613333333333</v>
      </c>
      <c r="L260" s="3">
        <f t="shared" si="36"/>
        <v>2.9408366666666668E-2</v>
      </c>
      <c r="M260" s="3">
        <f t="shared" si="37"/>
        <v>4.8980733333333332E-2</v>
      </c>
    </row>
    <row r="261" spans="1:13" x14ac:dyDescent="0.25">
      <c r="A261" s="5">
        <f t="shared" si="31"/>
        <v>32295</v>
      </c>
      <c r="B261" s="4">
        <v>1.3710399999999999E-2</v>
      </c>
      <c r="C261" s="4">
        <v>0.31448789999999999</v>
      </c>
      <c r="D261" s="4">
        <v>1.9571700000000001E-2</v>
      </c>
      <c r="E261" s="4">
        <v>0.2077572</v>
      </c>
      <c r="F261" s="4">
        <v>2.9499899999999999E-2</v>
      </c>
      <c r="G261" s="4">
        <v>5.1248000000000002E-2</v>
      </c>
      <c r="H261" s="3">
        <f t="shared" si="32"/>
        <v>1.4375633333333332E-2</v>
      </c>
      <c r="I261" s="3">
        <f t="shared" si="33"/>
        <v>0.30488816666666668</v>
      </c>
      <c r="J261" s="3">
        <f t="shared" si="34"/>
        <v>2.2664933333333331E-2</v>
      </c>
      <c r="K261" s="3">
        <f t="shared" si="35"/>
        <v>0.21114599999999997</v>
      </c>
      <c r="L261" s="3">
        <f t="shared" si="36"/>
        <v>3.0020199999999997E-2</v>
      </c>
      <c r="M261" s="3">
        <f t="shared" si="37"/>
        <v>5.0302933333333334E-2</v>
      </c>
    </row>
    <row r="262" spans="1:13" x14ac:dyDescent="0.25">
      <c r="A262" s="5">
        <f t="shared" ref="A262:A325" si="38">DATE(YEAR(A261),MONTH(A261)+1,1)</f>
        <v>32325</v>
      </c>
      <c r="B262" s="4">
        <v>1.31231E-2</v>
      </c>
      <c r="C262" s="4">
        <v>0.29124670000000003</v>
      </c>
      <c r="D262" s="4">
        <v>2.2886199999999999E-2</v>
      </c>
      <c r="E262" s="4">
        <v>0.195963</v>
      </c>
      <c r="F262" s="4">
        <v>2.7081899999999999E-2</v>
      </c>
      <c r="G262" s="4">
        <v>4.52737E-2</v>
      </c>
      <c r="H262" s="3">
        <f t="shared" si="32"/>
        <v>1.37947E-2</v>
      </c>
      <c r="I262" s="3">
        <f t="shared" si="33"/>
        <v>0.29319020000000001</v>
      </c>
      <c r="J262" s="3">
        <f t="shared" si="34"/>
        <v>2.2331133333333333E-2</v>
      </c>
      <c r="K262" s="3">
        <f t="shared" si="35"/>
        <v>0.20689246666666664</v>
      </c>
      <c r="L262" s="3">
        <f t="shared" si="36"/>
        <v>2.8773566666666667E-2</v>
      </c>
      <c r="M262" s="3">
        <f t="shared" si="37"/>
        <v>4.7898633333333329E-2</v>
      </c>
    </row>
    <row r="263" spans="1:13" x14ac:dyDescent="0.25">
      <c r="A263" s="5">
        <f t="shared" si="38"/>
        <v>32356</v>
      </c>
      <c r="B263" s="4">
        <v>1.34199E-2</v>
      </c>
      <c r="C263" s="4">
        <v>0.2743119</v>
      </c>
      <c r="D263" s="4">
        <v>2.2393300000000001E-2</v>
      </c>
      <c r="E263" s="4">
        <v>0.2130262</v>
      </c>
      <c r="F263" s="4">
        <v>2.54827E-2</v>
      </c>
      <c r="G263" s="4">
        <v>4.4623200000000002E-2</v>
      </c>
      <c r="H263" s="3">
        <f t="shared" ref="H263:H326" si="39">AVERAGE(B261:B263)</f>
        <v>1.3417800000000001E-2</v>
      </c>
      <c r="I263" s="3">
        <f t="shared" ref="I263:I326" si="40">AVERAGE(C261:C263)</f>
        <v>0.29334883333333334</v>
      </c>
      <c r="J263" s="3">
        <f t="shared" ref="J263:J326" si="41">AVERAGE(D261:D263)</f>
        <v>2.1617066666666667E-2</v>
      </c>
      <c r="K263" s="3">
        <f t="shared" ref="K263:K326" si="42">AVERAGE(E261:E263)</f>
        <v>0.20558213333333333</v>
      </c>
      <c r="L263" s="3">
        <f t="shared" ref="L263:L326" si="43">AVERAGE(F261:F263)</f>
        <v>2.7354833333333332E-2</v>
      </c>
      <c r="M263" s="3">
        <f t="shared" ref="M263:M326" si="44">AVERAGE(G261:G263)</f>
        <v>4.7048300000000008E-2</v>
      </c>
    </row>
    <row r="264" spans="1:13" x14ac:dyDescent="0.25">
      <c r="A264" s="5">
        <f t="shared" si="38"/>
        <v>32387</v>
      </c>
      <c r="B264" s="4">
        <v>1.4669099999999999E-2</v>
      </c>
      <c r="C264" s="4">
        <v>0.30145840000000002</v>
      </c>
      <c r="D264" s="4">
        <v>2.2585000000000001E-2</v>
      </c>
      <c r="E264" s="4">
        <v>0.21344089999999999</v>
      </c>
      <c r="F264" s="4">
        <v>2.94407E-2</v>
      </c>
      <c r="G264" s="4">
        <v>4.65999E-2</v>
      </c>
      <c r="H264" s="3">
        <f t="shared" si="39"/>
        <v>1.3737366666666667E-2</v>
      </c>
      <c r="I264" s="3">
        <f t="shared" si="40"/>
        <v>0.28900566666666666</v>
      </c>
      <c r="J264" s="3">
        <f t="shared" si="41"/>
        <v>2.2621499999999999E-2</v>
      </c>
      <c r="K264" s="3">
        <f t="shared" si="42"/>
        <v>0.20747669999999999</v>
      </c>
      <c r="L264" s="3">
        <f t="shared" si="43"/>
        <v>2.7335100000000001E-2</v>
      </c>
      <c r="M264" s="3">
        <f t="shared" si="44"/>
        <v>4.5498933333333332E-2</v>
      </c>
    </row>
    <row r="265" spans="1:13" x14ac:dyDescent="0.25">
      <c r="A265" s="5">
        <f t="shared" si="38"/>
        <v>32417</v>
      </c>
      <c r="B265" s="4">
        <v>1.39515E-2</v>
      </c>
      <c r="C265" s="4">
        <v>0.26479760000000002</v>
      </c>
      <c r="D265" s="4">
        <v>2.2651899999999999E-2</v>
      </c>
      <c r="E265" s="4">
        <v>0.2413952</v>
      </c>
      <c r="F265" s="4">
        <v>2.8261999999999999E-2</v>
      </c>
      <c r="G265" s="4">
        <v>4.5388900000000003E-2</v>
      </c>
      <c r="H265" s="3">
        <f t="shared" si="39"/>
        <v>1.40135E-2</v>
      </c>
      <c r="I265" s="3">
        <f t="shared" si="40"/>
        <v>0.28018930000000003</v>
      </c>
      <c r="J265" s="3">
        <f t="shared" si="41"/>
        <v>2.2543400000000002E-2</v>
      </c>
      <c r="K265" s="3">
        <f t="shared" si="42"/>
        <v>0.22262076666666666</v>
      </c>
      <c r="L265" s="3">
        <f t="shared" si="43"/>
        <v>2.7728466666666663E-2</v>
      </c>
      <c r="M265" s="3">
        <f t="shared" si="44"/>
        <v>4.5537333333333339E-2</v>
      </c>
    </row>
    <row r="266" spans="1:13" x14ac:dyDescent="0.25">
      <c r="A266" s="5">
        <f t="shared" si="38"/>
        <v>32448</v>
      </c>
      <c r="B266" s="4">
        <v>1.2815399999999999E-2</v>
      </c>
      <c r="C266" s="4">
        <v>0.25784679999999999</v>
      </c>
      <c r="D266" s="4">
        <v>2.0249099999999999E-2</v>
      </c>
      <c r="E266" s="4">
        <v>0.20470260000000001</v>
      </c>
      <c r="F266" s="4">
        <v>2.7733500000000001E-2</v>
      </c>
      <c r="G266" s="4">
        <v>4.9257599999999999E-2</v>
      </c>
      <c r="H266" s="3">
        <f t="shared" si="39"/>
        <v>1.3812E-2</v>
      </c>
      <c r="I266" s="3">
        <f t="shared" si="40"/>
        <v>0.2747009333333334</v>
      </c>
      <c r="J266" s="3">
        <f t="shared" si="41"/>
        <v>2.1828666666666663E-2</v>
      </c>
      <c r="K266" s="3">
        <f t="shared" si="42"/>
        <v>0.21984623333333331</v>
      </c>
      <c r="L266" s="3">
        <f t="shared" si="43"/>
        <v>2.8478733333333329E-2</v>
      </c>
      <c r="M266" s="3">
        <f t="shared" si="44"/>
        <v>4.7082133333333331E-2</v>
      </c>
    </row>
    <row r="267" spans="1:13" x14ac:dyDescent="0.25">
      <c r="A267" s="5">
        <f t="shared" si="38"/>
        <v>32478</v>
      </c>
      <c r="B267" s="4">
        <v>1.39747E-2</v>
      </c>
      <c r="C267" s="4">
        <v>0.2956027</v>
      </c>
      <c r="D267" s="4">
        <v>2.0355000000000002E-2</v>
      </c>
      <c r="E267" s="4">
        <v>0.2124559</v>
      </c>
      <c r="F267" s="4">
        <v>3.2436399999999997E-2</v>
      </c>
      <c r="G267" s="4">
        <v>4.7245000000000002E-2</v>
      </c>
      <c r="H267" s="3">
        <f t="shared" si="39"/>
        <v>1.3580533333333334E-2</v>
      </c>
      <c r="I267" s="3">
        <f t="shared" si="40"/>
        <v>0.27274903333333333</v>
      </c>
      <c r="J267" s="3">
        <f t="shared" si="41"/>
        <v>2.1085333333333331E-2</v>
      </c>
      <c r="K267" s="3">
        <f t="shared" si="42"/>
        <v>0.21951790000000002</v>
      </c>
      <c r="L267" s="3">
        <f t="shared" si="43"/>
        <v>2.9477300000000001E-2</v>
      </c>
      <c r="M267" s="3">
        <f t="shared" si="44"/>
        <v>4.7297166666666668E-2</v>
      </c>
    </row>
    <row r="268" spans="1:13" x14ac:dyDescent="0.25">
      <c r="A268" s="5">
        <f t="shared" si="38"/>
        <v>32509</v>
      </c>
      <c r="B268" s="4">
        <v>1.35034E-2</v>
      </c>
      <c r="C268" s="4">
        <v>0.28247650000000002</v>
      </c>
      <c r="D268" s="4">
        <v>2.3305900000000001E-2</v>
      </c>
      <c r="E268" s="4">
        <v>0.2032098</v>
      </c>
      <c r="F268" s="4">
        <v>2.7758600000000001E-2</v>
      </c>
      <c r="G268" s="4">
        <v>5.2579099999999997E-2</v>
      </c>
      <c r="H268" s="3">
        <f t="shared" si="39"/>
        <v>1.3431166666666666E-2</v>
      </c>
      <c r="I268" s="3">
        <f t="shared" si="40"/>
        <v>0.278642</v>
      </c>
      <c r="J268" s="3">
        <f t="shared" si="41"/>
        <v>2.1303333333333337E-2</v>
      </c>
      <c r="K268" s="3">
        <f t="shared" si="42"/>
        <v>0.20678943333333333</v>
      </c>
      <c r="L268" s="3">
        <f t="shared" si="43"/>
        <v>2.9309499999999999E-2</v>
      </c>
      <c r="M268" s="3">
        <f t="shared" si="44"/>
        <v>4.9693899999999992E-2</v>
      </c>
    </row>
    <row r="269" spans="1:13" x14ac:dyDescent="0.25">
      <c r="A269" s="5">
        <f t="shared" si="38"/>
        <v>32540</v>
      </c>
      <c r="B269" s="4">
        <v>1.41695E-2</v>
      </c>
      <c r="C269" s="4">
        <v>0.31556800000000002</v>
      </c>
      <c r="D269" s="4">
        <v>2.1081200000000001E-2</v>
      </c>
      <c r="E269" s="4">
        <v>0.22531870000000001</v>
      </c>
      <c r="F269" s="4">
        <v>3.0810299999999999E-2</v>
      </c>
      <c r="G269" s="4">
        <v>4.9410599999999999E-2</v>
      </c>
      <c r="H269" s="3">
        <f t="shared" si="39"/>
        <v>1.3882533333333334E-2</v>
      </c>
      <c r="I269" s="3">
        <f t="shared" si="40"/>
        <v>0.29788239999999999</v>
      </c>
      <c r="J269" s="3">
        <f t="shared" si="41"/>
        <v>2.1580699999999998E-2</v>
      </c>
      <c r="K269" s="3">
        <f t="shared" si="42"/>
        <v>0.21366146666666666</v>
      </c>
      <c r="L269" s="3">
        <f t="shared" si="43"/>
        <v>3.03351E-2</v>
      </c>
      <c r="M269" s="3">
        <f t="shared" si="44"/>
        <v>4.9744900000000002E-2</v>
      </c>
    </row>
    <row r="270" spans="1:13" x14ac:dyDescent="0.25">
      <c r="A270" s="5">
        <f t="shared" si="38"/>
        <v>32568</v>
      </c>
      <c r="B270" s="4">
        <v>1.3631600000000001E-2</v>
      </c>
      <c r="C270" s="4">
        <v>0.30794169999999998</v>
      </c>
      <c r="D270" s="4">
        <v>2.14396E-2</v>
      </c>
      <c r="E270" s="4">
        <v>0.24144740000000001</v>
      </c>
      <c r="F270" s="4">
        <v>2.82981E-2</v>
      </c>
      <c r="G270" s="4">
        <v>4.9069300000000003E-2</v>
      </c>
      <c r="H270" s="3">
        <f t="shared" si="39"/>
        <v>1.3768166666666666E-2</v>
      </c>
      <c r="I270" s="3">
        <f t="shared" si="40"/>
        <v>0.30199540000000002</v>
      </c>
      <c r="J270" s="3">
        <f t="shared" si="41"/>
        <v>2.1942233333333335E-2</v>
      </c>
      <c r="K270" s="3">
        <f t="shared" si="42"/>
        <v>0.22332529999999998</v>
      </c>
      <c r="L270" s="3">
        <f t="shared" si="43"/>
        <v>2.8955666666666668E-2</v>
      </c>
      <c r="M270" s="3">
        <f t="shared" si="44"/>
        <v>5.0353000000000002E-2</v>
      </c>
    </row>
    <row r="271" spans="1:13" x14ac:dyDescent="0.25">
      <c r="A271" s="5">
        <f t="shared" si="38"/>
        <v>32599</v>
      </c>
      <c r="B271" s="4">
        <v>1.4656199999999999E-2</v>
      </c>
      <c r="C271" s="4">
        <v>0.27793129999999999</v>
      </c>
      <c r="D271" s="4">
        <v>2.3307000000000001E-2</v>
      </c>
      <c r="E271" s="4">
        <v>0.202403</v>
      </c>
      <c r="F271" s="4">
        <v>2.89891E-2</v>
      </c>
      <c r="G271" s="4">
        <v>4.69918E-2</v>
      </c>
      <c r="H271" s="3">
        <f t="shared" si="39"/>
        <v>1.4152433333333334E-2</v>
      </c>
      <c r="I271" s="3">
        <f t="shared" si="40"/>
        <v>0.30048033333333335</v>
      </c>
      <c r="J271" s="3">
        <f t="shared" si="41"/>
        <v>2.1942599999999996E-2</v>
      </c>
      <c r="K271" s="3">
        <f t="shared" si="42"/>
        <v>0.22305636666666664</v>
      </c>
      <c r="L271" s="3">
        <f t="shared" si="43"/>
        <v>2.9365833333333331E-2</v>
      </c>
      <c r="M271" s="3">
        <f t="shared" si="44"/>
        <v>4.8490566666666672E-2</v>
      </c>
    </row>
    <row r="272" spans="1:13" x14ac:dyDescent="0.25">
      <c r="A272" s="5">
        <f t="shared" si="38"/>
        <v>32629</v>
      </c>
      <c r="B272" s="4">
        <v>1.38777E-2</v>
      </c>
      <c r="C272" s="4">
        <v>0.29208200000000001</v>
      </c>
      <c r="D272" s="4">
        <v>2.46894E-2</v>
      </c>
      <c r="E272" s="4">
        <v>0.2233272</v>
      </c>
      <c r="F272" s="4">
        <v>2.6384899999999999E-2</v>
      </c>
      <c r="G272" s="4">
        <v>4.6746200000000002E-2</v>
      </c>
      <c r="H272" s="3">
        <f t="shared" si="39"/>
        <v>1.4055166666666667E-2</v>
      </c>
      <c r="I272" s="3">
        <f t="shared" si="40"/>
        <v>0.2926516666666667</v>
      </c>
      <c r="J272" s="3">
        <f t="shared" si="41"/>
        <v>2.3145333333333334E-2</v>
      </c>
      <c r="K272" s="3">
        <f t="shared" si="42"/>
        <v>0.22239253333333334</v>
      </c>
      <c r="L272" s="3">
        <f t="shared" si="43"/>
        <v>2.7890700000000001E-2</v>
      </c>
      <c r="M272" s="3">
        <f t="shared" si="44"/>
        <v>4.760243333333334E-2</v>
      </c>
    </row>
    <row r="273" spans="1:13" x14ac:dyDescent="0.25">
      <c r="A273" s="5">
        <f t="shared" si="38"/>
        <v>32660</v>
      </c>
      <c r="B273" s="4">
        <v>1.34415E-2</v>
      </c>
      <c r="C273" s="4">
        <v>0.31930579999999997</v>
      </c>
      <c r="D273" s="4">
        <v>2.1815299999999999E-2</v>
      </c>
      <c r="E273" s="4">
        <v>0.2239787</v>
      </c>
      <c r="F273" s="4">
        <v>2.9648600000000001E-2</v>
      </c>
      <c r="G273" s="4">
        <v>5.0008299999999999E-2</v>
      </c>
      <c r="H273" s="3">
        <f t="shared" si="39"/>
        <v>1.39918E-2</v>
      </c>
      <c r="I273" s="3">
        <f t="shared" si="40"/>
        <v>0.29643970000000003</v>
      </c>
      <c r="J273" s="3">
        <f t="shared" si="41"/>
        <v>2.3270566666666669E-2</v>
      </c>
      <c r="K273" s="3">
        <f t="shared" si="42"/>
        <v>0.21656963333333334</v>
      </c>
      <c r="L273" s="3">
        <f t="shared" si="43"/>
        <v>2.8340866666666669E-2</v>
      </c>
      <c r="M273" s="3">
        <f t="shared" si="44"/>
        <v>4.7915433333333333E-2</v>
      </c>
    </row>
    <row r="274" spans="1:13" x14ac:dyDescent="0.25">
      <c r="A274" s="5">
        <f t="shared" si="38"/>
        <v>32690</v>
      </c>
      <c r="B274" s="4">
        <v>1.3530500000000001E-2</v>
      </c>
      <c r="C274" s="4">
        <v>0.27515859999999998</v>
      </c>
      <c r="D274" s="4">
        <v>2.2261699999999999E-2</v>
      </c>
      <c r="E274" s="4">
        <v>0.2098497</v>
      </c>
      <c r="F274" s="4">
        <v>2.7441900000000002E-2</v>
      </c>
      <c r="G274" s="4">
        <v>4.5556899999999997E-2</v>
      </c>
      <c r="H274" s="3">
        <f t="shared" si="39"/>
        <v>1.3616566666666668E-2</v>
      </c>
      <c r="I274" s="3">
        <f t="shared" si="40"/>
        <v>0.29551546666666662</v>
      </c>
      <c r="J274" s="3">
        <f t="shared" si="41"/>
        <v>2.292213333333333E-2</v>
      </c>
      <c r="K274" s="3">
        <f t="shared" si="42"/>
        <v>0.21905186666666668</v>
      </c>
      <c r="L274" s="3">
        <f t="shared" si="43"/>
        <v>2.7825133333333335E-2</v>
      </c>
      <c r="M274" s="3">
        <f t="shared" si="44"/>
        <v>4.7437133333333326E-2</v>
      </c>
    </row>
    <row r="275" spans="1:13" x14ac:dyDescent="0.25">
      <c r="A275" s="5">
        <f t="shared" si="38"/>
        <v>32721</v>
      </c>
      <c r="B275" s="4">
        <v>1.26295E-2</v>
      </c>
      <c r="C275" s="4">
        <v>0.28351209999999999</v>
      </c>
      <c r="D275" s="4">
        <v>2.3108E-2</v>
      </c>
      <c r="E275" s="4">
        <v>0.2022283</v>
      </c>
      <c r="F275" s="4">
        <v>2.5207500000000001E-2</v>
      </c>
      <c r="G275" s="4">
        <v>4.4772699999999999E-2</v>
      </c>
      <c r="H275" s="3">
        <f t="shared" si="39"/>
        <v>1.3200500000000002E-2</v>
      </c>
      <c r="I275" s="3">
        <f t="shared" si="40"/>
        <v>0.29265883333333331</v>
      </c>
      <c r="J275" s="3">
        <f t="shared" si="41"/>
        <v>2.2394999999999998E-2</v>
      </c>
      <c r="K275" s="3">
        <f t="shared" si="42"/>
        <v>0.21201890000000001</v>
      </c>
      <c r="L275" s="3">
        <f t="shared" si="43"/>
        <v>2.7432666666666671E-2</v>
      </c>
      <c r="M275" s="3">
        <f t="shared" si="44"/>
        <v>4.6779299999999996E-2</v>
      </c>
    </row>
    <row r="276" spans="1:13" x14ac:dyDescent="0.25">
      <c r="A276" s="5">
        <f t="shared" si="38"/>
        <v>32752</v>
      </c>
      <c r="B276" s="4">
        <v>1.50305E-2</v>
      </c>
      <c r="C276" s="4">
        <v>0.32190629999999998</v>
      </c>
      <c r="D276" s="4">
        <v>2.3420199999999999E-2</v>
      </c>
      <c r="E276" s="4">
        <v>0.20506070000000001</v>
      </c>
      <c r="F276" s="4">
        <v>3.0135800000000001E-2</v>
      </c>
      <c r="G276" s="4">
        <v>4.9315199999999997E-2</v>
      </c>
      <c r="H276" s="3">
        <f t="shared" si="39"/>
        <v>1.3730166666666668E-2</v>
      </c>
      <c r="I276" s="3">
        <f t="shared" si="40"/>
        <v>0.29352566666666663</v>
      </c>
      <c r="J276" s="3">
        <f t="shared" si="41"/>
        <v>2.2929966666666666E-2</v>
      </c>
      <c r="K276" s="3">
        <f t="shared" si="42"/>
        <v>0.2057129</v>
      </c>
      <c r="L276" s="3">
        <f t="shared" si="43"/>
        <v>2.7595066666666668E-2</v>
      </c>
      <c r="M276" s="3">
        <f t="shared" si="44"/>
        <v>4.6548266666666664E-2</v>
      </c>
    </row>
    <row r="277" spans="1:13" x14ac:dyDescent="0.25">
      <c r="A277" s="5">
        <f t="shared" si="38"/>
        <v>32782</v>
      </c>
      <c r="B277" s="4">
        <v>1.4573900000000001E-2</v>
      </c>
      <c r="C277" s="4">
        <v>0.28005459999999999</v>
      </c>
      <c r="D277" s="4">
        <v>2.3185600000000001E-2</v>
      </c>
      <c r="E277" s="4">
        <v>0.2162647</v>
      </c>
      <c r="F277" s="4">
        <v>2.7626499999999998E-2</v>
      </c>
      <c r="G277" s="4">
        <v>4.7013100000000002E-2</v>
      </c>
      <c r="H277" s="3">
        <f t="shared" si="39"/>
        <v>1.4077966666666669E-2</v>
      </c>
      <c r="I277" s="3">
        <f t="shared" si="40"/>
        <v>0.29515766666666665</v>
      </c>
      <c r="J277" s="3">
        <f t="shared" si="41"/>
        <v>2.3237933333333332E-2</v>
      </c>
      <c r="K277" s="3">
        <f t="shared" si="42"/>
        <v>0.20785123333333333</v>
      </c>
      <c r="L277" s="3">
        <f t="shared" si="43"/>
        <v>2.76566E-2</v>
      </c>
      <c r="M277" s="3">
        <f t="shared" si="44"/>
        <v>4.7033666666666668E-2</v>
      </c>
    </row>
    <row r="278" spans="1:13" x14ac:dyDescent="0.25">
      <c r="A278" s="5">
        <f t="shared" si="38"/>
        <v>32813</v>
      </c>
      <c r="B278" s="4">
        <v>1.6728900000000001E-2</v>
      </c>
      <c r="C278" s="4">
        <v>0.32603589999999999</v>
      </c>
      <c r="D278" s="4">
        <v>2.3471499999999999E-2</v>
      </c>
      <c r="E278" s="4">
        <v>0.2098643</v>
      </c>
      <c r="F278" s="4">
        <v>2.8802000000000001E-2</v>
      </c>
      <c r="G278" s="4">
        <v>5.34858E-2</v>
      </c>
      <c r="H278" s="3">
        <f t="shared" si="39"/>
        <v>1.5444433333333335E-2</v>
      </c>
      <c r="I278" s="3">
        <f t="shared" si="40"/>
        <v>0.30933226666666663</v>
      </c>
      <c r="J278" s="3">
        <f t="shared" si="41"/>
        <v>2.3359100000000004E-2</v>
      </c>
      <c r="K278" s="3">
        <f t="shared" si="42"/>
        <v>0.21039656666666665</v>
      </c>
      <c r="L278" s="3">
        <f t="shared" si="43"/>
        <v>2.885476666666667E-2</v>
      </c>
      <c r="M278" s="3">
        <f t="shared" si="44"/>
        <v>4.9938033333333333E-2</v>
      </c>
    </row>
    <row r="279" spans="1:13" x14ac:dyDescent="0.25">
      <c r="A279" s="5">
        <f t="shared" si="38"/>
        <v>32843</v>
      </c>
      <c r="B279" s="4">
        <v>1.3161000000000001E-2</v>
      </c>
      <c r="C279" s="4">
        <v>0.28449980000000002</v>
      </c>
      <c r="D279" s="4">
        <v>2.22101E-2</v>
      </c>
      <c r="E279" s="4">
        <v>0.2070611</v>
      </c>
      <c r="F279" s="4">
        <v>2.8323600000000001E-2</v>
      </c>
      <c r="G279" s="4">
        <v>4.4197300000000002E-2</v>
      </c>
      <c r="H279" s="3">
        <f t="shared" si="39"/>
        <v>1.4821266666666668E-2</v>
      </c>
      <c r="I279" s="3">
        <f t="shared" si="40"/>
        <v>0.29686343333333332</v>
      </c>
      <c r="J279" s="3">
        <f t="shared" si="41"/>
        <v>2.2955733333333336E-2</v>
      </c>
      <c r="K279" s="3">
        <f t="shared" si="42"/>
        <v>0.21106336666666667</v>
      </c>
      <c r="L279" s="3">
        <f t="shared" si="43"/>
        <v>2.82507E-2</v>
      </c>
      <c r="M279" s="3">
        <f t="shared" si="44"/>
        <v>4.8232066666666663E-2</v>
      </c>
    </row>
    <row r="280" spans="1:13" x14ac:dyDescent="0.25">
      <c r="A280" s="5">
        <f t="shared" si="38"/>
        <v>32874</v>
      </c>
      <c r="B280" s="4">
        <v>1.4291999999999999E-2</v>
      </c>
      <c r="C280" s="4">
        <v>0.29518499999999998</v>
      </c>
      <c r="D280" s="4">
        <v>2.26745E-2</v>
      </c>
      <c r="E280" s="4">
        <v>0.2231639</v>
      </c>
      <c r="F280" s="4">
        <v>2.7986400000000002E-2</v>
      </c>
      <c r="G280" s="4">
        <v>4.99152E-2</v>
      </c>
      <c r="H280" s="3">
        <f t="shared" si="39"/>
        <v>1.47273E-2</v>
      </c>
      <c r="I280" s="3">
        <f t="shared" si="40"/>
        <v>0.30190690000000003</v>
      </c>
      <c r="J280" s="3">
        <f t="shared" si="41"/>
        <v>2.2785366666666668E-2</v>
      </c>
      <c r="K280" s="3">
        <f t="shared" si="42"/>
        <v>0.2133631</v>
      </c>
      <c r="L280" s="3">
        <f t="shared" si="43"/>
        <v>2.8370666666666666E-2</v>
      </c>
      <c r="M280" s="3">
        <f t="shared" si="44"/>
        <v>4.9199433333333327E-2</v>
      </c>
    </row>
    <row r="281" spans="1:13" x14ac:dyDescent="0.25">
      <c r="A281" s="5">
        <f t="shared" si="38"/>
        <v>32905</v>
      </c>
      <c r="B281" s="4">
        <v>1.5103399999999999E-2</v>
      </c>
      <c r="C281" s="4">
        <v>0.3458734</v>
      </c>
      <c r="D281" s="4">
        <v>2.3473000000000001E-2</v>
      </c>
      <c r="E281" s="4">
        <v>0.20867849999999999</v>
      </c>
      <c r="F281" s="4">
        <v>3.1851600000000001E-2</v>
      </c>
      <c r="G281" s="4">
        <v>5.3573500000000003E-2</v>
      </c>
      <c r="H281" s="3">
        <f t="shared" si="39"/>
        <v>1.4185466666666665E-2</v>
      </c>
      <c r="I281" s="3">
        <f t="shared" si="40"/>
        <v>0.3085194</v>
      </c>
      <c r="J281" s="3">
        <f t="shared" si="41"/>
        <v>2.2785866666666665E-2</v>
      </c>
      <c r="K281" s="3">
        <f t="shared" si="42"/>
        <v>0.21296783333333333</v>
      </c>
      <c r="L281" s="3">
        <f t="shared" si="43"/>
        <v>2.9387200000000002E-2</v>
      </c>
      <c r="M281" s="3">
        <f t="shared" si="44"/>
        <v>4.9228666666666671E-2</v>
      </c>
    </row>
    <row r="282" spans="1:13" x14ac:dyDescent="0.25">
      <c r="A282" s="5">
        <f t="shared" si="38"/>
        <v>32933</v>
      </c>
      <c r="B282" s="4">
        <v>1.4182800000000001E-2</v>
      </c>
      <c r="C282" s="4">
        <v>0.29210999999999998</v>
      </c>
      <c r="D282" s="4">
        <v>2.1784399999999999E-2</v>
      </c>
      <c r="E282" s="4">
        <v>0.22515360000000001</v>
      </c>
      <c r="F282" s="4">
        <v>3.03526E-2</v>
      </c>
      <c r="G282" s="4">
        <v>5.1661899999999997E-2</v>
      </c>
      <c r="H282" s="3">
        <f t="shared" si="39"/>
        <v>1.4526066666666665E-2</v>
      </c>
      <c r="I282" s="3">
        <f t="shared" si="40"/>
        <v>0.31105613333333332</v>
      </c>
      <c r="J282" s="3">
        <f t="shared" si="41"/>
        <v>2.2643966666666668E-2</v>
      </c>
      <c r="K282" s="3">
        <f t="shared" si="42"/>
        <v>0.21899866666666665</v>
      </c>
      <c r="L282" s="3">
        <f t="shared" si="43"/>
        <v>3.0063533333333337E-2</v>
      </c>
      <c r="M282" s="3">
        <f t="shared" si="44"/>
        <v>5.1716866666666667E-2</v>
      </c>
    </row>
    <row r="283" spans="1:13" x14ac:dyDescent="0.25">
      <c r="A283" s="5">
        <f t="shared" si="38"/>
        <v>32964</v>
      </c>
      <c r="B283" s="4">
        <v>1.4618600000000001E-2</v>
      </c>
      <c r="C283" s="4">
        <v>0.26496320000000001</v>
      </c>
      <c r="D283" s="4">
        <v>2.16943E-2</v>
      </c>
      <c r="E283" s="4">
        <v>0.21268999999999999</v>
      </c>
      <c r="F283" s="4">
        <v>2.9375499999999999E-2</v>
      </c>
      <c r="G283" s="4">
        <v>4.7459899999999999E-2</v>
      </c>
      <c r="H283" s="3">
        <f t="shared" si="39"/>
        <v>1.4634933333333334E-2</v>
      </c>
      <c r="I283" s="3">
        <f t="shared" si="40"/>
        <v>0.30098219999999998</v>
      </c>
      <c r="J283" s="3">
        <f t="shared" si="41"/>
        <v>2.2317233333333335E-2</v>
      </c>
      <c r="K283" s="3">
        <f t="shared" si="42"/>
        <v>0.21550736666666667</v>
      </c>
      <c r="L283" s="3">
        <f t="shared" si="43"/>
        <v>3.0526566666666668E-2</v>
      </c>
      <c r="M283" s="3">
        <f t="shared" si="44"/>
        <v>5.0898433333333333E-2</v>
      </c>
    </row>
    <row r="284" spans="1:13" x14ac:dyDescent="0.25">
      <c r="A284" s="5">
        <f t="shared" si="38"/>
        <v>32994</v>
      </c>
      <c r="B284" s="4">
        <v>1.36194E-2</v>
      </c>
      <c r="C284" s="4">
        <v>0.2725032</v>
      </c>
      <c r="D284" s="4">
        <v>2.2984899999999999E-2</v>
      </c>
      <c r="E284" s="4">
        <v>0.19628190000000001</v>
      </c>
      <c r="F284" s="4">
        <v>2.5286300000000001E-2</v>
      </c>
      <c r="G284" s="4">
        <v>4.7141500000000003E-2</v>
      </c>
      <c r="H284" s="3">
        <f t="shared" si="39"/>
        <v>1.4140266666666667E-2</v>
      </c>
      <c r="I284" s="3">
        <f t="shared" si="40"/>
        <v>0.27652546666666672</v>
      </c>
      <c r="J284" s="3">
        <f t="shared" si="41"/>
        <v>2.2154533333333334E-2</v>
      </c>
      <c r="K284" s="3">
        <f t="shared" si="42"/>
        <v>0.21137516666666667</v>
      </c>
      <c r="L284" s="3">
        <f t="shared" si="43"/>
        <v>2.8338133333333335E-2</v>
      </c>
      <c r="M284" s="3">
        <f t="shared" si="44"/>
        <v>4.8754433333333326E-2</v>
      </c>
    </row>
    <row r="285" spans="1:13" x14ac:dyDescent="0.25">
      <c r="A285" s="5">
        <f t="shared" si="38"/>
        <v>33025</v>
      </c>
      <c r="B285" s="4">
        <v>1.43635E-2</v>
      </c>
      <c r="C285" s="4">
        <v>0.3143997</v>
      </c>
      <c r="D285" s="4">
        <v>2.0609599999999999E-2</v>
      </c>
      <c r="E285" s="4">
        <v>0.219947</v>
      </c>
      <c r="F285" s="4">
        <v>2.8784899999999999E-2</v>
      </c>
      <c r="G285" s="4">
        <v>4.7044599999999999E-2</v>
      </c>
      <c r="H285" s="3">
        <f t="shared" si="39"/>
        <v>1.42005E-2</v>
      </c>
      <c r="I285" s="3">
        <f t="shared" si="40"/>
        <v>0.28395536666666671</v>
      </c>
      <c r="J285" s="3">
        <f t="shared" si="41"/>
        <v>2.1762933333333335E-2</v>
      </c>
      <c r="K285" s="3">
        <f t="shared" si="42"/>
        <v>0.20963963333333333</v>
      </c>
      <c r="L285" s="3">
        <f t="shared" si="43"/>
        <v>2.7815566666666666E-2</v>
      </c>
      <c r="M285" s="3">
        <f t="shared" si="44"/>
        <v>4.7215333333333331E-2</v>
      </c>
    </row>
    <row r="286" spans="1:13" x14ac:dyDescent="0.25">
      <c r="A286" s="5">
        <f t="shared" si="38"/>
        <v>33055</v>
      </c>
      <c r="B286" s="4">
        <v>1.4050399999999999E-2</v>
      </c>
      <c r="C286" s="4">
        <v>0.25985180000000002</v>
      </c>
      <c r="D286" s="4">
        <v>2.15558E-2</v>
      </c>
      <c r="E286" s="4">
        <v>0.21995700000000001</v>
      </c>
      <c r="F286" s="4">
        <v>2.65928E-2</v>
      </c>
      <c r="G286" s="4">
        <v>4.6056E-2</v>
      </c>
      <c r="H286" s="3">
        <f t="shared" si="39"/>
        <v>1.4011099999999999E-2</v>
      </c>
      <c r="I286" s="3">
        <f t="shared" si="40"/>
        <v>0.28225156666666668</v>
      </c>
      <c r="J286" s="3">
        <f t="shared" si="41"/>
        <v>2.1716766666666665E-2</v>
      </c>
      <c r="K286" s="3">
        <f t="shared" si="42"/>
        <v>0.21206196666666668</v>
      </c>
      <c r="L286" s="3">
        <f t="shared" si="43"/>
        <v>2.6887999999999999E-2</v>
      </c>
      <c r="M286" s="3">
        <f t="shared" si="44"/>
        <v>4.6747366666666658E-2</v>
      </c>
    </row>
    <row r="287" spans="1:13" x14ac:dyDescent="0.25">
      <c r="A287" s="5">
        <f t="shared" si="38"/>
        <v>33086</v>
      </c>
      <c r="B287" s="4">
        <v>1.5304E-2</v>
      </c>
      <c r="C287" s="4">
        <v>0.29981269999999999</v>
      </c>
      <c r="D287" s="4">
        <v>2.4523199999999998E-2</v>
      </c>
      <c r="E287" s="4">
        <v>0.20630370000000001</v>
      </c>
      <c r="F287" s="4">
        <v>2.86333E-2</v>
      </c>
      <c r="G287" s="4">
        <v>4.64824E-2</v>
      </c>
      <c r="H287" s="3">
        <f t="shared" si="39"/>
        <v>1.4572633333333333E-2</v>
      </c>
      <c r="I287" s="3">
        <f t="shared" si="40"/>
        <v>0.29135473333333334</v>
      </c>
      <c r="J287" s="3">
        <f t="shared" si="41"/>
        <v>2.2229533333333332E-2</v>
      </c>
      <c r="K287" s="3">
        <f t="shared" si="42"/>
        <v>0.21540256666666668</v>
      </c>
      <c r="L287" s="3">
        <f t="shared" si="43"/>
        <v>2.8003666666666666E-2</v>
      </c>
      <c r="M287" s="3">
        <f t="shared" si="44"/>
        <v>4.6527666666666669E-2</v>
      </c>
    </row>
    <row r="288" spans="1:13" x14ac:dyDescent="0.25">
      <c r="A288" s="5">
        <f t="shared" si="38"/>
        <v>33117</v>
      </c>
      <c r="B288" s="4">
        <v>1.33642E-2</v>
      </c>
      <c r="C288" s="4">
        <v>0.24031920000000001</v>
      </c>
      <c r="D288" s="4">
        <v>2.2005500000000001E-2</v>
      </c>
      <c r="E288" s="4">
        <v>0.1953442</v>
      </c>
      <c r="F288" s="4">
        <v>2.4936099999999999E-2</v>
      </c>
      <c r="G288" s="4">
        <v>4.30549E-2</v>
      </c>
      <c r="H288" s="3">
        <f t="shared" si="39"/>
        <v>1.4239533333333332E-2</v>
      </c>
      <c r="I288" s="3">
        <f t="shared" si="40"/>
        <v>0.26666123333333336</v>
      </c>
      <c r="J288" s="3">
        <f t="shared" si="41"/>
        <v>2.2694833333333331E-2</v>
      </c>
      <c r="K288" s="3">
        <f t="shared" si="42"/>
        <v>0.20720163333333333</v>
      </c>
      <c r="L288" s="3">
        <f t="shared" si="43"/>
        <v>2.6720733333333333E-2</v>
      </c>
      <c r="M288" s="3">
        <f t="shared" si="44"/>
        <v>4.5197766666666667E-2</v>
      </c>
    </row>
    <row r="289" spans="1:13" x14ac:dyDescent="0.25">
      <c r="A289" s="5">
        <f t="shared" si="38"/>
        <v>33147</v>
      </c>
      <c r="B289" s="4">
        <v>1.54164E-2</v>
      </c>
      <c r="C289" s="4">
        <v>0.27033370000000001</v>
      </c>
      <c r="D289" s="4">
        <v>2.2951200000000001E-2</v>
      </c>
      <c r="E289" s="4">
        <v>0.19903029999999999</v>
      </c>
      <c r="F289" s="4">
        <v>2.73031E-2</v>
      </c>
      <c r="G289" s="4">
        <v>4.3076900000000001E-2</v>
      </c>
      <c r="H289" s="3">
        <f t="shared" si="39"/>
        <v>1.4694866666666667E-2</v>
      </c>
      <c r="I289" s="3">
        <f t="shared" si="40"/>
        <v>0.27015519999999998</v>
      </c>
      <c r="J289" s="3">
        <f t="shared" si="41"/>
        <v>2.3159966666666667E-2</v>
      </c>
      <c r="K289" s="3">
        <f t="shared" si="42"/>
        <v>0.20022606666666665</v>
      </c>
      <c r="L289" s="3">
        <f t="shared" si="43"/>
        <v>2.6957499999999999E-2</v>
      </c>
      <c r="M289" s="3">
        <f t="shared" si="44"/>
        <v>4.4204733333333336E-2</v>
      </c>
    </row>
    <row r="290" spans="1:13" x14ac:dyDescent="0.25">
      <c r="A290" s="5">
        <f t="shared" si="38"/>
        <v>33178</v>
      </c>
      <c r="B290" s="4">
        <v>1.72923E-2</v>
      </c>
      <c r="C290" s="4">
        <v>0.28903390000000001</v>
      </c>
      <c r="D290" s="4">
        <v>2.36741E-2</v>
      </c>
      <c r="E290" s="4">
        <v>0.21111089999999999</v>
      </c>
      <c r="F290" s="4">
        <v>2.8482E-2</v>
      </c>
      <c r="G290" s="4">
        <v>4.8345800000000001E-2</v>
      </c>
      <c r="H290" s="3">
        <f t="shared" si="39"/>
        <v>1.5357633333333334E-2</v>
      </c>
      <c r="I290" s="3">
        <f t="shared" si="40"/>
        <v>0.26656226666666666</v>
      </c>
      <c r="J290" s="3">
        <f t="shared" si="41"/>
        <v>2.2876933333333335E-2</v>
      </c>
      <c r="K290" s="3">
        <f t="shared" si="42"/>
        <v>0.20182846666666665</v>
      </c>
      <c r="L290" s="3">
        <f t="shared" si="43"/>
        <v>2.6907066666666663E-2</v>
      </c>
      <c r="M290" s="3">
        <f t="shared" si="44"/>
        <v>4.4825866666666665E-2</v>
      </c>
    </row>
    <row r="291" spans="1:13" x14ac:dyDescent="0.25">
      <c r="A291" s="5">
        <f t="shared" si="38"/>
        <v>33208</v>
      </c>
      <c r="B291" s="4">
        <v>1.4740100000000001E-2</v>
      </c>
      <c r="C291" s="4">
        <v>0.25035580000000002</v>
      </c>
      <c r="D291" s="4">
        <v>2.5252400000000001E-2</v>
      </c>
      <c r="E291" s="4">
        <v>0.1943764</v>
      </c>
      <c r="F291" s="4">
        <v>2.5042499999999999E-2</v>
      </c>
      <c r="G291" s="4">
        <v>4.6807500000000002E-2</v>
      </c>
      <c r="H291" s="3">
        <f t="shared" si="39"/>
        <v>1.5816266666666665E-2</v>
      </c>
      <c r="I291" s="3">
        <f t="shared" si="40"/>
        <v>0.26990780000000003</v>
      </c>
      <c r="J291" s="3">
        <f t="shared" si="41"/>
        <v>2.3959233333333333E-2</v>
      </c>
      <c r="K291" s="3">
        <f t="shared" si="42"/>
        <v>0.20150586666666667</v>
      </c>
      <c r="L291" s="3">
        <f t="shared" si="43"/>
        <v>2.6942533333333334E-2</v>
      </c>
      <c r="M291" s="3">
        <f t="shared" si="44"/>
        <v>4.6076733333333335E-2</v>
      </c>
    </row>
    <row r="292" spans="1:13" x14ac:dyDescent="0.25">
      <c r="A292" s="5">
        <f t="shared" si="38"/>
        <v>33239</v>
      </c>
      <c r="B292" s="4">
        <v>1.56852E-2</v>
      </c>
      <c r="C292" s="4">
        <v>0.2483697</v>
      </c>
      <c r="D292" s="4">
        <v>2.49073E-2</v>
      </c>
      <c r="E292" s="4">
        <v>0.20666319999999999</v>
      </c>
      <c r="F292" s="4">
        <v>2.8771700000000001E-2</v>
      </c>
      <c r="G292" s="4">
        <v>4.1366E-2</v>
      </c>
      <c r="H292" s="3">
        <f t="shared" si="39"/>
        <v>1.5905866666666667E-2</v>
      </c>
      <c r="I292" s="3">
        <f t="shared" si="40"/>
        <v>0.26258646666666668</v>
      </c>
      <c r="J292" s="3">
        <f t="shared" si="41"/>
        <v>2.4611266666666669E-2</v>
      </c>
      <c r="K292" s="3">
        <f t="shared" si="42"/>
        <v>0.20405016666666667</v>
      </c>
      <c r="L292" s="3">
        <f t="shared" si="43"/>
        <v>2.7432066666666668E-2</v>
      </c>
      <c r="M292" s="3">
        <f t="shared" si="44"/>
        <v>4.5506433333333339E-2</v>
      </c>
    </row>
    <row r="293" spans="1:13" x14ac:dyDescent="0.25">
      <c r="A293" s="5">
        <f t="shared" si="38"/>
        <v>33270</v>
      </c>
      <c r="B293" s="4">
        <v>1.78245E-2</v>
      </c>
      <c r="C293" s="4">
        <v>0.27868480000000001</v>
      </c>
      <c r="D293" s="4">
        <v>2.5893900000000001E-2</v>
      </c>
      <c r="E293" s="4">
        <v>0.1925473</v>
      </c>
      <c r="F293" s="4">
        <v>2.5959400000000001E-2</v>
      </c>
      <c r="G293" s="4">
        <v>4.7595800000000001E-2</v>
      </c>
      <c r="H293" s="3">
        <f t="shared" si="39"/>
        <v>1.6083266666666669E-2</v>
      </c>
      <c r="I293" s="3">
        <f t="shared" si="40"/>
        <v>0.25913676666666668</v>
      </c>
      <c r="J293" s="3">
        <f t="shared" si="41"/>
        <v>2.5351200000000001E-2</v>
      </c>
      <c r="K293" s="3">
        <f t="shared" si="42"/>
        <v>0.19786230000000002</v>
      </c>
      <c r="L293" s="3">
        <f t="shared" si="43"/>
        <v>2.6591199999999999E-2</v>
      </c>
      <c r="M293" s="3">
        <f t="shared" si="44"/>
        <v>4.5256433333333339E-2</v>
      </c>
    </row>
    <row r="294" spans="1:13" x14ac:dyDescent="0.25">
      <c r="A294" s="5">
        <f t="shared" si="38"/>
        <v>33298</v>
      </c>
      <c r="B294" s="4">
        <v>1.8027499999999998E-2</v>
      </c>
      <c r="C294" s="4">
        <v>0.2547199</v>
      </c>
      <c r="D294" s="4">
        <v>2.3789500000000002E-2</v>
      </c>
      <c r="E294" s="4">
        <v>0.18495139999999999</v>
      </c>
      <c r="F294" s="4">
        <v>2.7814700000000001E-2</v>
      </c>
      <c r="G294" s="4">
        <v>4.5899299999999997E-2</v>
      </c>
      <c r="H294" s="3">
        <f t="shared" si="39"/>
        <v>1.717906666666667E-2</v>
      </c>
      <c r="I294" s="3">
        <f t="shared" si="40"/>
        <v>0.26059146666666666</v>
      </c>
      <c r="J294" s="3">
        <f t="shared" si="41"/>
        <v>2.486356666666667E-2</v>
      </c>
      <c r="K294" s="3">
        <f t="shared" si="42"/>
        <v>0.19472063333333334</v>
      </c>
      <c r="L294" s="3">
        <f t="shared" si="43"/>
        <v>2.7515266666666666E-2</v>
      </c>
      <c r="M294" s="3">
        <f t="shared" si="44"/>
        <v>4.4953700000000006E-2</v>
      </c>
    </row>
    <row r="295" spans="1:13" x14ac:dyDescent="0.25">
      <c r="A295" s="5">
        <f t="shared" si="38"/>
        <v>33329</v>
      </c>
      <c r="B295" s="4">
        <v>1.5854099999999999E-2</v>
      </c>
      <c r="C295" s="4">
        <v>0.2604339</v>
      </c>
      <c r="D295" s="4">
        <v>2.38523E-2</v>
      </c>
      <c r="E295" s="4">
        <v>0.1801267</v>
      </c>
      <c r="F295" s="4">
        <v>2.5654E-2</v>
      </c>
      <c r="G295" s="4">
        <v>4.10487E-2</v>
      </c>
      <c r="H295" s="3">
        <f t="shared" si="39"/>
        <v>1.7235366666666665E-2</v>
      </c>
      <c r="I295" s="3">
        <f t="shared" si="40"/>
        <v>0.26461286666666667</v>
      </c>
      <c r="J295" s="3">
        <f t="shared" si="41"/>
        <v>2.4511900000000003E-2</v>
      </c>
      <c r="K295" s="3">
        <f t="shared" si="42"/>
        <v>0.1858751333333333</v>
      </c>
      <c r="L295" s="3">
        <f t="shared" si="43"/>
        <v>2.6476033333333333E-2</v>
      </c>
      <c r="M295" s="3">
        <f t="shared" si="44"/>
        <v>4.4847933333333333E-2</v>
      </c>
    </row>
    <row r="296" spans="1:13" x14ac:dyDescent="0.25">
      <c r="A296" s="5">
        <f t="shared" si="38"/>
        <v>33359</v>
      </c>
      <c r="B296" s="4">
        <v>1.7939900000000002E-2</v>
      </c>
      <c r="C296" s="4">
        <v>0.26211770000000001</v>
      </c>
      <c r="D296" s="4">
        <v>2.7094199999999999E-2</v>
      </c>
      <c r="E296" s="4">
        <v>0.19983300000000001</v>
      </c>
      <c r="F296" s="4">
        <v>2.9250499999999999E-2</v>
      </c>
      <c r="G296" s="4">
        <v>4.5075499999999998E-2</v>
      </c>
      <c r="H296" s="3">
        <f t="shared" si="39"/>
        <v>1.7273833333333332E-2</v>
      </c>
      <c r="I296" s="3">
        <f t="shared" si="40"/>
        <v>0.2590905</v>
      </c>
      <c r="J296" s="3">
        <f t="shared" si="41"/>
        <v>2.4912E-2</v>
      </c>
      <c r="K296" s="3">
        <f t="shared" si="42"/>
        <v>0.18830369999999999</v>
      </c>
      <c r="L296" s="3">
        <f t="shared" si="43"/>
        <v>2.7573066666666663E-2</v>
      </c>
      <c r="M296" s="3">
        <f t="shared" si="44"/>
        <v>4.4007833333333329E-2</v>
      </c>
    </row>
    <row r="297" spans="1:13" x14ac:dyDescent="0.25">
      <c r="A297" s="5">
        <f t="shared" si="38"/>
        <v>33390</v>
      </c>
      <c r="B297" s="4">
        <v>1.47741E-2</v>
      </c>
      <c r="C297" s="4">
        <v>0.24082110000000001</v>
      </c>
      <c r="D297" s="4">
        <v>2.5153700000000001E-2</v>
      </c>
      <c r="E297" s="4">
        <v>0.1955568</v>
      </c>
      <c r="F297" s="4">
        <v>2.50814E-2</v>
      </c>
      <c r="G297" s="4">
        <v>4.0782899999999997E-2</v>
      </c>
      <c r="H297" s="3">
        <f t="shared" si="39"/>
        <v>1.6189366666666666E-2</v>
      </c>
      <c r="I297" s="3">
        <f t="shared" si="40"/>
        <v>0.25445756666666669</v>
      </c>
      <c r="J297" s="3">
        <f t="shared" si="41"/>
        <v>2.5366733333333336E-2</v>
      </c>
      <c r="K297" s="3">
        <f t="shared" si="42"/>
        <v>0.19183883333333332</v>
      </c>
      <c r="L297" s="3">
        <f t="shared" si="43"/>
        <v>2.6661966666666665E-2</v>
      </c>
      <c r="M297" s="3">
        <f t="shared" si="44"/>
        <v>4.2302366666666667E-2</v>
      </c>
    </row>
    <row r="298" spans="1:13" x14ac:dyDescent="0.25">
      <c r="A298" s="5">
        <f t="shared" si="38"/>
        <v>33420</v>
      </c>
      <c r="B298" s="4">
        <v>1.4663199999999999E-2</v>
      </c>
      <c r="C298" s="4">
        <v>0.22240009999999999</v>
      </c>
      <c r="D298" s="4">
        <v>2.35759E-2</v>
      </c>
      <c r="E298" s="4">
        <v>0.19436100000000001</v>
      </c>
      <c r="F298" s="4">
        <v>2.5083100000000001E-2</v>
      </c>
      <c r="G298" s="4">
        <v>4.2273100000000001E-2</v>
      </c>
      <c r="H298" s="3">
        <f t="shared" si="39"/>
        <v>1.5792400000000002E-2</v>
      </c>
      <c r="I298" s="3">
        <f t="shared" si="40"/>
        <v>0.24177963333333333</v>
      </c>
      <c r="J298" s="3">
        <f t="shared" si="41"/>
        <v>2.5274599999999998E-2</v>
      </c>
      <c r="K298" s="3">
        <f t="shared" si="42"/>
        <v>0.1965836</v>
      </c>
      <c r="L298" s="3">
        <f t="shared" si="43"/>
        <v>2.6471666666666668E-2</v>
      </c>
      <c r="M298" s="3">
        <f t="shared" si="44"/>
        <v>4.2710500000000005E-2</v>
      </c>
    </row>
    <row r="299" spans="1:13" x14ac:dyDescent="0.25">
      <c r="A299" s="5">
        <f t="shared" si="38"/>
        <v>33451</v>
      </c>
      <c r="B299" s="4">
        <v>1.6090199999999999E-2</v>
      </c>
      <c r="C299" s="4">
        <v>0.2706228</v>
      </c>
      <c r="D299" s="4">
        <v>2.4553499999999999E-2</v>
      </c>
      <c r="E299" s="4">
        <v>0.2002987</v>
      </c>
      <c r="F299" s="4">
        <v>2.8796800000000001E-2</v>
      </c>
      <c r="G299" s="4">
        <v>4.4171000000000002E-2</v>
      </c>
      <c r="H299" s="3">
        <f t="shared" si="39"/>
        <v>1.5175833333333333E-2</v>
      </c>
      <c r="I299" s="3">
        <f t="shared" si="40"/>
        <v>0.24461466666666665</v>
      </c>
      <c r="J299" s="3">
        <f t="shared" si="41"/>
        <v>2.4427699999999997E-2</v>
      </c>
      <c r="K299" s="3">
        <f t="shared" si="42"/>
        <v>0.19673883333333331</v>
      </c>
      <c r="L299" s="3">
        <f t="shared" si="43"/>
        <v>2.6320433333333334E-2</v>
      </c>
      <c r="M299" s="3">
        <f t="shared" si="44"/>
        <v>4.2408999999999995E-2</v>
      </c>
    </row>
    <row r="300" spans="1:13" x14ac:dyDescent="0.25">
      <c r="A300" s="5">
        <f t="shared" si="38"/>
        <v>33482</v>
      </c>
      <c r="B300" s="4">
        <v>1.5032800000000001E-2</v>
      </c>
      <c r="C300" s="4">
        <v>0.24879960000000001</v>
      </c>
      <c r="D300" s="4">
        <v>2.5997599999999999E-2</v>
      </c>
      <c r="E300" s="4">
        <v>0.18940109999999999</v>
      </c>
      <c r="F300" s="4">
        <v>2.3277900000000001E-2</v>
      </c>
      <c r="G300" s="4">
        <v>4.1997699999999999E-2</v>
      </c>
      <c r="H300" s="3">
        <f t="shared" si="39"/>
        <v>1.5262066666666666E-2</v>
      </c>
      <c r="I300" s="3">
        <f t="shared" si="40"/>
        <v>0.24727416666666668</v>
      </c>
      <c r="J300" s="3">
        <f t="shared" si="41"/>
        <v>2.4708999999999998E-2</v>
      </c>
      <c r="K300" s="3">
        <f t="shared" si="42"/>
        <v>0.19468693333333334</v>
      </c>
      <c r="L300" s="3">
        <f t="shared" si="43"/>
        <v>2.5719266666666667E-2</v>
      </c>
      <c r="M300" s="3">
        <f t="shared" si="44"/>
        <v>4.2813933333333332E-2</v>
      </c>
    </row>
    <row r="301" spans="1:13" x14ac:dyDescent="0.25">
      <c r="A301" s="5">
        <f t="shared" si="38"/>
        <v>33512</v>
      </c>
      <c r="B301" s="4">
        <v>1.5960599999999998E-2</v>
      </c>
      <c r="C301" s="4">
        <v>0.2386788</v>
      </c>
      <c r="D301" s="4">
        <v>2.52362E-2</v>
      </c>
      <c r="E301" s="4">
        <v>0.204347</v>
      </c>
      <c r="F301" s="4">
        <v>2.56364E-2</v>
      </c>
      <c r="G301" s="4">
        <v>3.9636200000000003E-2</v>
      </c>
      <c r="H301" s="3">
        <f t="shared" si="39"/>
        <v>1.5694533333333333E-2</v>
      </c>
      <c r="I301" s="3">
        <f t="shared" si="40"/>
        <v>0.25270039999999999</v>
      </c>
      <c r="J301" s="3">
        <f t="shared" si="41"/>
        <v>2.5262433333333334E-2</v>
      </c>
      <c r="K301" s="3">
        <f t="shared" si="42"/>
        <v>0.19801559999999999</v>
      </c>
      <c r="L301" s="3">
        <f t="shared" si="43"/>
        <v>2.5903700000000002E-2</v>
      </c>
      <c r="M301" s="3">
        <f t="shared" si="44"/>
        <v>4.1934966666666663E-2</v>
      </c>
    </row>
    <row r="302" spans="1:13" x14ac:dyDescent="0.25">
      <c r="A302" s="5">
        <f t="shared" si="38"/>
        <v>33543</v>
      </c>
      <c r="B302" s="4">
        <v>1.68769E-2</v>
      </c>
      <c r="C302" s="4">
        <v>0.25489869999999998</v>
      </c>
      <c r="D302" s="4">
        <v>2.5890900000000001E-2</v>
      </c>
      <c r="E302" s="4">
        <v>0.19067619999999999</v>
      </c>
      <c r="F302" s="4">
        <v>2.6375900000000001E-2</v>
      </c>
      <c r="G302" s="4">
        <v>4.06865E-2</v>
      </c>
      <c r="H302" s="3">
        <f t="shared" si="39"/>
        <v>1.5956766666666667E-2</v>
      </c>
      <c r="I302" s="3">
        <f t="shared" si="40"/>
        <v>0.2474590333333333</v>
      </c>
      <c r="J302" s="3">
        <f t="shared" si="41"/>
        <v>2.570823333333333E-2</v>
      </c>
      <c r="K302" s="3">
        <f t="shared" si="42"/>
        <v>0.19480810000000001</v>
      </c>
      <c r="L302" s="3">
        <f t="shared" si="43"/>
        <v>2.5096733333333333E-2</v>
      </c>
      <c r="M302" s="3">
        <f t="shared" si="44"/>
        <v>4.0773466666666668E-2</v>
      </c>
    </row>
    <row r="303" spans="1:13" x14ac:dyDescent="0.25">
      <c r="A303" s="5">
        <f t="shared" si="38"/>
        <v>33573</v>
      </c>
      <c r="B303" s="4">
        <v>1.5537499999999999E-2</v>
      </c>
      <c r="C303" s="4">
        <v>0.2160271</v>
      </c>
      <c r="D303" s="4">
        <v>2.7416300000000001E-2</v>
      </c>
      <c r="E303" s="4">
        <v>0.19155330000000001</v>
      </c>
      <c r="F303" s="4">
        <v>2.42998E-2</v>
      </c>
      <c r="G303" s="4">
        <v>3.8981799999999997E-2</v>
      </c>
      <c r="H303" s="3">
        <f t="shared" si="39"/>
        <v>1.6125E-2</v>
      </c>
      <c r="I303" s="3">
        <f t="shared" si="40"/>
        <v>0.23653486666666668</v>
      </c>
      <c r="J303" s="3">
        <f t="shared" si="41"/>
        <v>2.6181133333333332E-2</v>
      </c>
      <c r="K303" s="3">
        <f t="shared" si="42"/>
        <v>0.19552550000000002</v>
      </c>
      <c r="L303" s="3">
        <f t="shared" si="43"/>
        <v>2.5437366666666666E-2</v>
      </c>
      <c r="M303" s="3">
        <f t="shared" si="44"/>
        <v>3.9768166666666667E-2</v>
      </c>
    </row>
    <row r="304" spans="1:13" x14ac:dyDescent="0.25">
      <c r="A304" s="5">
        <f t="shared" si="38"/>
        <v>33604</v>
      </c>
      <c r="B304" s="4">
        <v>1.6353699999999999E-2</v>
      </c>
      <c r="C304" s="4">
        <v>0.27468169999999997</v>
      </c>
      <c r="D304" s="4">
        <v>2.80404E-2</v>
      </c>
      <c r="E304" s="4">
        <v>0.17716680000000001</v>
      </c>
      <c r="F304" s="4">
        <v>2.5999700000000001E-2</v>
      </c>
      <c r="G304" s="4">
        <v>4.6937199999999998E-2</v>
      </c>
      <c r="H304" s="3">
        <f t="shared" si="39"/>
        <v>1.6256033333333333E-2</v>
      </c>
      <c r="I304" s="3">
        <f t="shared" si="40"/>
        <v>0.24853583333333332</v>
      </c>
      <c r="J304" s="3">
        <f t="shared" si="41"/>
        <v>2.7115866666666665E-2</v>
      </c>
      <c r="K304" s="3">
        <f t="shared" si="42"/>
        <v>0.18646543333333332</v>
      </c>
      <c r="L304" s="3">
        <f t="shared" si="43"/>
        <v>2.5558466666666668E-2</v>
      </c>
      <c r="M304" s="3">
        <f t="shared" si="44"/>
        <v>4.2201833333333327E-2</v>
      </c>
    </row>
    <row r="305" spans="1:13" x14ac:dyDescent="0.25">
      <c r="A305" s="5">
        <f t="shared" si="38"/>
        <v>33635</v>
      </c>
      <c r="B305" s="4">
        <v>1.5626899999999999E-2</v>
      </c>
      <c r="C305" s="4">
        <v>0.21198610000000001</v>
      </c>
      <c r="D305" s="4">
        <v>2.51883E-2</v>
      </c>
      <c r="E305" s="4">
        <v>0.17489150000000001</v>
      </c>
      <c r="F305" s="4">
        <v>2.4801299999999998E-2</v>
      </c>
      <c r="G305" s="4">
        <v>3.9942100000000001E-2</v>
      </c>
      <c r="H305" s="3">
        <f t="shared" si="39"/>
        <v>1.5839366666666663E-2</v>
      </c>
      <c r="I305" s="3">
        <f t="shared" si="40"/>
        <v>0.23423163333333333</v>
      </c>
      <c r="J305" s="3">
        <f t="shared" si="41"/>
        <v>2.6881666666666665E-2</v>
      </c>
      <c r="K305" s="3">
        <f t="shared" si="42"/>
        <v>0.18120386666666666</v>
      </c>
      <c r="L305" s="3">
        <f t="shared" si="43"/>
        <v>2.50336E-2</v>
      </c>
      <c r="M305" s="3">
        <f t="shared" si="44"/>
        <v>4.1953700000000003E-2</v>
      </c>
    </row>
    <row r="306" spans="1:13" x14ac:dyDescent="0.25">
      <c r="A306" s="5">
        <f t="shared" si="38"/>
        <v>33664</v>
      </c>
      <c r="B306" s="4">
        <v>1.48878E-2</v>
      </c>
      <c r="C306" s="4">
        <v>0.22369359999999999</v>
      </c>
      <c r="D306" s="4">
        <v>2.6769899999999999E-2</v>
      </c>
      <c r="E306" s="4">
        <v>0.17277699999999999</v>
      </c>
      <c r="F306" s="4">
        <v>2.63783E-2</v>
      </c>
      <c r="G306" s="4">
        <v>4.3422099999999998E-2</v>
      </c>
      <c r="H306" s="3">
        <f t="shared" si="39"/>
        <v>1.5622799999999999E-2</v>
      </c>
      <c r="I306" s="3">
        <f t="shared" si="40"/>
        <v>0.23678713333333334</v>
      </c>
      <c r="J306" s="3">
        <f t="shared" si="41"/>
        <v>2.6666200000000001E-2</v>
      </c>
      <c r="K306" s="3">
        <f t="shared" si="42"/>
        <v>0.17494509999999999</v>
      </c>
      <c r="L306" s="3">
        <f t="shared" si="43"/>
        <v>2.5726433333333337E-2</v>
      </c>
      <c r="M306" s="3">
        <f t="shared" si="44"/>
        <v>4.3433799999999995E-2</v>
      </c>
    </row>
    <row r="307" spans="1:13" x14ac:dyDescent="0.25">
      <c r="A307" s="5">
        <f t="shared" si="38"/>
        <v>33695</v>
      </c>
      <c r="B307" s="4">
        <v>1.6566600000000001E-2</v>
      </c>
      <c r="C307" s="4">
        <v>0.24528240000000001</v>
      </c>
      <c r="D307" s="4">
        <v>2.84283E-2</v>
      </c>
      <c r="E307" s="4">
        <v>0.18882499999999999</v>
      </c>
      <c r="F307" s="4">
        <v>2.6883000000000001E-2</v>
      </c>
      <c r="G307" s="4">
        <v>4.2922700000000001E-2</v>
      </c>
      <c r="H307" s="3">
        <f t="shared" si="39"/>
        <v>1.5693766666666668E-2</v>
      </c>
      <c r="I307" s="3">
        <f t="shared" si="40"/>
        <v>0.22698736666666666</v>
      </c>
      <c r="J307" s="3">
        <f t="shared" si="41"/>
        <v>2.67955E-2</v>
      </c>
      <c r="K307" s="3">
        <f t="shared" si="42"/>
        <v>0.17883116666666665</v>
      </c>
      <c r="L307" s="3">
        <f t="shared" si="43"/>
        <v>2.6020866666666666E-2</v>
      </c>
      <c r="M307" s="3">
        <f t="shared" si="44"/>
        <v>4.2095633333333334E-2</v>
      </c>
    </row>
    <row r="308" spans="1:13" x14ac:dyDescent="0.25">
      <c r="A308" s="5">
        <f t="shared" si="38"/>
        <v>33725</v>
      </c>
      <c r="B308" s="4">
        <v>1.6306000000000001E-2</v>
      </c>
      <c r="C308" s="4">
        <v>0.22485169999999999</v>
      </c>
      <c r="D308" s="4">
        <v>3.0355500000000001E-2</v>
      </c>
      <c r="E308" s="4">
        <v>0.1784983</v>
      </c>
      <c r="F308" s="4">
        <v>2.5659299999999999E-2</v>
      </c>
      <c r="G308" s="4">
        <v>4.2732600000000003E-2</v>
      </c>
      <c r="H308" s="3">
        <f t="shared" si="39"/>
        <v>1.5920133333333333E-2</v>
      </c>
      <c r="I308" s="3">
        <f t="shared" si="40"/>
        <v>0.23127589999999998</v>
      </c>
      <c r="J308" s="3">
        <f t="shared" si="41"/>
        <v>2.8517900000000002E-2</v>
      </c>
      <c r="K308" s="3">
        <f t="shared" si="42"/>
        <v>0.18003343333333333</v>
      </c>
      <c r="L308" s="3">
        <f t="shared" si="43"/>
        <v>2.6306866666666665E-2</v>
      </c>
      <c r="M308" s="3">
        <f t="shared" si="44"/>
        <v>4.3025800000000003E-2</v>
      </c>
    </row>
    <row r="309" spans="1:13" x14ac:dyDescent="0.25">
      <c r="A309" s="5">
        <f t="shared" si="38"/>
        <v>33756</v>
      </c>
      <c r="B309" s="4">
        <v>1.55902E-2</v>
      </c>
      <c r="C309" s="4">
        <v>0.21461079999999999</v>
      </c>
      <c r="D309" s="4">
        <v>2.6417099999999999E-2</v>
      </c>
      <c r="E309" s="4">
        <v>0.1790602</v>
      </c>
      <c r="F309" s="4">
        <v>2.4458400000000002E-2</v>
      </c>
      <c r="G309" s="4">
        <v>3.7746099999999998E-2</v>
      </c>
      <c r="H309" s="3">
        <f t="shared" si="39"/>
        <v>1.6154266666666667E-2</v>
      </c>
      <c r="I309" s="3">
        <f t="shared" si="40"/>
        <v>0.22824829999999999</v>
      </c>
      <c r="J309" s="3">
        <f t="shared" si="41"/>
        <v>2.84003E-2</v>
      </c>
      <c r="K309" s="3">
        <f t="shared" si="42"/>
        <v>0.18212783333333335</v>
      </c>
      <c r="L309" s="3">
        <f t="shared" si="43"/>
        <v>2.5666900000000003E-2</v>
      </c>
      <c r="M309" s="3">
        <f t="shared" si="44"/>
        <v>4.1133799999999998E-2</v>
      </c>
    </row>
    <row r="310" spans="1:13" x14ac:dyDescent="0.25">
      <c r="A310" s="5">
        <f t="shared" si="38"/>
        <v>33786</v>
      </c>
      <c r="B310" s="4">
        <v>1.59918E-2</v>
      </c>
      <c r="C310" s="4">
        <v>0.24525959999999999</v>
      </c>
      <c r="D310" s="4">
        <v>2.86269E-2</v>
      </c>
      <c r="E310" s="4">
        <v>0.18864349999999999</v>
      </c>
      <c r="F310" s="4">
        <v>2.6640299999999999E-2</v>
      </c>
      <c r="G310" s="4">
        <v>4.5479199999999997E-2</v>
      </c>
      <c r="H310" s="3">
        <f t="shared" si="39"/>
        <v>1.5962666666666667E-2</v>
      </c>
      <c r="I310" s="3">
        <f t="shared" si="40"/>
        <v>0.22824069999999999</v>
      </c>
      <c r="J310" s="3">
        <f t="shared" si="41"/>
        <v>2.8466500000000002E-2</v>
      </c>
      <c r="K310" s="3">
        <f t="shared" si="42"/>
        <v>0.18206733333333333</v>
      </c>
      <c r="L310" s="3">
        <f t="shared" si="43"/>
        <v>2.5585999999999998E-2</v>
      </c>
      <c r="M310" s="3">
        <f t="shared" si="44"/>
        <v>4.1985966666666673E-2</v>
      </c>
    </row>
    <row r="311" spans="1:13" x14ac:dyDescent="0.25">
      <c r="A311" s="5">
        <f t="shared" si="38"/>
        <v>33817</v>
      </c>
      <c r="B311" s="4">
        <v>1.4824499999999999E-2</v>
      </c>
      <c r="C311" s="4">
        <v>0.21565480000000001</v>
      </c>
      <c r="D311" s="4">
        <v>2.6546899999999998E-2</v>
      </c>
      <c r="E311" s="4">
        <v>0.18082129999999999</v>
      </c>
      <c r="F311" s="4">
        <v>2.5029599999999999E-2</v>
      </c>
      <c r="G311" s="4">
        <v>4.1736099999999998E-2</v>
      </c>
      <c r="H311" s="3">
        <f t="shared" si="39"/>
        <v>1.5468833333333333E-2</v>
      </c>
      <c r="I311" s="3">
        <f t="shared" si="40"/>
        <v>0.22517506666666667</v>
      </c>
      <c r="J311" s="3">
        <f t="shared" si="41"/>
        <v>2.7196966666666666E-2</v>
      </c>
      <c r="K311" s="3">
        <f t="shared" si="42"/>
        <v>0.18284166666666665</v>
      </c>
      <c r="L311" s="3">
        <f t="shared" si="43"/>
        <v>2.5376099999999999E-2</v>
      </c>
      <c r="M311" s="3">
        <f t="shared" si="44"/>
        <v>4.1653799999999998E-2</v>
      </c>
    </row>
    <row r="312" spans="1:13" x14ac:dyDescent="0.25">
      <c r="A312" s="5">
        <f t="shared" si="38"/>
        <v>33848</v>
      </c>
      <c r="B312" s="4">
        <v>1.6150000000000001E-2</v>
      </c>
      <c r="C312" s="4">
        <v>0.21651339999999999</v>
      </c>
      <c r="D312" s="4">
        <v>2.58286E-2</v>
      </c>
      <c r="E312" s="4">
        <v>0.1940895</v>
      </c>
      <c r="F312" s="4">
        <v>2.40451E-2</v>
      </c>
      <c r="G312" s="4">
        <v>3.8569199999999998E-2</v>
      </c>
      <c r="H312" s="3">
        <f t="shared" si="39"/>
        <v>1.5655433333333333E-2</v>
      </c>
      <c r="I312" s="3">
        <f t="shared" si="40"/>
        <v>0.22580926666666667</v>
      </c>
      <c r="J312" s="3">
        <f t="shared" si="41"/>
        <v>2.7000800000000002E-2</v>
      </c>
      <c r="K312" s="3">
        <f t="shared" si="42"/>
        <v>0.18785143333333332</v>
      </c>
      <c r="L312" s="3">
        <f t="shared" si="43"/>
        <v>2.5238333333333335E-2</v>
      </c>
      <c r="M312" s="3">
        <f t="shared" si="44"/>
        <v>4.1928166666666662E-2</v>
      </c>
    </row>
    <row r="313" spans="1:13" x14ac:dyDescent="0.25">
      <c r="A313" s="5">
        <f t="shared" si="38"/>
        <v>33878</v>
      </c>
      <c r="B313" s="4">
        <v>1.6146899999999999E-2</v>
      </c>
      <c r="C313" s="4">
        <v>0.25030000000000002</v>
      </c>
      <c r="D313" s="4">
        <v>2.58053E-2</v>
      </c>
      <c r="E313" s="4">
        <v>0.19881009999999999</v>
      </c>
      <c r="F313" s="4">
        <v>2.9428699999999999E-2</v>
      </c>
      <c r="G313" s="4">
        <v>4.3961800000000002E-2</v>
      </c>
      <c r="H313" s="3">
        <f t="shared" si="39"/>
        <v>1.5707133333333335E-2</v>
      </c>
      <c r="I313" s="3">
        <f t="shared" si="40"/>
        <v>0.22748939999999998</v>
      </c>
      <c r="J313" s="3">
        <f t="shared" si="41"/>
        <v>2.6060266666666665E-2</v>
      </c>
      <c r="K313" s="3">
        <f t="shared" si="42"/>
        <v>0.1912403</v>
      </c>
      <c r="L313" s="3">
        <f t="shared" si="43"/>
        <v>2.6167800000000001E-2</v>
      </c>
      <c r="M313" s="3">
        <f t="shared" si="44"/>
        <v>4.1422366666666662E-2</v>
      </c>
    </row>
    <row r="314" spans="1:13" x14ac:dyDescent="0.25">
      <c r="A314" s="5">
        <f t="shared" si="38"/>
        <v>33909</v>
      </c>
      <c r="B314" s="4">
        <v>1.5180600000000001E-2</v>
      </c>
      <c r="C314" s="4">
        <v>0.23145940000000001</v>
      </c>
      <c r="D314" s="4">
        <v>2.6846399999999999E-2</v>
      </c>
      <c r="E314" s="4">
        <v>0.1807965</v>
      </c>
      <c r="F314" s="4">
        <v>2.3902799999999998E-2</v>
      </c>
      <c r="G314" s="4">
        <v>4.1855499999999997E-2</v>
      </c>
      <c r="H314" s="3">
        <f t="shared" si="39"/>
        <v>1.5825833333333334E-2</v>
      </c>
      <c r="I314" s="3">
        <f t="shared" si="40"/>
        <v>0.23275760000000001</v>
      </c>
      <c r="J314" s="3">
        <f t="shared" si="41"/>
        <v>2.6160100000000002E-2</v>
      </c>
      <c r="K314" s="3">
        <f t="shared" si="42"/>
        <v>0.19123203333333336</v>
      </c>
      <c r="L314" s="3">
        <f t="shared" si="43"/>
        <v>2.5792200000000001E-2</v>
      </c>
      <c r="M314" s="3">
        <f t="shared" si="44"/>
        <v>4.1462166666666661E-2</v>
      </c>
    </row>
    <row r="315" spans="1:13" x14ac:dyDescent="0.25">
      <c r="A315" s="5">
        <f t="shared" si="38"/>
        <v>33939</v>
      </c>
      <c r="B315" s="4">
        <v>1.60141E-2</v>
      </c>
      <c r="C315" s="4">
        <v>0.24431659999999999</v>
      </c>
      <c r="D315" s="4">
        <v>2.9636900000000001E-2</v>
      </c>
      <c r="E315" s="4">
        <v>0.1941167</v>
      </c>
      <c r="F315" s="4">
        <v>2.5806599999999999E-2</v>
      </c>
      <c r="G315" s="4">
        <v>4.2537600000000002E-2</v>
      </c>
      <c r="H315" s="3">
        <f t="shared" si="39"/>
        <v>1.5780533333333333E-2</v>
      </c>
      <c r="I315" s="3">
        <f t="shared" si="40"/>
        <v>0.24202533333333334</v>
      </c>
      <c r="J315" s="3">
        <f t="shared" si="41"/>
        <v>2.7429533333333329E-2</v>
      </c>
      <c r="K315" s="3">
        <f t="shared" si="42"/>
        <v>0.19124110000000002</v>
      </c>
      <c r="L315" s="3">
        <f t="shared" si="43"/>
        <v>2.6379366666666664E-2</v>
      </c>
      <c r="M315" s="3">
        <f t="shared" si="44"/>
        <v>4.2784966666666667E-2</v>
      </c>
    </row>
    <row r="316" spans="1:13" x14ac:dyDescent="0.25">
      <c r="A316" s="5">
        <f t="shared" si="38"/>
        <v>33970</v>
      </c>
      <c r="B316" s="4">
        <v>1.45545E-2</v>
      </c>
      <c r="C316" s="4">
        <v>0.22582679999999999</v>
      </c>
      <c r="D316" s="4">
        <v>2.74837E-2</v>
      </c>
      <c r="E316" s="4">
        <v>0.1787936</v>
      </c>
      <c r="F316" s="4">
        <v>2.7242499999999999E-2</v>
      </c>
      <c r="G316" s="4">
        <v>4.27547E-2</v>
      </c>
      <c r="H316" s="3">
        <f t="shared" si="39"/>
        <v>1.5249733333333333E-2</v>
      </c>
      <c r="I316" s="3">
        <f t="shared" si="40"/>
        <v>0.23386759999999998</v>
      </c>
      <c r="J316" s="3">
        <f t="shared" si="41"/>
        <v>2.7989E-2</v>
      </c>
      <c r="K316" s="3">
        <f t="shared" si="42"/>
        <v>0.18456893333333335</v>
      </c>
      <c r="L316" s="3">
        <f t="shared" si="43"/>
        <v>2.5650633333333336E-2</v>
      </c>
      <c r="M316" s="3">
        <f t="shared" si="44"/>
        <v>4.2382599999999999E-2</v>
      </c>
    </row>
    <row r="317" spans="1:13" x14ac:dyDescent="0.25">
      <c r="A317" s="5">
        <f t="shared" si="38"/>
        <v>34001</v>
      </c>
      <c r="B317" s="4">
        <v>1.40377E-2</v>
      </c>
      <c r="C317" s="4">
        <v>0.21926609999999999</v>
      </c>
      <c r="D317" s="4">
        <v>2.7305200000000002E-2</v>
      </c>
      <c r="E317" s="4">
        <v>0.21201639999999999</v>
      </c>
      <c r="F317" s="4">
        <v>2.7331999999999999E-2</v>
      </c>
      <c r="G317" s="4">
        <v>4.76298E-2</v>
      </c>
      <c r="H317" s="3">
        <f t="shared" si="39"/>
        <v>1.4868766666666667E-2</v>
      </c>
      <c r="I317" s="3">
        <f t="shared" si="40"/>
        <v>0.22980316666666667</v>
      </c>
      <c r="J317" s="3">
        <f t="shared" si="41"/>
        <v>2.8141933333333331E-2</v>
      </c>
      <c r="K317" s="3">
        <f t="shared" si="42"/>
        <v>0.19497556666666668</v>
      </c>
      <c r="L317" s="3">
        <f t="shared" si="43"/>
        <v>2.67937E-2</v>
      </c>
      <c r="M317" s="3">
        <f t="shared" si="44"/>
        <v>4.430736666666666E-2</v>
      </c>
    </row>
    <row r="318" spans="1:13" x14ac:dyDescent="0.25">
      <c r="A318" s="5">
        <f t="shared" si="38"/>
        <v>34029</v>
      </c>
      <c r="B318" s="4">
        <v>1.5984700000000001E-2</v>
      </c>
      <c r="C318" s="4">
        <v>0.23497019999999999</v>
      </c>
      <c r="D318" s="4">
        <v>2.4682200000000001E-2</v>
      </c>
      <c r="E318" s="4">
        <v>0.1931158</v>
      </c>
      <c r="F318" s="4">
        <v>2.7634100000000002E-2</v>
      </c>
      <c r="G318" s="4">
        <v>4.2813400000000001E-2</v>
      </c>
      <c r="H318" s="3">
        <f t="shared" si="39"/>
        <v>1.4858966666666668E-2</v>
      </c>
      <c r="I318" s="3">
        <f t="shared" si="40"/>
        <v>0.22668770000000002</v>
      </c>
      <c r="J318" s="3">
        <f t="shared" si="41"/>
        <v>2.6490366666666668E-2</v>
      </c>
      <c r="K318" s="3">
        <f t="shared" si="42"/>
        <v>0.19464193333333335</v>
      </c>
      <c r="L318" s="3">
        <f t="shared" si="43"/>
        <v>2.7402866666666664E-2</v>
      </c>
      <c r="M318" s="3">
        <f t="shared" si="44"/>
        <v>4.4399300000000003E-2</v>
      </c>
    </row>
    <row r="319" spans="1:13" x14ac:dyDescent="0.25">
      <c r="A319" s="5">
        <f t="shared" si="38"/>
        <v>34060</v>
      </c>
      <c r="B319" s="4">
        <v>1.5676499999999999E-2</v>
      </c>
      <c r="C319" s="4">
        <v>0.25698490000000002</v>
      </c>
      <c r="D319" s="4">
        <v>2.7854899999999998E-2</v>
      </c>
      <c r="E319" s="4">
        <v>0.1915647</v>
      </c>
      <c r="F319" s="4">
        <v>2.9868599999999999E-2</v>
      </c>
      <c r="G319" s="4">
        <v>4.2048200000000001E-2</v>
      </c>
      <c r="H319" s="3">
        <f t="shared" si="39"/>
        <v>1.5232966666666667E-2</v>
      </c>
      <c r="I319" s="3">
        <f t="shared" si="40"/>
        <v>0.23707373333333334</v>
      </c>
      <c r="J319" s="3">
        <f t="shared" si="41"/>
        <v>2.6614100000000002E-2</v>
      </c>
      <c r="K319" s="3">
        <f t="shared" si="42"/>
        <v>0.19889896666666665</v>
      </c>
      <c r="L319" s="3">
        <f t="shared" si="43"/>
        <v>2.8278233333333333E-2</v>
      </c>
      <c r="M319" s="3">
        <f t="shared" si="44"/>
        <v>4.4163800000000003E-2</v>
      </c>
    </row>
    <row r="320" spans="1:13" x14ac:dyDescent="0.25">
      <c r="A320" s="5">
        <f t="shared" si="38"/>
        <v>34090</v>
      </c>
      <c r="B320" s="4">
        <v>1.54431E-2</v>
      </c>
      <c r="C320" s="4">
        <v>0.23407439999999999</v>
      </c>
      <c r="D320" s="4">
        <v>2.7458400000000001E-2</v>
      </c>
      <c r="E320" s="4">
        <v>0.17074549999999999</v>
      </c>
      <c r="F320" s="4">
        <v>2.51007E-2</v>
      </c>
      <c r="G320" s="4">
        <v>4.6106599999999998E-2</v>
      </c>
      <c r="H320" s="3">
        <f t="shared" si="39"/>
        <v>1.5701433333333334E-2</v>
      </c>
      <c r="I320" s="3">
        <f t="shared" si="40"/>
        <v>0.24200983333333334</v>
      </c>
      <c r="J320" s="3">
        <f t="shared" si="41"/>
        <v>2.6665166666666667E-2</v>
      </c>
      <c r="K320" s="3">
        <f t="shared" si="42"/>
        <v>0.185142</v>
      </c>
      <c r="L320" s="3">
        <f t="shared" si="43"/>
        <v>2.753446666666667E-2</v>
      </c>
      <c r="M320" s="3">
        <f t="shared" si="44"/>
        <v>4.3656066666666667E-2</v>
      </c>
    </row>
    <row r="321" spans="1:13" x14ac:dyDescent="0.25">
      <c r="A321" s="5">
        <f t="shared" si="38"/>
        <v>34121</v>
      </c>
      <c r="B321" s="4">
        <v>1.46573E-2</v>
      </c>
      <c r="C321" s="4">
        <v>0.2146602</v>
      </c>
      <c r="D321" s="4">
        <v>2.4916899999999999E-2</v>
      </c>
      <c r="E321" s="4">
        <v>0.1794441</v>
      </c>
      <c r="F321" s="4">
        <v>2.3296999999999998E-2</v>
      </c>
      <c r="G321" s="4">
        <v>4.0363799999999998E-2</v>
      </c>
      <c r="H321" s="3">
        <f t="shared" si="39"/>
        <v>1.5258966666666665E-2</v>
      </c>
      <c r="I321" s="3">
        <f t="shared" si="40"/>
        <v>0.23523983333333331</v>
      </c>
      <c r="J321" s="3">
        <f t="shared" si="41"/>
        <v>2.6743400000000001E-2</v>
      </c>
      <c r="K321" s="3">
        <f t="shared" si="42"/>
        <v>0.18058476666666667</v>
      </c>
      <c r="L321" s="3">
        <f t="shared" si="43"/>
        <v>2.6088766666666666E-2</v>
      </c>
      <c r="M321" s="3">
        <f t="shared" si="44"/>
        <v>4.2839533333333339E-2</v>
      </c>
    </row>
    <row r="322" spans="1:13" x14ac:dyDescent="0.25">
      <c r="A322" s="5">
        <f t="shared" si="38"/>
        <v>34151</v>
      </c>
      <c r="B322" s="4">
        <v>1.6413199999999999E-2</v>
      </c>
      <c r="C322" s="4">
        <v>0.2646464</v>
      </c>
      <c r="D322" s="4">
        <v>2.7330900000000002E-2</v>
      </c>
      <c r="E322" s="4">
        <v>0.19584080000000001</v>
      </c>
      <c r="F322" s="4">
        <v>2.69392E-2</v>
      </c>
      <c r="G322" s="4">
        <v>4.4327699999999998E-2</v>
      </c>
      <c r="H322" s="3">
        <f t="shared" si="39"/>
        <v>1.5504533333333334E-2</v>
      </c>
      <c r="I322" s="3">
        <f t="shared" si="40"/>
        <v>0.23779366666666668</v>
      </c>
      <c r="J322" s="3">
        <f t="shared" si="41"/>
        <v>2.6568733333333334E-2</v>
      </c>
      <c r="K322" s="3">
        <f t="shared" si="42"/>
        <v>0.18201013333333335</v>
      </c>
      <c r="L322" s="3">
        <f t="shared" si="43"/>
        <v>2.5112300000000001E-2</v>
      </c>
      <c r="M322" s="3">
        <f t="shared" si="44"/>
        <v>4.3599366666666667E-2</v>
      </c>
    </row>
    <row r="323" spans="1:13" x14ac:dyDescent="0.25">
      <c r="A323" s="5">
        <f t="shared" si="38"/>
        <v>34182</v>
      </c>
      <c r="B323" s="4">
        <v>1.40199E-2</v>
      </c>
      <c r="C323" s="4">
        <v>0.22551399999999999</v>
      </c>
      <c r="D323" s="4">
        <v>2.56907E-2</v>
      </c>
      <c r="E323" s="4">
        <v>0.19774140000000001</v>
      </c>
      <c r="F323" s="4">
        <v>2.6091099999999999E-2</v>
      </c>
      <c r="G323" s="4">
        <v>4.4002100000000002E-2</v>
      </c>
      <c r="H323" s="3">
        <f t="shared" si="39"/>
        <v>1.5030133333333334E-2</v>
      </c>
      <c r="I323" s="3">
        <f t="shared" si="40"/>
        <v>0.23494020000000002</v>
      </c>
      <c r="J323" s="3">
        <f t="shared" si="41"/>
        <v>2.5979499999999999E-2</v>
      </c>
      <c r="K323" s="3">
        <f t="shared" si="42"/>
        <v>0.19100876666666666</v>
      </c>
      <c r="L323" s="3">
        <f t="shared" si="43"/>
        <v>2.544243333333333E-2</v>
      </c>
      <c r="M323" s="3">
        <f t="shared" si="44"/>
        <v>4.2897866666666673E-2</v>
      </c>
    </row>
    <row r="324" spans="1:13" x14ac:dyDescent="0.25">
      <c r="A324" s="5">
        <f t="shared" si="38"/>
        <v>34213</v>
      </c>
      <c r="B324" s="4">
        <v>1.54322E-2</v>
      </c>
      <c r="C324" s="4">
        <v>0.2429654</v>
      </c>
      <c r="D324" s="4">
        <v>2.5946E-2</v>
      </c>
      <c r="E324" s="4">
        <v>0.19917360000000001</v>
      </c>
      <c r="F324" s="4">
        <v>2.72465E-2</v>
      </c>
      <c r="G324" s="4">
        <v>4.27815E-2</v>
      </c>
      <c r="H324" s="3">
        <f t="shared" si="39"/>
        <v>1.5288433333333332E-2</v>
      </c>
      <c r="I324" s="3">
        <f t="shared" si="40"/>
        <v>0.24437526666666667</v>
      </c>
      <c r="J324" s="3">
        <f t="shared" si="41"/>
        <v>2.6322533333333332E-2</v>
      </c>
      <c r="K324" s="3">
        <f t="shared" si="42"/>
        <v>0.19758526666666665</v>
      </c>
      <c r="L324" s="3">
        <f t="shared" si="43"/>
        <v>2.6758933333333335E-2</v>
      </c>
      <c r="M324" s="3">
        <f t="shared" si="44"/>
        <v>4.3703766666666664E-2</v>
      </c>
    </row>
    <row r="325" spans="1:13" x14ac:dyDescent="0.25">
      <c r="A325" s="5">
        <f t="shared" si="38"/>
        <v>34243</v>
      </c>
      <c r="B325" s="4">
        <v>1.4874200000000001E-2</v>
      </c>
      <c r="C325" s="4">
        <v>0.22876779999999999</v>
      </c>
      <c r="D325" s="4">
        <v>2.72611E-2</v>
      </c>
      <c r="E325" s="4">
        <v>0.19640099999999999</v>
      </c>
      <c r="F325" s="4">
        <v>2.5028499999999999E-2</v>
      </c>
      <c r="G325" s="4">
        <v>4.0270199999999999E-2</v>
      </c>
      <c r="H325" s="3">
        <f t="shared" si="39"/>
        <v>1.4775433333333332E-2</v>
      </c>
      <c r="I325" s="3">
        <f t="shared" si="40"/>
        <v>0.23241573333333332</v>
      </c>
      <c r="J325" s="3">
        <f t="shared" si="41"/>
        <v>2.6299266666666668E-2</v>
      </c>
      <c r="K325" s="3">
        <f t="shared" si="42"/>
        <v>0.19777199999999998</v>
      </c>
      <c r="L325" s="3">
        <f t="shared" si="43"/>
        <v>2.6122033333333333E-2</v>
      </c>
      <c r="M325" s="3">
        <f t="shared" si="44"/>
        <v>4.2351266666666665E-2</v>
      </c>
    </row>
    <row r="326" spans="1:13" x14ac:dyDescent="0.25">
      <c r="A326" s="5">
        <f t="shared" ref="A326:A389" si="45">DATE(YEAR(A325),MONTH(A325)+1,1)</f>
        <v>34274</v>
      </c>
      <c r="B326" s="4">
        <v>1.41852E-2</v>
      </c>
      <c r="C326" s="4">
        <v>0.23056950000000001</v>
      </c>
      <c r="D326" s="4">
        <v>2.4616800000000001E-2</v>
      </c>
      <c r="E326" s="4">
        <v>0.2022349</v>
      </c>
      <c r="F326" s="4">
        <v>2.5016E-2</v>
      </c>
      <c r="G326" s="4">
        <v>4.1345600000000003E-2</v>
      </c>
      <c r="H326" s="3">
        <f t="shared" si="39"/>
        <v>1.4830533333333333E-2</v>
      </c>
      <c r="I326" s="3">
        <f t="shared" si="40"/>
        <v>0.23410089999999997</v>
      </c>
      <c r="J326" s="3">
        <f t="shared" si="41"/>
        <v>2.59413E-2</v>
      </c>
      <c r="K326" s="3">
        <f t="shared" si="42"/>
        <v>0.19926983333333334</v>
      </c>
      <c r="L326" s="3">
        <f t="shared" si="43"/>
        <v>2.5763666666666667E-2</v>
      </c>
      <c r="M326" s="3">
        <f t="shared" si="44"/>
        <v>4.1465766666666674E-2</v>
      </c>
    </row>
    <row r="327" spans="1:13" x14ac:dyDescent="0.25">
      <c r="A327" s="5">
        <f t="shared" si="45"/>
        <v>34304</v>
      </c>
      <c r="B327" s="4">
        <v>1.54375E-2</v>
      </c>
      <c r="C327" s="4">
        <v>0.2664802</v>
      </c>
      <c r="D327" s="4">
        <v>2.7442999999999999E-2</v>
      </c>
      <c r="E327" s="4">
        <v>0.2021328</v>
      </c>
      <c r="F327" s="4">
        <v>2.6452400000000001E-2</v>
      </c>
      <c r="G327" s="4">
        <v>4.6123400000000002E-2</v>
      </c>
      <c r="H327" s="3">
        <f t="shared" ref="H327:H390" si="46">AVERAGE(B325:B327)</f>
        <v>1.48323E-2</v>
      </c>
      <c r="I327" s="3">
        <f t="shared" ref="I327:I390" si="47">AVERAGE(C325:C327)</f>
        <v>0.24193916666666668</v>
      </c>
      <c r="J327" s="3">
        <f t="shared" ref="J327:J390" si="48">AVERAGE(D325:D327)</f>
        <v>2.64403E-2</v>
      </c>
      <c r="K327" s="3">
        <f t="shared" ref="K327:K390" si="49">AVERAGE(E325:E327)</f>
        <v>0.20025623333333331</v>
      </c>
      <c r="L327" s="3">
        <f t="shared" ref="L327:L390" si="50">AVERAGE(F325:F327)</f>
        <v>2.5498966666666668E-2</v>
      </c>
      <c r="M327" s="3">
        <f t="shared" ref="M327:M390" si="51">AVERAGE(G325:G327)</f>
        <v>4.2579733333333335E-2</v>
      </c>
    </row>
    <row r="328" spans="1:13" x14ac:dyDescent="0.25">
      <c r="A328" s="5">
        <f t="shared" si="45"/>
        <v>34335</v>
      </c>
      <c r="B328" s="6">
        <v>1.4211399999999999E-2</v>
      </c>
      <c r="C328" s="6">
        <v>0.2603433</v>
      </c>
      <c r="D328" s="6">
        <v>2.8200599999999999E-2</v>
      </c>
      <c r="E328" s="6">
        <v>0.21353244999999998</v>
      </c>
      <c r="F328" s="6">
        <v>2.7897150000000003E-2</v>
      </c>
      <c r="G328" s="6">
        <v>4.8331200000000005E-2</v>
      </c>
      <c r="H328" s="3">
        <f t="shared" si="46"/>
        <v>1.4611366666666667E-2</v>
      </c>
      <c r="I328" s="3">
        <f t="shared" si="47"/>
        <v>0.25246433333333335</v>
      </c>
      <c r="J328" s="3">
        <f t="shared" si="48"/>
        <v>2.675346666666667E-2</v>
      </c>
      <c r="K328" s="3">
        <f t="shared" si="49"/>
        <v>0.20596671666666666</v>
      </c>
      <c r="L328" s="3">
        <f t="shared" si="50"/>
        <v>2.6455183333333337E-2</v>
      </c>
      <c r="M328" s="3">
        <f t="shared" si="51"/>
        <v>4.5266733333333337E-2</v>
      </c>
    </row>
    <row r="329" spans="1:13" x14ac:dyDescent="0.25">
      <c r="A329" s="5">
        <f t="shared" si="45"/>
        <v>34366</v>
      </c>
      <c r="B329" s="4">
        <v>1.29853E-2</v>
      </c>
      <c r="C329" s="4">
        <v>0.2542064</v>
      </c>
      <c r="D329" s="4">
        <v>2.89582E-2</v>
      </c>
      <c r="E329" s="4">
        <v>0.2249321</v>
      </c>
      <c r="F329" s="4">
        <v>2.9341900000000001E-2</v>
      </c>
      <c r="G329" s="4">
        <v>5.0539000000000001E-2</v>
      </c>
      <c r="H329" s="3">
        <f t="shared" si="46"/>
        <v>1.4211399999999999E-2</v>
      </c>
      <c r="I329" s="3">
        <f t="shared" si="47"/>
        <v>0.2603433</v>
      </c>
      <c r="J329" s="3">
        <f t="shared" si="48"/>
        <v>2.8200600000000003E-2</v>
      </c>
      <c r="K329" s="3">
        <f t="shared" si="49"/>
        <v>0.21353244999999998</v>
      </c>
      <c r="L329" s="3">
        <f t="shared" si="50"/>
        <v>2.7897149999999999E-2</v>
      </c>
      <c r="M329" s="3">
        <f t="shared" si="51"/>
        <v>4.8331199999999998E-2</v>
      </c>
    </row>
    <row r="330" spans="1:13" x14ac:dyDescent="0.25">
      <c r="A330" s="5">
        <f t="shared" si="45"/>
        <v>34394</v>
      </c>
      <c r="B330" s="4">
        <v>1.42369E-2</v>
      </c>
      <c r="C330" s="4">
        <v>0.26285130000000001</v>
      </c>
      <c r="D330" s="4">
        <v>3.1114800000000001E-2</v>
      </c>
      <c r="E330" s="4">
        <v>0.22289680000000001</v>
      </c>
      <c r="F330" s="4">
        <v>3.01908E-2</v>
      </c>
      <c r="G330" s="4">
        <v>4.61933E-2</v>
      </c>
      <c r="H330" s="3">
        <f t="shared" si="46"/>
        <v>1.3811200000000001E-2</v>
      </c>
      <c r="I330" s="3">
        <f t="shared" si="47"/>
        <v>0.25913366666666665</v>
      </c>
      <c r="J330" s="3">
        <f t="shared" si="48"/>
        <v>2.9424533333333332E-2</v>
      </c>
      <c r="K330" s="3">
        <f t="shared" si="49"/>
        <v>0.22045378333333332</v>
      </c>
      <c r="L330" s="3">
        <f t="shared" si="50"/>
        <v>2.9143283333333336E-2</v>
      </c>
      <c r="M330" s="3">
        <f t="shared" si="51"/>
        <v>4.8354500000000002E-2</v>
      </c>
    </row>
    <row r="331" spans="1:13" x14ac:dyDescent="0.25">
      <c r="A331" s="5">
        <f t="shared" si="45"/>
        <v>34425</v>
      </c>
      <c r="B331" s="4">
        <v>1.61677E-2</v>
      </c>
      <c r="C331" s="4">
        <v>0.27318100000000001</v>
      </c>
      <c r="D331" s="4">
        <v>3.10724E-2</v>
      </c>
      <c r="E331" s="4">
        <v>0.23197019999999999</v>
      </c>
      <c r="F331" s="4">
        <v>2.85369E-2</v>
      </c>
      <c r="G331" s="4">
        <v>4.5785399999999997E-2</v>
      </c>
      <c r="H331" s="3">
        <f t="shared" si="46"/>
        <v>1.44633E-2</v>
      </c>
      <c r="I331" s="3">
        <f t="shared" si="47"/>
        <v>0.26341290000000001</v>
      </c>
      <c r="J331" s="3">
        <f t="shared" si="48"/>
        <v>3.03818E-2</v>
      </c>
      <c r="K331" s="3">
        <f t="shared" si="49"/>
        <v>0.22659969999999999</v>
      </c>
      <c r="L331" s="3">
        <f t="shared" si="50"/>
        <v>2.9356533333333334E-2</v>
      </c>
      <c r="M331" s="3">
        <f t="shared" si="51"/>
        <v>4.7505899999999997E-2</v>
      </c>
    </row>
    <row r="332" spans="1:13" x14ac:dyDescent="0.25">
      <c r="A332" s="5">
        <f t="shared" si="45"/>
        <v>34455</v>
      </c>
      <c r="B332" s="4">
        <v>1.34681E-2</v>
      </c>
      <c r="C332" s="4">
        <v>0.26648690000000003</v>
      </c>
      <c r="D332" s="4">
        <v>2.7405800000000001E-2</v>
      </c>
      <c r="E332" s="4">
        <v>0.240201</v>
      </c>
      <c r="F332" s="4">
        <v>2.6831500000000001E-2</v>
      </c>
      <c r="G332" s="4">
        <v>4.4520299999999999E-2</v>
      </c>
      <c r="H332" s="3">
        <f t="shared" si="46"/>
        <v>1.4624233333333334E-2</v>
      </c>
      <c r="I332" s="3">
        <f t="shared" si="47"/>
        <v>0.26750640000000003</v>
      </c>
      <c r="J332" s="3">
        <f t="shared" si="48"/>
        <v>2.9864333333333336E-2</v>
      </c>
      <c r="K332" s="3">
        <f t="shared" si="49"/>
        <v>0.23168933333333333</v>
      </c>
      <c r="L332" s="3">
        <f t="shared" si="50"/>
        <v>2.8519733333333335E-2</v>
      </c>
      <c r="M332" s="3">
        <f t="shared" si="51"/>
        <v>4.549966666666666E-2</v>
      </c>
    </row>
    <row r="333" spans="1:13" x14ac:dyDescent="0.25">
      <c r="A333" s="5">
        <f t="shared" si="45"/>
        <v>34486</v>
      </c>
      <c r="B333" s="4">
        <v>1.53207E-2</v>
      </c>
      <c r="C333" s="4">
        <v>0.262262</v>
      </c>
      <c r="D333" s="4">
        <v>2.6979599999999999E-2</v>
      </c>
      <c r="E333" s="4">
        <v>0.27458159999999998</v>
      </c>
      <c r="F333" s="4">
        <v>2.77711E-2</v>
      </c>
      <c r="G333" s="4">
        <v>4.5239300000000003E-2</v>
      </c>
      <c r="H333" s="3">
        <f t="shared" si="46"/>
        <v>1.4985499999999999E-2</v>
      </c>
      <c r="I333" s="3">
        <f t="shared" si="47"/>
        <v>0.26730996666666668</v>
      </c>
      <c r="J333" s="3">
        <f t="shared" si="48"/>
        <v>2.8485933333333335E-2</v>
      </c>
      <c r="K333" s="3">
        <f t="shared" si="49"/>
        <v>0.24891759999999999</v>
      </c>
      <c r="L333" s="3">
        <f t="shared" si="50"/>
        <v>2.7713166666666667E-2</v>
      </c>
      <c r="M333" s="3">
        <f t="shared" si="51"/>
        <v>4.5181666666666669E-2</v>
      </c>
    </row>
    <row r="334" spans="1:13" x14ac:dyDescent="0.25">
      <c r="A334" s="5">
        <f t="shared" si="45"/>
        <v>34516</v>
      </c>
      <c r="B334" s="4">
        <v>1.44607E-2</v>
      </c>
      <c r="C334" s="4">
        <v>0.2579687</v>
      </c>
      <c r="D334" s="4">
        <v>2.90224E-2</v>
      </c>
      <c r="E334" s="4">
        <v>0.2475321</v>
      </c>
      <c r="F334" s="4">
        <v>2.7052900000000001E-2</v>
      </c>
      <c r="G334" s="4">
        <v>4.1432700000000003E-2</v>
      </c>
      <c r="H334" s="3">
        <f t="shared" si="46"/>
        <v>1.4416499999999999E-2</v>
      </c>
      <c r="I334" s="3">
        <f t="shared" si="47"/>
        <v>0.26223920000000001</v>
      </c>
      <c r="J334" s="3">
        <f t="shared" si="48"/>
        <v>2.78026E-2</v>
      </c>
      <c r="K334" s="3">
        <f t="shared" si="49"/>
        <v>0.25410490000000002</v>
      </c>
      <c r="L334" s="3">
        <f t="shared" si="50"/>
        <v>2.7218500000000003E-2</v>
      </c>
      <c r="M334" s="3">
        <f t="shared" si="51"/>
        <v>4.3730766666666664E-2</v>
      </c>
    </row>
    <row r="335" spans="1:13" x14ac:dyDescent="0.25">
      <c r="A335" s="5">
        <f t="shared" si="45"/>
        <v>34547</v>
      </c>
      <c r="B335" s="4">
        <v>1.4364099999999999E-2</v>
      </c>
      <c r="C335" s="4">
        <v>0.25812499999999999</v>
      </c>
      <c r="D335" s="4">
        <v>3.01873E-2</v>
      </c>
      <c r="E335" s="4">
        <v>0.23457819999999999</v>
      </c>
      <c r="F335" s="4">
        <v>2.6483400000000001E-2</v>
      </c>
      <c r="G335" s="4">
        <v>4.5294099999999997E-2</v>
      </c>
      <c r="H335" s="3">
        <f t="shared" si="46"/>
        <v>1.4715166666666666E-2</v>
      </c>
      <c r="I335" s="3">
        <f t="shared" si="47"/>
        <v>0.25945189999999996</v>
      </c>
      <c r="J335" s="3">
        <f t="shared" si="48"/>
        <v>2.8729766666666667E-2</v>
      </c>
      <c r="K335" s="3">
        <f t="shared" si="49"/>
        <v>0.25223063333333334</v>
      </c>
      <c r="L335" s="3">
        <f t="shared" si="50"/>
        <v>2.7102466666666668E-2</v>
      </c>
      <c r="M335" s="3">
        <f t="shared" si="51"/>
        <v>4.3988699999999999E-2</v>
      </c>
    </row>
    <row r="336" spans="1:13" x14ac:dyDescent="0.25">
      <c r="A336" s="5">
        <f t="shared" si="45"/>
        <v>34578</v>
      </c>
      <c r="B336" s="4">
        <v>1.47026E-2</v>
      </c>
      <c r="C336" s="4">
        <v>0.27464769999999999</v>
      </c>
      <c r="D336" s="4">
        <v>2.6540299999999999E-2</v>
      </c>
      <c r="E336" s="4">
        <v>0.23425409999999999</v>
      </c>
      <c r="F336" s="4">
        <v>2.6407400000000001E-2</v>
      </c>
      <c r="G336" s="4">
        <v>4.3048599999999999E-2</v>
      </c>
      <c r="H336" s="3">
        <f t="shared" si="46"/>
        <v>1.4509133333333332E-2</v>
      </c>
      <c r="I336" s="3">
        <f t="shared" si="47"/>
        <v>0.26358046666666662</v>
      </c>
      <c r="J336" s="3">
        <f t="shared" si="48"/>
        <v>2.8583333333333336E-2</v>
      </c>
      <c r="K336" s="3">
        <f t="shared" si="49"/>
        <v>0.23878813333333335</v>
      </c>
      <c r="L336" s="3">
        <f t="shared" si="50"/>
        <v>2.6647900000000002E-2</v>
      </c>
      <c r="M336" s="3">
        <f t="shared" si="51"/>
        <v>4.3258466666666662E-2</v>
      </c>
    </row>
    <row r="337" spans="1:13" x14ac:dyDescent="0.25">
      <c r="A337" s="5">
        <f t="shared" si="45"/>
        <v>34608</v>
      </c>
      <c r="B337" s="4">
        <v>1.19674E-2</v>
      </c>
      <c r="C337" s="4">
        <v>0.25034240000000002</v>
      </c>
      <c r="D337" s="4">
        <v>2.8582E-2</v>
      </c>
      <c r="E337" s="4">
        <v>0.23405119999999999</v>
      </c>
      <c r="F337" s="4">
        <v>2.6108200000000002E-2</v>
      </c>
      <c r="G337" s="4">
        <v>4.2356699999999997E-2</v>
      </c>
      <c r="H337" s="3">
        <f t="shared" si="46"/>
        <v>1.3678033333333334E-2</v>
      </c>
      <c r="I337" s="3">
        <f t="shared" si="47"/>
        <v>0.26103836666666669</v>
      </c>
      <c r="J337" s="3">
        <f t="shared" si="48"/>
        <v>2.8436533333333333E-2</v>
      </c>
      <c r="K337" s="3">
        <f t="shared" si="49"/>
        <v>0.23429449999999999</v>
      </c>
      <c r="L337" s="3">
        <f t="shared" si="50"/>
        <v>2.6332999999999999E-2</v>
      </c>
      <c r="M337" s="3">
        <f t="shared" si="51"/>
        <v>4.3566466666666664E-2</v>
      </c>
    </row>
    <row r="338" spans="1:13" x14ac:dyDescent="0.25">
      <c r="A338" s="5">
        <f t="shared" si="45"/>
        <v>34639</v>
      </c>
      <c r="B338" s="4">
        <v>1.3810899999999999E-2</v>
      </c>
      <c r="C338" s="4">
        <v>0.2580673</v>
      </c>
      <c r="D338" s="4">
        <v>2.5619599999999999E-2</v>
      </c>
      <c r="E338" s="4">
        <v>0.24515509999999999</v>
      </c>
      <c r="F338" s="4">
        <v>2.60886E-2</v>
      </c>
      <c r="G338" s="4">
        <v>4.5507100000000002E-2</v>
      </c>
      <c r="H338" s="3">
        <f t="shared" si="46"/>
        <v>1.3493633333333333E-2</v>
      </c>
      <c r="I338" s="3">
        <f t="shared" si="47"/>
        <v>0.26101913333333332</v>
      </c>
      <c r="J338" s="3">
        <f t="shared" si="48"/>
        <v>2.6913966666666667E-2</v>
      </c>
      <c r="K338" s="3">
        <f t="shared" si="49"/>
        <v>0.23782013333333332</v>
      </c>
      <c r="L338" s="3">
        <f t="shared" si="50"/>
        <v>2.62014E-2</v>
      </c>
      <c r="M338" s="3">
        <f t="shared" si="51"/>
        <v>4.3637466666666659E-2</v>
      </c>
    </row>
    <row r="339" spans="1:13" x14ac:dyDescent="0.25">
      <c r="A339" s="5">
        <f t="shared" si="45"/>
        <v>34669</v>
      </c>
      <c r="B339" s="4">
        <v>1.44256E-2</v>
      </c>
      <c r="C339" s="4">
        <v>0.3114558</v>
      </c>
      <c r="D339" s="4">
        <v>2.6847099999999999E-2</v>
      </c>
      <c r="E339" s="4">
        <v>0.24450279999999999</v>
      </c>
      <c r="F339" s="4">
        <v>2.9919399999999999E-2</v>
      </c>
      <c r="G339" s="4">
        <v>4.8434400000000002E-2</v>
      </c>
      <c r="H339" s="3">
        <f t="shared" si="46"/>
        <v>1.34013E-2</v>
      </c>
      <c r="I339" s="3">
        <f t="shared" si="47"/>
        <v>0.27328850000000005</v>
      </c>
      <c r="J339" s="3">
        <f t="shared" si="48"/>
        <v>2.7016233333333334E-2</v>
      </c>
      <c r="K339" s="3">
        <f t="shared" si="49"/>
        <v>0.24123636666666667</v>
      </c>
      <c r="L339" s="3">
        <f t="shared" si="50"/>
        <v>2.7372066666666667E-2</v>
      </c>
      <c r="M339" s="3">
        <f t="shared" si="51"/>
        <v>4.5432733333333329E-2</v>
      </c>
    </row>
    <row r="340" spans="1:13" x14ac:dyDescent="0.25">
      <c r="A340" s="5">
        <f t="shared" si="45"/>
        <v>34700</v>
      </c>
      <c r="B340" s="4">
        <v>1.5014700000000001E-2</v>
      </c>
      <c r="C340" s="4">
        <v>0.292186</v>
      </c>
      <c r="D340" s="4">
        <v>2.74001E-2</v>
      </c>
      <c r="E340" s="4">
        <v>0.23674890000000001</v>
      </c>
      <c r="F340" s="4">
        <v>2.7607400000000001E-2</v>
      </c>
      <c r="G340" s="4">
        <v>4.8726199999999997E-2</v>
      </c>
      <c r="H340" s="3">
        <f t="shared" si="46"/>
        <v>1.4417066666666666E-2</v>
      </c>
      <c r="I340" s="3">
        <f t="shared" si="47"/>
        <v>0.28723636666666669</v>
      </c>
      <c r="J340" s="3">
        <f t="shared" si="48"/>
        <v>2.6622266666666668E-2</v>
      </c>
      <c r="K340" s="3">
        <f t="shared" si="49"/>
        <v>0.24213560000000001</v>
      </c>
      <c r="L340" s="3">
        <f t="shared" si="50"/>
        <v>2.7871800000000002E-2</v>
      </c>
      <c r="M340" s="3">
        <f t="shared" si="51"/>
        <v>4.7555900000000005E-2</v>
      </c>
    </row>
    <row r="341" spans="1:13" x14ac:dyDescent="0.25">
      <c r="A341" s="5">
        <f t="shared" si="45"/>
        <v>34731</v>
      </c>
      <c r="B341" s="4">
        <v>1.3836899999999999E-2</v>
      </c>
      <c r="C341" s="4">
        <v>0.29947940000000001</v>
      </c>
      <c r="D341" s="4">
        <v>2.54874E-2</v>
      </c>
      <c r="E341" s="4">
        <v>0.25083119999999998</v>
      </c>
      <c r="F341" s="4">
        <v>2.8699200000000001E-2</v>
      </c>
      <c r="G341" s="4">
        <v>4.5007499999999999E-2</v>
      </c>
      <c r="H341" s="3">
        <f t="shared" si="46"/>
        <v>1.4425733333333335E-2</v>
      </c>
      <c r="I341" s="3">
        <f t="shared" si="47"/>
        <v>0.30104039999999999</v>
      </c>
      <c r="J341" s="3">
        <f t="shared" si="48"/>
        <v>2.6578199999999996E-2</v>
      </c>
      <c r="K341" s="3">
        <f t="shared" si="49"/>
        <v>0.24402763333333333</v>
      </c>
      <c r="L341" s="3">
        <f t="shared" si="50"/>
        <v>2.8742E-2</v>
      </c>
      <c r="M341" s="3">
        <f t="shared" si="51"/>
        <v>4.7389366666666662E-2</v>
      </c>
    </row>
    <row r="342" spans="1:13" x14ac:dyDescent="0.25">
      <c r="A342" s="5">
        <f t="shared" si="45"/>
        <v>34759</v>
      </c>
      <c r="B342" s="4">
        <v>1.38511E-2</v>
      </c>
      <c r="C342" s="4">
        <v>0.28916389999999997</v>
      </c>
      <c r="D342" s="4">
        <v>2.6050299999999998E-2</v>
      </c>
      <c r="E342" s="4">
        <v>0.2222452</v>
      </c>
      <c r="F342" s="4">
        <v>2.7080400000000001E-2</v>
      </c>
      <c r="G342" s="4">
        <v>4.4433399999999998E-2</v>
      </c>
      <c r="H342" s="3">
        <f t="shared" si="46"/>
        <v>1.4234233333333332E-2</v>
      </c>
      <c r="I342" s="3">
        <f t="shared" si="47"/>
        <v>0.29360976666666666</v>
      </c>
      <c r="J342" s="3">
        <f t="shared" si="48"/>
        <v>2.6312600000000002E-2</v>
      </c>
      <c r="K342" s="3">
        <f t="shared" si="49"/>
        <v>0.23660843333333334</v>
      </c>
      <c r="L342" s="3">
        <f t="shared" si="50"/>
        <v>2.7795666666666666E-2</v>
      </c>
      <c r="M342" s="3">
        <f t="shared" si="51"/>
        <v>4.6055699999999998E-2</v>
      </c>
    </row>
    <row r="343" spans="1:13" x14ac:dyDescent="0.25">
      <c r="A343" s="5">
        <f t="shared" si="45"/>
        <v>34790</v>
      </c>
      <c r="B343" s="4">
        <v>1.4605099999999999E-2</v>
      </c>
      <c r="C343" s="4">
        <v>0.26597419999999999</v>
      </c>
      <c r="D343" s="4">
        <v>3.01102E-2</v>
      </c>
      <c r="E343" s="4">
        <v>0.22700480000000001</v>
      </c>
      <c r="F343" s="4">
        <v>2.7806399999999998E-2</v>
      </c>
      <c r="G343" s="4">
        <v>4.2163699999999998E-2</v>
      </c>
      <c r="H343" s="3">
        <f t="shared" si="46"/>
        <v>1.4097699999999999E-2</v>
      </c>
      <c r="I343" s="3">
        <f t="shared" si="47"/>
        <v>0.28487250000000003</v>
      </c>
      <c r="J343" s="3">
        <f t="shared" si="48"/>
        <v>2.7215966666666664E-2</v>
      </c>
      <c r="K343" s="3">
        <f t="shared" si="49"/>
        <v>0.2333604</v>
      </c>
      <c r="L343" s="3">
        <f t="shared" si="50"/>
        <v>2.7861999999999998E-2</v>
      </c>
      <c r="M343" s="3">
        <f t="shared" si="51"/>
        <v>4.3868199999999996E-2</v>
      </c>
    </row>
    <row r="344" spans="1:13" x14ac:dyDescent="0.25">
      <c r="A344" s="5">
        <f t="shared" si="45"/>
        <v>34820</v>
      </c>
      <c r="B344" s="4">
        <v>1.35981E-2</v>
      </c>
      <c r="C344" s="4">
        <v>0.25983139999999999</v>
      </c>
      <c r="D344" s="4">
        <v>2.83343E-2</v>
      </c>
      <c r="E344" s="4">
        <v>0.24275379999999999</v>
      </c>
      <c r="F344" s="4">
        <v>2.7799399999999998E-2</v>
      </c>
      <c r="G344" s="4">
        <v>3.9738500000000003E-2</v>
      </c>
      <c r="H344" s="3">
        <f t="shared" si="46"/>
        <v>1.40181E-2</v>
      </c>
      <c r="I344" s="3">
        <f t="shared" si="47"/>
        <v>0.27165649999999997</v>
      </c>
      <c r="J344" s="3">
        <f t="shared" si="48"/>
        <v>2.8164933333333336E-2</v>
      </c>
      <c r="K344" s="3">
        <f t="shared" si="49"/>
        <v>0.23066793333333335</v>
      </c>
      <c r="L344" s="3">
        <f t="shared" si="50"/>
        <v>2.7562066666666666E-2</v>
      </c>
      <c r="M344" s="3">
        <f t="shared" si="51"/>
        <v>4.2111866666666664E-2</v>
      </c>
    </row>
    <row r="345" spans="1:13" x14ac:dyDescent="0.25">
      <c r="A345" s="5">
        <f t="shared" si="45"/>
        <v>34851</v>
      </c>
      <c r="B345" s="6">
        <v>1.3716080000000002E-2</v>
      </c>
      <c r="C345" s="6">
        <v>0.26256334000000003</v>
      </c>
      <c r="D345" s="6">
        <v>2.838982E-2</v>
      </c>
      <c r="E345" s="6">
        <v>0.24392723999999999</v>
      </c>
      <c r="F345" s="6">
        <v>2.7489799999999998E-2</v>
      </c>
      <c r="G345" s="6">
        <v>4.0486980000000006E-2</v>
      </c>
      <c r="H345" s="3">
        <f t="shared" si="46"/>
        <v>1.3973093333333334E-2</v>
      </c>
      <c r="I345" s="3">
        <f t="shared" si="47"/>
        <v>0.26278964666666665</v>
      </c>
      <c r="J345" s="3">
        <f t="shared" si="48"/>
        <v>2.894477333333333E-2</v>
      </c>
      <c r="K345" s="3">
        <f t="shared" si="49"/>
        <v>0.23789528000000001</v>
      </c>
      <c r="L345" s="3">
        <f t="shared" si="50"/>
        <v>2.7698533333333331E-2</v>
      </c>
      <c r="M345" s="3">
        <f t="shared" si="51"/>
        <v>4.079639333333334E-2</v>
      </c>
    </row>
    <row r="346" spans="1:13" x14ac:dyDescent="0.25">
      <c r="A346" s="5">
        <f t="shared" si="45"/>
        <v>34881</v>
      </c>
      <c r="B346" s="6">
        <v>1.383406E-2</v>
      </c>
      <c r="C346" s="6">
        <v>0.26529527999999997</v>
      </c>
      <c r="D346" s="6">
        <v>2.844534E-2</v>
      </c>
      <c r="E346" s="6">
        <v>0.24510068000000002</v>
      </c>
      <c r="F346" s="6">
        <v>2.7180200000000002E-2</v>
      </c>
      <c r="G346" s="6">
        <v>4.1235460000000002E-2</v>
      </c>
      <c r="H346" s="3">
        <f t="shared" si="46"/>
        <v>1.371608E-2</v>
      </c>
      <c r="I346" s="3">
        <f t="shared" si="47"/>
        <v>0.26256333999999998</v>
      </c>
      <c r="J346" s="3">
        <f t="shared" si="48"/>
        <v>2.838982E-2</v>
      </c>
      <c r="K346" s="3">
        <f t="shared" si="49"/>
        <v>0.24392724000000002</v>
      </c>
      <c r="L346" s="3">
        <f t="shared" si="50"/>
        <v>2.7489799999999998E-2</v>
      </c>
      <c r="M346" s="3">
        <f t="shared" si="51"/>
        <v>4.0486980000000006E-2</v>
      </c>
    </row>
    <row r="347" spans="1:13" x14ac:dyDescent="0.25">
      <c r="A347" s="5">
        <f t="shared" si="45"/>
        <v>34912</v>
      </c>
      <c r="B347" s="6">
        <v>1.3952039999999999E-2</v>
      </c>
      <c r="C347" s="6">
        <v>0.26802722000000001</v>
      </c>
      <c r="D347" s="6">
        <v>2.8500859999999996E-2</v>
      </c>
      <c r="E347" s="6">
        <v>0.24627411999999999</v>
      </c>
      <c r="F347" s="6">
        <v>2.6870599999999998E-2</v>
      </c>
      <c r="G347" s="6">
        <v>4.1983939999999997E-2</v>
      </c>
      <c r="H347" s="3">
        <f t="shared" si="46"/>
        <v>1.383406E-2</v>
      </c>
      <c r="I347" s="3">
        <f t="shared" si="47"/>
        <v>0.26529527999999997</v>
      </c>
      <c r="J347" s="3">
        <f t="shared" si="48"/>
        <v>2.8445339999999996E-2</v>
      </c>
      <c r="K347" s="3">
        <f t="shared" si="49"/>
        <v>0.24510067999999999</v>
      </c>
      <c r="L347" s="3">
        <f t="shared" si="50"/>
        <v>2.7180199999999998E-2</v>
      </c>
      <c r="M347" s="3">
        <f t="shared" si="51"/>
        <v>4.1235460000000002E-2</v>
      </c>
    </row>
    <row r="348" spans="1:13" x14ac:dyDescent="0.25">
      <c r="A348" s="5">
        <f t="shared" si="45"/>
        <v>34943</v>
      </c>
      <c r="B348" s="6">
        <v>1.4070020000000001E-2</v>
      </c>
      <c r="C348" s="6">
        <v>0.27075916</v>
      </c>
      <c r="D348" s="6">
        <v>2.8556379999999999E-2</v>
      </c>
      <c r="E348" s="6">
        <v>0.24744756000000001</v>
      </c>
      <c r="F348" s="6">
        <v>2.6561000000000001E-2</v>
      </c>
      <c r="G348" s="6">
        <v>4.2732420000000007E-2</v>
      </c>
      <c r="H348" s="3">
        <f t="shared" si="46"/>
        <v>1.3952040000000001E-2</v>
      </c>
      <c r="I348" s="3">
        <f t="shared" si="47"/>
        <v>0.26802721999999995</v>
      </c>
      <c r="J348" s="3">
        <f t="shared" si="48"/>
        <v>2.8500859999999999E-2</v>
      </c>
      <c r="K348" s="3">
        <f t="shared" si="49"/>
        <v>0.24627412000000001</v>
      </c>
      <c r="L348" s="3">
        <f t="shared" si="50"/>
        <v>2.6870599999999998E-2</v>
      </c>
      <c r="M348" s="3">
        <f t="shared" si="51"/>
        <v>4.1983939999999997E-2</v>
      </c>
    </row>
    <row r="349" spans="1:13" x14ac:dyDescent="0.25">
      <c r="A349" s="5">
        <f t="shared" si="45"/>
        <v>34973</v>
      </c>
      <c r="B349" s="4">
        <v>1.4187999999999999E-2</v>
      </c>
      <c r="C349" s="4">
        <v>0.27349109999999999</v>
      </c>
      <c r="D349" s="4">
        <v>2.8611899999999999E-2</v>
      </c>
      <c r="E349" s="4">
        <v>0.24862100000000001</v>
      </c>
      <c r="F349" s="4">
        <v>2.6251400000000001E-2</v>
      </c>
      <c r="G349" s="4">
        <v>4.3480900000000003E-2</v>
      </c>
      <c r="H349" s="3">
        <f t="shared" si="46"/>
        <v>1.4070020000000001E-2</v>
      </c>
      <c r="I349" s="3">
        <f t="shared" si="47"/>
        <v>0.27075916</v>
      </c>
      <c r="J349" s="3">
        <f t="shared" si="48"/>
        <v>2.8556379999999996E-2</v>
      </c>
      <c r="K349" s="3">
        <f t="shared" si="49"/>
        <v>0.24744756000000001</v>
      </c>
      <c r="L349" s="3">
        <f t="shared" si="50"/>
        <v>2.6561000000000001E-2</v>
      </c>
      <c r="M349" s="3">
        <f t="shared" si="51"/>
        <v>4.273242E-2</v>
      </c>
    </row>
    <row r="350" spans="1:13" x14ac:dyDescent="0.25">
      <c r="A350" s="5">
        <f t="shared" si="45"/>
        <v>35004</v>
      </c>
      <c r="B350" s="4">
        <v>1.43562E-2</v>
      </c>
      <c r="C350" s="4">
        <v>0.28935640000000001</v>
      </c>
      <c r="D350" s="4">
        <v>2.70075E-2</v>
      </c>
      <c r="E350" s="4">
        <v>0.23768030000000001</v>
      </c>
      <c r="F350" s="4">
        <v>2.8570600000000002E-2</v>
      </c>
      <c r="G350" s="4">
        <v>4.6529000000000001E-2</v>
      </c>
      <c r="H350" s="3">
        <f t="shared" si="46"/>
        <v>1.420474E-2</v>
      </c>
      <c r="I350" s="3">
        <f t="shared" si="47"/>
        <v>0.2778688866666667</v>
      </c>
      <c r="J350" s="3">
        <f t="shared" si="48"/>
        <v>2.8058593333333336E-2</v>
      </c>
      <c r="K350" s="3">
        <f t="shared" si="49"/>
        <v>0.24458295333333332</v>
      </c>
      <c r="L350" s="3">
        <f t="shared" si="50"/>
        <v>2.7127666666666671E-2</v>
      </c>
      <c r="M350" s="3">
        <f t="shared" si="51"/>
        <v>4.4247440000000006E-2</v>
      </c>
    </row>
    <row r="351" spans="1:13" x14ac:dyDescent="0.25">
      <c r="A351" s="5">
        <f t="shared" si="45"/>
        <v>35034</v>
      </c>
      <c r="B351" s="4">
        <v>1.1975599999999999E-2</v>
      </c>
      <c r="C351" s="4">
        <v>0.2588491</v>
      </c>
      <c r="D351" s="4">
        <v>2.7101699999999999E-2</v>
      </c>
      <c r="E351" s="4">
        <v>0.23857590000000001</v>
      </c>
      <c r="F351" s="4">
        <v>2.5911799999999999E-2</v>
      </c>
      <c r="G351" s="4">
        <v>4.1469899999999997E-2</v>
      </c>
      <c r="H351" s="3">
        <f t="shared" si="46"/>
        <v>1.3506599999999999E-2</v>
      </c>
      <c r="I351" s="3">
        <f t="shared" si="47"/>
        <v>0.27389886666666663</v>
      </c>
      <c r="J351" s="3">
        <f t="shared" si="48"/>
        <v>2.7573699999999996E-2</v>
      </c>
      <c r="K351" s="3">
        <f t="shared" si="49"/>
        <v>0.24162573333333337</v>
      </c>
      <c r="L351" s="3">
        <f t="shared" si="50"/>
        <v>2.6911266666666666E-2</v>
      </c>
      <c r="M351" s="3">
        <f t="shared" si="51"/>
        <v>4.38266E-2</v>
      </c>
    </row>
    <row r="352" spans="1:13" x14ac:dyDescent="0.25">
      <c r="A352" s="5">
        <f t="shared" si="45"/>
        <v>35065</v>
      </c>
      <c r="B352" s="4">
        <v>1.4375300000000001E-2</v>
      </c>
      <c r="C352" s="4">
        <v>0.28301359999999998</v>
      </c>
      <c r="D352" s="4">
        <v>2.6957200000000001E-2</v>
      </c>
      <c r="E352" s="4">
        <v>0.23428170000000001</v>
      </c>
      <c r="F352" s="4">
        <v>2.7019100000000001E-2</v>
      </c>
      <c r="G352" s="4">
        <v>4.3744699999999997E-2</v>
      </c>
      <c r="H352" s="3">
        <f t="shared" si="46"/>
        <v>1.3569033333333333E-2</v>
      </c>
      <c r="I352" s="3">
        <f t="shared" si="47"/>
        <v>0.27707303333333333</v>
      </c>
      <c r="J352" s="3">
        <f t="shared" si="48"/>
        <v>2.7022133333333333E-2</v>
      </c>
      <c r="K352" s="3">
        <f t="shared" si="49"/>
        <v>0.23684596666666669</v>
      </c>
      <c r="L352" s="3">
        <f t="shared" si="50"/>
        <v>2.7167166666666669E-2</v>
      </c>
      <c r="M352" s="3">
        <f t="shared" si="51"/>
        <v>4.3914533333333332E-2</v>
      </c>
    </row>
    <row r="353" spans="1:13" x14ac:dyDescent="0.25">
      <c r="A353" s="5">
        <f t="shared" si="45"/>
        <v>35096</v>
      </c>
      <c r="B353" s="4">
        <v>1.36515E-2</v>
      </c>
      <c r="C353" s="4">
        <v>0.29603960000000001</v>
      </c>
      <c r="D353" s="4">
        <v>2.7029899999999999E-2</v>
      </c>
      <c r="E353" s="4">
        <v>0.25155270000000002</v>
      </c>
      <c r="F353" s="4">
        <v>2.8597000000000001E-2</v>
      </c>
      <c r="G353" s="4">
        <v>5.1886000000000002E-2</v>
      </c>
      <c r="H353" s="3">
        <f t="shared" si="46"/>
        <v>1.3334133333333333E-2</v>
      </c>
      <c r="I353" s="3">
        <f t="shared" si="47"/>
        <v>0.2793007666666667</v>
      </c>
      <c r="J353" s="3">
        <f t="shared" si="48"/>
        <v>2.7029600000000001E-2</v>
      </c>
      <c r="K353" s="3">
        <f t="shared" si="49"/>
        <v>0.24147009999999999</v>
      </c>
      <c r="L353" s="3">
        <f t="shared" si="50"/>
        <v>2.7175966666666666E-2</v>
      </c>
      <c r="M353" s="3">
        <f t="shared" si="51"/>
        <v>4.5700200000000003E-2</v>
      </c>
    </row>
    <row r="354" spans="1:13" x14ac:dyDescent="0.25">
      <c r="A354" s="5">
        <f t="shared" si="45"/>
        <v>35125</v>
      </c>
      <c r="B354" s="4">
        <v>1.39276E-2</v>
      </c>
      <c r="C354" s="4">
        <v>0.27456999999999998</v>
      </c>
      <c r="D354" s="4">
        <v>2.9884999999999998E-2</v>
      </c>
      <c r="E354" s="4">
        <v>0.23236970000000001</v>
      </c>
      <c r="F354" s="4">
        <v>2.64847E-2</v>
      </c>
      <c r="G354" s="4">
        <v>4.3578499999999999E-2</v>
      </c>
      <c r="H354" s="3">
        <f t="shared" si="46"/>
        <v>1.39848E-2</v>
      </c>
      <c r="I354" s="3">
        <f t="shared" si="47"/>
        <v>0.28454106666666662</v>
      </c>
      <c r="J354" s="3">
        <f t="shared" si="48"/>
        <v>2.7957366666666664E-2</v>
      </c>
      <c r="K354" s="3">
        <f t="shared" si="49"/>
        <v>0.23940136666666667</v>
      </c>
      <c r="L354" s="3">
        <f t="shared" si="50"/>
        <v>2.7366933333333333E-2</v>
      </c>
      <c r="M354" s="3">
        <f t="shared" si="51"/>
        <v>4.6403066666666666E-2</v>
      </c>
    </row>
    <row r="355" spans="1:13" x14ac:dyDescent="0.25">
      <c r="A355" s="5">
        <f t="shared" si="45"/>
        <v>35156</v>
      </c>
      <c r="B355" s="4">
        <v>1.37585E-2</v>
      </c>
      <c r="C355" s="4">
        <v>0.24771460000000001</v>
      </c>
      <c r="D355" s="4">
        <v>2.6922399999999999E-2</v>
      </c>
      <c r="E355" s="4">
        <v>0.23486789999999999</v>
      </c>
      <c r="F355" s="4">
        <v>2.5260100000000001E-2</v>
      </c>
      <c r="G355" s="4">
        <v>3.9215800000000002E-2</v>
      </c>
      <c r="H355" s="3">
        <f t="shared" si="46"/>
        <v>1.37792E-2</v>
      </c>
      <c r="I355" s="3">
        <f t="shared" si="47"/>
        <v>0.27277473333333335</v>
      </c>
      <c r="J355" s="3">
        <f t="shared" si="48"/>
        <v>2.7945766666666667E-2</v>
      </c>
      <c r="K355" s="3">
        <f t="shared" si="49"/>
        <v>0.23959676666666666</v>
      </c>
      <c r="L355" s="3">
        <f t="shared" si="50"/>
        <v>2.6780599999999998E-2</v>
      </c>
      <c r="M355" s="3">
        <f t="shared" si="51"/>
        <v>4.4893433333333337E-2</v>
      </c>
    </row>
    <row r="356" spans="1:13" x14ac:dyDescent="0.25">
      <c r="A356" s="5">
        <f t="shared" si="45"/>
        <v>35186</v>
      </c>
      <c r="B356" s="4">
        <v>1.52567E-2</v>
      </c>
      <c r="C356" s="4">
        <v>0.2915952</v>
      </c>
      <c r="D356" s="4">
        <v>2.9141500000000001E-2</v>
      </c>
      <c r="E356" s="4">
        <v>0.24115800000000001</v>
      </c>
      <c r="F356" s="4">
        <v>2.7274699999999999E-2</v>
      </c>
      <c r="G356" s="4">
        <v>4.7774799999999999E-2</v>
      </c>
      <c r="H356" s="3">
        <f t="shared" si="46"/>
        <v>1.4314266666666665E-2</v>
      </c>
      <c r="I356" s="3">
        <f t="shared" si="47"/>
        <v>0.2712932666666667</v>
      </c>
      <c r="J356" s="3">
        <f t="shared" si="48"/>
        <v>2.864963333333333E-2</v>
      </c>
      <c r="K356" s="3">
        <f t="shared" si="49"/>
        <v>0.23613186666666666</v>
      </c>
      <c r="L356" s="3">
        <f t="shared" si="50"/>
        <v>2.633983333333333E-2</v>
      </c>
      <c r="M356" s="3">
        <f t="shared" si="51"/>
        <v>4.3523033333333329E-2</v>
      </c>
    </row>
    <row r="357" spans="1:13" x14ac:dyDescent="0.25">
      <c r="A357" s="5">
        <f t="shared" si="45"/>
        <v>35217</v>
      </c>
      <c r="B357" s="4">
        <v>1.31211E-2</v>
      </c>
      <c r="C357" s="4">
        <v>0.24684919999999999</v>
      </c>
      <c r="D357" s="4">
        <v>2.23714E-2</v>
      </c>
      <c r="E357" s="4">
        <v>0.28346260000000001</v>
      </c>
      <c r="F357" s="4">
        <v>2.5528100000000001E-2</v>
      </c>
      <c r="G357" s="4">
        <v>4.0432700000000002E-2</v>
      </c>
      <c r="H357" s="3">
        <f t="shared" si="46"/>
        <v>1.4045433333333334E-2</v>
      </c>
      <c r="I357" s="3">
        <f t="shared" si="47"/>
        <v>0.26205300000000004</v>
      </c>
      <c r="J357" s="3">
        <f t="shared" si="48"/>
        <v>2.6145100000000001E-2</v>
      </c>
      <c r="K357" s="3">
        <f t="shared" si="49"/>
        <v>0.25316283333333334</v>
      </c>
      <c r="L357" s="3">
        <f t="shared" si="50"/>
        <v>2.6020966666666669E-2</v>
      </c>
      <c r="M357" s="3">
        <f t="shared" si="51"/>
        <v>4.2474433333333339E-2</v>
      </c>
    </row>
    <row r="358" spans="1:13" x14ac:dyDescent="0.25">
      <c r="A358" s="5">
        <f t="shared" si="45"/>
        <v>35247</v>
      </c>
      <c r="B358" s="4">
        <v>1.33201E-2</v>
      </c>
      <c r="C358" s="4">
        <v>0.2598779</v>
      </c>
      <c r="D358" s="4">
        <v>2.8724400000000001E-2</v>
      </c>
      <c r="E358" s="4">
        <v>0.23982049999999999</v>
      </c>
      <c r="F358" s="4">
        <v>2.6902700000000002E-2</v>
      </c>
      <c r="G358" s="4">
        <v>4.3261500000000001E-2</v>
      </c>
      <c r="H358" s="3">
        <f t="shared" si="46"/>
        <v>1.3899300000000002E-2</v>
      </c>
      <c r="I358" s="3">
        <f t="shared" si="47"/>
        <v>0.26610743333333331</v>
      </c>
      <c r="J358" s="3">
        <f t="shared" si="48"/>
        <v>2.6745766666666667E-2</v>
      </c>
      <c r="K358" s="3">
        <f t="shared" si="49"/>
        <v>0.25481369999999998</v>
      </c>
      <c r="L358" s="3">
        <f t="shared" si="50"/>
        <v>2.6568499999999998E-2</v>
      </c>
      <c r="M358" s="3">
        <f t="shared" si="51"/>
        <v>4.3823000000000001E-2</v>
      </c>
    </row>
    <row r="359" spans="1:13" x14ac:dyDescent="0.25">
      <c r="A359" s="5">
        <f t="shared" si="45"/>
        <v>35278</v>
      </c>
      <c r="B359" s="4">
        <v>1.26471E-2</v>
      </c>
      <c r="C359" s="4">
        <v>0.29941790000000001</v>
      </c>
      <c r="D359" s="4">
        <v>2.4857600000000001E-2</v>
      </c>
      <c r="E359" s="4">
        <v>0.2344311</v>
      </c>
      <c r="F359" s="4">
        <v>2.96206E-2</v>
      </c>
      <c r="G359" s="4">
        <v>4.5953899999999999E-2</v>
      </c>
      <c r="H359" s="3">
        <f t="shared" si="46"/>
        <v>1.3029433333333333E-2</v>
      </c>
      <c r="I359" s="3">
        <f t="shared" si="47"/>
        <v>0.26871499999999998</v>
      </c>
      <c r="J359" s="3">
        <f t="shared" si="48"/>
        <v>2.5317800000000001E-2</v>
      </c>
      <c r="K359" s="3">
        <f t="shared" si="49"/>
        <v>0.2525714</v>
      </c>
      <c r="L359" s="3">
        <f t="shared" si="50"/>
        <v>2.7350466666666667E-2</v>
      </c>
      <c r="M359" s="3">
        <f t="shared" si="51"/>
        <v>4.3216033333333327E-2</v>
      </c>
    </row>
    <row r="360" spans="1:13" x14ac:dyDescent="0.25">
      <c r="A360" s="5">
        <f t="shared" si="45"/>
        <v>35309</v>
      </c>
      <c r="B360" s="4">
        <v>1.2516599999999999E-2</v>
      </c>
      <c r="C360" s="4">
        <v>0.2645632</v>
      </c>
      <c r="D360" s="4">
        <v>2.4459999999999999E-2</v>
      </c>
      <c r="E360" s="4">
        <v>0.2585498</v>
      </c>
      <c r="F360" s="4">
        <v>2.2080700000000002E-2</v>
      </c>
      <c r="G360" s="4">
        <v>4.0838800000000001E-2</v>
      </c>
      <c r="H360" s="3">
        <f t="shared" si="46"/>
        <v>1.2827933333333333E-2</v>
      </c>
      <c r="I360" s="3">
        <f t="shared" si="47"/>
        <v>0.27461966666666665</v>
      </c>
      <c r="J360" s="3">
        <f t="shared" si="48"/>
        <v>2.6013999999999999E-2</v>
      </c>
      <c r="K360" s="3">
        <f t="shared" si="49"/>
        <v>0.24426713333333336</v>
      </c>
      <c r="L360" s="3">
        <f t="shared" si="50"/>
        <v>2.6201333333333337E-2</v>
      </c>
      <c r="M360" s="3">
        <f t="shared" si="51"/>
        <v>4.3351400000000005E-2</v>
      </c>
    </row>
    <row r="361" spans="1:13" x14ac:dyDescent="0.25">
      <c r="A361" s="5">
        <f t="shared" si="45"/>
        <v>35339</v>
      </c>
      <c r="B361" s="4">
        <v>1.19066E-2</v>
      </c>
      <c r="C361" s="4">
        <v>0.28105999999999998</v>
      </c>
      <c r="D361" s="4">
        <v>2.6989900000000001E-2</v>
      </c>
      <c r="E361" s="4">
        <v>0.21687619999999999</v>
      </c>
      <c r="F361" s="4">
        <v>2.45013E-2</v>
      </c>
      <c r="G361" s="4">
        <v>4.13788E-2</v>
      </c>
      <c r="H361" s="3">
        <f t="shared" si="46"/>
        <v>1.2356766666666666E-2</v>
      </c>
      <c r="I361" s="3">
        <f t="shared" si="47"/>
        <v>0.28168036666666668</v>
      </c>
      <c r="J361" s="3">
        <f t="shared" si="48"/>
        <v>2.5435833333333335E-2</v>
      </c>
      <c r="K361" s="3">
        <f t="shared" si="49"/>
        <v>0.23661903333333334</v>
      </c>
      <c r="L361" s="3">
        <f t="shared" si="50"/>
        <v>2.5400866666666671E-2</v>
      </c>
      <c r="M361" s="3">
        <f t="shared" si="51"/>
        <v>4.2723833333333329E-2</v>
      </c>
    </row>
    <row r="362" spans="1:13" x14ac:dyDescent="0.25">
      <c r="A362" s="5">
        <f t="shared" si="45"/>
        <v>35370</v>
      </c>
      <c r="B362" s="4">
        <v>1.4754E-2</v>
      </c>
      <c r="C362" s="4">
        <v>0.2987013</v>
      </c>
      <c r="D362" s="4">
        <v>2.6116400000000001E-2</v>
      </c>
      <c r="E362" s="4">
        <v>0.23923130000000001</v>
      </c>
      <c r="F362" s="4">
        <v>2.7049E-2</v>
      </c>
      <c r="G362" s="4">
        <v>4.4469500000000002E-2</v>
      </c>
      <c r="H362" s="3">
        <f t="shared" si="46"/>
        <v>1.3059066666666666E-2</v>
      </c>
      <c r="I362" s="3">
        <f t="shared" si="47"/>
        <v>0.28144149999999996</v>
      </c>
      <c r="J362" s="3">
        <f t="shared" si="48"/>
        <v>2.5855433333333334E-2</v>
      </c>
      <c r="K362" s="3">
        <f t="shared" si="49"/>
        <v>0.23821910000000002</v>
      </c>
      <c r="L362" s="3">
        <f t="shared" si="50"/>
        <v>2.4543666666666668E-2</v>
      </c>
      <c r="M362" s="3">
        <f t="shared" si="51"/>
        <v>4.2229033333333332E-2</v>
      </c>
    </row>
    <row r="363" spans="1:13" x14ac:dyDescent="0.25">
      <c r="A363" s="5">
        <f t="shared" si="45"/>
        <v>35400</v>
      </c>
      <c r="B363" s="4">
        <v>1.16107E-2</v>
      </c>
      <c r="C363" s="4">
        <v>0.26921539999999999</v>
      </c>
      <c r="D363" s="4">
        <v>2.7210399999999999E-2</v>
      </c>
      <c r="E363" s="4">
        <v>0.2263192</v>
      </c>
      <c r="F363" s="4">
        <v>2.43786E-2</v>
      </c>
      <c r="G363" s="4">
        <v>4.1681700000000002E-2</v>
      </c>
      <c r="H363" s="3">
        <f t="shared" si="46"/>
        <v>1.27571E-2</v>
      </c>
      <c r="I363" s="3">
        <f t="shared" si="47"/>
        <v>0.28299223333333329</v>
      </c>
      <c r="J363" s="3">
        <f t="shared" si="48"/>
        <v>2.6772233333333336E-2</v>
      </c>
      <c r="K363" s="3">
        <f t="shared" si="49"/>
        <v>0.22747556666666666</v>
      </c>
      <c r="L363" s="3">
        <f t="shared" si="50"/>
        <v>2.5309633333333331E-2</v>
      </c>
      <c r="M363" s="3">
        <f t="shared" si="51"/>
        <v>4.2509999999999999E-2</v>
      </c>
    </row>
    <row r="364" spans="1:13" x14ac:dyDescent="0.25">
      <c r="A364" s="5">
        <f t="shared" si="45"/>
        <v>35431</v>
      </c>
      <c r="B364" s="4">
        <v>1.37558E-2</v>
      </c>
      <c r="C364" s="4">
        <v>0.31722470000000003</v>
      </c>
      <c r="D364" s="4">
        <v>2.6009899999999999E-2</v>
      </c>
      <c r="E364" s="4">
        <v>0.2368633</v>
      </c>
      <c r="F364" s="4">
        <v>2.70076E-2</v>
      </c>
      <c r="G364" s="4">
        <v>4.6441099999999999E-2</v>
      </c>
      <c r="H364" s="3">
        <f t="shared" si="46"/>
        <v>1.3373499999999998E-2</v>
      </c>
      <c r="I364" s="3">
        <f t="shared" si="47"/>
        <v>0.29504713333333338</v>
      </c>
      <c r="J364" s="3">
        <f t="shared" si="48"/>
        <v>2.6445566666666667E-2</v>
      </c>
      <c r="K364" s="3">
        <f t="shared" si="49"/>
        <v>0.23413793333333333</v>
      </c>
      <c r="L364" s="3">
        <f t="shared" si="50"/>
        <v>2.6145066666666671E-2</v>
      </c>
      <c r="M364" s="3">
        <f t="shared" si="51"/>
        <v>4.4197433333333334E-2</v>
      </c>
    </row>
    <row r="365" spans="1:13" x14ac:dyDescent="0.25">
      <c r="A365" s="5">
        <f t="shared" si="45"/>
        <v>35462</v>
      </c>
      <c r="B365" s="4">
        <v>1.23523E-2</v>
      </c>
      <c r="C365" s="4">
        <v>0.28867690000000001</v>
      </c>
      <c r="D365" s="4">
        <v>2.6203500000000001E-2</v>
      </c>
      <c r="E365" s="4">
        <v>0.23779620000000001</v>
      </c>
      <c r="F365" s="4">
        <v>2.7451099999999999E-2</v>
      </c>
      <c r="G365" s="4">
        <v>4.4682800000000002E-2</v>
      </c>
      <c r="H365" s="3">
        <f t="shared" si="46"/>
        <v>1.2572933333333333E-2</v>
      </c>
      <c r="I365" s="3">
        <f t="shared" si="47"/>
        <v>0.2917056666666667</v>
      </c>
      <c r="J365" s="3">
        <f t="shared" si="48"/>
        <v>2.6474600000000001E-2</v>
      </c>
      <c r="K365" s="3">
        <f t="shared" si="49"/>
        <v>0.23365956666666668</v>
      </c>
      <c r="L365" s="3">
        <f t="shared" si="50"/>
        <v>2.62791E-2</v>
      </c>
      <c r="M365" s="3">
        <f t="shared" si="51"/>
        <v>4.4268533333333332E-2</v>
      </c>
    </row>
    <row r="366" spans="1:13" x14ac:dyDescent="0.25">
      <c r="A366" s="5">
        <f t="shared" si="45"/>
        <v>35490</v>
      </c>
      <c r="B366" s="4">
        <v>1.2411699999999999E-2</v>
      </c>
      <c r="C366" s="4">
        <v>0.28665770000000002</v>
      </c>
      <c r="D366" s="4">
        <v>2.7681799999999999E-2</v>
      </c>
      <c r="E366" s="4">
        <v>0.2343874</v>
      </c>
      <c r="F366" s="4">
        <v>2.73797E-2</v>
      </c>
      <c r="G366" s="4">
        <v>4.7738099999999999E-2</v>
      </c>
      <c r="H366" s="3">
        <f t="shared" si="46"/>
        <v>1.2839933333333333E-2</v>
      </c>
      <c r="I366" s="3">
        <f t="shared" si="47"/>
        <v>0.29751976666666669</v>
      </c>
      <c r="J366" s="3">
        <f t="shared" si="48"/>
        <v>2.6631733333333334E-2</v>
      </c>
      <c r="K366" s="3">
        <f t="shared" si="49"/>
        <v>0.23634896666666669</v>
      </c>
      <c r="L366" s="3">
        <f t="shared" si="50"/>
        <v>2.7279466666666669E-2</v>
      </c>
      <c r="M366" s="3">
        <f t="shared" si="51"/>
        <v>4.628733333333334E-2</v>
      </c>
    </row>
    <row r="367" spans="1:13" x14ac:dyDescent="0.25">
      <c r="A367" s="5">
        <f t="shared" si="45"/>
        <v>35521</v>
      </c>
      <c r="B367" s="4">
        <v>1.2532099999999999E-2</v>
      </c>
      <c r="C367" s="4">
        <v>0.26523740000000001</v>
      </c>
      <c r="D367" s="4">
        <v>2.2752600000000001E-2</v>
      </c>
      <c r="E367" s="4">
        <v>0.25719750000000002</v>
      </c>
      <c r="F367" s="4">
        <v>2.6374499999999999E-2</v>
      </c>
      <c r="G367" s="4">
        <v>4.3129300000000002E-2</v>
      </c>
      <c r="H367" s="3">
        <f t="shared" si="46"/>
        <v>1.2432033333333333E-2</v>
      </c>
      <c r="I367" s="3">
        <f t="shared" si="47"/>
        <v>0.2801906666666667</v>
      </c>
      <c r="J367" s="3">
        <f t="shared" si="48"/>
        <v>2.5545966666666666E-2</v>
      </c>
      <c r="K367" s="3">
        <f t="shared" si="49"/>
        <v>0.24312703333333338</v>
      </c>
      <c r="L367" s="3">
        <f t="shared" si="50"/>
        <v>2.7068433333333333E-2</v>
      </c>
      <c r="M367" s="3">
        <f t="shared" si="51"/>
        <v>4.5183400000000006E-2</v>
      </c>
    </row>
    <row r="368" spans="1:13" x14ac:dyDescent="0.25">
      <c r="A368" s="5">
        <f t="shared" si="45"/>
        <v>35551</v>
      </c>
      <c r="B368" s="4">
        <v>1.39238E-2</v>
      </c>
      <c r="C368" s="4">
        <v>0.32616719999999999</v>
      </c>
      <c r="D368" s="4">
        <v>2.6405399999999999E-2</v>
      </c>
      <c r="E368" s="4">
        <v>0.23503560000000001</v>
      </c>
      <c r="F368" s="4">
        <v>2.78581E-2</v>
      </c>
      <c r="G368" s="4">
        <v>4.7525900000000003E-2</v>
      </c>
      <c r="H368" s="3">
        <f t="shared" si="46"/>
        <v>1.2955866666666668E-2</v>
      </c>
      <c r="I368" s="3">
        <f t="shared" si="47"/>
        <v>0.29268743333333336</v>
      </c>
      <c r="J368" s="3">
        <f t="shared" si="48"/>
        <v>2.5613266666666665E-2</v>
      </c>
      <c r="K368" s="3">
        <f t="shared" si="49"/>
        <v>0.24220683333333334</v>
      </c>
      <c r="L368" s="3">
        <f t="shared" si="50"/>
        <v>2.7204099999999998E-2</v>
      </c>
      <c r="M368" s="3">
        <f t="shared" si="51"/>
        <v>4.6131100000000001E-2</v>
      </c>
    </row>
    <row r="369" spans="1:13" x14ac:dyDescent="0.25">
      <c r="A369" s="5">
        <f t="shared" si="45"/>
        <v>35582</v>
      </c>
      <c r="B369" s="4">
        <v>1.34057E-2</v>
      </c>
      <c r="C369" s="4">
        <v>0.27845180000000003</v>
      </c>
      <c r="D369" s="4">
        <v>2.2207999999999999E-2</v>
      </c>
      <c r="E369" s="4">
        <v>0.25804640000000001</v>
      </c>
      <c r="F369" s="4">
        <v>2.5781499999999999E-2</v>
      </c>
      <c r="G369" s="4">
        <v>3.9615299999999999E-2</v>
      </c>
      <c r="H369" s="3">
        <f t="shared" si="46"/>
        <v>1.3287199999999999E-2</v>
      </c>
      <c r="I369" s="3">
        <f t="shared" si="47"/>
        <v>0.28995213333333331</v>
      </c>
      <c r="J369" s="3">
        <f t="shared" si="48"/>
        <v>2.3788666666666666E-2</v>
      </c>
      <c r="K369" s="3">
        <f t="shared" si="49"/>
        <v>0.25009316666666664</v>
      </c>
      <c r="L369" s="3">
        <f t="shared" si="50"/>
        <v>2.6671366666666668E-2</v>
      </c>
      <c r="M369" s="3">
        <f t="shared" si="51"/>
        <v>4.3423500000000004E-2</v>
      </c>
    </row>
    <row r="370" spans="1:13" x14ac:dyDescent="0.25">
      <c r="A370" s="5">
        <f t="shared" si="45"/>
        <v>35612</v>
      </c>
      <c r="B370" s="4">
        <v>1.2175500000000001E-2</v>
      </c>
      <c r="C370" s="4">
        <v>0.28054309999999999</v>
      </c>
      <c r="D370" s="4">
        <v>2.45994E-2</v>
      </c>
      <c r="E370" s="4">
        <v>0.24521490000000001</v>
      </c>
      <c r="F370" s="4">
        <v>2.50336E-2</v>
      </c>
      <c r="G370" s="4">
        <v>4.0848000000000002E-2</v>
      </c>
      <c r="H370" s="3">
        <f t="shared" si="46"/>
        <v>1.3168333333333332E-2</v>
      </c>
      <c r="I370" s="3">
        <f t="shared" si="47"/>
        <v>0.29505403333333335</v>
      </c>
      <c r="J370" s="3">
        <f t="shared" si="48"/>
        <v>2.4404266666666664E-2</v>
      </c>
      <c r="K370" s="3">
        <f t="shared" si="49"/>
        <v>0.24609896666666667</v>
      </c>
      <c r="L370" s="3">
        <f t="shared" si="50"/>
        <v>2.6224399999999998E-2</v>
      </c>
      <c r="M370" s="3">
        <f t="shared" si="51"/>
        <v>4.2663066666666666E-2</v>
      </c>
    </row>
    <row r="371" spans="1:13" x14ac:dyDescent="0.25">
      <c r="A371" s="5">
        <f t="shared" si="45"/>
        <v>35643</v>
      </c>
      <c r="B371" s="4">
        <v>1.2017699999999999E-2</v>
      </c>
      <c r="C371" s="4">
        <v>0.28166560000000002</v>
      </c>
      <c r="D371" s="4">
        <v>2.65881E-2</v>
      </c>
      <c r="E371" s="4">
        <v>0.2634975</v>
      </c>
      <c r="F371" s="4">
        <v>2.8984800000000002E-2</v>
      </c>
      <c r="G371" s="4">
        <v>4.46422E-2</v>
      </c>
      <c r="H371" s="3">
        <f t="shared" si="46"/>
        <v>1.2532966666666666E-2</v>
      </c>
      <c r="I371" s="3">
        <f t="shared" si="47"/>
        <v>0.28022016666666666</v>
      </c>
      <c r="J371" s="3">
        <f t="shared" si="48"/>
        <v>2.4465166666666666E-2</v>
      </c>
      <c r="K371" s="3">
        <f t="shared" si="49"/>
        <v>0.25558626666666667</v>
      </c>
      <c r="L371" s="3">
        <f t="shared" si="50"/>
        <v>2.6599966666666669E-2</v>
      </c>
      <c r="M371" s="3">
        <f t="shared" si="51"/>
        <v>4.1701833333333334E-2</v>
      </c>
    </row>
    <row r="372" spans="1:13" x14ac:dyDescent="0.25">
      <c r="A372" s="5">
        <f t="shared" si="45"/>
        <v>35674</v>
      </c>
      <c r="B372" s="4">
        <v>1.13759E-2</v>
      </c>
      <c r="C372" s="4">
        <v>0.25104340000000003</v>
      </c>
      <c r="D372" s="4">
        <v>2.2733300000000001E-2</v>
      </c>
      <c r="E372" s="4">
        <v>0.24515219999999999</v>
      </c>
      <c r="F372" s="4">
        <v>2.29602E-2</v>
      </c>
      <c r="G372" s="4">
        <v>3.9366100000000001E-2</v>
      </c>
      <c r="H372" s="3">
        <f t="shared" si="46"/>
        <v>1.1856366666666666E-2</v>
      </c>
      <c r="I372" s="3">
        <f t="shared" si="47"/>
        <v>0.27108403333333336</v>
      </c>
      <c r="J372" s="3">
        <f t="shared" si="48"/>
        <v>2.4640266666666664E-2</v>
      </c>
      <c r="K372" s="3">
        <f t="shared" si="49"/>
        <v>0.25128820000000002</v>
      </c>
      <c r="L372" s="3">
        <f t="shared" si="50"/>
        <v>2.5659533333333335E-2</v>
      </c>
      <c r="M372" s="3">
        <f t="shared" si="51"/>
        <v>4.1618766666666668E-2</v>
      </c>
    </row>
    <row r="373" spans="1:13" x14ac:dyDescent="0.25">
      <c r="A373" s="5">
        <f t="shared" si="45"/>
        <v>35704</v>
      </c>
      <c r="B373" s="4">
        <v>1.3042700000000001E-2</v>
      </c>
      <c r="C373" s="4">
        <v>0.31497059999999999</v>
      </c>
      <c r="D373" s="4">
        <v>2.3074000000000001E-2</v>
      </c>
      <c r="E373" s="4">
        <v>0.24469189999999999</v>
      </c>
      <c r="F373" s="4">
        <v>2.6955300000000001E-2</v>
      </c>
      <c r="G373" s="4">
        <v>4.5404399999999998E-2</v>
      </c>
      <c r="H373" s="3">
        <f t="shared" si="46"/>
        <v>1.2145433333333336E-2</v>
      </c>
      <c r="I373" s="3">
        <f t="shared" si="47"/>
        <v>0.28255986666666671</v>
      </c>
      <c r="J373" s="3">
        <f t="shared" si="48"/>
        <v>2.4131799999999998E-2</v>
      </c>
      <c r="K373" s="3">
        <f t="shared" si="49"/>
        <v>0.25111386666666663</v>
      </c>
      <c r="L373" s="3">
        <f t="shared" si="50"/>
        <v>2.6300100000000003E-2</v>
      </c>
      <c r="M373" s="3">
        <f t="shared" si="51"/>
        <v>4.3137566666666662E-2</v>
      </c>
    </row>
    <row r="374" spans="1:13" x14ac:dyDescent="0.25">
      <c r="A374" s="5">
        <f t="shared" si="45"/>
        <v>35735</v>
      </c>
      <c r="B374" s="4">
        <v>1.0706200000000001E-2</v>
      </c>
      <c r="C374" s="4">
        <v>0.28543049999999998</v>
      </c>
      <c r="D374" s="4">
        <v>2.1751800000000002E-2</v>
      </c>
      <c r="E374" s="4">
        <v>0.2483206</v>
      </c>
      <c r="F374" s="4">
        <v>2.59519E-2</v>
      </c>
      <c r="G374" s="4">
        <v>4.6823099999999999E-2</v>
      </c>
      <c r="H374" s="3">
        <f t="shared" si="46"/>
        <v>1.1708266666666666E-2</v>
      </c>
      <c r="I374" s="3">
        <f t="shared" si="47"/>
        <v>0.28381483333333329</v>
      </c>
      <c r="J374" s="3">
        <f t="shared" si="48"/>
        <v>2.2519700000000004E-2</v>
      </c>
      <c r="K374" s="3">
        <f t="shared" si="49"/>
        <v>0.24605489999999999</v>
      </c>
      <c r="L374" s="3">
        <f t="shared" si="50"/>
        <v>2.5289133333333335E-2</v>
      </c>
      <c r="M374" s="3">
        <f t="shared" si="51"/>
        <v>4.3864533333333337E-2</v>
      </c>
    </row>
    <row r="375" spans="1:13" x14ac:dyDescent="0.25">
      <c r="A375" s="5">
        <f t="shared" si="45"/>
        <v>35765</v>
      </c>
      <c r="B375" s="4">
        <v>1.36747E-2</v>
      </c>
      <c r="C375" s="4">
        <v>0.31945590000000001</v>
      </c>
      <c r="D375" s="4">
        <v>2.2817799999999999E-2</v>
      </c>
      <c r="E375" s="4">
        <v>0.25355810000000001</v>
      </c>
      <c r="F375" s="4">
        <v>2.9440500000000001E-2</v>
      </c>
      <c r="G375" s="4">
        <v>5.1041599999999999E-2</v>
      </c>
      <c r="H375" s="3">
        <f t="shared" si="46"/>
        <v>1.2474533333333334E-2</v>
      </c>
      <c r="I375" s="3">
        <f t="shared" si="47"/>
        <v>0.30661900000000003</v>
      </c>
      <c r="J375" s="3">
        <f t="shared" si="48"/>
        <v>2.2547866666666666E-2</v>
      </c>
      <c r="K375" s="3">
        <f t="shared" si="49"/>
        <v>0.24885686666666665</v>
      </c>
      <c r="L375" s="3">
        <f t="shared" si="50"/>
        <v>2.7449233333333333E-2</v>
      </c>
      <c r="M375" s="3">
        <f t="shared" si="51"/>
        <v>4.7756366666666661E-2</v>
      </c>
    </row>
    <row r="376" spans="1:13" x14ac:dyDescent="0.25">
      <c r="A376" s="5">
        <f t="shared" si="45"/>
        <v>35796</v>
      </c>
      <c r="B376" s="4">
        <v>1.21137E-2</v>
      </c>
      <c r="C376" s="4">
        <v>0.30807909999999999</v>
      </c>
      <c r="D376" s="4">
        <v>2.3176800000000001E-2</v>
      </c>
      <c r="E376" s="4">
        <v>0.2453285</v>
      </c>
      <c r="F376" s="4">
        <v>2.6117899999999999E-2</v>
      </c>
      <c r="G376" s="4">
        <v>5.0799299999999999E-2</v>
      </c>
      <c r="H376" s="3">
        <f t="shared" si="46"/>
        <v>1.2164866666666668E-2</v>
      </c>
      <c r="I376" s="3">
        <f t="shared" si="47"/>
        <v>0.30432183333333335</v>
      </c>
      <c r="J376" s="3">
        <f t="shared" si="48"/>
        <v>2.2582133333333334E-2</v>
      </c>
      <c r="K376" s="3">
        <f t="shared" si="49"/>
        <v>0.2490690666666667</v>
      </c>
      <c r="L376" s="3">
        <f t="shared" si="50"/>
        <v>2.7170100000000003E-2</v>
      </c>
      <c r="M376" s="3">
        <f t="shared" si="51"/>
        <v>4.9554666666666664E-2</v>
      </c>
    </row>
    <row r="377" spans="1:13" x14ac:dyDescent="0.25">
      <c r="A377" s="5">
        <f t="shared" si="45"/>
        <v>35827</v>
      </c>
      <c r="B377" s="4">
        <v>1.2266300000000001E-2</v>
      </c>
      <c r="C377" s="4">
        <v>0.3003345</v>
      </c>
      <c r="D377" s="4">
        <v>2.4678100000000001E-2</v>
      </c>
      <c r="E377" s="4">
        <v>0.26423200000000002</v>
      </c>
      <c r="F377" s="4">
        <v>2.74749E-2</v>
      </c>
      <c r="G377" s="4">
        <v>4.61144E-2</v>
      </c>
      <c r="H377" s="3">
        <f t="shared" si="46"/>
        <v>1.2684899999999999E-2</v>
      </c>
      <c r="I377" s="3">
        <f t="shared" si="47"/>
        <v>0.30928983333333332</v>
      </c>
      <c r="J377" s="3">
        <f t="shared" si="48"/>
        <v>2.3557566666666668E-2</v>
      </c>
      <c r="K377" s="3">
        <f t="shared" si="49"/>
        <v>0.2543728666666667</v>
      </c>
      <c r="L377" s="3">
        <f t="shared" si="50"/>
        <v>2.7677766666666669E-2</v>
      </c>
      <c r="M377" s="3">
        <f t="shared" si="51"/>
        <v>4.9318433333333335E-2</v>
      </c>
    </row>
    <row r="378" spans="1:13" x14ac:dyDescent="0.25">
      <c r="A378" s="5">
        <f t="shared" si="45"/>
        <v>35855</v>
      </c>
      <c r="B378" s="4">
        <v>1.30051E-2</v>
      </c>
      <c r="C378" s="4">
        <v>0.29780879999999998</v>
      </c>
      <c r="D378" s="4">
        <v>2.6378200000000001E-2</v>
      </c>
      <c r="E378" s="4">
        <v>0.25696400000000003</v>
      </c>
      <c r="F378" s="4">
        <v>2.6642200000000001E-2</v>
      </c>
      <c r="G378" s="4">
        <v>4.6429199999999997E-2</v>
      </c>
      <c r="H378" s="3">
        <f t="shared" si="46"/>
        <v>1.2461699999999999E-2</v>
      </c>
      <c r="I378" s="3">
        <f t="shared" si="47"/>
        <v>0.30207413333333333</v>
      </c>
      <c r="J378" s="3">
        <f t="shared" si="48"/>
        <v>2.474436666666667E-2</v>
      </c>
      <c r="K378" s="3">
        <f t="shared" si="49"/>
        <v>0.2555081666666667</v>
      </c>
      <c r="L378" s="3">
        <f t="shared" si="50"/>
        <v>2.6745000000000001E-2</v>
      </c>
      <c r="M378" s="3">
        <f t="shared" si="51"/>
        <v>4.7780966666666667E-2</v>
      </c>
    </row>
    <row r="379" spans="1:13" x14ac:dyDescent="0.25">
      <c r="A379" s="5">
        <f t="shared" si="45"/>
        <v>35886</v>
      </c>
      <c r="B379" s="4">
        <v>1.2477E-2</v>
      </c>
      <c r="C379" s="4">
        <v>0.33548630000000002</v>
      </c>
      <c r="D379" s="4">
        <v>2.14805E-2</v>
      </c>
      <c r="E379" s="4">
        <v>0.25741510000000001</v>
      </c>
      <c r="F379" s="4">
        <v>2.9307400000000001E-2</v>
      </c>
      <c r="G379" s="4">
        <v>4.8355500000000003E-2</v>
      </c>
      <c r="H379" s="3">
        <f t="shared" si="46"/>
        <v>1.25828E-2</v>
      </c>
      <c r="I379" s="3">
        <f t="shared" si="47"/>
        <v>0.31120986666666667</v>
      </c>
      <c r="J379" s="3">
        <f t="shared" si="48"/>
        <v>2.4178933333333333E-2</v>
      </c>
      <c r="K379" s="3">
        <f t="shared" si="49"/>
        <v>0.25953703333333333</v>
      </c>
      <c r="L379" s="3">
        <f t="shared" si="50"/>
        <v>2.7808166666666665E-2</v>
      </c>
      <c r="M379" s="3">
        <f t="shared" si="51"/>
        <v>4.6966366666666669E-2</v>
      </c>
    </row>
    <row r="380" spans="1:13" x14ac:dyDescent="0.25">
      <c r="A380" s="5">
        <f t="shared" si="45"/>
        <v>35916</v>
      </c>
      <c r="B380" s="4">
        <v>1.2112100000000001E-2</v>
      </c>
      <c r="C380" s="4">
        <v>0.2931166</v>
      </c>
      <c r="D380" s="4">
        <v>2.2671199999999999E-2</v>
      </c>
      <c r="E380" s="4">
        <v>0.24195559999999999</v>
      </c>
      <c r="F380" s="4">
        <v>2.5299100000000001E-2</v>
      </c>
      <c r="G380" s="4">
        <v>4.6611199999999998E-2</v>
      </c>
      <c r="H380" s="3">
        <f t="shared" si="46"/>
        <v>1.25314E-2</v>
      </c>
      <c r="I380" s="3">
        <f t="shared" si="47"/>
        <v>0.30880390000000002</v>
      </c>
      <c r="J380" s="3">
        <f t="shared" si="48"/>
        <v>2.350996666666667E-2</v>
      </c>
      <c r="K380" s="3">
        <f t="shared" si="49"/>
        <v>0.25211156666666668</v>
      </c>
      <c r="L380" s="3">
        <f t="shared" si="50"/>
        <v>2.7082900000000003E-2</v>
      </c>
      <c r="M380" s="3">
        <f t="shared" si="51"/>
        <v>4.7131966666666664E-2</v>
      </c>
    </row>
    <row r="381" spans="1:13" x14ac:dyDescent="0.25">
      <c r="A381" s="5">
        <f t="shared" si="45"/>
        <v>35947</v>
      </c>
      <c r="B381" s="4">
        <v>1.1188500000000001E-2</v>
      </c>
      <c r="C381" s="4">
        <v>0.29891960000000001</v>
      </c>
      <c r="D381" s="4">
        <v>2.09552E-2</v>
      </c>
      <c r="E381" s="4">
        <v>0.2399154</v>
      </c>
      <c r="F381" s="4">
        <v>2.6906900000000001E-2</v>
      </c>
      <c r="G381" s="4">
        <v>4.0064099999999998E-2</v>
      </c>
      <c r="H381" s="3">
        <f t="shared" si="46"/>
        <v>1.1925866666666668E-2</v>
      </c>
      <c r="I381" s="3">
        <f t="shared" si="47"/>
        <v>0.30917416666666669</v>
      </c>
      <c r="J381" s="3">
        <f t="shared" si="48"/>
        <v>2.1702299999999997E-2</v>
      </c>
      <c r="K381" s="3">
        <f t="shared" si="49"/>
        <v>0.24642869999999997</v>
      </c>
      <c r="L381" s="3">
        <f t="shared" si="50"/>
        <v>2.7171133333333333E-2</v>
      </c>
      <c r="M381" s="3">
        <f t="shared" si="51"/>
        <v>4.5010266666666666E-2</v>
      </c>
    </row>
    <row r="382" spans="1:13" x14ac:dyDescent="0.25">
      <c r="A382" s="5">
        <f t="shared" si="45"/>
        <v>35977</v>
      </c>
      <c r="B382" s="4">
        <v>1.38543E-2</v>
      </c>
      <c r="C382" s="4">
        <v>0.3092819</v>
      </c>
      <c r="D382" s="4">
        <v>2.2680599999999999E-2</v>
      </c>
      <c r="E382" s="4">
        <v>0.25315130000000002</v>
      </c>
      <c r="F382" s="4">
        <v>2.9817300000000001E-2</v>
      </c>
      <c r="G382" s="4">
        <v>4.72384E-2</v>
      </c>
      <c r="H382" s="3">
        <f t="shared" si="46"/>
        <v>1.2384966666666669E-2</v>
      </c>
      <c r="I382" s="3">
        <f t="shared" si="47"/>
        <v>0.30043936666666665</v>
      </c>
      <c r="J382" s="3">
        <f t="shared" si="48"/>
        <v>2.2102333333333331E-2</v>
      </c>
      <c r="K382" s="3">
        <f t="shared" si="49"/>
        <v>0.24500743333333333</v>
      </c>
      <c r="L382" s="3">
        <f t="shared" si="50"/>
        <v>2.7341100000000004E-2</v>
      </c>
      <c r="M382" s="3">
        <f t="shared" si="51"/>
        <v>4.4637900000000001E-2</v>
      </c>
    </row>
    <row r="383" spans="1:13" x14ac:dyDescent="0.25">
      <c r="A383" s="5">
        <f t="shared" si="45"/>
        <v>36008</v>
      </c>
      <c r="B383" s="4">
        <v>1.17248E-2</v>
      </c>
      <c r="C383" s="4">
        <v>0.28803200000000001</v>
      </c>
      <c r="D383" s="4">
        <v>2.2087200000000001E-2</v>
      </c>
      <c r="E383" s="4">
        <v>0.2460958</v>
      </c>
      <c r="F383" s="4">
        <v>2.9113099999999999E-2</v>
      </c>
      <c r="G383" s="4">
        <v>4.9169200000000003E-2</v>
      </c>
      <c r="H383" s="3">
        <f t="shared" si="46"/>
        <v>1.2255866666666665E-2</v>
      </c>
      <c r="I383" s="3">
        <f t="shared" si="47"/>
        <v>0.29874450000000002</v>
      </c>
      <c r="J383" s="3">
        <f t="shared" si="48"/>
        <v>2.1907666666666669E-2</v>
      </c>
      <c r="K383" s="3">
        <f t="shared" si="49"/>
        <v>0.24638750000000001</v>
      </c>
      <c r="L383" s="3">
        <f t="shared" si="50"/>
        <v>2.8612433333333336E-2</v>
      </c>
      <c r="M383" s="3">
        <f t="shared" si="51"/>
        <v>4.5490566666666669E-2</v>
      </c>
    </row>
    <row r="384" spans="1:13" x14ac:dyDescent="0.25">
      <c r="A384" s="5">
        <f t="shared" si="45"/>
        <v>36039</v>
      </c>
      <c r="B384" s="4">
        <v>1.17675E-2</v>
      </c>
      <c r="C384" s="4">
        <v>0.28443659999999998</v>
      </c>
      <c r="D384" s="4">
        <v>2.2662499999999999E-2</v>
      </c>
      <c r="E384" s="4">
        <v>0.23931450000000001</v>
      </c>
      <c r="F384" s="4">
        <v>2.3288900000000001E-2</v>
      </c>
      <c r="G384" s="4">
        <v>4.8717299999999998E-2</v>
      </c>
      <c r="H384" s="3">
        <f t="shared" si="46"/>
        <v>1.2448866666666667E-2</v>
      </c>
      <c r="I384" s="3">
        <f t="shared" si="47"/>
        <v>0.29391683333333335</v>
      </c>
      <c r="J384" s="3">
        <f t="shared" si="48"/>
        <v>2.2476766666666665E-2</v>
      </c>
      <c r="K384" s="3">
        <f t="shared" si="49"/>
        <v>0.24618720000000002</v>
      </c>
      <c r="L384" s="3">
        <f t="shared" si="50"/>
        <v>2.7406433333333331E-2</v>
      </c>
      <c r="M384" s="3">
        <f t="shared" si="51"/>
        <v>4.8374966666666665E-2</v>
      </c>
    </row>
    <row r="385" spans="1:13" x14ac:dyDescent="0.25">
      <c r="A385" s="5">
        <f t="shared" si="45"/>
        <v>36069</v>
      </c>
      <c r="B385" s="4">
        <v>1.24327E-2</v>
      </c>
      <c r="C385" s="4">
        <v>0.32584249999999998</v>
      </c>
      <c r="D385" s="4">
        <v>2.3835700000000001E-2</v>
      </c>
      <c r="E385" s="4">
        <v>0.24034649999999999</v>
      </c>
      <c r="F385" s="4">
        <v>2.8984900000000001E-2</v>
      </c>
      <c r="G385" s="4">
        <v>5.1161400000000003E-2</v>
      </c>
      <c r="H385" s="3">
        <f t="shared" si="46"/>
        <v>1.1975E-2</v>
      </c>
      <c r="I385" s="3">
        <f t="shared" si="47"/>
        <v>0.29943703333333332</v>
      </c>
      <c r="J385" s="3">
        <f t="shared" si="48"/>
        <v>2.2861800000000002E-2</v>
      </c>
      <c r="K385" s="3">
        <f t="shared" si="49"/>
        <v>0.24191893333333334</v>
      </c>
      <c r="L385" s="3">
        <f t="shared" si="50"/>
        <v>2.7128966666666671E-2</v>
      </c>
      <c r="M385" s="3">
        <f t="shared" si="51"/>
        <v>4.9682633333333337E-2</v>
      </c>
    </row>
    <row r="386" spans="1:13" x14ac:dyDescent="0.25">
      <c r="A386" s="5">
        <f t="shared" si="45"/>
        <v>36100</v>
      </c>
      <c r="B386" s="4">
        <v>1.1269100000000001E-2</v>
      </c>
      <c r="C386" s="4">
        <v>0.29654380000000002</v>
      </c>
      <c r="D386" s="4">
        <v>2.33861E-2</v>
      </c>
      <c r="E386" s="4">
        <v>0.26232820000000001</v>
      </c>
      <c r="F386" s="4">
        <v>2.8370699999999999E-2</v>
      </c>
      <c r="G386" s="4">
        <v>4.91259E-2</v>
      </c>
      <c r="H386" s="3">
        <f t="shared" si="46"/>
        <v>1.1823099999999998E-2</v>
      </c>
      <c r="I386" s="3">
        <f t="shared" si="47"/>
        <v>0.3022743</v>
      </c>
      <c r="J386" s="3">
        <f t="shared" si="48"/>
        <v>2.3294766666666671E-2</v>
      </c>
      <c r="K386" s="3">
        <f t="shared" si="49"/>
        <v>0.24732973333333333</v>
      </c>
      <c r="L386" s="3">
        <f t="shared" si="50"/>
        <v>2.6881500000000003E-2</v>
      </c>
      <c r="M386" s="3">
        <f t="shared" si="51"/>
        <v>4.9668199999999996E-2</v>
      </c>
    </row>
    <row r="387" spans="1:13" x14ac:dyDescent="0.25">
      <c r="A387" s="5">
        <f t="shared" si="45"/>
        <v>36130</v>
      </c>
      <c r="B387" s="4">
        <v>1.26497E-2</v>
      </c>
      <c r="C387" s="4">
        <v>0.30993100000000001</v>
      </c>
      <c r="D387" s="4">
        <v>2.0839900000000001E-2</v>
      </c>
      <c r="E387" s="4">
        <v>0.2801033</v>
      </c>
      <c r="F387" s="4">
        <v>2.99227E-2</v>
      </c>
      <c r="G387" s="4">
        <v>5.54966E-2</v>
      </c>
      <c r="H387" s="3">
        <f t="shared" si="46"/>
        <v>1.2117166666666667E-2</v>
      </c>
      <c r="I387" s="3">
        <f t="shared" si="47"/>
        <v>0.31077243333333332</v>
      </c>
      <c r="J387" s="3">
        <f t="shared" si="48"/>
        <v>2.2687233333333334E-2</v>
      </c>
      <c r="K387" s="3">
        <f t="shared" si="49"/>
        <v>0.26092599999999999</v>
      </c>
      <c r="L387" s="3">
        <f t="shared" si="50"/>
        <v>2.9092766666666669E-2</v>
      </c>
      <c r="M387" s="3">
        <f t="shared" si="51"/>
        <v>5.1927966666666665E-2</v>
      </c>
    </row>
    <row r="388" spans="1:13" x14ac:dyDescent="0.25">
      <c r="A388" s="5">
        <f t="shared" si="45"/>
        <v>36161</v>
      </c>
      <c r="B388" s="4">
        <v>1.1868500000000001E-2</v>
      </c>
      <c r="C388" s="4">
        <v>0.32399420000000001</v>
      </c>
      <c r="D388" s="4">
        <v>2.45825E-2</v>
      </c>
      <c r="E388" s="4">
        <v>0.25297150000000002</v>
      </c>
      <c r="F388" s="4">
        <v>2.8277400000000001E-2</v>
      </c>
      <c r="G388" s="4">
        <v>5.43306E-2</v>
      </c>
      <c r="H388" s="3">
        <f t="shared" si="46"/>
        <v>1.19291E-2</v>
      </c>
      <c r="I388" s="3">
        <f t="shared" si="47"/>
        <v>0.31015633333333331</v>
      </c>
      <c r="J388" s="3">
        <f t="shared" si="48"/>
        <v>2.2936166666666664E-2</v>
      </c>
      <c r="K388" s="3">
        <f t="shared" si="49"/>
        <v>0.26513433333333331</v>
      </c>
      <c r="L388" s="3">
        <f t="shared" si="50"/>
        <v>2.8856933333333334E-2</v>
      </c>
      <c r="M388" s="3">
        <f t="shared" si="51"/>
        <v>5.2984366666666671E-2</v>
      </c>
    </row>
    <row r="389" spans="1:13" x14ac:dyDescent="0.25">
      <c r="A389" s="5">
        <f t="shared" si="45"/>
        <v>36192</v>
      </c>
      <c r="B389" s="4">
        <v>1.1461900000000001E-2</v>
      </c>
      <c r="C389" s="4">
        <v>0.31114530000000001</v>
      </c>
      <c r="D389" s="4">
        <v>2.3146900000000002E-2</v>
      </c>
      <c r="E389" s="4">
        <v>0.25493139999999997</v>
      </c>
      <c r="F389" s="4">
        <v>2.9694100000000001E-2</v>
      </c>
      <c r="G389" s="4">
        <v>4.9393899999999998E-2</v>
      </c>
      <c r="H389" s="3">
        <f t="shared" si="46"/>
        <v>1.1993366666666666E-2</v>
      </c>
      <c r="I389" s="3">
        <f t="shared" si="47"/>
        <v>0.31502349999999996</v>
      </c>
      <c r="J389" s="3">
        <f t="shared" si="48"/>
        <v>2.2856433333333332E-2</v>
      </c>
      <c r="K389" s="3">
        <f t="shared" si="49"/>
        <v>0.26266873333333335</v>
      </c>
      <c r="L389" s="3">
        <f t="shared" si="50"/>
        <v>2.9298066666666667E-2</v>
      </c>
      <c r="M389" s="3">
        <f t="shared" si="51"/>
        <v>5.3073700000000001E-2</v>
      </c>
    </row>
    <row r="390" spans="1:13" x14ac:dyDescent="0.25">
      <c r="A390" s="5">
        <f t="shared" ref="A390:A423" si="52">DATE(YEAR(A389),MONTH(A389)+1,1)</f>
        <v>36220</v>
      </c>
      <c r="B390" s="4">
        <v>1.11136E-2</v>
      </c>
      <c r="C390" s="4">
        <v>0.33225670000000002</v>
      </c>
      <c r="D390" s="4">
        <v>2.33026E-2</v>
      </c>
      <c r="E390" s="4">
        <v>0.24805170000000001</v>
      </c>
      <c r="F390" s="4">
        <v>2.8400999999999999E-2</v>
      </c>
      <c r="G390" s="4">
        <v>4.7975700000000003E-2</v>
      </c>
      <c r="H390" s="3">
        <f t="shared" si="46"/>
        <v>1.1481333333333335E-2</v>
      </c>
      <c r="I390" s="3">
        <f t="shared" si="47"/>
        <v>0.32246540000000001</v>
      </c>
      <c r="J390" s="3">
        <f t="shared" si="48"/>
        <v>2.3677333333333338E-2</v>
      </c>
      <c r="K390" s="3">
        <f t="shared" si="49"/>
        <v>0.25198486666666664</v>
      </c>
      <c r="L390" s="3">
        <f t="shared" si="50"/>
        <v>2.8790833333333335E-2</v>
      </c>
      <c r="M390" s="3">
        <f t="shared" si="51"/>
        <v>5.0566733333333336E-2</v>
      </c>
    </row>
    <row r="391" spans="1:13" x14ac:dyDescent="0.25">
      <c r="A391" s="5">
        <f t="shared" si="52"/>
        <v>36251</v>
      </c>
      <c r="B391" s="4">
        <v>1.3110399999999999E-2</v>
      </c>
      <c r="C391" s="4">
        <v>0.30898520000000002</v>
      </c>
      <c r="D391" s="4">
        <v>2.24257E-2</v>
      </c>
      <c r="E391" s="4">
        <v>0.26144070000000003</v>
      </c>
      <c r="F391" s="4">
        <v>3.1474200000000001E-2</v>
      </c>
      <c r="G391" s="4">
        <v>5.38579E-2</v>
      </c>
      <c r="H391" s="3">
        <f t="shared" ref="H391:H423" si="53">AVERAGE(B389:B391)</f>
        <v>1.1895299999999999E-2</v>
      </c>
      <c r="I391" s="3">
        <f t="shared" ref="I391:I423" si="54">AVERAGE(C389:C391)</f>
        <v>0.31746239999999998</v>
      </c>
      <c r="J391" s="3">
        <f t="shared" ref="J391:J423" si="55">AVERAGE(D389:D391)</f>
        <v>2.29584E-2</v>
      </c>
      <c r="K391" s="3">
        <f t="shared" ref="K391:K423" si="56">AVERAGE(E389:E391)</f>
        <v>0.25480793333333335</v>
      </c>
      <c r="L391" s="3">
        <f t="shared" ref="L391:L423" si="57">AVERAGE(F389:F391)</f>
        <v>2.9856433333333331E-2</v>
      </c>
      <c r="M391" s="3">
        <f t="shared" ref="M391:M423" si="58">AVERAGE(G389:G391)</f>
        <v>5.0409166666666672E-2</v>
      </c>
    </row>
    <row r="392" spans="1:13" x14ac:dyDescent="0.25">
      <c r="A392" s="5">
        <f t="shared" si="52"/>
        <v>36281</v>
      </c>
      <c r="B392" s="4">
        <v>1.2564499999999999E-2</v>
      </c>
      <c r="C392" s="4">
        <v>0.30405589999999999</v>
      </c>
      <c r="D392" s="4">
        <v>2.0846099999999999E-2</v>
      </c>
      <c r="E392" s="4">
        <v>0.2499324</v>
      </c>
      <c r="F392" s="4">
        <v>2.7586599999999999E-2</v>
      </c>
      <c r="G392" s="4">
        <v>5.1903499999999998E-2</v>
      </c>
      <c r="H392" s="3">
        <f t="shared" si="53"/>
        <v>1.2262833333333334E-2</v>
      </c>
      <c r="I392" s="3">
        <f t="shared" si="54"/>
        <v>0.31509926666666671</v>
      </c>
      <c r="J392" s="3">
        <f t="shared" si="55"/>
        <v>2.219146666666667E-2</v>
      </c>
      <c r="K392" s="3">
        <f t="shared" si="56"/>
        <v>0.25314160000000002</v>
      </c>
      <c r="L392" s="3">
        <f t="shared" si="57"/>
        <v>2.9153933333333337E-2</v>
      </c>
      <c r="M392" s="3">
        <f t="shared" si="58"/>
        <v>5.1245699999999998E-2</v>
      </c>
    </row>
    <row r="393" spans="1:13" x14ac:dyDescent="0.25">
      <c r="A393" s="5">
        <f t="shared" si="52"/>
        <v>36312</v>
      </c>
      <c r="B393" s="4">
        <v>1.1208900000000001E-2</v>
      </c>
      <c r="C393" s="4">
        <v>0.30296719999999999</v>
      </c>
      <c r="D393" s="4">
        <v>1.9747199999999999E-2</v>
      </c>
      <c r="E393" s="4">
        <v>0.24381610000000001</v>
      </c>
      <c r="F393" s="4">
        <v>2.71968E-2</v>
      </c>
      <c r="G393" s="4">
        <v>4.3040399999999999E-2</v>
      </c>
      <c r="H393" s="3">
        <f t="shared" si="53"/>
        <v>1.2294600000000001E-2</v>
      </c>
      <c r="I393" s="3">
        <f t="shared" si="54"/>
        <v>0.3053361</v>
      </c>
      <c r="J393" s="3">
        <f t="shared" si="55"/>
        <v>2.1006333333333332E-2</v>
      </c>
      <c r="K393" s="3">
        <f t="shared" si="56"/>
        <v>0.25172973333333332</v>
      </c>
      <c r="L393" s="3">
        <f t="shared" si="57"/>
        <v>2.875253333333333E-2</v>
      </c>
      <c r="M393" s="3">
        <f t="shared" si="58"/>
        <v>4.9600600000000002E-2</v>
      </c>
    </row>
    <row r="394" spans="1:13" x14ac:dyDescent="0.25">
      <c r="A394" s="5">
        <f t="shared" si="52"/>
        <v>36342</v>
      </c>
      <c r="B394" s="4">
        <v>1.24253E-2</v>
      </c>
      <c r="C394" s="4">
        <v>0.3143937</v>
      </c>
      <c r="D394" s="4">
        <v>2.3084299999999999E-2</v>
      </c>
      <c r="E394" s="4">
        <v>0.24248790000000001</v>
      </c>
      <c r="F394" s="4">
        <v>3.0851099999999999E-2</v>
      </c>
      <c r="G394" s="4">
        <v>5.0690699999999998E-2</v>
      </c>
      <c r="H394" s="3">
        <f t="shared" si="53"/>
        <v>1.2066233333333334E-2</v>
      </c>
      <c r="I394" s="3">
        <f t="shared" si="54"/>
        <v>0.30713893333333331</v>
      </c>
      <c r="J394" s="3">
        <f t="shared" si="55"/>
        <v>2.1225866666666666E-2</v>
      </c>
      <c r="K394" s="3">
        <f t="shared" si="56"/>
        <v>0.24541213333333334</v>
      </c>
      <c r="L394" s="3">
        <f t="shared" si="57"/>
        <v>2.8544833333333335E-2</v>
      </c>
      <c r="M394" s="3">
        <f t="shared" si="58"/>
        <v>4.8544866666666665E-2</v>
      </c>
    </row>
    <row r="395" spans="1:13" x14ac:dyDescent="0.25">
      <c r="A395" s="5">
        <f t="shared" si="52"/>
        <v>36373</v>
      </c>
      <c r="B395" s="4">
        <v>1.16071E-2</v>
      </c>
      <c r="C395" s="4">
        <v>0.29702040000000002</v>
      </c>
      <c r="D395" s="4">
        <v>2.0528500000000002E-2</v>
      </c>
      <c r="E395" s="4">
        <v>0.24699399999999999</v>
      </c>
      <c r="F395" s="4">
        <v>2.89698E-2</v>
      </c>
      <c r="G395" s="4">
        <v>4.7313899999999999E-2</v>
      </c>
      <c r="H395" s="3">
        <f t="shared" si="53"/>
        <v>1.1747100000000002E-2</v>
      </c>
      <c r="I395" s="3">
        <f t="shared" si="54"/>
        <v>0.30479376666666669</v>
      </c>
      <c r="J395" s="3">
        <f t="shared" si="55"/>
        <v>2.112E-2</v>
      </c>
      <c r="K395" s="3">
        <f t="shared" si="56"/>
        <v>0.24443266666666666</v>
      </c>
      <c r="L395" s="3">
        <f t="shared" si="57"/>
        <v>2.9005900000000001E-2</v>
      </c>
      <c r="M395" s="3">
        <f t="shared" si="58"/>
        <v>4.7015000000000001E-2</v>
      </c>
    </row>
    <row r="396" spans="1:13" x14ac:dyDescent="0.25">
      <c r="A396" s="5">
        <f t="shared" si="52"/>
        <v>36404</v>
      </c>
      <c r="B396" s="4">
        <v>1.08437E-2</v>
      </c>
      <c r="C396" s="4">
        <v>0.32887630000000001</v>
      </c>
      <c r="D396" s="4">
        <v>2.2945500000000001E-2</v>
      </c>
      <c r="E396" s="4">
        <v>0.21456819999999999</v>
      </c>
      <c r="F396" s="4">
        <v>2.6133E-2</v>
      </c>
      <c r="G396" s="4">
        <v>4.5963900000000002E-2</v>
      </c>
      <c r="H396" s="3">
        <f t="shared" si="53"/>
        <v>1.1625366666666666E-2</v>
      </c>
      <c r="I396" s="3">
        <f t="shared" si="54"/>
        <v>0.31343013333333331</v>
      </c>
      <c r="J396" s="3">
        <f t="shared" si="55"/>
        <v>2.21861E-2</v>
      </c>
      <c r="K396" s="3">
        <f t="shared" si="56"/>
        <v>0.23468336666666667</v>
      </c>
      <c r="L396" s="3">
        <f t="shared" si="57"/>
        <v>2.8651300000000001E-2</v>
      </c>
      <c r="M396" s="3">
        <f t="shared" si="58"/>
        <v>4.7989499999999997E-2</v>
      </c>
    </row>
    <row r="397" spans="1:13" x14ac:dyDescent="0.25">
      <c r="A397" s="5">
        <f t="shared" si="52"/>
        <v>36434</v>
      </c>
      <c r="B397" s="4">
        <v>1.1136E-2</v>
      </c>
      <c r="C397" s="4">
        <v>0.28611140000000002</v>
      </c>
      <c r="D397" s="4">
        <v>2.0809000000000001E-2</v>
      </c>
      <c r="E397" s="4">
        <v>0.26150810000000002</v>
      </c>
      <c r="F397" s="4">
        <v>2.5847100000000001E-2</v>
      </c>
      <c r="G397" s="4">
        <v>4.9296899999999998E-2</v>
      </c>
      <c r="H397" s="3">
        <f t="shared" si="53"/>
        <v>1.11956E-2</v>
      </c>
      <c r="I397" s="3">
        <f t="shared" si="54"/>
        <v>0.30400270000000001</v>
      </c>
      <c r="J397" s="3">
        <f t="shared" si="55"/>
        <v>2.1427666666666668E-2</v>
      </c>
      <c r="K397" s="3">
        <f t="shared" si="56"/>
        <v>0.24102343333333334</v>
      </c>
      <c r="L397" s="3">
        <f t="shared" si="57"/>
        <v>2.6983300000000002E-2</v>
      </c>
      <c r="M397" s="3">
        <f t="shared" si="58"/>
        <v>4.7524900000000002E-2</v>
      </c>
    </row>
    <row r="398" spans="1:13" x14ac:dyDescent="0.25">
      <c r="A398" s="5">
        <f t="shared" si="52"/>
        <v>36465</v>
      </c>
      <c r="B398" s="4">
        <v>1.12788E-2</v>
      </c>
      <c r="C398" s="4">
        <v>0.33267049999999998</v>
      </c>
      <c r="D398" s="4">
        <v>2.3173300000000001E-2</v>
      </c>
      <c r="E398" s="4">
        <v>0.25094850000000002</v>
      </c>
      <c r="F398" s="4">
        <v>2.8332300000000001E-2</v>
      </c>
      <c r="G398" s="4">
        <v>4.7754100000000001E-2</v>
      </c>
      <c r="H398" s="3">
        <f t="shared" si="53"/>
        <v>1.1086166666666666E-2</v>
      </c>
      <c r="I398" s="3">
        <f t="shared" si="54"/>
        <v>0.31588606666666669</v>
      </c>
      <c r="J398" s="3">
        <f t="shared" si="55"/>
        <v>2.2309266666666671E-2</v>
      </c>
      <c r="K398" s="3">
        <f t="shared" si="56"/>
        <v>0.24234160000000002</v>
      </c>
      <c r="L398" s="3">
        <f t="shared" si="57"/>
        <v>2.6770800000000001E-2</v>
      </c>
      <c r="M398" s="3">
        <f t="shared" si="58"/>
        <v>4.7671633333333331E-2</v>
      </c>
    </row>
    <row r="399" spans="1:13" x14ac:dyDescent="0.25">
      <c r="A399" s="5">
        <f t="shared" si="52"/>
        <v>36495</v>
      </c>
      <c r="B399" s="4">
        <v>1.1935100000000001E-2</v>
      </c>
      <c r="C399" s="4">
        <v>0.34303289999999997</v>
      </c>
      <c r="D399" s="4">
        <v>2.3147299999999999E-2</v>
      </c>
      <c r="E399" s="4">
        <v>0.25929049999999998</v>
      </c>
      <c r="F399" s="4">
        <v>2.9579100000000001E-2</v>
      </c>
      <c r="G399" s="4">
        <v>5.2869100000000002E-2</v>
      </c>
      <c r="H399" s="3">
        <f t="shared" si="53"/>
        <v>1.1449966666666667E-2</v>
      </c>
      <c r="I399" s="3">
        <f t="shared" si="54"/>
        <v>0.32060493333333334</v>
      </c>
      <c r="J399" s="3">
        <f t="shared" si="55"/>
        <v>2.2376533333333334E-2</v>
      </c>
      <c r="K399" s="3">
        <f t="shared" si="56"/>
        <v>0.25724903333333332</v>
      </c>
      <c r="L399" s="3">
        <f t="shared" si="57"/>
        <v>2.79195E-2</v>
      </c>
      <c r="M399" s="3">
        <f t="shared" si="58"/>
        <v>4.9973366666666665E-2</v>
      </c>
    </row>
    <row r="400" spans="1:13" x14ac:dyDescent="0.25">
      <c r="A400" s="5">
        <f t="shared" si="52"/>
        <v>36526</v>
      </c>
      <c r="B400" s="4">
        <v>1.18224E-2</v>
      </c>
      <c r="C400" s="4">
        <v>0.3864629</v>
      </c>
      <c r="D400" s="4">
        <v>2.2330300000000001E-2</v>
      </c>
      <c r="E400" s="4">
        <v>0.2295661</v>
      </c>
      <c r="F400" s="4">
        <v>2.8040800000000001E-2</v>
      </c>
      <c r="G400" s="4">
        <v>5.3479600000000002E-2</v>
      </c>
      <c r="H400" s="3">
        <f t="shared" si="53"/>
        <v>1.1678766666666668E-2</v>
      </c>
      <c r="I400" s="3">
        <f t="shared" si="54"/>
        <v>0.35405543333333328</v>
      </c>
      <c r="J400" s="3">
        <f t="shared" si="55"/>
        <v>2.2883633333333334E-2</v>
      </c>
      <c r="K400" s="3">
        <f t="shared" si="56"/>
        <v>0.24660170000000001</v>
      </c>
      <c r="L400" s="3">
        <f t="shared" si="57"/>
        <v>2.8650733333333334E-2</v>
      </c>
      <c r="M400" s="3">
        <f t="shared" si="58"/>
        <v>5.1367599999999992E-2</v>
      </c>
    </row>
    <row r="401" spans="1:13" x14ac:dyDescent="0.25">
      <c r="A401" s="5">
        <f t="shared" si="52"/>
        <v>36557</v>
      </c>
      <c r="B401" s="4">
        <v>1.05512E-2</v>
      </c>
      <c r="C401" s="4">
        <v>0.31094179999999999</v>
      </c>
      <c r="D401" s="4">
        <v>2.19227E-2</v>
      </c>
      <c r="E401" s="4">
        <v>0.2567371</v>
      </c>
      <c r="F401" s="4">
        <v>2.8247299999999999E-2</v>
      </c>
      <c r="G401" s="4">
        <v>5.2950900000000002E-2</v>
      </c>
      <c r="H401" s="3">
        <f t="shared" si="53"/>
        <v>1.1436233333333332E-2</v>
      </c>
      <c r="I401" s="3">
        <f t="shared" si="54"/>
        <v>0.34681253333333334</v>
      </c>
      <c r="J401" s="3">
        <f t="shared" si="55"/>
        <v>2.2466766666666665E-2</v>
      </c>
      <c r="K401" s="3">
        <f t="shared" si="56"/>
        <v>0.2485312333333333</v>
      </c>
      <c r="L401" s="3">
        <f t="shared" si="57"/>
        <v>2.8622400000000003E-2</v>
      </c>
      <c r="M401" s="3">
        <f t="shared" si="58"/>
        <v>5.3099866666666669E-2</v>
      </c>
    </row>
    <row r="402" spans="1:13" x14ac:dyDescent="0.25">
      <c r="A402" s="5">
        <f t="shared" si="52"/>
        <v>36586</v>
      </c>
      <c r="B402" s="4">
        <v>1.1694400000000001E-2</v>
      </c>
      <c r="C402" s="4">
        <v>0.35877979999999998</v>
      </c>
      <c r="D402" s="4">
        <v>2.3757E-2</v>
      </c>
      <c r="E402" s="4">
        <v>0.26307609999999998</v>
      </c>
      <c r="F402" s="4">
        <v>3.1807500000000002E-2</v>
      </c>
      <c r="G402" s="4">
        <v>5.6276E-2</v>
      </c>
      <c r="H402" s="3">
        <f t="shared" si="53"/>
        <v>1.1356E-2</v>
      </c>
      <c r="I402" s="3">
        <f t="shared" si="54"/>
        <v>0.35206150000000003</v>
      </c>
      <c r="J402" s="3">
        <f t="shared" si="55"/>
        <v>2.2669999999999999E-2</v>
      </c>
      <c r="K402" s="3">
        <f t="shared" si="56"/>
        <v>0.24979309999999999</v>
      </c>
      <c r="L402" s="3">
        <f t="shared" si="57"/>
        <v>2.9365199999999998E-2</v>
      </c>
      <c r="M402" s="3">
        <f t="shared" si="58"/>
        <v>5.4235499999999999E-2</v>
      </c>
    </row>
    <row r="403" spans="1:13" x14ac:dyDescent="0.25">
      <c r="A403" s="5">
        <f t="shared" si="52"/>
        <v>36617</v>
      </c>
      <c r="B403" s="4">
        <v>1.05013E-2</v>
      </c>
      <c r="C403" s="4">
        <v>0.31290309999999999</v>
      </c>
      <c r="D403" s="4">
        <v>2.0273699999999999E-2</v>
      </c>
      <c r="E403" s="4">
        <v>0.26303579999999999</v>
      </c>
      <c r="F403" s="4">
        <v>2.68959E-2</v>
      </c>
      <c r="G403" s="4">
        <v>4.7749800000000002E-2</v>
      </c>
      <c r="H403" s="3">
        <f t="shared" si="53"/>
        <v>1.0915633333333334E-2</v>
      </c>
      <c r="I403" s="3">
        <f t="shared" si="54"/>
        <v>0.32754156666666662</v>
      </c>
      <c r="J403" s="3">
        <f t="shared" si="55"/>
        <v>2.1984466666666664E-2</v>
      </c>
      <c r="K403" s="3">
        <f t="shared" si="56"/>
        <v>0.26094966666666664</v>
      </c>
      <c r="L403" s="3">
        <f t="shared" si="57"/>
        <v>2.8983566666666669E-2</v>
      </c>
      <c r="M403" s="3">
        <f t="shared" si="58"/>
        <v>5.2325566666666663E-2</v>
      </c>
    </row>
    <row r="404" spans="1:13" x14ac:dyDescent="0.25">
      <c r="A404" s="5">
        <f t="shared" si="52"/>
        <v>36647</v>
      </c>
      <c r="B404" s="4">
        <v>1.1866E-2</v>
      </c>
      <c r="C404" s="4">
        <v>0.2958037</v>
      </c>
      <c r="D404" s="4">
        <v>2.1654799999999998E-2</v>
      </c>
      <c r="E404" s="4">
        <v>0.25358609999999998</v>
      </c>
      <c r="F404" s="4">
        <v>2.9405799999999999E-2</v>
      </c>
      <c r="G404" s="4">
        <v>4.4319799999999999E-2</v>
      </c>
      <c r="H404" s="3">
        <f t="shared" si="53"/>
        <v>1.13539E-2</v>
      </c>
      <c r="I404" s="3">
        <f t="shared" si="54"/>
        <v>0.32249553333333331</v>
      </c>
      <c r="J404" s="3">
        <f t="shared" si="55"/>
        <v>2.1895166666666663E-2</v>
      </c>
      <c r="K404" s="3">
        <f t="shared" si="56"/>
        <v>0.25989933333333332</v>
      </c>
      <c r="L404" s="3">
        <f t="shared" si="57"/>
        <v>2.9369733333333332E-2</v>
      </c>
      <c r="M404" s="3">
        <f t="shared" si="58"/>
        <v>4.9448533333333329E-2</v>
      </c>
    </row>
    <row r="405" spans="1:13" x14ac:dyDescent="0.25">
      <c r="A405" s="5">
        <f t="shared" si="52"/>
        <v>36678</v>
      </c>
      <c r="B405" s="4">
        <v>1.22507E-2</v>
      </c>
      <c r="C405" s="4">
        <v>0.3299859</v>
      </c>
      <c r="D405" s="4">
        <v>2.0199600000000002E-2</v>
      </c>
      <c r="E405" s="4">
        <v>0.28337440000000003</v>
      </c>
      <c r="F405" s="4">
        <v>2.8513899999999998E-2</v>
      </c>
      <c r="G405" s="4">
        <v>4.7894699999999998E-2</v>
      </c>
      <c r="H405" s="3">
        <f t="shared" si="53"/>
        <v>1.1539333333333332E-2</v>
      </c>
      <c r="I405" s="3">
        <f t="shared" si="54"/>
        <v>0.31289756666666668</v>
      </c>
      <c r="J405" s="3">
        <f t="shared" si="55"/>
        <v>2.0709366666666663E-2</v>
      </c>
      <c r="K405" s="3">
        <f t="shared" si="56"/>
        <v>0.26666543333333331</v>
      </c>
      <c r="L405" s="3">
        <f t="shared" si="57"/>
        <v>2.8271866666666663E-2</v>
      </c>
      <c r="M405" s="3">
        <f t="shared" si="58"/>
        <v>4.665476666666666E-2</v>
      </c>
    </row>
    <row r="406" spans="1:13" x14ac:dyDescent="0.25">
      <c r="A406" s="5">
        <f t="shared" si="52"/>
        <v>36708</v>
      </c>
      <c r="B406" s="4">
        <v>1.1402600000000001E-2</v>
      </c>
      <c r="C406" s="4">
        <v>0.29135689999999997</v>
      </c>
      <c r="D406" s="4">
        <v>1.9187699999999999E-2</v>
      </c>
      <c r="E406" s="4">
        <v>0.25020520000000002</v>
      </c>
      <c r="F406" s="4">
        <v>2.82711E-2</v>
      </c>
      <c r="G406" s="4">
        <v>4.2690699999999998E-2</v>
      </c>
      <c r="H406" s="3">
        <f t="shared" si="53"/>
        <v>1.1839766666666666E-2</v>
      </c>
      <c r="I406" s="3">
        <f t="shared" si="54"/>
        <v>0.30571550000000003</v>
      </c>
      <c r="J406" s="3">
        <f t="shared" si="55"/>
        <v>2.0347366666666668E-2</v>
      </c>
      <c r="K406" s="3">
        <f t="shared" si="56"/>
        <v>0.26238856666666666</v>
      </c>
      <c r="L406" s="3">
        <f t="shared" si="57"/>
        <v>2.8730266666666667E-2</v>
      </c>
      <c r="M406" s="3">
        <f t="shared" si="58"/>
        <v>4.4968399999999999E-2</v>
      </c>
    </row>
    <row r="407" spans="1:13" x14ac:dyDescent="0.25">
      <c r="A407" s="5">
        <f t="shared" si="52"/>
        <v>36739</v>
      </c>
      <c r="B407" s="4">
        <v>1.2011300000000001E-2</v>
      </c>
      <c r="C407" s="4">
        <v>0.2986258</v>
      </c>
      <c r="D407" s="4">
        <v>2.0868899999999999E-2</v>
      </c>
      <c r="E407" s="4">
        <v>0.26518920000000001</v>
      </c>
      <c r="F407" s="4">
        <v>2.6958900000000001E-2</v>
      </c>
      <c r="G407" s="4">
        <v>4.8282499999999999E-2</v>
      </c>
      <c r="H407" s="3">
        <f t="shared" si="53"/>
        <v>1.1888200000000002E-2</v>
      </c>
      <c r="I407" s="3">
        <f t="shared" si="54"/>
        <v>0.30665619999999999</v>
      </c>
      <c r="J407" s="3">
        <f t="shared" si="55"/>
        <v>2.00854E-2</v>
      </c>
      <c r="K407" s="3">
        <f t="shared" si="56"/>
        <v>0.26625626666666669</v>
      </c>
      <c r="L407" s="3">
        <f t="shared" si="57"/>
        <v>2.7914633333333338E-2</v>
      </c>
      <c r="M407" s="3">
        <f t="shared" si="58"/>
        <v>4.6289299999999999E-2</v>
      </c>
    </row>
    <row r="408" spans="1:13" x14ac:dyDescent="0.25">
      <c r="A408" s="5">
        <f t="shared" si="52"/>
        <v>36770</v>
      </c>
      <c r="B408" s="4">
        <v>1.12432E-2</v>
      </c>
      <c r="C408" s="4">
        <v>0.33352799999999999</v>
      </c>
      <c r="D408" s="4">
        <v>2.03219E-2</v>
      </c>
      <c r="E408" s="4">
        <v>0.24806329999999999</v>
      </c>
      <c r="F408" s="4">
        <v>2.5394199999999999E-2</v>
      </c>
      <c r="G408" s="4">
        <v>4.9116600000000003E-2</v>
      </c>
      <c r="H408" s="3">
        <f t="shared" si="53"/>
        <v>1.1552366666666668E-2</v>
      </c>
      <c r="I408" s="3">
        <f t="shared" si="54"/>
        <v>0.30783690000000002</v>
      </c>
      <c r="J408" s="3">
        <f t="shared" si="55"/>
        <v>2.0126166666666667E-2</v>
      </c>
      <c r="K408" s="3">
        <f t="shared" si="56"/>
        <v>0.25448589999999999</v>
      </c>
      <c r="L408" s="3">
        <f t="shared" si="57"/>
        <v>2.6874733333333335E-2</v>
      </c>
      <c r="M408" s="3">
        <f t="shared" si="58"/>
        <v>4.6696600000000005E-2</v>
      </c>
    </row>
    <row r="409" spans="1:13" x14ac:dyDescent="0.25">
      <c r="A409" s="5">
        <f t="shared" si="52"/>
        <v>36800</v>
      </c>
      <c r="B409" s="4">
        <v>1.04426E-2</v>
      </c>
      <c r="C409" s="4">
        <v>0.31601600000000002</v>
      </c>
      <c r="D409" s="4">
        <v>1.91687E-2</v>
      </c>
      <c r="E409" s="4">
        <v>0.2448014</v>
      </c>
      <c r="F409" s="4">
        <v>2.7961199999999999E-2</v>
      </c>
      <c r="G409" s="4">
        <v>4.7749199999999999E-2</v>
      </c>
      <c r="H409" s="3">
        <f t="shared" si="53"/>
        <v>1.1232366666666667E-2</v>
      </c>
      <c r="I409" s="3">
        <f t="shared" si="54"/>
        <v>0.31605660000000002</v>
      </c>
      <c r="J409" s="3">
        <f t="shared" si="55"/>
        <v>2.0119833333333333E-2</v>
      </c>
      <c r="K409" s="3">
        <f t="shared" si="56"/>
        <v>0.2526846333333333</v>
      </c>
      <c r="L409" s="3">
        <f t="shared" si="57"/>
        <v>2.6771433333333334E-2</v>
      </c>
      <c r="M409" s="3">
        <f t="shared" si="58"/>
        <v>4.8382766666666667E-2</v>
      </c>
    </row>
    <row r="410" spans="1:13" x14ac:dyDescent="0.25">
      <c r="A410" s="5">
        <f t="shared" si="52"/>
        <v>36831</v>
      </c>
      <c r="B410" s="4">
        <v>1.16769E-2</v>
      </c>
      <c r="C410" s="4">
        <v>0.3347967</v>
      </c>
      <c r="D410" s="4">
        <v>2.0886999999999999E-2</v>
      </c>
      <c r="E410" s="4">
        <v>0.2391547</v>
      </c>
      <c r="F410" s="4">
        <v>3.2727100000000002E-2</v>
      </c>
      <c r="G410" s="4">
        <v>5.3029699999999999E-2</v>
      </c>
      <c r="H410" s="3">
        <f t="shared" si="53"/>
        <v>1.1120899999999998E-2</v>
      </c>
      <c r="I410" s="3">
        <f t="shared" si="54"/>
        <v>0.32811356666666663</v>
      </c>
      <c r="J410" s="3">
        <f t="shared" si="55"/>
        <v>2.0125866666666669E-2</v>
      </c>
      <c r="K410" s="3">
        <f t="shared" si="56"/>
        <v>0.24400646666666667</v>
      </c>
      <c r="L410" s="3">
        <f t="shared" si="57"/>
        <v>2.869416666666667E-2</v>
      </c>
      <c r="M410" s="3">
        <f t="shared" si="58"/>
        <v>4.9965166666666672E-2</v>
      </c>
    </row>
    <row r="411" spans="1:13" x14ac:dyDescent="0.25">
      <c r="A411" s="5">
        <f t="shared" si="52"/>
        <v>36861</v>
      </c>
      <c r="B411" s="4">
        <v>9.9624999999999991E-3</v>
      </c>
      <c r="C411" s="4">
        <v>0.29748960000000002</v>
      </c>
      <c r="D411" s="4">
        <v>2.0579400000000001E-2</v>
      </c>
      <c r="E411" s="4">
        <v>0.24178469999999999</v>
      </c>
      <c r="F411" s="4">
        <v>2.9119599999999999E-2</v>
      </c>
      <c r="G411" s="4">
        <v>5.4314500000000002E-2</v>
      </c>
      <c r="H411" s="3">
        <f t="shared" si="53"/>
        <v>1.0694E-2</v>
      </c>
      <c r="I411" s="3">
        <f t="shared" si="54"/>
        <v>0.3161007666666667</v>
      </c>
      <c r="J411" s="3">
        <f t="shared" si="55"/>
        <v>2.0211699999999999E-2</v>
      </c>
      <c r="K411" s="3">
        <f t="shared" si="56"/>
        <v>0.24191359999999998</v>
      </c>
      <c r="L411" s="3">
        <f t="shared" si="57"/>
        <v>2.9935966666666664E-2</v>
      </c>
      <c r="M411" s="3">
        <f t="shared" si="58"/>
        <v>5.1697799999999995E-2</v>
      </c>
    </row>
    <row r="412" spans="1:13" x14ac:dyDescent="0.25">
      <c r="A412" s="5">
        <f t="shared" si="52"/>
        <v>36892</v>
      </c>
      <c r="B412" s="4">
        <v>1.23567E-2</v>
      </c>
      <c r="C412" s="4">
        <v>0.33463209999999999</v>
      </c>
      <c r="D412" s="4">
        <v>2.2798800000000001E-2</v>
      </c>
      <c r="E412" s="4">
        <v>0.22727849999999999</v>
      </c>
      <c r="F412" s="4">
        <v>2.90101E-2</v>
      </c>
      <c r="G412" s="4">
        <v>5.67118E-2</v>
      </c>
      <c r="H412" s="3">
        <f t="shared" si="53"/>
        <v>1.1332033333333333E-2</v>
      </c>
      <c r="I412" s="3">
        <f t="shared" si="54"/>
        <v>0.32230613333333336</v>
      </c>
      <c r="J412" s="3">
        <f t="shared" si="55"/>
        <v>2.1421733333333332E-2</v>
      </c>
      <c r="K412" s="3">
        <f t="shared" si="56"/>
        <v>0.23607263333333331</v>
      </c>
      <c r="L412" s="3">
        <f t="shared" si="57"/>
        <v>3.0285599999999999E-2</v>
      </c>
      <c r="M412" s="3">
        <f t="shared" si="58"/>
        <v>5.4685333333333336E-2</v>
      </c>
    </row>
    <row r="413" spans="1:13" x14ac:dyDescent="0.25">
      <c r="A413" s="5">
        <f t="shared" si="52"/>
        <v>36923</v>
      </c>
      <c r="B413" s="4">
        <v>1.30537E-2</v>
      </c>
      <c r="C413" s="4">
        <v>0.3345747</v>
      </c>
      <c r="D413" s="4">
        <v>2.1717299999999998E-2</v>
      </c>
      <c r="E413" s="4">
        <v>0.24465219999999999</v>
      </c>
      <c r="F413" s="4">
        <v>3.3540500000000001E-2</v>
      </c>
      <c r="G413" s="4">
        <v>5.858E-2</v>
      </c>
      <c r="H413" s="3">
        <f t="shared" si="53"/>
        <v>1.1790966666666666E-2</v>
      </c>
      <c r="I413" s="3">
        <f t="shared" si="54"/>
        <v>0.32223213333333334</v>
      </c>
      <c r="J413" s="3">
        <f t="shared" si="55"/>
        <v>2.1698499999999999E-2</v>
      </c>
      <c r="K413" s="3">
        <f t="shared" si="56"/>
        <v>0.23790513333333332</v>
      </c>
      <c r="L413" s="3">
        <f t="shared" si="57"/>
        <v>3.0556733333333336E-2</v>
      </c>
      <c r="M413" s="3">
        <f t="shared" si="58"/>
        <v>5.6535433333333329E-2</v>
      </c>
    </row>
    <row r="414" spans="1:13" x14ac:dyDescent="0.25">
      <c r="A414" s="5">
        <f t="shared" si="52"/>
        <v>36951</v>
      </c>
      <c r="B414" s="4">
        <v>1.17365E-2</v>
      </c>
      <c r="C414" s="4">
        <v>0.30959900000000001</v>
      </c>
      <c r="D414" s="4">
        <v>2.23053E-2</v>
      </c>
      <c r="E414" s="4">
        <v>0.25253700000000001</v>
      </c>
      <c r="F414" s="4">
        <v>2.9760399999999999E-2</v>
      </c>
      <c r="G414" s="4">
        <v>5.2529899999999997E-2</v>
      </c>
      <c r="H414" s="3">
        <f t="shared" si="53"/>
        <v>1.2382299999999999E-2</v>
      </c>
      <c r="I414" s="3">
        <f t="shared" si="54"/>
        <v>0.32626859999999996</v>
      </c>
      <c r="J414" s="3">
        <f t="shared" si="55"/>
        <v>2.22738E-2</v>
      </c>
      <c r="K414" s="3">
        <f t="shared" si="56"/>
        <v>0.2414892333333333</v>
      </c>
      <c r="L414" s="3">
        <f t="shared" si="57"/>
        <v>3.0770333333333334E-2</v>
      </c>
      <c r="M414" s="3">
        <f t="shared" si="58"/>
        <v>5.5940566666666663E-2</v>
      </c>
    </row>
    <row r="415" spans="1:13" x14ac:dyDescent="0.25">
      <c r="A415" s="5">
        <f t="shared" si="52"/>
        <v>36982</v>
      </c>
      <c r="B415" s="4">
        <v>1.24939E-2</v>
      </c>
      <c r="C415" s="4">
        <v>0.28068110000000002</v>
      </c>
      <c r="D415" s="4">
        <v>2.2238000000000001E-2</v>
      </c>
      <c r="E415" s="4">
        <v>0.26419819999999999</v>
      </c>
      <c r="F415" s="4">
        <v>3.1668799999999997E-2</v>
      </c>
      <c r="G415" s="4">
        <v>4.6754200000000003E-2</v>
      </c>
      <c r="H415" s="3">
        <f t="shared" si="53"/>
        <v>1.2428033333333333E-2</v>
      </c>
      <c r="I415" s="3">
        <f t="shared" si="54"/>
        <v>0.30828493333333334</v>
      </c>
      <c r="J415" s="3">
        <f t="shared" si="55"/>
        <v>2.2086866666666666E-2</v>
      </c>
      <c r="K415" s="3">
        <f t="shared" si="56"/>
        <v>0.25379580000000002</v>
      </c>
      <c r="L415" s="3">
        <f t="shared" si="57"/>
        <v>3.1656566666666663E-2</v>
      </c>
      <c r="M415" s="3">
        <f t="shared" si="58"/>
        <v>5.2621366666666669E-2</v>
      </c>
    </row>
    <row r="416" spans="1:13" x14ac:dyDescent="0.25">
      <c r="A416" s="5">
        <f t="shared" si="52"/>
        <v>37012</v>
      </c>
      <c r="B416" s="4">
        <v>1.25161E-2</v>
      </c>
      <c r="C416" s="4">
        <v>0.31477329999999998</v>
      </c>
      <c r="D416" s="4">
        <v>2.0313899999999999E-2</v>
      </c>
      <c r="E416" s="4">
        <v>0.2481737</v>
      </c>
      <c r="F416" s="4">
        <v>3.1201799999999998E-2</v>
      </c>
      <c r="G416" s="4">
        <v>4.64322E-2</v>
      </c>
      <c r="H416" s="3">
        <f t="shared" si="53"/>
        <v>1.2248833333333334E-2</v>
      </c>
      <c r="I416" s="3">
        <f t="shared" si="54"/>
        <v>0.30168446666666665</v>
      </c>
      <c r="J416" s="3">
        <f t="shared" si="55"/>
        <v>2.1619066666666669E-2</v>
      </c>
      <c r="K416" s="3">
        <f t="shared" si="56"/>
        <v>0.25496963333333333</v>
      </c>
      <c r="L416" s="3">
        <f t="shared" si="57"/>
        <v>3.0876999999999998E-2</v>
      </c>
      <c r="M416" s="3">
        <f t="shared" si="58"/>
        <v>4.85721E-2</v>
      </c>
    </row>
    <row r="417" spans="1:13" x14ac:dyDescent="0.25">
      <c r="A417" s="5">
        <f t="shared" si="52"/>
        <v>37043</v>
      </c>
      <c r="B417" s="4">
        <v>1.3657799999999999E-2</v>
      </c>
      <c r="C417" s="4">
        <v>0.32271420000000001</v>
      </c>
      <c r="D417" s="4">
        <v>1.9994999999999999E-2</v>
      </c>
      <c r="E417" s="4">
        <v>0.24661549999999999</v>
      </c>
      <c r="F417" s="4">
        <v>2.95909E-2</v>
      </c>
      <c r="G417" s="4">
        <v>4.8154500000000003E-2</v>
      </c>
      <c r="H417" s="3">
        <f t="shared" si="53"/>
        <v>1.2889266666666668E-2</v>
      </c>
      <c r="I417" s="3">
        <f t="shared" si="54"/>
        <v>0.3060562</v>
      </c>
      <c r="J417" s="3">
        <f t="shared" si="55"/>
        <v>2.0848966666666666E-2</v>
      </c>
      <c r="K417" s="3">
        <f t="shared" si="56"/>
        <v>0.25299579999999999</v>
      </c>
      <c r="L417" s="3">
        <f t="shared" si="57"/>
        <v>3.0820500000000001E-2</v>
      </c>
      <c r="M417" s="3">
        <f t="shared" si="58"/>
        <v>4.7113633333333328E-2</v>
      </c>
    </row>
    <row r="418" spans="1:13" x14ac:dyDescent="0.25">
      <c r="A418" s="5">
        <f t="shared" si="52"/>
        <v>37073</v>
      </c>
      <c r="B418" s="4">
        <v>1.2101799999999999E-2</v>
      </c>
      <c r="C418" s="4">
        <v>0.26466899999999999</v>
      </c>
      <c r="D418" s="4">
        <v>2.05229E-2</v>
      </c>
      <c r="E418" s="4">
        <v>0.24588660000000001</v>
      </c>
      <c r="F418" s="4">
        <v>2.9145299999999999E-2</v>
      </c>
      <c r="G418" s="4">
        <v>4.8582699999999999E-2</v>
      </c>
      <c r="H418" s="3">
        <f t="shared" si="53"/>
        <v>1.2758566666666665E-2</v>
      </c>
      <c r="I418" s="3">
        <f t="shared" si="54"/>
        <v>0.30071883333333332</v>
      </c>
      <c r="J418" s="3">
        <f t="shared" si="55"/>
        <v>2.0277266666666665E-2</v>
      </c>
      <c r="K418" s="3">
        <f t="shared" si="56"/>
        <v>0.24689193333333334</v>
      </c>
      <c r="L418" s="3">
        <f t="shared" si="57"/>
        <v>2.997933333333333E-2</v>
      </c>
      <c r="M418" s="3">
        <f t="shared" si="58"/>
        <v>4.7723133333333334E-2</v>
      </c>
    </row>
    <row r="419" spans="1:13" x14ac:dyDescent="0.25">
      <c r="A419" s="5">
        <f t="shared" si="52"/>
        <v>37104</v>
      </c>
      <c r="B419" s="4">
        <v>1.4075900000000001E-2</v>
      </c>
      <c r="C419" s="4">
        <v>0.30803249999999999</v>
      </c>
      <c r="D419" s="4">
        <v>2.4424600000000001E-2</v>
      </c>
      <c r="E419" s="4">
        <v>0.24080960000000001</v>
      </c>
      <c r="F419" s="4">
        <v>3.5640199999999997E-2</v>
      </c>
      <c r="G419" s="4">
        <v>5.0840299999999998E-2</v>
      </c>
      <c r="H419" s="3">
        <f t="shared" si="53"/>
        <v>1.32785E-2</v>
      </c>
      <c r="I419" s="3">
        <f t="shared" si="54"/>
        <v>0.29847190000000001</v>
      </c>
      <c r="J419" s="3">
        <f t="shared" si="55"/>
        <v>2.16475E-2</v>
      </c>
      <c r="K419" s="3">
        <f t="shared" si="56"/>
        <v>0.24443723333333334</v>
      </c>
      <c r="L419" s="3">
        <f t="shared" si="57"/>
        <v>3.1458800000000002E-2</v>
      </c>
      <c r="M419" s="3">
        <f t="shared" si="58"/>
        <v>4.91925E-2</v>
      </c>
    </row>
    <row r="420" spans="1:13" x14ac:dyDescent="0.25">
      <c r="A420" s="5">
        <f t="shared" si="52"/>
        <v>37135</v>
      </c>
      <c r="B420" s="4">
        <v>1.11714E-2</v>
      </c>
      <c r="C420" s="4">
        <v>0.27524799999999999</v>
      </c>
      <c r="D420" s="4">
        <v>2.2453399999999998E-2</v>
      </c>
      <c r="E420" s="4">
        <v>0.22636239999999999</v>
      </c>
      <c r="F420" s="4">
        <v>2.4037300000000001E-2</v>
      </c>
      <c r="G420" s="4">
        <v>4.7089800000000001E-2</v>
      </c>
      <c r="H420" s="3">
        <f t="shared" si="53"/>
        <v>1.2449699999999999E-2</v>
      </c>
      <c r="I420" s="3">
        <f t="shared" si="54"/>
        <v>0.28264983333333332</v>
      </c>
      <c r="J420" s="3">
        <f t="shared" si="55"/>
        <v>2.2466966666666668E-2</v>
      </c>
      <c r="K420" s="3">
        <f t="shared" si="56"/>
        <v>0.23768619999999999</v>
      </c>
      <c r="L420" s="3">
        <f t="shared" si="57"/>
        <v>2.9607599999999998E-2</v>
      </c>
      <c r="M420" s="3">
        <f t="shared" si="58"/>
        <v>4.8837600000000002E-2</v>
      </c>
    </row>
    <row r="421" spans="1:13" x14ac:dyDescent="0.25">
      <c r="A421" s="5">
        <f t="shared" si="52"/>
        <v>37165</v>
      </c>
      <c r="B421" s="4">
        <v>1.38695E-2</v>
      </c>
      <c r="C421" s="4">
        <v>0.24347650000000001</v>
      </c>
      <c r="D421" s="4">
        <v>2.5915299999999999E-2</v>
      </c>
      <c r="E421" s="4">
        <v>0.24082120000000001</v>
      </c>
      <c r="F421" s="4">
        <v>2.7751600000000001E-2</v>
      </c>
      <c r="G421" s="4">
        <v>4.4709600000000002E-2</v>
      </c>
      <c r="H421" s="3">
        <f t="shared" si="53"/>
        <v>1.3038933333333334E-2</v>
      </c>
      <c r="I421" s="3">
        <f t="shared" si="54"/>
        <v>0.27558566666666667</v>
      </c>
      <c r="J421" s="3">
        <f t="shared" si="55"/>
        <v>2.4264433333333335E-2</v>
      </c>
      <c r="K421" s="3">
        <f t="shared" si="56"/>
        <v>0.23599773333333332</v>
      </c>
      <c r="L421" s="3">
        <f t="shared" si="57"/>
        <v>2.9143033333333332E-2</v>
      </c>
      <c r="M421" s="3">
        <f t="shared" si="58"/>
        <v>4.7546566666666658E-2</v>
      </c>
    </row>
    <row r="422" spans="1:13" x14ac:dyDescent="0.25">
      <c r="A422" s="5">
        <f t="shared" si="52"/>
        <v>37196</v>
      </c>
      <c r="B422" s="4">
        <v>1.6313299999999999E-2</v>
      </c>
      <c r="C422" s="4">
        <v>0.29378270000000001</v>
      </c>
      <c r="D422" s="4">
        <v>2.5209700000000002E-2</v>
      </c>
      <c r="E422" s="4">
        <v>0.2206591</v>
      </c>
      <c r="F422" s="4">
        <v>3.02901E-2</v>
      </c>
      <c r="G422" s="4">
        <v>5.0536200000000003E-2</v>
      </c>
      <c r="H422" s="3">
        <f t="shared" si="53"/>
        <v>1.3784733333333332E-2</v>
      </c>
      <c r="I422" s="3">
        <f t="shared" si="54"/>
        <v>0.27083573333333333</v>
      </c>
      <c r="J422" s="3">
        <f t="shared" si="55"/>
        <v>2.4526133333333335E-2</v>
      </c>
      <c r="K422" s="3">
        <f t="shared" si="56"/>
        <v>0.22928090000000001</v>
      </c>
      <c r="L422" s="3">
        <f t="shared" si="57"/>
        <v>2.7359666666666668E-2</v>
      </c>
      <c r="M422" s="3">
        <f t="shared" si="58"/>
        <v>4.74452E-2</v>
      </c>
    </row>
    <row r="423" spans="1:13" x14ac:dyDescent="0.25">
      <c r="A423" s="5">
        <f t="shared" si="52"/>
        <v>37226</v>
      </c>
      <c r="B423" s="4">
        <v>1.3084200000000001E-2</v>
      </c>
      <c r="C423" s="4">
        <v>0.27644299999999999</v>
      </c>
      <c r="D423" s="4">
        <v>2.7770799999999998E-2</v>
      </c>
      <c r="E423" s="4">
        <v>0.21832360000000001</v>
      </c>
      <c r="F423" s="4">
        <v>3.0237400000000001E-2</v>
      </c>
      <c r="G423" s="4">
        <v>4.9872800000000002E-2</v>
      </c>
      <c r="H423" s="3">
        <f t="shared" si="53"/>
        <v>1.4422333333333334E-2</v>
      </c>
      <c r="I423" s="3">
        <f t="shared" si="54"/>
        <v>0.27123406666666666</v>
      </c>
      <c r="J423" s="3">
        <f t="shared" si="55"/>
        <v>2.6298600000000002E-2</v>
      </c>
      <c r="K423" s="3">
        <f t="shared" si="56"/>
        <v>0.22660130000000001</v>
      </c>
      <c r="L423" s="3">
        <f t="shared" si="57"/>
        <v>2.9426366666666665E-2</v>
      </c>
      <c r="M423" s="3">
        <f t="shared" si="58"/>
        <v>4.8372866666666674E-2</v>
      </c>
    </row>
    <row r="424" spans="1:13" x14ac:dyDescent="0.25">
      <c r="A424" s="5"/>
    </row>
    <row r="425" spans="1:13" x14ac:dyDescent="0.25">
      <c r="A425" s="5"/>
    </row>
    <row r="426" spans="1:13" x14ac:dyDescent="0.25">
      <c r="A426" s="5"/>
    </row>
    <row r="427" spans="1:13" x14ac:dyDescent="0.25">
      <c r="A427" s="5"/>
    </row>
    <row r="428" spans="1:13" x14ac:dyDescent="0.25">
      <c r="A428" s="5"/>
    </row>
    <row r="429" spans="1:13" x14ac:dyDescent="0.25">
      <c r="A429" s="5"/>
    </row>
    <row r="430" spans="1:13" x14ac:dyDescent="0.25">
      <c r="A430" s="5"/>
    </row>
    <row r="431" spans="1:13" s="4" customFormat="1" x14ac:dyDescent="0.25">
      <c r="A431" s="5"/>
      <c r="H431" s="3"/>
      <c r="I431" s="8"/>
      <c r="J431" s="8"/>
      <c r="K431" s="8"/>
      <c r="L431" s="8"/>
      <c r="M431" s="8"/>
    </row>
    <row r="432" spans="1:13" s="4" customFormat="1" x14ac:dyDescent="0.25">
      <c r="A432" s="5"/>
      <c r="H432" s="3"/>
      <c r="I432" s="8"/>
      <c r="J432" s="8"/>
      <c r="K432" s="8"/>
      <c r="L432" s="8"/>
      <c r="M432" s="8"/>
    </row>
    <row r="433" spans="1:13" s="4" customFormat="1" x14ac:dyDescent="0.25">
      <c r="A433" s="5"/>
      <c r="H433" s="3"/>
      <c r="I433" s="8"/>
      <c r="J433" s="8"/>
      <c r="K433" s="8"/>
      <c r="L433" s="8"/>
      <c r="M433" s="8"/>
    </row>
    <row r="434" spans="1:13" s="4" customFormat="1" x14ac:dyDescent="0.25">
      <c r="A434" s="5"/>
      <c r="H434" s="3"/>
      <c r="I434" s="8"/>
      <c r="J434" s="8"/>
      <c r="K434" s="8"/>
      <c r="L434" s="8"/>
      <c r="M434" s="8"/>
    </row>
    <row r="435" spans="1:13" s="4" customFormat="1" x14ac:dyDescent="0.25">
      <c r="A435" s="5"/>
      <c r="H435" s="3"/>
      <c r="I435" s="8"/>
      <c r="J435" s="8"/>
      <c r="K435" s="8"/>
      <c r="L435" s="8"/>
      <c r="M435" s="8"/>
    </row>
    <row r="436" spans="1:13" s="4" customFormat="1" x14ac:dyDescent="0.25">
      <c r="A436" s="5"/>
      <c r="H436" s="3"/>
      <c r="I436" s="8"/>
      <c r="J436" s="8"/>
      <c r="K436" s="8"/>
      <c r="L436" s="8"/>
      <c r="M436" s="8"/>
    </row>
    <row r="437" spans="1:13" s="4" customFormat="1" x14ac:dyDescent="0.25">
      <c r="A437" s="5"/>
      <c r="H437" s="3"/>
      <c r="I437" s="8"/>
      <c r="J437" s="8"/>
      <c r="K437" s="8"/>
      <c r="L437" s="8"/>
      <c r="M437" s="8"/>
    </row>
    <row r="438" spans="1:13" s="4" customFormat="1" x14ac:dyDescent="0.25">
      <c r="A438" s="5"/>
      <c r="H438" s="3"/>
      <c r="I438" s="8"/>
      <c r="J438" s="8"/>
      <c r="K438" s="8"/>
      <c r="L438" s="8"/>
      <c r="M438" s="8"/>
    </row>
    <row r="439" spans="1:13" s="4" customFormat="1" x14ac:dyDescent="0.25">
      <c r="A439" s="5"/>
      <c r="H439" s="3"/>
      <c r="I439" s="8"/>
      <c r="J439" s="8"/>
      <c r="K439" s="8"/>
      <c r="L439" s="8"/>
      <c r="M439" s="8"/>
    </row>
    <row r="440" spans="1:13" s="4" customFormat="1" x14ac:dyDescent="0.25">
      <c r="A440" s="5"/>
      <c r="H440" s="3"/>
      <c r="I440" s="8"/>
      <c r="J440" s="8"/>
      <c r="K440" s="8"/>
      <c r="L440" s="8"/>
      <c r="M440" s="8"/>
    </row>
    <row r="441" spans="1:13" s="4" customFormat="1" x14ac:dyDescent="0.25">
      <c r="A441" s="5"/>
      <c r="H441" s="3"/>
      <c r="I441" s="8"/>
      <c r="J441" s="8"/>
      <c r="K441" s="8"/>
      <c r="L441" s="8"/>
      <c r="M441" s="8"/>
    </row>
    <row r="442" spans="1:13" s="4" customFormat="1" x14ac:dyDescent="0.25">
      <c r="A442" s="5"/>
      <c r="H442" s="3"/>
      <c r="I442" s="8"/>
      <c r="J442" s="8"/>
      <c r="K442" s="8"/>
      <c r="L442" s="8"/>
      <c r="M442" s="8"/>
    </row>
    <row r="443" spans="1:13" s="4" customFormat="1" x14ac:dyDescent="0.25">
      <c r="A443" s="5"/>
      <c r="H443" s="3"/>
      <c r="I443" s="8"/>
      <c r="J443" s="8"/>
      <c r="K443" s="8"/>
      <c r="L443" s="8"/>
      <c r="M443" s="8"/>
    </row>
    <row r="444" spans="1:13" s="4" customFormat="1" x14ac:dyDescent="0.25">
      <c r="A444" s="5"/>
      <c r="H444" s="3"/>
      <c r="I444" s="8"/>
      <c r="J444" s="8"/>
      <c r="K444" s="8"/>
      <c r="L444" s="8"/>
      <c r="M444" s="8"/>
    </row>
    <row r="445" spans="1:13" s="4" customFormat="1" x14ac:dyDescent="0.25">
      <c r="A445" s="5"/>
      <c r="H445" s="3"/>
      <c r="I445" s="8"/>
      <c r="J445" s="8"/>
      <c r="K445" s="8"/>
      <c r="L445" s="8"/>
      <c r="M445" s="8"/>
    </row>
    <row r="446" spans="1:13" s="4" customFormat="1" x14ac:dyDescent="0.25">
      <c r="A446" s="5"/>
      <c r="H446" s="3"/>
      <c r="I446" s="8"/>
      <c r="J446" s="8"/>
      <c r="K446" s="8"/>
      <c r="L446" s="8"/>
      <c r="M446" s="8"/>
    </row>
    <row r="447" spans="1:13" s="4" customFormat="1" x14ac:dyDescent="0.25">
      <c r="A447" s="5"/>
      <c r="H447" s="3"/>
      <c r="I447" s="8"/>
      <c r="J447" s="8"/>
      <c r="K447" s="8"/>
      <c r="L447" s="8"/>
      <c r="M447" s="8"/>
    </row>
    <row r="448" spans="1:13" s="4" customFormat="1" x14ac:dyDescent="0.25">
      <c r="A448" s="5"/>
      <c r="H448" s="3"/>
      <c r="I448" s="8"/>
      <c r="J448" s="8"/>
      <c r="K448" s="8"/>
      <c r="L448" s="8"/>
      <c r="M448" s="8"/>
    </row>
    <row r="449" spans="1:13" s="4" customFormat="1" x14ac:dyDescent="0.25">
      <c r="A449" s="5"/>
      <c r="H449" s="3"/>
      <c r="I449" s="8"/>
      <c r="J449" s="8"/>
      <c r="K449" s="8"/>
      <c r="L449" s="8"/>
      <c r="M449" s="8"/>
    </row>
    <row r="450" spans="1:13" s="4" customFormat="1" x14ac:dyDescent="0.25">
      <c r="A450" s="5"/>
      <c r="H450" s="3"/>
      <c r="I450" s="8"/>
      <c r="J450" s="8"/>
      <c r="K450" s="8"/>
      <c r="L450" s="8"/>
      <c r="M450" s="8"/>
    </row>
    <row r="451" spans="1:13" s="4" customFormat="1" x14ac:dyDescent="0.25">
      <c r="A451" s="5"/>
      <c r="H451" s="3"/>
      <c r="I451" s="8"/>
      <c r="J451" s="8"/>
      <c r="K451" s="8"/>
      <c r="L451" s="8"/>
      <c r="M451" s="8"/>
    </row>
    <row r="452" spans="1:13" s="4" customFormat="1" x14ac:dyDescent="0.25">
      <c r="A452" s="5"/>
      <c r="H452" s="3"/>
      <c r="I452" s="8"/>
      <c r="J452" s="8"/>
      <c r="K452" s="8"/>
      <c r="L452" s="8"/>
      <c r="M452" s="8"/>
    </row>
    <row r="453" spans="1:13" s="4" customFormat="1" x14ac:dyDescent="0.25">
      <c r="A453" s="5"/>
      <c r="H453" s="3"/>
      <c r="I453" s="8"/>
      <c r="J453" s="8"/>
      <c r="K453" s="8"/>
      <c r="L453" s="8"/>
      <c r="M453" s="8"/>
    </row>
    <row r="454" spans="1:13" s="4" customFormat="1" x14ac:dyDescent="0.25">
      <c r="A454" s="5"/>
      <c r="H454" s="3"/>
      <c r="I454" s="8"/>
      <c r="J454" s="8"/>
      <c r="K454" s="8"/>
      <c r="L454" s="8"/>
      <c r="M454" s="8"/>
    </row>
    <row r="455" spans="1:13" s="4" customFormat="1" x14ac:dyDescent="0.25">
      <c r="A455" s="5"/>
      <c r="H455" s="3"/>
      <c r="I455" s="8"/>
      <c r="J455" s="8"/>
      <c r="K455" s="8"/>
      <c r="L455" s="8"/>
      <c r="M455" s="8"/>
    </row>
    <row r="456" spans="1:13" s="4" customFormat="1" x14ac:dyDescent="0.25">
      <c r="A456" s="5"/>
      <c r="H456" s="3"/>
      <c r="I456" s="8"/>
      <c r="J456" s="8"/>
      <c r="K456" s="8"/>
      <c r="L456" s="8"/>
      <c r="M456" s="8"/>
    </row>
    <row r="457" spans="1:13" s="4" customFormat="1" x14ac:dyDescent="0.25">
      <c r="A457" s="5"/>
      <c r="H457" s="3"/>
      <c r="I457" s="8"/>
      <c r="J457" s="8"/>
      <c r="K457" s="8"/>
      <c r="L457" s="8"/>
      <c r="M457" s="8"/>
    </row>
    <row r="458" spans="1:13" s="4" customFormat="1" x14ac:dyDescent="0.25">
      <c r="A458" s="5"/>
      <c r="H458" s="3"/>
      <c r="I458" s="8"/>
      <c r="J458" s="8"/>
      <c r="K458" s="8"/>
      <c r="L458" s="8"/>
      <c r="M458" s="8"/>
    </row>
    <row r="459" spans="1:13" s="4" customFormat="1" x14ac:dyDescent="0.25">
      <c r="A459" s="5"/>
      <c r="H459" s="3"/>
      <c r="I459" s="8"/>
      <c r="J459" s="8"/>
      <c r="K459" s="8"/>
      <c r="L459" s="8"/>
      <c r="M459" s="8"/>
    </row>
    <row r="460" spans="1:13" s="4" customFormat="1" x14ac:dyDescent="0.25">
      <c r="A460" s="5"/>
      <c r="H460" s="3"/>
      <c r="I460" s="8"/>
      <c r="J460" s="8"/>
      <c r="K460" s="8"/>
      <c r="L460" s="8"/>
      <c r="M460" s="8"/>
    </row>
    <row r="461" spans="1:13" s="4" customFormat="1" x14ac:dyDescent="0.25">
      <c r="A461" s="5"/>
      <c r="H461" s="3"/>
      <c r="I461" s="8"/>
      <c r="J461" s="8"/>
      <c r="K461" s="8"/>
      <c r="L461" s="8"/>
      <c r="M461" s="8"/>
    </row>
    <row r="462" spans="1:13" s="4" customFormat="1" x14ac:dyDescent="0.25">
      <c r="A462" s="5"/>
      <c r="H462" s="3"/>
      <c r="I462" s="8"/>
      <c r="J462" s="8"/>
      <c r="K462" s="8"/>
      <c r="L462" s="8"/>
      <c r="M462" s="8"/>
    </row>
    <row r="463" spans="1:13" s="4" customFormat="1" x14ac:dyDescent="0.25">
      <c r="A463" s="5"/>
      <c r="H463" s="3"/>
      <c r="I463" s="8"/>
      <c r="J463" s="8"/>
      <c r="K463" s="8"/>
      <c r="L463" s="8"/>
      <c r="M463" s="8"/>
    </row>
    <row r="464" spans="1:13" s="4" customFormat="1" x14ac:dyDescent="0.25">
      <c r="A464" s="5"/>
      <c r="H464" s="3"/>
      <c r="I464" s="8"/>
      <c r="J464" s="8"/>
      <c r="K464" s="8"/>
      <c r="L464" s="8"/>
      <c r="M464" s="8"/>
    </row>
    <row r="465" spans="1:13" s="4" customFormat="1" x14ac:dyDescent="0.25">
      <c r="A465" s="5"/>
      <c r="H465" s="3"/>
      <c r="I465" s="8"/>
      <c r="J465" s="8"/>
      <c r="K465" s="8"/>
      <c r="L465" s="8"/>
      <c r="M465" s="8"/>
    </row>
    <row r="466" spans="1:13" s="4" customFormat="1" x14ac:dyDescent="0.25">
      <c r="A466" s="5"/>
      <c r="H466" s="3"/>
      <c r="I466" s="8"/>
      <c r="J466" s="8"/>
      <c r="K466" s="8"/>
      <c r="L466" s="8"/>
      <c r="M466" s="8"/>
    </row>
    <row r="467" spans="1:13" s="4" customFormat="1" x14ac:dyDescent="0.25">
      <c r="A467" s="5"/>
      <c r="H467" s="3"/>
      <c r="I467" s="8"/>
      <c r="J467" s="8"/>
      <c r="K467" s="8"/>
      <c r="L467" s="8"/>
      <c r="M467" s="8"/>
    </row>
    <row r="468" spans="1:13" s="4" customFormat="1" x14ac:dyDescent="0.25">
      <c r="A468" s="5"/>
      <c r="H468" s="3"/>
      <c r="I468" s="8"/>
      <c r="J468" s="8"/>
      <c r="K468" s="8"/>
      <c r="L468" s="8"/>
      <c r="M468" s="8"/>
    </row>
    <row r="469" spans="1:13" s="4" customFormat="1" x14ac:dyDescent="0.25">
      <c r="A469" s="5"/>
      <c r="H469" s="3"/>
      <c r="I469" s="8"/>
      <c r="J469" s="8"/>
      <c r="K469" s="8"/>
      <c r="L469" s="8"/>
      <c r="M469" s="8"/>
    </row>
    <row r="470" spans="1:13" s="4" customFormat="1" x14ac:dyDescent="0.25">
      <c r="A470" s="5"/>
      <c r="H470" s="3"/>
      <c r="I470" s="8"/>
      <c r="J470" s="8"/>
      <c r="K470" s="8"/>
      <c r="L470" s="8"/>
      <c r="M470" s="8"/>
    </row>
    <row r="471" spans="1:13" s="4" customFormat="1" x14ac:dyDescent="0.25">
      <c r="A471" s="5"/>
      <c r="H471" s="3"/>
      <c r="I471" s="8"/>
      <c r="J471" s="8"/>
      <c r="K471" s="8"/>
      <c r="L471" s="8"/>
      <c r="M471" s="8"/>
    </row>
    <row r="472" spans="1:13" s="4" customFormat="1" x14ac:dyDescent="0.25">
      <c r="A472" s="5"/>
      <c r="H472" s="3"/>
      <c r="I472" s="8"/>
      <c r="J472" s="8"/>
      <c r="K472" s="8"/>
      <c r="L472" s="8"/>
      <c r="M472" s="8"/>
    </row>
    <row r="473" spans="1:13" s="4" customFormat="1" x14ac:dyDescent="0.25">
      <c r="A473" s="5"/>
      <c r="H473" s="3"/>
      <c r="I473" s="8"/>
      <c r="J473" s="8"/>
      <c r="K473" s="8"/>
      <c r="L473" s="8"/>
      <c r="M473" s="8"/>
    </row>
    <row r="474" spans="1:13" s="4" customFormat="1" x14ac:dyDescent="0.25">
      <c r="A474" s="5"/>
      <c r="H474" s="3"/>
      <c r="I474" s="8"/>
      <c r="J474" s="8"/>
      <c r="K474" s="8"/>
      <c r="L474" s="8"/>
      <c r="M474" s="8"/>
    </row>
    <row r="475" spans="1:13" s="4" customFormat="1" x14ac:dyDescent="0.25">
      <c r="A475" s="5"/>
      <c r="H475" s="3"/>
      <c r="I475" s="8"/>
      <c r="J475" s="8"/>
      <c r="K475" s="8"/>
      <c r="L475" s="8"/>
      <c r="M475" s="8"/>
    </row>
    <row r="476" spans="1:13" s="4" customFormat="1" x14ac:dyDescent="0.25">
      <c r="A476" s="5"/>
      <c r="H476" s="3"/>
      <c r="I476" s="8"/>
      <c r="J476" s="8"/>
      <c r="K476" s="8"/>
      <c r="L476" s="8"/>
      <c r="M476" s="8"/>
    </row>
    <row r="477" spans="1:13" s="4" customFormat="1" x14ac:dyDescent="0.25">
      <c r="A477" s="5"/>
      <c r="H477" s="3"/>
      <c r="I477" s="8"/>
      <c r="J477" s="8"/>
      <c r="K477" s="8"/>
      <c r="L477" s="8"/>
      <c r="M477" s="8"/>
    </row>
    <row r="478" spans="1:13" s="4" customFormat="1" x14ac:dyDescent="0.25">
      <c r="A478" s="5"/>
      <c r="H478" s="3"/>
      <c r="I478" s="8"/>
      <c r="J478" s="8"/>
      <c r="K478" s="8"/>
      <c r="L478" s="8"/>
      <c r="M478" s="8"/>
    </row>
    <row r="479" spans="1:13" s="4" customFormat="1" x14ac:dyDescent="0.25">
      <c r="A479" s="5"/>
      <c r="H479" s="3"/>
      <c r="I479" s="8"/>
      <c r="J479" s="8"/>
      <c r="K479" s="8"/>
      <c r="L479" s="8"/>
      <c r="M479" s="8"/>
    </row>
    <row r="480" spans="1:13" s="4" customFormat="1" x14ac:dyDescent="0.25">
      <c r="A480" s="5"/>
      <c r="H480" s="3"/>
      <c r="I480" s="8"/>
      <c r="J480" s="8"/>
      <c r="K480" s="8"/>
      <c r="L480" s="8"/>
      <c r="M480" s="8"/>
    </row>
    <row r="481" spans="1:13" s="4" customFormat="1" x14ac:dyDescent="0.25">
      <c r="A481" s="5"/>
      <c r="H481" s="3"/>
      <c r="I481" s="8"/>
      <c r="J481" s="8"/>
      <c r="K481" s="8"/>
      <c r="L481" s="8"/>
      <c r="M481" s="8"/>
    </row>
    <row r="482" spans="1:13" s="4" customFormat="1" x14ac:dyDescent="0.25">
      <c r="A482" s="5"/>
      <c r="H482" s="3"/>
      <c r="I482" s="8"/>
      <c r="J482" s="8"/>
      <c r="K482" s="8"/>
      <c r="L482" s="8"/>
      <c r="M482" s="8"/>
    </row>
    <row r="483" spans="1:13" s="4" customFormat="1" x14ac:dyDescent="0.25">
      <c r="A483" s="5"/>
      <c r="H483" s="3"/>
      <c r="I483" s="8"/>
      <c r="J483" s="8"/>
      <c r="K483" s="8"/>
      <c r="L483" s="8"/>
      <c r="M483" s="8"/>
    </row>
    <row r="484" spans="1:13" s="4" customFormat="1" x14ac:dyDescent="0.25">
      <c r="A484" s="5"/>
      <c r="H484" s="3"/>
      <c r="I484" s="8"/>
      <c r="J484" s="8"/>
      <c r="K484" s="8"/>
      <c r="L484" s="8"/>
      <c r="M484" s="8"/>
    </row>
    <row r="485" spans="1:13" s="4" customFormat="1" x14ac:dyDescent="0.25">
      <c r="A485" s="5"/>
      <c r="H485" s="3"/>
      <c r="I485" s="8"/>
      <c r="J485" s="8"/>
      <c r="K485" s="8"/>
      <c r="L485" s="8"/>
      <c r="M485" s="8"/>
    </row>
    <row r="486" spans="1:13" s="4" customFormat="1" x14ac:dyDescent="0.25">
      <c r="A486" s="5"/>
      <c r="H486" s="3"/>
      <c r="I486" s="8"/>
      <c r="J486" s="8"/>
      <c r="K486" s="8"/>
      <c r="L486" s="8"/>
      <c r="M486" s="8"/>
    </row>
    <row r="487" spans="1:13" s="4" customFormat="1" x14ac:dyDescent="0.25">
      <c r="A487" s="5"/>
      <c r="H487" s="3"/>
      <c r="I487" s="8"/>
      <c r="J487" s="8"/>
      <c r="K487" s="8"/>
      <c r="L487" s="8"/>
      <c r="M487" s="8"/>
    </row>
    <row r="488" spans="1:13" s="4" customFormat="1" x14ac:dyDescent="0.25">
      <c r="A488" s="5"/>
      <c r="H488" s="3"/>
      <c r="I488" s="8"/>
      <c r="J488" s="8"/>
      <c r="K488" s="8"/>
      <c r="L488" s="8"/>
      <c r="M488" s="8"/>
    </row>
    <row r="489" spans="1:13" s="4" customFormat="1" x14ac:dyDescent="0.25">
      <c r="A489" s="5"/>
      <c r="H489" s="3"/>
      <c r="I489" s="8"/>
      <c r="J489" s="8"/>
      <c r="K489" s="8"/>
      <c r="L489" s="8"/>
      <c r="M489" s="8"/>
    </row>
    <row r="490" spans="1:13" s="4" customFormat="1" x14ac:dyDescent="0.25">
      <c r="A490" s="5"/>
      <c r="H490" s="3"/>
      <c r="I490" s="8"/>
      <c r="J490" s="8"/>
      <c r="K490" s="8"/>
      <c r="L490" s="8"/>
      <c r="M490" s="8"/>
    </row>
    <row r="491" spans="1:13" s="4" customFormat="1" x14ac:dyDescent="0.25">
      <c r="A491" s="5"/>
      <c r="H491" s="3"/>
      <c r="I491" s="8"/>
      <c r="J491" s="8"/>
      <c r="K491" s="8"/>
      <c r="L491" s="8"/>
      <c r="M491" s="8"/>
    </row>
    <row r="492" spans="1:13" s="4" customFormat="1" x14ac:dyDescent="0.25">
      <c r="A492" s="5"/>
      <c r="H492" s="3"/>
      <c r="I492" s="8"/>
      <c r="J492" s="8"/>
      <c r="K492" s="8"/>
      <c r="L492" s="8"/>
      <c r="M492" s="8"/>
    </row>
    <row r="493" spans="1:13" s="4" customFormat="1" x14ac:dyDescent="0.25">
      <c r="A493" s="5"/>
      <c r="H493" s="3"/>
      <c r="I493" s="8"/>
      <c r="J493" s="8"/>
      <c r="K493" s="8"/>
      <c r="L493" s="8"/>
      <c r="M493" s="8"/>
    </row>
    <row r="494" spans="1:13" s="4" customFormat="1" x14ac:dyDescent="0.25">
      <c r="A494" s="5"/>
      <c r="H494" s="3"/>
      <c r="I494" s="8"/>
      <c r="J494" s="8"/>
      <c r="K494" s="8"/>
      <c r="L494" s="8"/>
      <c r="M494" s="8"/>
    </row>
    <row r="495" spans="1:13" s="4" customFormat="1" x14ac:dyDescent="0.25">
      <c r="A495" s="5"/>
      <c r="H495" s="3"/>
      <c r="I495" s="8"/>
      <c r="J495" s="8"/>
      <c r="K495" s="8"/>
      <c r="L495" s="8"/>
      <c r="M495" s="8"/>
    </row>
    <row r="496" spans="1:13" s="4" customFormat="1" x14ac:dyDescent="0.25">
      <c r="A496" s="5"/>
      <c r="H496" s="3"/>
      <c r="I496" s="8"/>
      <c r="J496" s="8"/>
      <c r="K496" s="8"/>
      <c r="L496" s="8"/>
      <c r="M496" s="8"/>
    </row>
    <row r="497" spans="1:13" s="4" customFormat="1" x14ac:dyDescent="0.25">
      <c r="A497" s="5"/>
      <c r="H497" s="3"/>
      <c r="I497" s="8"/>
      <c r="J497" s="8"/>
      <c r="K497" s="8"/>
      <c r="L497" s="8"/>
      <c r="M497" s="8"/>
    </row>
    <row r="498" spans="1:13" s="4" customFormat="1" x14ac:dyDescent="0.25">
      <c r="A498" s="5"/>
      <c r="H498" s="3"/>
      <c r="I498" s="8"/>
      <c r="J498" s="8"/>
      <c r="K498" s="8"/>
      <c r="L498" s="8"/>
      <c r="M498" s="8"/>
    </row>
    <row r="499" spans="1:13" s="4" customFormat="1" x14ac:dyDescent="0.25">
      <c r="A499" s="5"/>
      <c r="H499" s="3"/>
      <c r="I499" s="8"/>
      <c r="J499" s="8"/>
      <c r="K499" s="8"/>
      <c r="L499" s="8"/>
      <c r="M499" s="8"/>
    </row>
    <row r="500" spans="1:13" s="4" customFormat="1" x14ac:dyDescent="0.25">
      <c r="A500" s="5"/>
      <c r="H500" s="3"/>
      <c r="I500" s="8"/>
      <c r="J500" s="8"/>
      <c r="K500" s="8"/>
      <c r="L500" s="8"/>
      <c r="M500" s="8"/>
    </row>
    <row r="501" spans="1:13" s="4" customFormat="1" x14ac:dyDescent="0.25">
      <c r="A501" s="5"/>
      <c r="H501" s="3"/>
      <c r="I501" s="8"/>
      <c r="J501" s="8"/>
      <c r="K501" s="8"/>
      <c r="L501" s="8"/>
      <c r="M501" s="8"/>
    </row>
    <row r="502" spans="1:13" s="4" customFormat="1" x14ac:dyDescent="0.25">
      <c r="A502" s="5"/>
      <c r="H502" s="3"/>
      <c r="I502" s="8"/>
      <c r="J502" s="8"/>
      <c r="K502" s="8"/>
      <c r="L502" s="8"/>
      <c r="M502" s="8"/>
    </row>
    <row r="503" spans="1:13" s="4" customFormat="1" x14ac:dyDescent="0.25">
      <c r="A503" s="5"/>
      <c r="H503" s="3"/>
      <c r="I503" s="8"/>
      <c r="J503" s="8"/>
      <c r="K503" s="8"/>
      <c r="L503" s="8"/>
      <c r="M503" s="8"/>
    </row>
    <row r="504" spans="1:13" s="4" customFormat="1" x14ac:dyDescent="0.25">
      <c r="A504" s="5"/>
      <c r="H504" s="3"/>
      <c r="I504" s="8"/>
      <c r="J504" s="8"/>
      <c r="K504" s="8"/>
      <c r="L504" s="8"/>
      <c r="M504" s="8"/>
    </row>
    <row r="505" spans="1:13" s="4" customFormat="1" x14ac:dyDescent="0.25">
      <c r="A505" s="5"/>
      <c r="H505" s="3"/>
      <c r="I505" s="8"/>
      <c r="J505" s="8"/>
      <c r="K505" s="8"/>
      <c r="L505" s="8"/>
      <c r="M505" s="8"/>
    </row>
    <row r="506" spans="1:13" s="4" customFormat="1" x14ac:dyDescent="0.25">
      <c r="A506" s="5"/>
      <c r="H506" s="3"/>
      <c r="I506" s="8"/>
      <c r="J506" s="8"/>
      <c r="K506" s="8"/>
      <c r="L506" s="8"/>
      <c r="M506" s="8"/>
    </row>
    <row r="507" spans="1:13" s="4" customFormat="1" x14ac:dyDescent="0.25">
      <c r="A507" s="5"/>
      <c r="H507" s="3"/>
      <c r="I507" s="8"/>
      <c r="J507" s="8"/>
      <c r="K507" s="8"/>
      <c r="L507" s="8"/>
      <c r="M507" s="8"/>
    </row>
    <row r="508" spans="1:13" s="4" customFormat="1" x14ac:dyDescent="0.25">
      <c r="A508" s="5"/>
      <c r="H508" s="3"/>
      <c r="I508" s="8"/>
      <c r="J508" s="8"/>
      <c r="K508" s="8"/>
      <c r="L508" s="8"/>
      <c r="M508" s="8"/>
    </row>
    <row r="509" spans="1:13" s="4" customFormat="1" x14ac:dyDescent="0.25">
      <c r="A509" s="5"/>
      <c r="H509" s="3"/>
      <c r="I509" s="8"/>
      <c r="J509" s="8"/>
      <c r="K509" s="8"/>
      <c r="L509" s="8"/>
      <c r="M509" s="8"/>
    </row>
    <row r="510" spans="1:13" s="4" customFormat="1" x14ac:dyDescent="0.25">
      <c r="A510" s="5"/>
      <c r="H510" s="3"/>
      <c r="I510" s="8"/>
      <c r="J510" s="8"/>
      <c r="K510" s="8"/>
      <c r="L510" s="8"/>
      <c r="M510" s="8"/>
    </row>
    <row r="511" spans="1:13" s="4" customFormat="1" x14ac:dyDescent="0.25">
      <c r="A511" s="5"/>
      <c r="H511" s="3"/>
      <c r="I511" s="8"/>
      <c r="J511" s="8"/>
      <c r="K511" s="8"/>
      <c r="L511" s="8"/>
      <c r="M511" s="8"/>
    </row>
    <row r="512" spans="1:13" s="4" customFormat="1" x14ac:dyDescent="0.25">
      <c r="A512" s="5"/>
      <c r="H512" s="3"/>
      <c r="I512" s="8"/>
      <c r="J512" s="8"/>
      <c r="K512" s="8"/>
      <c r="L512" s="8"/>
      <c r="M512" s="8"/>
    </row>
    <row r="513" spans="1:13" s="4" customFormat="1" x14ac:dyDescent="0.25">
      <c r="A513" s="5"/>
      <c r="H513" s="3"/>
      <c r="I513" s="8"/>
      <c r="J513" s="8"/>
      <c r="K513" s="8"/>
      <c r="L513" s="8"/>
      <c r="M513" s="8"/>
    </row>
    <row r="514" spans="1:13" s="4" customFormat="1" x14ac:dyDescent="0.25">
      <c r="A514" s="5"/>
      <c r="H514" s="3"/>
      <c r="I514" s="8"/>
      <c r="J514" s="8"/>
      <c r="K514" s="8"/>
      <c r="L514" s="8"/>
      <c r="M514" s="8"/>
    </row>
    <row r="515" spans="1:13" s="4" customFormat="1" x14ac:dyDescent="0.25">
      <c r="A515" s="5"/>
      <c r="H515" s="3"/>
      <c r="I515" s="8"/>
      <c r="J515" s="8"/>
      <c r="K515" s="8"/>
      <c r="L515" s="8"/>
      <c r="M515" s="8"/>
    </row>
    <row r="516" spans="1:13" s="4" customFormat="1" x14ac:dyDescent="0.25">
      <c r="A516" s="5"/>
      <c r="H516" s="3"/>
      <c r="I516" s="8"/>
      <c r="J516" s="8"/>
      <c r="K516" s="8"/>
      <c r="L516" s="8"/>
      <c r="M516" s="8"/>
    </row>
    <row r="517" spans="1:13" s="4" customFormat="1" x14ac:dyDescent="0.25">
      <c r="A517" s="5"/>
      <c r="H517" s="3"/>
      <c r="I517" s="8"/>
      <c r="J517" s="8"/>
      <c r="K517" s="8"/>
      <c r="L517" s="8"/>
      <c r="M517" s="8"/>
    </row>
    <row r="518" spans="1:13" s="4" customFormat="1" x14ac:dyDescent="0.25">
      <c r="A518" s="5"/>
      <c r="H518" s="3"/>
      <c r="I518" s="8"/>
      <c r="J518" s="8"/>
      <c r="K518" s="8"/>
      <c r="L518" s="8"/>
      <c r="M518" s="8"/>
    </row>
    <row r="519" spans="1:13" s="4" customFormat="1" x14ac:dyDescent="0.25">
      <c r="A519" s="5"/>
      <c r="H519" s="3"/>
      <c r="I519" s="8"/>
      <c r="J519" s="8"/>
      <c r="K519" s="8"/>
      <c r="L519" s="8"/>
      <c r="M519" s="8"/>
    </row>
    <row r="520" spans="1:13" s="4" customFormat="1" x14ac:dyDescent="0.25">
      <c r="A520" s="5"/>
      <c r="H520" s="3"/>
      <c r="I520" s="8"/>
      <c r="J520" s="8"/>
      <c r="K520" s="8"/>
      <c r="L520" s="8"/>
      <c r="M520" s="8"/>
    </row>
    <row r="521" spans="1:13" s="4" customFormat="1" x14ac:dyDescent="0.25">
      <c r="A521" s="5"/>
      <c r="H521" s="3"/>
      <c r="I521" s="8"/>
      <c r="J521" s="8"/>
      <c r="K521" s="8"/>
      <c r="L521" s="8"/>
      <c r="M521" s="8"/>
    </row>
    <row r="522" spans="1:13" s="4" customFormat="1" x14ac:dyDescent="0.25">
      <c r="A522" s="5"/>
      <c r="H522" s="3"/>
      <c r="I522" s="8"/>
      <c r="J522" s="8"/>
      <c r="K522" s="8"/>
      <c r="L522" s="8"/>
      <c r="M522" s="8"/>
    </row>
    <row r="523" spans="1:13" s="4" customFormat="1" x14ac:dyDescent="0.25">
      <c r="A523" s="5"/>
      <c r="H523" s="3"/>
      <c r="I523" s="8"/>
      <c r="J523" s="8"/>
      <c r="K523" s="8"/>
      <c r="L523" s="8"/>
      <c r="M523" s="8"/>
    </row>
    <row r="524" spans="1:13" s="4" customFormat="1" x14ac:dyDescent="0.25">
      <c r="A524" s="5"/>
      <c r="H524" s="3"/>
      <c r="I524" s="8"/>
      <c r="J524" s="8"/>
      <c r="K524" s="8"/>
      <c r="L524" s="8"/>
      <c r="M524" s="8"/>
    </row>
    <row r="525" spans="1:13" s="4" customFormat="1" x14ac:dyDescent="0.25">
      <c r="A525" s="5"/>
      <c r="H525" s="3"/>
      <c r="I525" s="8"/>
      <c r="J525" s="8"/>
      <c r="K525" s="8"/>
      <c r="L525" s="8"/>
      <c r="M525" s="8"/>
    </row>
    <row r="526" spans="1:13" s="4" customFormat="1" x14ac:dyDescent="0.25">
      <c r="A526" s="5"/>
      <c r="H526" s="3"/>
      <c r="I526" s="8"/>
      <c r="J526" s="8"/>
      <c r="K526" s="8"/>
      <c r="L526" s="8"/>
      <c r="M526" s="8"/>
    </row>
  </sheetData>
  <mergeCells count="3">
    <mergeCell ref="B2:G2"/>
    <mergeCell ref="H2:M2"/>
    <mergeCell ref="P2:U2"/>
  </mergeCells>
  <pageMargins left="0.7" right="0.7" top="0.75" bottom="0.75" header="0.3" footer="0.3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8"/>
  <sheetViews>
    <sheetView workbookViewId="0">
      <pane xSplit="1" ySplit="1" topLeftCell="B151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" defaultRowHeight="15.75" x14ac:dyDescent="0.25"/>
  <sheetData>
    <row r="1" spans="1:7" x14ac:dyDescent="0.25">
      <c r="B1" t="s">
        <v>122</v>
      </c>
      <c r="C1" t="s">
        <v>120</v>
      </c>
      <c r="D1" t="s">
        <v>123</v>
      </c>
      <c r="E1" t="s">
        <v>125</v>
      </c>
      <c r="F1" t="s">
        <v>124</v>
      </c>
      <c r="G1" t="s">
        <v>121</v>
      </c>
    </row>
    <row r="2" spans="1:7" x14ac:dyDescent="0.25">
      <c r="A2" s="2">
        <v>24624</v>
      </c>
      <c r="B2">
        <f>'Ritter transition probs'!P4</f>
        <v>1.1082466666666665E-2</v>
      </c>
      <c r="C2">
        <f>'Ritter transition probs'!Q4</f>
        <v>0.35260590000000008</v>
      </c>
      <c r="D2">
        <f>'Ritter transition probs'!R4</f>
        <v>1.6948166666666667E-2</v>
      </c>
      <c r="E2">
        <f>'Ritter transition probs'!S4</f>
        <v>0.28093039999999997</v>
      </c>
      <c r="F2">
        <f>'Ritter transition probs'!T4</f>
        <v>3.9330766666666662E-2</v>
      </c>
      <c r="G2">
        <f>'Ritter transition probs'!U4</f>
        <v>4.7660133333333334E-2</v>
      </c>
    </row>
    <row r="3" spans="1:7" x14ac:dyDescent="0.25">
      <c r="A3" s="2">
        <f>DATE(YEAR(A2),MONTH(A2)+3,1)</f>
        <v>24716</v>
      </c>
      <c r="B3">
        <f>'Ritter transition probs'!P5</f>
        <v>1.0446733333333333E-2</v>
      </c>
      <c r="C3">
        <f>'Ritter transition probs'!Q5</f>
        <v>0.34744613333333335</v>
      </c>
      <c r="D3">
        <f>'Ritter transition probs'!R5</f>
        <v>1.7542500000000003E-2</v>
      </c>
      <c r="E3">
        <f>'Ritter transition probs'!S5</f>
        <v>0.27246296666666669</v>
      </c>
      <c r="F3">
        <f>'Ritter transition probs'!T5</f>
        <v>4.0142666666666667E-2</v>
      </c>
      <c r="G3">
        <f>'Ritter transition probs'!U5</f>
        <v>4.9371599999999995E-2</v>
      </c>
    </row>
    <row r="4" spans="1:7" x14ac:dyDescent="0.25">
      <c r="A4" s="2">
        <f t="shared" ref="A4:A67" si="0">DATE(YEAR(A3),MONTH(A3)+3,1)</f>
        <v>24807</v>
      </c>
      <c r="B4">
        <f>'Ritter transition probs'!P6</f>
        <v>1.10177E-2</v>
      </c>
      <c r="C4">
        <f>'Ritter transition probs'!Q6</f>
        <v>0.3492398333333333</v>
      </c>
      <c r="D4">
        <f>'Ritter transition probs'!R6</f>
        <v>1.4808266666666667E-2</v>
      </c>
      <c r="E4">
        <f>'Ritter transition probs'!S6</f>
        <v>0.28853750000000006</v>
      </c>
      <c r="F4">
        <f>'Ritter transition probs'!T6</f>
        <v>3.9901899999999997E-2</v>
      </c>
      <c r="G4">
        <f>'Ritter transition probs'!U6</f>
        <v>4.4782833333333334E-2</v>
      </c>
    </row>
    <row r="5" spans="1:7" x14ac:dyDescent="0.25">
      <c r="A5" s="2">
        <f t="shared" si="0"/>
        <v>24898</v>
      </c>
      <c r="B5">
        <f>'Ritter transition probs'!P7</f>
        <v>9.6167666666666669E-3</v>
      </c>
      <c r="C5">
        <f>'Ritter transition probs'!Q7</f>
        <v>0.34385640000000001</v>
      </c>
      <c r="D5">
        <f>'Ritter transition probs'!R7</f>
        <v>1.6573566666666668E-2</v>
      </c>
      <c r="E5">
        <f>'Ritter transition probs'!S7</f>
        <v>0.27671583333333333</v>
      </c>
      <c r="F5">
        <f>'Ritter transition probs'!T7</f>
        <v>3.8934066666666663E-2</v>
      </c>
      <c r="G5">
        <f>'Ritter transition probs'!U7</f>
        <v>5.173613333333333E-2</v>
      </c>
    </row>
    <row r="6" spans="1:7" x14ac:dyDescent="0.25">
      <c r="A6" s="2">
        <f t="shared" si="0"/>
        <v>24990</v>
      </c>
      <c r="B6">
        <f>'Ritter transition probs'!P8</f>
        <v>9.9575666666666673E-3</v>
      </c>
      <c r="C6">
        <f>'Ritter transition probs'!Q8</f>
        <v>0.35289446666666668</v>
      </c>
      <c r="D6">
        <f>'Ritter transition probs'!R8</f>
        <v>1.5326466666666668E-2</v>
      </c>
      <c r="E6">
        <f>'Ritter transition probs'!S8</f>
        <v>0.28180386666666668</v>
      </c>
      <c r="F6">
        <f>'Ritter transition probs'!T8</f>
        <v>4.2792900000000002E-2</v>
      </c>
      <c r="G6">
        <f>'Ritter transition probs'!U8</f>
        <v>4.8177166666666667E-2</v>
      </c>
    </row>
    <row r="7" spans="1:7" x14ac:dyDescent="0.25">
      <c r="A7" s="2">
        <f t="shared" si="0"/>
        <v>25082</v>
      </c>
      <c r="B7">
        <f>'Ritter transition probs'!P9</f>
        <v>8.6788999999999981E-3</v>
      </c>
      <c r="C7">
        <f>'Ritter transition probs'!Q9</f>
        <v>0.35996813333333333</v>
      </c>
      <c r="D7">
        <f>'Ritter transition probs'!R9</f>
        <v>1.5690533333333333E-2</v>
      </c>
      <c r="E7">
        <f>'Ritter transition probs'!S9</f>
        <v>0.2882847</v>
      </c>
      <c r="F7">
        <f>'Ritter transition probs'!T9</f>
        <v>4.1321733333333333E-2</v>
      </c>
      <c r="G7">
        <f>'Ritter transition probs'!U9</f>
        <v>4.9018833333333338E-2</v>
      </c>
    </row>
    <row r="8" spans="1:7" x14ac:dyDescent="0.25">
      <c r="A8" s="2">
        <f t="shared" si="0"/>
        <v>25173</v>
      </c>
      <c r="B8">
        <f>'Ritter transition probs'!P10</f>
        <v>9.5053666666666658E-3</v>
      </c>
      <c r="C8">
        <f>'Ritter transition probs'!Q10</f>
        <v>0.35391486666666666</v>
      </c>
      <c r="D8">
        <f>'Ritter transition probs'!R10</f>
        <v>1.4988566666666666E-2</v>
      </c>
      <c r="E8">
        <f>'Ritter transition probs'!S10</f>
        <v>0.30179450000000002</v>
      </c>
      <c r="F8">
        <f>'Ritter transition probs'!T10</f>
        <v>3.9664633333333331E-2</v>
      </c>
      <c r="G8">
        <f>'Ritter transition probs'!U10</f>
        <v>4.674246666666667E-2</v>
      </c>
    </row>
    <row r="9" spans="1:7" x14ac:dyDescent="0.25">
      <c r="A9" s="2">
        <f t="shared" si="0"/>
        <v>25263</v>
      </c>
      <c r="B9">
        <f>'Ritter transition probs'!P11</f>
        <v>9.9031333333333329E-3</v>
      </c>
      <c r="C9">
        <f>'Ritter transition probs'!Q11</f>
        <v>0.33954363333333332</v>
      </c>
      <c r="D9">
        <f>'Ritter transition probs'!R11</f>
        <v>1.5979366666666665E-2</v>
      </c>
      <c r="E9">
        <f>'Ritter transition probs'!S11</f>
        <v>0.29412969999999999</v>
      </c>
      <c r="F9">
        <f>'Ritter transition probs'!T11</f>
        <v>3.872013333333333E-2</v>
      </c>
      <c r="G9">
        <f>'Ritter transition probs'!U11</f>
        <v>5.1134199999999998E-2</v>
      </c>
    </row>
    <row r="10" spans="1:7" x14ac:dyDescent="0.25">
      <c r="A10" s="2">
        <f t="shared" si="0"/>
        <v>25355</v>
      </c>
      <c r="B10">
        <f>'Ritter transition probs'!P12</f>
        <v>1.0218266666666668E-2</v>
      </c>
      <c r="C10">
        <f>'Ritter transition probs'!Q12</f>
        <v>0.34857973333333331</v>
      </c>
      <c r="D10">
        <f>'Ritter transition probs'!R12</f>
        <v>1.6953533333333329E-2</v>
      </c>
      <c r="E10">
        <f>'Ritter transition probs'!S12</f>
        <v>0.27857473333333332</v>
      </c>
      <c r="F10">
        <f>'Ritter transition probs'!T12</f>
        <v>4.0349166666666665E-2</v>
      </c>
      <c r="G10">
        <f>'Ritter transition probs'!U12</f>
        <v>4.9984933333333335E-2</v>
      </c>
    </row>
    <row r="11" spans="1:7" x14ac:dyDescent="0.25">
      <c r="A11" s="2">
        <f t="shared" si="0"/>
        <v>25447</v>
      </c>
      <c r="B11">
        <f>'Ritter transition probs'!P13</f>
        <v>1.0051733333333333E-2</v>
      </c>
      <c r="C11">
        <f>'Ritter transition probs'!Q13</f>
        <v>0.35151033333333331</v>
      </c>
      <c r="D11">
        <f>'Ritter transition probs'!R13</f>
        <v>1.5519900000000001E-2</v>
      </c>
      <c r="E11">
        <f>'Ritter transition probs'!S13</f>
        <v>0.29077526666666664</v>
      </c>
      <c r="F11">
        <f>'Ritter transition probs'!T13</f>
        <v>4.1202866666666671E-2</v>
      </c>
      <c r="G11">
        <f>'Ritter transition probs'!U13</f>
        <v>5.1826666666666667E-2</v>
      </c>
    </row>
    <row r="12" spans="1:7" x14ac:dyDescent="0.25">
      <c r="A12" s="2">
        <f t="shared" si="0"/>
        <v>25538</v>
      </c>
      <c r="B12">
        <f>'Ritter transition probs'!P14</f>
        <v>1.2100100000000001E-2</v>
      </c>
      <c r="C12">
        <f>'Ritter transition probs'!Q14</f>
        <v>0.31031616666666667</v>
      </c>
      <c r="D12">
        <f>'Ritter transition probs'!R14</f>
        <v>1.7357633333333334E-2</v>
      </c>
      <c r="E12">
        <f>'Ritter transition probs'!S14</f>
        <v>0.27292983333333332</v>
      </c>
      <c r="F12">
        <f>'Ritter transition probs'!T14</f>
        <v>3.7398600000000004E-2</v>
      </c>
      <c r="G12">
        <f>'Ritter transition probs'!U14</f>
        <v>4.8782666666666669E-2</v>
      </c>
    </row>
    <row r="13" spans="1:7" x14ac:dyDescent="0.25">
      <c r="A13" s="2">
        <f t="shared" si="0"/>
        <v>25628</v>
      </c>
      <c r="B13">
        <f>'Ritter transition probs'!P15</f>
        <v>1.28837E-2</v>
      </c>
      <c r="C13">
        <f>'Ritter transition probs'!Q15</f>
        <v>0.30526566666666666</v>
      </c>
      <c r="D13">
        <f>'Ritter transition probs'!R15</f>
        <v>1.8502833333333333E-2</v>
      </c>
      <c r="E13">
        <f>'Ritter transition probs'!S15</f>
        <v>0.24800029999999998</v>
      </c>
      <c r="F13">
        <f>'Ritter transition probs'!T15</f>
        <v>3.5654633333333331E-2</v>
      </c>
      <c r="G13">
        <f>'Ritter transition probs'!U15</f>
        <v>4.8095499999999992E-2</v>
      </c>
    </row>
    <row r="14" spans="1:7" x14ac:dyDescent="0.25">
      <c r="A14" s="2">
        <f t="shared" si="0"/>
        <v>25720</v>
      </c>
      <c r="B14">
        <f>'Ritter transition probs'!P16</f>
        <v>1.4452899999999999E-2</v>
      </c>
      <c r="C14">
        <f>'Ritter transition probs'!Q16</f>
        <v>0.31203140000000001</v>
      </c>
      <c r="D14">
        <f>'Ritter transition probs'!R16</f>
        <v>1.9638033333333332E-2</v>
      </c>
      <c r="E14">
        <f>'Ritter transition probs'!S16</f>
        <v>0.24588570000000001</v>
      </c>
      <c r="F14">
        <f>'Ritter transition probs'!T16</f>
        <v>3.8040433333333332E-2</v>
      </c>
      <c r="G14">
        <f>'Ritter transition probs'!U16</f>
        <v>4.9153133333333328E-2</v>
      </c>
    </row>
    <row r="15" spans="1:7" x14ac:dyDescent="0.25">
      <c r="A15" s="2">
        <f t="shared" si="0"/>
        <v>25812</v>
      </c>
      <c r="B15">
        <f>'Ritter transition probs'!P17</f>
        <v>1.5573833333333334E-2</v>
      </c>
      <c r="C15">
        <f>'Ritter transition probs'!Q17</f>
        <v>0.31100793333333338</v>
      </c>
      <c r="D15">
        <f>'Ritter transition probs'!R17</f>
        <v>2.0845066666666665E-2</v>
      </c>
      <c r="E15">
        <f>'Ritter transition probs'!S17</f>
        <v>0.22057673333333336</v>
      </c>
      <c r="F15">
        <f>'Ritter transition probs'!T17</f>
        <v>3.8214599999999994E-2</v>
      </c>
      <c r="G15">
        <f>'Ritter transition probs'!U17</f>
        <v>4.9554833333333333E-2</v>
      </c>
    </row>
    <row r="16" spans="1:7" x14ac:dyDescent="0.25">
      <c r="A16" s="2">
        <f t="shared" si="0"/>
        <v>25903</v>
      </c>
      <c r="B16">
        <f>'Ritter transition probs'!P18</f>
        <v>1.4108533333333333E-2</v>
      </c>
      <c r="C16">
        <f>'Ritter transition probs'!Q18</f>
        <v>0.26988683333333335</v>
      </c>
      <c r="D16">
        <f>'Ritter transition probs'!R18</f>
        <v>2.0614200000000003E-2</v>
      </c>
      <c r="E16">
        <f>'Ritter transition probs'!S18</f>
        <v>0.22918563333333333</v>
      </c>
      <c r="F16">
        <f>'Ritter transition probs'!T18</f>
        <v>3.4665533333333332E-2</v>
      </c>
      <c r="G16">
        <f>'Ritter transition probs'!U18</f>
        <v>4.2868999999999997E-2</v>
      </c>
    </row>
    <row r="17" spans="1:7" x14ac:dyDescent="0.25">
      <c r="A17" s="2">
        <f t="shared" si="0"/>
        <v>25993</v>
      </c>
      <c r="B17">
        <f>'Ritter transition probs'!P19</f>
        <v>1.3430333333333334E-2</v>
      </c>
      <c r="C17">
        <f>'Ritter transition probs'!Q19</f>
        <v>0.27144339999999995</v>
      </c>
      <c r="D17">
        <f>'Ritter transition probs'!R19</f>
        <v>2.16908E-2</v>
      </c>
      <c r="E17">
        <f>'Ritter transition probs'!S19</f>
        <v>0.24213683333333336</v>
      </c>
      <c r="F17">
        <f>'Ritter transition probs'!T19</f>
        <v>3.571563333333333E-2</v>
      </c>
      <c r="G17">
        <f>'Ritter transition probs'!U19</f>
        <v>4.6292666666666669E-2</v>
      </c>
    </row>
    <row r="18" spans="1:7" x14ac:dyDescent="0.25">
      <c r="A18" s="2">
        <f t="shared" si="0"/>
        <v>26085</v>
      </c>
      <c r="B18">
        <f>'Ritter transition probs'!P20</f>
        <v>1.4534266666666665E-2</v>
      </c>
      <c r="C18">
        <f>'Ritter transition probs'!Q20</f>
        <v>0.28507243333333332</v>
      </c>
      <c r="D18">
        <f>'Ritter transition probs'!R20</f>
        <v>2.2989300000000001E-2</v>
      </c>
      <c r="E18">
        <f>'Ritter transition probs'!S20</f>
        <v>0.24939056666666667</v>
      </c>
      <c r="F18">
        <f>'Ritter transition probs'!T20</f>
        <v>3.7521333333333337E-2</v>
      </c>
      <c r="G18">
        <f>'Ritter transition probs'!U20</f>
        <v>4.9578166666666666E-2</v>
      </c>
    </row>
    <row r="19" spans="1:7" x14ac:dyDescent="0.25">
      <c r="A19" s="2">
        <f t="shared" si="0"/>
        <v>26177</v>
      </c>
      <c r="B19">
        <f>'Ritter transition probs'!P21</f>
        <v>1.3265833333333333E-2</v>
      </c>
      <c r="C19">
        <f>'Ritter transition probs'!Q21</f>
        <v>0.27346580000000004</v>
      </c>
      <c r="D19">
        <f>'Ritter transition probs'!R21</f>
        <v>2.1717133333333333E-2</v>
      </c>
      <c r="E19">
        <f>'Ritter transition probs'!S21</f>
        <v>0.24340103333333332</v>
      </c>
      <c r="F19">
        <f>'Ritter transition probs'!T21</f>
        <v>3.4555000000000002E-2</v>
      </c>
      <c r="G19">
        <f>'Ritter transition probs'!U21</f>
        <v>4.6814799999999997E-2</v>
      </c>
    </row>
    <row r="20" spans="1:7" x14ac:dyDescent="0.25">
      <c r="A20" s="2">
        <f t="shared" si="0"/>
        <v>26268</v>
      </c>
      <c r="B20">
        <f>'Ritter transition probs'!P22</f>
        <v>1.3659066666666666E-2</v>
      </c>
      <c r="C20">
        <f>'Ritter transition probs'!Q22</f>
        <v>0.28309383333333332</v>
      </c>
      <c r="D20">
        <f>'Ritter transition probs'!R22</f>
        <v>2.2117766666666667E-2</v>
      </c>
      <c r="E20">
        <f>'Ritter transition probs'!S22</f>
        <v>0.24171333333333334</v>
      </c>
      <c r="F20">
        <f>'Ritter transition probs'!T22</f>
        <v>3.5433566666666666E-2</v>
      </c>
      <c r="G20">
        <f>'Ritter transition probs'!U22</f>
        <v>4.7120233333333338E-2</v>
      </c>
    </row>
    <row r="21" spans="1:7" x14ac:dyDescent="0.25">
      <c r="A21" s="2">
        <f t="shared" si="0"/>
        <v>26359</v>
      </c>
      <c r="B21">
        <f>'Ritter transition probs'!P23</f>
        <v>1.30904E-2</v>
      </c>
      <c r="C21">
        <f>'Ritter transition probs'!Q23</f>
        <v>0.28578889999999996</v>
      </c>
      <c r="D21">
        <f>'Ritter transition probs'!R23</f>
        <v>2.1753333333333333E-2</v>
      </c>
      <c r="E21">
        <f>'Ritter transition probs'!S23</f>
        <v>0.24036203333333331</v>
      </c>
      <c r="F21">
        <f>'Ritter transition probs'!T23</f>
        <v>3.5889533333333334E-2</v>
      </c>
      <c r="G21">
        <f>'Ritter transition probs'!U23</f>
        <v>4.7076633333333333E-2</v>
      </c>
    </row>
    <row r="22" spans="1:7" x14ac:dyDescent="0.25">
      <c r="A22" s="2">
        <f t="shared" si="0"/>
        <v>26451</v>
      </c>
      <c r="B22">
        <f>'Ritter transition probs'!P24</f>
        <v>1.3767800000000002E-2</v>
      </c>
      <c r="C22">
        <f>'Ritter transition probs'!Q24</f>
        <v>0.29070230000000002</v>
      </c>
      <c r="D22">
        <f>'Ritter transition probs'!R24</f>
        <v>2.1541400000000002E-2</v>
      </c>
      <c r="E22">
        <f>'Ritter transition probs'!S24</f>
        <v>0.24053663333333333</v>
      </c>
      <c r="F22">
        <f>'Ritter transition probs'!T24</f>
        <v>3.6327966666666663E-2</v>
      </c>
      <c r="G22">
        <f>'Ritter transition probs'!U24</f>
        <v>4.8081433333333333E-2</v>
      </c>
    </row>
    <row r="23" spans="1:7" x14ac:dyDescent="0.25">
      <c r="A23" s="2">
        <f t="shared" si="0"/>
        <v>26543</v>
      </c>
      <c r="B23">
        <f>'Ritter transition probs'!P25</f>
        <v>1.2365266666666666E-2</v>
      </c>
      <c r="C23">
        <f>'Ritter transition probs'!Q25</f>
        <v>0.29843733333333328</v>
      </c>
      <c r="D23">
        <f>'Ritter transition probs'!R25</f>
        <v>2.0734100000000002E-2</v>
      </c>
      <c r="E23">
        <f>'Ritter transition probs'!S25</f>
        <v>0.25203339999999996</v>
      </c>
      <c r="F23">
        <f>'Ritter transition probs'!T25</f>
        <v>3.6576333333333336E-2</v>
      </c>
      <c r="G23">
        <f>'Ritter transition probs'!U25</f>
        <v>4.8289133333333324E-2</v>
      </c>
    </row>
    <row r="24" spans="1:7" x14ac:dyDescent="0.25">
      <c r="A24" s="2">
        <f t="shared" si="0"/>
        <v>26634</v>
      </c>
      <c r="B24">
        <f>'Ritter transition probs'!P26</f>
        <v>1.26769E-2</v>
      </c>
      <c r="C24">
        <f>'Ritter transition probs'!Q26</f>
        <v>0.29643783333333334</v>
      </c>
      <c r="D24">
        <f>'Ritter transition probs'!R26</f>
        <v>2.0397800000000001E-2</v>
      </c>
      <c r="E24">
        <f>'Ritter transition probs'!S26</f>
        <v>0.27246793333333336</v>
      </c>
      <c r="F24">
        <f>'Ritter transition probs'!T26</f>
        <v>3.6675933333333334E-2</v>
      </c>
      <c r="G24">
        <f>'Ritter transition probs'!U26</f>
        <v>4.8511166666666668E-2</v>
      </c>
    </row>
    <row r="25" spans="1:7" x14ac:dyDescent="0.25">
      <c r="A25" s="2">
        <f t="shared" si="0"/>
        <v>26724</v>
      </c>
      <c r="B25">
        <f>'Ritter transition probs'!P27</f>
        <v>1.1997866666666667E-2</v>
      </c>
      <c r="C25">
        <f>'Ritter transition probs'!Q27</f>
        <v>0.29288979999999998</v>
      </c>
      <c r="D25">
        <f>'Ritter transition probs'!R27</f>
        <v>2.0820766666666667E-2</v>
      </c>
      <c r="E25">
        <f>'Ritter transition probs'!S27</f>
        <v>0.2703373</v>
      </c>
      <c r="F25">
        <f>'Ritter transition probs'!T27</f>
        <v>3.6982633333333334E-2</v>
      </c>
      <c r="G25">
        <f>'Ritter transition probs'!U27</f>
        <v>5.0076966666666667E-2</v>
      </c>
    </row>
    <row r="26" spans="1:7" x14ac:dyDescent="0.25">
      <c r="A26" s="2">
        <f t="shared" si="0"/>
        <v>26816</v>
      </c>
      <c r="B26">
        <f>'Ritter transition probs'!P28</f>
        <v>1.1761633333333334E-2</v>
      </c>
      <c r="C26">
        <f>'Ritter transition probs'!Q28</f>
        <v>0.31004663333333332</v>
      </c>
      <c r="D26">
        <f>'Ritter transition probs'!R28</f>
        <v>2.0693799999999998E-2</v>
      </c>
      <c r="E26">
        <f>'Ritter transition probs'!S28</f>
        <v>0.26552376666666666</v>
      </c>
      <c r="F26">
        <f>'Ritter transition probs'!T28</f>
        <v>3.8170966666666667E-2</v>
      </c>
      <c r="G26">
        <f>'Ritter transition probs'!U28</f>
        <v>4.9200500000000001E-2</v>
      </c>
    </row>
    <row r="27" spans="1:7" x14ac:dyDescent="0.25">
      <c r="A27" s="2">
        <f t="shared" si="0"/>
        <v>26908</v>
      </c>
      <c r="B27">
        <f>'Ritter transition probs'!P29</f>
        <v>1.2213399999999999E-2</v>
      </c>
      <c r="C27">
        <f>'Ritter transition probs'!Q29</f>
        <v>0.31865840000000001</v>
      </c>
      <c r="D27">
        <f>'Ritter transition probs'!R29</f>
        <v>2.0488000000000003E-2</v>
      </c>
      <c r="E27">
        <f>'Ritter transition probs'!S29</f>
        <v>0.26063400000000003</v>
      </c>
      <c r="F27">
        <f>'Ritter transition probs'!T29</f>
        <v>3.6150633333333335E-2</v>
      </c>
      <c r="G27">
        <f>'Ritter transition probs'!U29</f>
        <v>5.1617533333333333E-2</v>
      </c>
    </row>
    <row r="28" spans="1:7" x14ac:dyDescent="0.25">
      <c r="A28" s="2">
        <f t="shared" si="0"/>
        <v>26999</v>
      </c>
      <c r="B28">
        <f>'Ritter transition probs'!P30</f>
        <v>1.3962466666666666E-2</v>
      </c>
      <c r="C28">
        <f>'Ritter transition probs'!Q30</f>
        <v>0.31220373333333334</v>
      </c>
      <c r="D28">
        <f>'Ritter transition probs'!R30</f>
        <v>2.0081499999999999E-2</v>
      </c>
      <c r="E28">
        <f>'Ritter transition probs'!S30</f>
        <v>0.24125943333333333</v>
      </c>
      <c r="F28">
        <f>'Ritter transition probs'!T30</f>
        <v>3.5267700000000006E-2</v>
      </c>
      <c r="G28">
        <f>'Ritter transition probs'!U30</f>
        <v>4.9235133333333327E-2</v>
      </c>
    </row>
    <row r="29" spans="1:7" x14ac:dyDescent="0.25">
      <c r="A29" s="2">
        <f t="shared" si="0"/>
        <v>27089</v>
      </c>
      <c r="B29">
        <f>'Ritter transition probs'!P31</f>
        <v>1.2903633333333333E-2</v>
      </c>
      <c r="C29">
        <f>'Ritter transition probs'!Q31</f>
        <v>0.29908153333333332</v>
      </c>
      <c r="D29">
        <f>'Ritter transition probs'!R31</f>
        <v>2.13887E-2</v>
      </c>
      <c r="E29">
        <f>'Ritter transition probs'!S31</f>
        <v>0.25440740000000001</v>
      </c>
      <c r="F29">
        <f>'Ritter transition probs'!T31</f>
        <v>3.7026200000000002E-2</v>
      </c>
      <c r="G29">
        <f>'Ritter transition probs'!U31</f>
        <v>4.9749933333333329E-2</v>
      </c>
    </row>
    <row r="30" spans="1:7" x14ac:dyDescent="0.25">
      <c r="A30" s="2">
        <f t="shared" si="0"/>
        <v>27181</v>
      </c>
      <c r="B30">
        <f>'Ritter transition probs'!P32</f>
        <v>1.4129733333333333E-2</v>
      </c>
      <c r="C30">
        <f>'Ritter transition probs'!Q32</f>
        <v>0.29710273333333331</v>
      </c>
      <c r="D30">
        <f>'Ritter transition probs'!R32</f>
        <v>2.3499799999999998E-2</v>
      </c>
      <c r="E30">
        <f>'Ritter transition probs'!S32</f>
        <v>0.23943079999999997</v>
      </c>
      <c r="F30">
        <f>'Ritter transition probs'!T32</f>
        <v>3.5744400000000003E-2</v>
      </c>
      <c r="G30">
        <f>'Ritter transition probs'!U32</f>
        <v>4.8357700000000003E-2</v>
      </c>
    </row>
    <row r="31" spans="1:7" x14ac:dyDescent="0.25">
      <c r="A31" s="2">
        <f t="shared" si="0"/>
        <v>27273</v>
      </c>
      <c r="B31">
        <f>'Ritter transition probs'!P33</f>
        <v>1.8444199999999997E-2</v>
      </c>
      <c r="C31">
        <f>'Ritter transition probs'!Q33</f>
        <v>0.27410570000000001</v>
      </c>
      <c r="D31">
        <f>'Ritter transition probs'!R33</f>
        <v>2.4302100000000004E-2</v>
      </c>
      <c r="E31">
        <f>'Ritter transition probs'!S33</f>
        <v>0.23391289999999998</v>
      </c>
      <c r="F31">
        <f>'Ritter transition probs'!T33</f>
        <v>3.5517099999999996E-2</v>
      </c>
      <c r="G31">
        <f>'Ritter transition probs'!U33</f>
        <v>4.55442E-2</v>
      </c>
    </row>
    <row r="32" spans="1:7" x14ac:dyDescent="0.25">
      <c r="A32" s="2">
        <f t="shared" si="0"/>
        <v>27364</v>
      </c>
      <c r="B32">
        <f>'Ritter transition probs'!P34</f>
        <v>2.1518433333333333E-2</v>
      </c>
      <c r="C32">
        <f>'Ritter transition probs'!Q34</f>
        <v>0.23795740000000001</v>
      </c>
      <c r="D32">
        <f>'Ritter transition probs'!R34</f>
        <v>2.6043899999999998E-2</v>
      </c>
      <c r="E32">
        <f>'Ritter transition probs'!S34</f>
        <v>0.20300526666666666</v>
      </c>
      <c r="F32">
        <f>'Ritter transition probs'!T34</f>
        <v>3.3883999999999997E-2</v>
      </c>
      <c r="G32">
        <f>'Ritter transition probs'!U34</f>
        <v>4.2042166666666658E-2</v>
      </c>
    </row>
    <row r="33" spans="1:7" x14ac:dyDescent="0.25">
      <c r="A33" s="2">
        <f t="shared" si="0"/>
        <v>27454</v>
      </c>
      <c r="B33">
        <f>'Ritter transition probs'!P35</f>
        <v>1.8693500000000002E-2</v>
      </c>
      <c r="C33">
        <f>'Ritter transition probs'!Q35</f>
        <v>0.22371583333333334</v>
      </c>
      <c r="D33">
        <f>'Ritter transition probs'!R35</f>
        <v>2.6266766666666663E-2</v>
      </c>
      <c r="E33">
        <f>'Ritter transition probs'!S35</f>
        <v>0.19492136666666668</v>
      </c>
      <c r="F33">
        <f>'Ritter transition probs'!T35</f>
        <v>3.3546300000000001E-2</v>
      </c>
      <c r="G33">
        <f>'Ritter transition probs'!U35</f>
        <v>4.3920566666666661E-2</v>
      </c>
    </row>
    <row r="34" spans="1:7" x14ac:dyDescent="0.25">
      <c r="A34" s="2">
        <f t="shared" si="0"/>
        <v>27546</v>
      </c>
      <c r="B34">
        <f>'Ritter transition probs'!P36</f>
        <v>1.78444E-2</v>
      </c>
      <c r="C34">
        <f>'Ritter transition probs'!Q36</f>
        <v>0.23954663333333334</v>
      </c>
      <c r="D34">
        <f>'Ritter transition probs'!R36</f>
        <v>2.72448E-2</v>
      </c>
      <c r="E34">
        <f>'Ritter transition probs'!S36</f>
        <v>0.20113463333333334</v>
      </c>
      <c r="F34">
        <f>'Ritter transition probs'!T36</f>
        <v>3.4688366666666665E-2</v>
      </c>
      <c r="G34">
        <f>'Ritter transition probs'!U36</f>
        <v>4.6031633333333329E-2</v>
      </c>
    </row>
    <row r="35" spans="1:7" x14ac:dyDescent="0.25">
      <c r="A35" s="2">
        <f t="shared" si="0"/>
        <v>27638</v>
      </c>
      <c r="B35">
        <f>'Ritter transition probs'!P37</f>
        <v>1.7050733333333335E-2</v>
      </c>
      <c r="C35">
        <f>'Ritter transition probs'!Q37</f>
        <v>0.22835096666666668</v>
      </c>
      <c r="D35">
        <f>'Ritter transition probs'!R37</f>
        <v>2.7939733333333331E-2</v>
      </c>
      <c r="E35">
        <f>'Ritter transition probs'!S37</f>
        <v>0.21421143333333334</v>
      </c>
      <c r="F35">
        <f>'Ritter transition probs'!T37</f>
        <v>3.5066066666666666E-2</v>
      </c>
      <c r="G35">
        <f>'Ritter transition probs'!U37</f>
        <v>4.4081433333333336E-2</v>
      </c>
    </row>
    <row r="36" spans="1:7" x14ac:dyDescent="0.25">
      <c r="A36" s="2">
        <f t="shared" si="0"/>
        <v>27729</v>
      </c>
      <c r="B36">
        <f>'Ritter transition probs'!P38</f>
        <v>1.5124833333333332E-2</v>
      </c>
      <c r="C36">
        <f>'Ritter transition probs'!Q38</f>
        <v>0.22827526666666667</v>
      </c>
      <c r="D36">
        <f>'Ritter transition probs'!R38</f>
        <v>2.6827299999999998E-2</v>
      </c>
      <c r="E36">
        <f>'Ritter transition probs'!S38</f>
        <v>0.2024832</v>
      </c>
      <c r="F36">
        <f>'Ritter transition probs'!T38</f>
        <v>3.3516466666666668E-2</v>
      </c>
      <c r="G36">
        <f>'Ritter transition probs'!U38</f>
        <v>4.3452333333333336E-2</v>
      </c>
    </row>
    <row r="37" spans="1:7" x14ac:dyDescent="0.25">
      <c r="A37" s="2">
        <f t="shared" si="0"/>
        <v>27820</v>
      </c>
      <c r="B37">
        <f>'Ritter transition probs'!P39</f>
        <v>1.5261499999999999E-2</v>
      </c>
      <c r="C37">
        <f>'Ritter transition probs'!Q39</f>
        <v>0.24066373333333332</v>
      </c>
      <c r="D37">
        <f>'Ritter transition probs'!R39</f>
        <v>2.6800933333333336E-2</v>
      </c>
      <c r="E37">
        <f>'Ritter transition probs'!S39</f>
        <v>0.21184829999999999</v>
      </c>
      <c r="F37">
        <f>'Ritter transition probs'!T39</f>
        <v>3.4443000000000001E-2</v>
      </c>
      <c r="G37">
        <f>'Ritter transition probs'!U39</f>
        <v>4.681953333333333E-2</v>
      </c>
    </row>
    <row r="38" spans="1:7" x14ac:dyDescent="0.25">
      <c r="A38" s="2">
        <f t="shared" si="0"/>
        <v>27912</v>
      </c>
      <c r="B38">
        <f>'Ritter transition probs'!P40</f>
        <v>1.6468899999999998E-2</v>
      </c>
      <c r="C38">
        <f>'Ritter transition probs'!Q40</f>
        <v>0.2548148666666667</v>
      </c>
      <c r="D38">
        <f>'Ritter transition probs'!R40</f>
        <v>2.7886533333333335E-2</v>
      </c>
      <c r="E38">
        <f>'Ritter transition probs'!S40</f>
        <v>0.21534833333333334</v>
      </c>
      <c r="F38">
        <f>'Ritter transition probs'!T40</f>
        <v>3.5679700000000002E-2</v>
      </c>
      <c r="G38">
        <f>'Ritter transition probs'!U40</f>
        <v>4.8328433333333337E-2</v>
      </c>
    </row>
    <row r="39" spans="1:7" x14ac:dyDescent="0.25">
      <c r="A39" s="2">
        <f t="shared" si="0"/>
        <v>28004</v>
      </c>
      <c r="B39">
        <f>'Ritter transition probs'!P41</f>
        <v>1.6550466666666666E-2</v>
      </c>
      <c r="C39">
        <f>'Ritter transition probs'!Q41</f>
        <v>0.23986860000000002</v>
      </c>
      <c r="D39">
        <f>'Ritter transition probs'!R41</f>
        <v>2.6978666666666668E-2</v>
      </c>
      <c r="E39">
        <f>'Ritter transition probs'!S41</f>
        <v>0.21193116666666667</v>
      </c>
      <c r="F39">
        <f>'Ritter transition probs'!T41</f>
        <v>3.2992899999999999E-2</v>
      </c>
      <c r="G39">
        <f>'Ritter transition probs'!U41</f>
        <v>4.6272866666666669E-2</v>
      </c>
    </row>
    <row r="40" spans="1:7" x14ac:dyDescent="0.25">
      <c r="A40" s="2">
        <f t="shared" si="0"/>
        <v>28095</v>
      </c>
      <c r="B40">
        <f>'Ritter transition probs'!P42</f>
        <v>1.6122299999999999E-2</v>
      </c>
      <c r="C40">
        <f>'Ritter transition probs'!Q42</f>
        <v>0.24499366666666667</v>
      </c>
      <c r="D40">
        <f>'Ritter transition probs'!R42</f>
        <v>2.6829166666666668E-2</v>
      </c>
      <c r="E40">
        <f>'Ritter transition probs'!S42</f>
        <v>0.20427606666666667</v>
      </c>
      <c r="F40">
        <f>'Ritter transition probs'!T42</f>
        <v>3.2261033333333335E-2</v>
      </c>
      <c r="G40">
        <f>'Ritter transition probs'!U42</f>
        <v>4.3858633333333334E-2</v>
      </c>
    </row>
    <row r="41" spans="1:7" x14ac:dyDescent="0.25">
      <c r="A41" s="2">
        <f t="shared" si="0"/>
        <v>28185</v>
      </c>
      <c r="B41">
        <f>'Ritter transition probs'!P43</f>
        <v>1.5198799999999998E-2</v>
      </c>
      <c r="C41">
        <f>'Ritter transition probs'!Q43</f>
        <v>0.26541673333333332</v>
      </c>
      <c r="D41">
        <f>'Ritter transition probs'!R43</f>
        <v>2.7233833333333332E-2</v>
      </c>
      <c r="E41">
        <f>'Ritter transition probs'!S43</f>
        <v>0.22789053333333334</v>
      </c>
      <c r="F41">
        <f>'Ritter transition probs'!T43</f>
        <v>3.44596E-2</v>
      </c>
      <c r="G41">
        <f>'Ritter transition probs'!U43</f>
        <v>4.8540233333333328E-2</v>
      </c>
    </row>
    <row r="42" spans="1:7" x14ac:dyDescent="0.25">
      <c r="A42" s="2">
        <f t="shared" si="0"/>
        <v>28277</v>
      </c>
      <c r="B42">
        <f>'Ritter transition probs'!P44</f>
        <v>1.5814400000000003E-2</v>
      </c>
      <c r="C42">
        <f>'Ritter transition probs'!Q44</f>
        <v>0.2683512666666667</v>
      </c>
      <c r="D42">
        <f>'Ritter transition probs'!R44</f>
        <v>2.5453266666666668E-2</v>
      </c>
      <c r="E42">
        <f>'Ritter transition probs'!S44</f>
        <v>0.22348523333333334</v>
      </c>
      <c r="F42">
        <f>'Ritter transition probs'!T44</f>
        <v>3.3578233333333339E-2</v>
      </c>
      <c r="G42">
        <f>'Ritter transition probs'!U44</f>
        <v>4.49916E-2</v>
      </c>
    </row>
    <row r="43" spans="1:7" x14ac:dyDescent="0.25">
      <c r="A43" s="2">
        <f t="shared" si="0"/>
        <v>28369</v>
      </c>
      <c r="B43">
        <f>'Ritter transition probs'!P45</f>
        <v>1.5042566666666667E-2</v>
      </c>
      <c r="C43">
        <f>'Ritter transition probs'!Q45</f>
        <v>0.26470816666666663</v>
      </c>
      <c r="D43">
        <f>'Ritter transition probs'!R45</f>
        <v>2.5394266666666665E-2</v>
      </c>
      <c r="E43">
        <f>'Ritter transition probs'!S45</f>
        <v>0.22307913333333337</v>
      </c>
      <c r="F43">
        <f>'Ritter transition probs'!T45</f>
        <v>3.2468133333333336E-2</v>
      </c>
      <c r="G43">
        <f>'Ritter transition probs'!U45</f>
        <v>4.6634600000000005E-2</v>
      </c>
    </row>
    <row r="44" spans="1:7" x14ac:dyDescent="0.25">
      <c r="A44" s="2">
        <f t="shared" si="0"/>
        <v>28460</v>
      </c>
      <c r="B44">
        <f>'Ritter transition probs'!P46</f>
        <v>1.4563266666666666E-2</v>
      </c>
      <c r="C44">
        <f>'Ritter transition probs'!Q46</f>
        <v>0.27308899999999997</v>
      </c>
      <c r="D44">
        <f>'Ritter transition probs'!R46</f>
        <v>2.5159533333333334E-2</v>
      </c>
      <c r="E44">
        <f>'Ritter transition probs'!S46</f>
        <v>0.22942223333333334</v>
      </c>
      <c r="F44">
        <f>'Ritter transition probs'!T46</f>
        <v>3.4160733333333332E-2</v>
      </c>
      <c r="G44">
        <f>'Ritter transition probs'!U46</f>
        <v>4.7066433333333345E-2</v>
      </c>
    </row>
    <row r="45" spans="1:7" x14ac:dyDescent="0.25">
      <c r="A45" s="2">
        <f t="shared" si="0"/>
        <v>28550</v>
      </c>
      <c r="B45">
        <f>'Ritter transition probs'!P47</f>
        <v>1.3744433333333334E-2</v>
      </c>
      <c r="C45">
        <f>'Ritter transition probs'!Q47</f>
        <v>0.29500729999999997</v>
      </c>
      <c r="D45">
        <f>'Ritter transition probs'!R47</f>
        <v>2.5079599999999997E-2</v>
      </c>
      <c r="E45">
        <f>'Ritter transition probs'!S47</f>
        <v>0.23291166666666666</v>
      </c>
      <c r="F45">
        <f>'Ritter transition probs'!T47</f>
        <v>3.2312666666666663E-2</v>
      </c>
      <c r="G45">
        <f>'Ritter transition probs'!U47</f>
        <v>4.9511966666666664E-2</v>
      </c>
    </row>
    <row r="46" spans="1:7" x14ac:dyDescent="0.25">
      <c r="A46" s="2">
        <f t="shared" si="0"/>
        <v>28642</v>
      </c>
      <c r="B46">
        <f>'Ritter transition probs'!P48</f>
        <v>1.51808E-2</v>
      </c>
      <c r="C46">
        <f>'Ritter transition probs'!Q48</f>
        <v>0.28444406666666672</v>
      </c>
      <c r="D46">
        <f>'Ritter transition probs'!R48</f>
        <v>2.4552866666666669E-2</v>
      </c>
      <c r="E46">
        <f>'Ritter transition probs'!S48</f>
        <v>0.23720096666666668</v>
      </c>
      <c r="F46">
        <f>'Ritter transition probs'!T48</f>
        <v>3.363943333333333E-2</v>
      </c>
      <c r="G46">
        <f>'Ritter transition probs'!U48</f>
        <v>4.9312966666666673E-2</v>
      </c>
    </row>
    <row r="47" spans="1:7" x14ac:dyDescent="0.25">
      <c r="A47" s="2">
        <f t="shared" si="0"/>
        <v>28734</v>
      </c>
      <c r="B47">
        <f>'Ritter transition probs'!P49</f>
        <v>1.3886033333333332E-2</v>
      </c>
      <c r="C47">
        <f>'Ritter transition probs'!Q49</f>
        <v>0.27905249999999998</v>
      </c>
      <c r="D47">
        <f>'Ritter transition probs'!R49</f>
        <v>2.4661366666666667E-2</v>
      </c>
      <c r="E47">
        <f>'Ritter transition probs'!S49</f>
        <v>0.22751803333333334</v>
      </c>
      <c r="F47">
        <f>'Ritter transition probs'!T49</f>
        <v>3.2852266666666664E-2</v>
      </c>
      <c r="G47">
        <f>'Ritter transition probs'!U49</f>
        <v>4.6808666666666665E-2</v>
      </c>
    </row>
    <row r="48" spans="1:7" x14ac:dyDescent="0.25">
      <c r="A48" s="2">
        <f t="shared" si="0"/>
        <v>28825</v>
      </c>
      <c r="B48">
        <f>'Ritter transition probs'!P50</f>
        <v>1.3790266666666667E-2</v>
      </c>
      <c r="C48">
        <f>'Ritter transition probs'!Q50</f>
        <v>0.28398363333333337</v>
      </c>
      <c r="D48">
        <f>'Ritter transition probs'!R50</f>
        <v>2.3891233333333334E-2</v>
      </c>
      <c r="E48">
        <f>'Ritter transition probs'!S50</f>
        <v>0.22959850000000001</v>
      </c>
      <c r="F48">
        <f>'Ritter transition probs'!T50</f>
        <v>3.3775366666666667E-2</v>
      </c>
      <c r="G48">
        <f>'Ritter transition probs'!U50</f>
        <v>4.9020000000000001E-2</v>
      </c>
    </row>
    <row r="49" spans="1:7" x14ac:dyDescent="0.25">
      <c r="A49" s="2">
        <f t="shared" si="0"/>
        <v>28915</v>
      </c>
      <c r="B49">
        <f>'Ritter transition probs'!P51</f>
        <v>1.4514966666666665E-2</v>
      </c>
      <c r="C49">
        <f>'Ritter transition probs'!Q51</f>
        <v>0.29648313333333332</v>
      </c>
      <c r="D49">
        <f>'Ritter transition probs'!R51</f>
        <v>2.3718400000000001E-2</v>
      </c>
      <c r="E49">
        <f>'Ritter transition probs'!S51</f>
        <v>0.23801206666666666</v>
      </c>
      <c r="F49">
        <f>'Ritter transition probs'!T51</f>
        <v>3.4164333333333331E-2</v>
      </c>
      <c r="G49">
        <f>'Ritter transition probs'!U51</f>
        <v>4.9209633333333336E-2</v>
      </c>
    </row>
    <row r="50" spans="1:7" x14ac:dyDescent="0.25">
      <c r="A50" s="2">
        <f t="shared" si="0"/>
        <v>29007</v>
      </c>
      <c r="B50">
        <f>'Ritter transition probs'!P52</f>
        <v>1.4938366666666666E-2</v>
      </c>
      <c r="C50">
        <f>'Ritter transition probs'!Q52</f>
        <v>0.29106033333333331</v>
      </c>
      <c r="D50">
        <f>'Ritter transition probs'!R52</f>
        <v>2.4171866666666667E-2</v>
      </c>
      <c r="E50">
        <f>'Ritter transition probs'!S52</f>
        <v>0.22448576666666667</v>
      </c>
      <c r="F50">
        <f>'Ritter transition probs'!T52</f>
        <v>3.3372000000000006E-2</v>
      </c>
      <c r="G50">
        <f>'Ritter transition probs'!U52</f>
        <v>5.0020700000000001E-2</v>
      </c>
    </row>
    <row r="51" spans="1:7" x14ac:dyDescent="0.25">
      <c r="A51" s="2">
        <f t="shared" si="0"/>
        <v>29099</v>
      </c>
      <c r="B51">
        <f>'Ritter transition probs'!P53</f>
        <v>1.4869066666666667E-2</v>
      </c>
      <c r="C51">
        <f>'Ritter transition probs'!Q53</f>
        <v>0.28234013333333335</v>
      </c>
      <c r="D51">
        <f>'Ritter transition probs'!R53</f>
        <v>2.4520233333333332E-2</v>
      </c>
      <c r="E51">
        <f>'Ritter transition probs'!S53</f>
        <v>0.22099956666666665</v>
      </c>
      <c r="F51">
        <f>'Ritter transition probs'!T53</f>
        <v>3.2737866666666664E-2</v>
      </c>
      <c r="G51">
        <f>'Ritter transition probs'!U53</f>
        <v>4.8599099999999999E-2</v>
      </c>
    </row>
    <row r="52" spans="1:7" x14ac:dyDescent="0.25">
      <c r="A52" s="2">
        <f t="shared" si="0"/>
        <v>29190</v>
      </c>
      <c r="B52">
        <f>'Ritter transition probs'!P54</f>
        <v>1.5599633333333333E-2</v>
      </c>
      <c r="C52">
        <f>'Ritter transition probs'!Q54</f>
        <v>0.26604036666666664</v>
      </c>
      <c r="D52">
        <f>'Ritter transition probs'!R54</f>
        <v>2.41888E-2</v>
      </c>
      <c r="E52">
        <f>'Ritter transition probs'!S54</f>
        <v>0.23446296666666666</v>
      </c>
      <c r="F52">
        <f>'Ritter transition probs'!T54</f>
        <v>3.2951966666666666E-2</v>
      </c>
      <c r="G52">
        <f>'Ritter transition probs'!U54</f>
        <v>4.7495033333333332E-2</v>
      </c>
    </row>
    <row r="53" spans="1:7" x14ac:dyDescent="0.25">
      <c r="A53" s="2">
        <f t="shared" si="0"/>
        <v>29281</v>
      </c>
      <c r="B53">
        <f>'Ritter transition probs'!P55</f>
        <v>1.9691133333333333E-2</v>
      </c>
      <c r="C53">
        <f>'Ritter transition probs'!Q55</f>
        <v>0.2603164</v>
      </c>
      <c r="D53">
        <f>'Ritter transition probs'!R55</f>
        <v>2.6192766666666669E-2</v>
      </c>
      <c r="E53">
        <f>'Ritter transition probs'!S55</f>
        <v>0.20343730000000002</v>
      </c>
      <c r="F53">
        <f>'Ritter transition probs'!T55</f>
        <v>3.1496599999999993E-2</v>
      </c>
      <c r="G53">
        <f>'Ritter transition probs'!U55</f>
        <v>4.552606666666667E-2</v>
      </c>
    </row>
    <row r="54" spans="1:7" x14ac:dyDescent="0.25">
      <c r="A54" s="2">
        <f t="shared" si="0"/>
        <v>29373</v>
      </c>
      <c r="B54">
        <f>'Ritter transition probs'!P56</f>
        <v>1.8265699999999999E-2</v>
      </c>
      <c r="C54">
        <f>'Ritter transition probs'!Q56</f>
        <v>0.26169783333333335</v>
      </c>
      <c r="D54">
        <f>'Ritter transition probs'!R56</f>
        <v>2.63422E-2</v>
      </c>
      <c r="E54">
        <f>'Ritter transition probs'!S56</f>
        <v>0.19763920000000001</v>
      </c>
      <c r="F54">
        <f>'Ritter transition probs'!T56</f>
        <v>3.1328133333333334E-2</v>
      </c>
      <c r="G54">
        <f>'Ritter transition probs'!U56</f>
        <v>4.6878033333333326E-2</v>
      </c>
    </row>
    <row r="55" spans="1:7" x14ac:dyDescent="0.25">
      <c r="A55" s="2">
        <f t="shared" si="0"/>
        <v>29465</v>
      </c>
      <c r="B55">
        <f>'Ritter transition probs'!P57</f>
        <v>1.6921466666666666E-2</v>
      </c>
      <c r="C55">
        <f>'Ritter transition probs'!Q57</f>
        <v>0.26140893333333332</v>
      </c>
      <c r="D55">
        <f>'Ritter transition probs'!R57</f>
        <v>2.7194633333333332E-2</v>
      </c>
      <c r="E55">
        <f>'Ritter transition probs'!S57</f>
        <v>0.19526503333333334</v>
      </c>
      <c r="F55">
        <f>'Ritter transition probs'!T57</f>
        <v>3.2208533333333331E-2</v>
      </c>
      <c r="G55">
        <f>'Ritter transition probs'!U57</f>
        <v>4.6182433333333328E-2</v>
      </c>
    </row>
    <row r="56" spans="1:7" x14ac:dyDescent="0.25">
      <c r="A56" s="2">
        <f t="shared" si="0"/>
        <v>29556</v>
      </c>
      <c r="B56">
        <f>'Ritter transition probs'!P58</f>
        <v>1.65626E-2</v>
      </c>
      <c r="C56">
        <f>'Ritter transition probs'!Q58</f>
        <v>0.24132856666666669</v>
      </c>
      <c r="D56">
        <f>'Ritter transition probs'!R58</f>
        <v>2.7354466666666671E-2</v>
      </c>
      <c r="E56">
        <f>'Ritter transition probs'!S58</f>
        <v>0.20351160000000001</v>
      </c>
      <c r="F56">
        <f>'Ritter transition probs'!T58</f>
        <v>2.9638933333333329E-2</v>
      </c>
      <c r="G56">
        <f>'Ritter transition probs'!U58</f>
        <v>4.3782099999999997E-2</v>
      </c>
    </row>
    <row r="57" spans="1:7" x14ac:dyDescent="0.25">
      <c r="A57" s="2">
        <f t="shared" si="0"/>
        <v>29646</v>
      </c>
      <c r="B57">
        <f>'Ritter transition probs'!P59</f>
        <v>1.70073E-2</v>
      </c>
      <c r="C57">
        <f>'Ritter transition probs'!Q59</f>
        <v>0.25454579999999999</v>
      </c>
      <c r="D57">
        <f>'Ritter transition probs'!R59</f>
        <v>2.6113366666666665E-2</v>
      </c>
      <c r="E57">
        <f>'Ritter transition probs'!S59</f>
        <v>0.2004456</v>
      </c>
      <c r="F57">
        <f>'Ritter transition probs'!T59</f>
        <v>3.1239666666666666E-2</v>
      </c>
      <c r="G57">
        <f>'Ritter transition probs'!U59</f>
        <v>4.5949933333333332E-2</v>
      </c>
    </row>
    <row r="58" spans="1:7" x14ac:dyDescent="0.25">
      <c r="A58" s="2">
        <f t="shared" si="0"/>
        <v>29738</v>
      </c>
      <c r="B58">
        <f>'Ritter transition probs'!P60</f>
        <v>1.7127733333333336E-2</v>
      </c>
      <c r="C58">
        <f>'Ritter transition probs'!Q60</f>
        <v>0.24620909999999999</v>
      </c>
      <c r="D58">
        <f>'Ritter transition probs'!R60</f>
        <v>2.70228E-2</v>
      </c>
      <c r="E58">
        <f>'Ritter transition probs'!S60</f>
        <v>0.21275896666666663</v>
      </c>
      <c r="F58">
        <f>'Ritter transition probs'!T60</f>
        <v>3.1026766666666667E-2</v>
      </c>
      <c r="G58">
        <f>'Ritter transition probs'!U60</f>
        <v>4.4690100000000003E-2</v>
      </c>
    </row>
    <row r="59" spans="1:7" x14ac:dyDescent="0.25">
      <c r="A59" s="2">
        <f t="shared" si="0"/>
        <v>29830</v>
      </c>
      <c r="B59">
        <f>'Ritter transition probs'!P61</f>
        <v>2.14524E-2</v>
      </c>
      <c r="C59">
        <f>'Ritter transition probs'!Q61</f>
        <v>0.2435702333333333</v>
      </c>
      <c r="D59">
        <f>'Ritter transition probs'!R61</f>
        <v>2.9147800000000001E-2</v>
      </c>
      <c r="E59">
        <f>'Ritter transition probs'!S61</f>
        <v>0.19963803333333333</v>
      </c>
      <c r="F59">
        <f>'Ritter transition probs'!T61</f>
        <v>3.0919266666666667E-2</v>
      </c>
      <c r="G59">
        <f>'Ritter transition probs'!U61</f>
        <v>4.3862766666666664E-2</v>
      </c>
    </row>
    <row r="60" spans="1:7" x14ac:dyDescent="0.25">
      <c r="A60" s="2">
        <f t="shared" si="0"/>
        <v>29921</v>
      </c>
      <c r="B60">
        <f>'Ritter transition probs'!P62</f>
        <v>2.004336666666667E-2</v>
      </c>
      <c r="C60">
        <f>'Ritter transition probs'!Q62</f>
        <v>0.22179386666666667</v>
      </c>
      <c r="D60">
        <f>'Ritter transition probs'!R62</f>
        <v>2.9910433333333333E-2</v>
      </c>
      <c r="E60">
        <f>'Ritter transition probs'!S62</f>
        <v>0.19708866666666669</v>
      </c>
      <c r="F60">
        <f>'Ritter transition probs'!T62</f>
        <v>2.9723599999999999E-2</v>
      </c>
      <c r="G60">
        <f>'Ritter transition probs'!U62</f>
        <v>4.2941399999999998E-2</v>
      </c>
    </row>
    <row r="61" spans="1:7" x14ac:dyDescent="0.25">
      <c r="A61" s="2">
        <f t="shared" si="0"/>
        <v>30011</v>
      </c>
      <c r="B61">
        <f>'Ritter transition probs'!P63</f>
        <v>2.1484699999999999E-2</v>
      </c>
      <c r="C61">
        <f>'Ritter transition probs'!Q63</f>
        <v>0.21581516666666664</v>
      </c>
      <c r="D61">
        <f>'Ritter transition probs'!R63</f>
        <v>3.06553E-2</v>
      </c>
      <c r="E61">
        <f>'Ritter transition probs'!S63</f>
        <v>0.18400910000000001</v>
      </c>
      <c r="F61">
        <f>'Ritter transition probs'!T63</f>
        <v>2.8738133333333332E-2</v>
      </c>
      <c r="G61">
        <f>'Ritter transition probs'!U63</f>
        <v>4.1554100000000004E-2</v>
      </c>
    </row>
    <row r="62" spans="1:7" x14ac:dyDescent="0.25">
      <c r="A62" s="2">
        <f t="shared" si="0"/>
        <v>30103</v>
      </c>
      <c r="B62">
        <f>'Ritter transition probs'!P64</f>
        <v>2.2032099999999999E-2</v>
      </c>
      <c r="C62">
        <f>'Ritter transition probs'!Q64</f>
        <v>0.21205383333333336</v>
      </c>
      <c r="D62">
        <f>'Ritter transition probs'!R64</f>
        <v>3.0816133333333332E-2</v>
      </c>
      <c r="E62">
        <f>'Ritter transition probs'!S64</f>
        <v>0.1813989</v>
      </c>
      <c r="F62">
        <f>'Ritter transition probs'!T64</f>
        <v>3.0623533333333331E-2</v>
      </c>
      <c r="G62">
        <f>'Ritter transition probs'!U64</f>
        <v>4.4861866666666667E-2</v>
      </c>
    </row>
    <row r="63" spans="1:7" x14ac:dyDescent="0.25">
      <c r="A63" s="2">
        <f t="shared" si="0"/>
        <v>30195</v>
      </c>
      <c r="B63">
        <f>'Ritter transition probs'!P65</f>
        <v>2.2672033333333331E-2</v>
      </c>
      <c r="C63">
        <f>'Ritter transition probs'!Q65</f>
        <v>0.19212603333333333</v>
      </c>
      <c r="D63">
        <f>'Ritter transition probs'!R65</f>
        <v>3.3035500000000002E-2</v>
      </c>
      <c r="E63">
        <f>'Ritter transition probs'!S65</f>
        <v>0.17169206666666667</v>
      </c>
      <c r="F63">
        <f>'Ritter transition probs'!T65</f>
        <v>2.9012033333333336E-2</v>
      </c>
      <c r="G63">
        <f>'Ritter transition probs'!U65</f>
        <v>3.9681666666666664E-2</v>
      </c>
    </row>
    <row r="64" spans="1:7" x14ac:dyDescent="0.25">
      <c r="A64" s="2">
        <f t="shared" si="0"/>
        <v>30286</v>
      </c>
      <c r="B64">
        <f>'Ritter transition probs'!P66</f>
        <v>1.9149633333333336E-2</v>
      </c>
      <c r="C64">
        <f>'Ritter transition probs'!Q66</f>
        <v>0.18887406666666665</v>
      </c>
      <c r="D64">
        <f>'Ritter transition probs'!R66</f>
        <v>2.9178533333333329E-2</v>
      </c>
      <c r="E64">
        <f>'Ritter transition probs'!S66</f>
        <v>0.1689842</v>
      </c>
      <c r="F64">
        <f>'Ritter transition probs'!T66</f>
        <v>2.7826E-2</v>
      </c>
      <c r="G64">
        <f>'Ritter transition probs'!U66</f>
        <v>3.8159466666666662E-2</v>
      </c>
    </row>
    <row r="65" spans="1:7" x14ac:dyDescent="0.25">
      <c r="A65" s="2">
        <f t="shared" si="0"/>
        <v>30376</v>
      </c>
      <c r="B65">
        <f>'Ritter transition probs'!P67</f>
        <v>1.9577800000000003E-2</v>
      </c>
      <c r="C65">
        <f>'Ritter transition probs'!Q67</f>
        <v>0.20683700000000002</v>
      </c>
      <c r="D65">
        <f>'Ritter transition probs'!R67</f>
        <v>3.2401566666666666E-2</v>
      </c>
      <c r="E65">
        <f>'Ritter transition probs'!S67</f>
        <v>0.17942416666666669</v>
      </c>
      <c r="F65">
        <f>'Ritter transition probs'!T67</f>
        <v>2.9882800000000001E-2</v>
      </c>
      <c r="G65">
        <f>'Ritter transition probs'!U67</f>
        <v>4.2686833333333334E-2</v>
      </c>
    </row>
    <row r="66" spans="1:7" x14ac:dyDescent="0.25">
      <c r="A66" s="2">
        <f t="shared" si="0"/>
        <v>30468</v>
      </c>
      <c r="B66">
        <f>'Ritter transition probs'!P68</f>
        <v>1.9058866666666664E-2</v>
      </c>
      <c r="C66">
        <f>'Ritter transition probs'!Q68</f>
        <v>0.21911239999999998</v>
      </c>
      <c r="D66">
        <f>'Ritter transition probs'!R68</f>
        <v>3.0262800000000003E-2</v>
      </c>
      <c r="E66">
        <f>'Ritter transition probs'!S68</f>
        <v>0.18989466666666668</v>
      </c>
      <c r="F66">
        <f>'Ritter transition probs'!T68</f>
        <v>2.8591133333333334E-2</v>
      </c>
      <c r="G66">
        <f>'Ritter transition probs'!U68</f>
        <v>4.2878666666666669E-2</v>
      </c>
    </row>
    <row r="67" spans="1:7" x14ac:dyDescent="0.25">
      <c r="A67" s="2">
        <f t="shared" si="0"/>
        <v>30560</v>
      </c>
      <c r="B67">
        <f>'Ritter transition probs'!P69</f>
        <v>1.8493733333333331E-2</v>
      </c>
      <c r="C67">
        <f>'Ritter transition probs'!Q69</f>
        <v>0.22085489999999997</v>
      </c>
      <c r="D67">
        <f>'Ritter transition probs'!R69</f>
        <v>2.7924899999999999E-2</v>
      </c>
      <c r="E67">
        <f>'Ritter transition probs'!S69</f>
        <v>0.19205543333333333</v>
      </c>
      <c r="F67">
        <f>'Ritter transition probs'!T69</f>
        <v>2.9403466666666666E-2</v>
      </c>
      <c r="G67">
        <f>'Ritter transition probs'!U69</f>
        <v>4.3066333333333338E-2</v>
      </c>
    </row>
    <row r="68" spans="1:7" x14ac:dyDescent="0.25">
      <c r="A68" s="2">
        <f t="shared" ref="A68:A131" si="1">DATE(YEAR(A67),MONTH(A67)+3,1)</f>
        <v>30651</v>
      </c>
      <c r="B68">
        <f>'Ritter transition probs'!P70</f>
        <v>1.6564133333333331E-2</v>
      </c>
      <c r="C68">
        <f>'Ritter transition probs'!Q70</f>
        <v>0.2387852</v>
      </c>
      <c r="D68">
        <f>'Ritter transition probs'!R70</f>
        <v>2.8133566666666665E-2</v>
      </c>
      <c r="E68">
        <f>'Ritter transition probs'!S70</f>
        <v>0.20161573333333335</v>
      </c>
      <c r="F68">
        <f>'Ritter transition probs'!T70</f>
        <v>3.0879199999999999E-2</v>
      </c>
      <c r="G68">
        <f>'Ritter transition probs'!U70</f>
        <v>4.3165566666666662E-2</v>
      </c>
    </row>
    <row r="69" spans="1:7" x14ac:dyDescent="0.25">
      <c r="A69" s="2">
        <f t="shared" si="1"/>
        <v>30742</v>
      </c>
      <c r="B69">
        <f>'Ritter transition probs'!P71</f>
        <v>1.5950333333333334E-2</v>
      </c>
      <c r="C69">
        <f>'Ritter transition probs'!Q71</f>
        <v>0.24592020000000001</v>
      </c>
      <c r="D69">
        <f>'Ritter transition probs'!R71</f>
        <v>2.8368600000000004E-2</v>
      </c>
      <c r="E69">
        <f>'Ritter transition probs'!S71</f>
        <v>0.19858863333333332</v>
      </c>
      <c r="F69">
        <f>'Ritter transition probs'!T71</f>
        <v>2.9765166666666665E-2</v>
      </c>
      <c r="G69">
        <f>'Ritter transition probs'!U71</f>
        <v>4.5366566666666663E-2</v>
      </c>
    </row>
    <row r="70" spans="1:7" x14ac:dyDescent="0.25">
      <c r="A70" s="2">
        <f t="shared" si="1"/>
        <v>30834</v>
      </c>
      <c r="B70">
        <f>'Ritter transition probs'!P72</f>
        <v>1.7160433333333332E-2</v>
      </c>
      <c r="C70">
        <f>'Ritter transition probs'!Q72</f>
        <v>0.24243300000000001</v>
      </c>
      <c r="D70">
        <f>'Ritter transition probs'!R72</f>
        <v>2.8054999999999997E-2</v>
      </c>
      <c r="E70">
        <f>'Ritter transition probs'!S72</f>
        <v>0.21020030000000001</v>
      </c>
      <c r="F70">
        <f>'Ritter transition probs'!T72</f>
        <v>3.0654899999999999E-2</v>
      </c>
      <c r="G70">
        <f>'Ritter transition probs'!U72</f>
        <v>4.5394700000000003E-2</v>
      </c>
    </row>
    <row r="71" spans="1:7" x14ac:dyDescent="0.25">
      <c r="A71" s="2">
        <f t="shared" si="1"/>
        <v>30926</v>
      </c>
      <c r="B71">
        <f>'Ritter transition probs'!P73</f>
        <v>1.6744100000000001E-2</v>
      </c>
      <c r="C71">
        <f>'Ritter transition probs'!Q73</f>
        <v>0.23613663333333332</v>
      </c>
      <c r="D71">
        <f>'Ritter transition probs'!R73</f>
        <v>2.9940300000000003E-2</v>
      </c>
      <c r="E71">
        <f>'Ritter transition probs'!S73</f>
        <v>0.21527963333333333</v>
      </c>
      <c r="F71">
        <f>'Ritter transition probs'!T73</f>
        <v>3.1052399999999997E-2</v>
      </c>
      <c r="G71">
        <f>'Ritter transition probs'!U73</f>
        <v>4.5472133333333331E-2</v>
      </c>
    </row>
    <row r="72" spans="1:7" x14ac:dyDescent="0.25">
      <c r="A72" s="2">
        <f t="shared" si="1"/>
        <v>31017</v>
      </c>
      <c r="B72">
        <f>'Ritter transition probs'!P74</f>
        <v>1.6964533333333334E-2</v>
      </c>
      <c r="C72">
        <f>'Ritter transition probs'!Q74</f>
        <v>0.26000549999999994</v>
      </c>
      <c r="D72">
        <f>'Ritter transition probs'!R74</f>
        <v>2.7835133333333335E-2</v>
      </c>
      <c r="E72">
        <f>'Ritter transition probs'!S74</f>
        <v>0.20607513333333335</v>
      </c>
      <c r="F72">
        <f>'Ritter transition probs'!T74</f>
        <v>3.1219200000000003E-2</v>
      </c>
      <c r="G72">
        <f>'Ritter transition probs'!U74</f>
        <v>4.629833333333333E-2</v>
      </c>
    </row>
    <row r="73" spans="1:7" x14ac:dyDescent="0.25">
      <c r="A73" s="2">
        <f t="shared" si="1"/>
        <v>31107</v>
      </c>
      <c r="B73">
        <f>'Ritter transition probs'!P75</f>
        <v>1.8022E-2</v>
      </c>
      <c r="C73">
        <f>'Ritter transition probs'!Q75</f>
        <v>0.25473049999999997</v>
      </c>
      <c r="D73">
        <f>'Ritter transition probs'!R75</f>
        <v>2.8084300000000003E-2</v>
      </c>
      <c r="E73">
        <f>'Ritter transition probs'!S75</f>
        <v>0.20903923333333332</v>
      </c>
      <c r="F73">
        <f>'Ritter transition probs'!T75</f>
        <v>3.2507633333333334E-2</v>
      </c>
      <c r="G73">
        <f>'Ritter transition probs'!U75</f>
        <v>4.5363299999999995E-2</v>
      </c>
    </row>
    <row r="74" spans="1:7" x14ac:dyDescent="0.25">
      <c r="A74" s="2">
        <f t="shared" si="1"/>
        <v>31199</v>
      </c>
      <c r="B74">
        <f>'Ritter transition probs'!P76</f>
        <v>1.7038533333333331E-2</v>
      </c>
      <c r="C74">
        <f>'Ritter transition probs'!Q76</f>
        <v>0.24921433333333334</v>
      </c>
      <c r="D74">
        <f>'Ritter transition probs'!R76</f>
        <v>2.703963333333333E-2</v>
      </c>
      <c r="E74">
        <f>'Ritter transition probs'!S76</f>
        <v>0.21233120000000003</v>
      </c>
      <c r="F74">
        <f>'Ritter transition probs'!T76</f>
        <v>2.9945299999999998E-2</v>
      </c>
      <c r="G74">
        <f>'Ritter transition probs'!U76</f>
        <v>4.8234733333333335E-2</v>
      </c>
    </row>
    <row r="75" spans="1:7" x14ac:dyDescent="0.25">
      <c r="A75" s="2">
        <f t="shared" si="1"/>
        <v>31291</v>
      </c>
      <c r="B75">
        <f>'Ritter transition probs'!P77</f>
        <v>1.6519166666666668E-2</v>
      </c>
      <c r="C75">
        <f>'Ritter transition probs'!Q77</f>
        <v>0.24299423333333334</v>
      </c>
      <c r="D75">
        <f>'Ritter transition probs'!R77</f>
        <v>2.7212166666666666E-2</v>
      </c>
      <c r="E75">
        <f>'Ritter transition probs'!S77</f>
        <v>0.21389963333333331</v>
      </c>
      <c r="F75">
        <f>'Ritter transition probs'!T77</f>
        <v>2.8597533333333331E-2</v>
      </c>
      <c r="G75">
        <f>'Ritter transition probs'!U77</f>
        <v>4.2875733333333332E-2</v>
      </c>
    </row>
    <row r="76" spans="1:7" x14ac:dyDescent="0.25">
      <c r="A76" s="2">
        <f t="shared" si="1"/>
        <v>31382</v>
      </c>
      <c r="B76">
        <f>'Ritter transition probs'!P78</f>
        <v>1.6423066666666666E-2</v>
      </c>
      <c r="C76">
        <f>'Ritter transition probs'!Q78</f>
        <v>0.25973973333333333</v>
      </c>
      <c r="D76">
        <f>'Ritter transition probs'!R78</f>
        <v>2.7608066666666667E-2</v>
      </c>
      <c r="E76">
        <f>'Ritter transition probs'!S78</f>
        <v>0.21558440000000001</v>
      </c>
      <c r="F76">
        <f>'Ritter transition probs'!T78</f>
        <v>3.0185533333333334E-2</v>
      </c>
      <c r="G76">
        <f>'Ritter transition probs'!U78</f>
        <v>4.619023333333333E-2</v>
      </c>
    </row>
    <row r="77" spans="1:7" x14ac:dyDescent="0.25">
      <c r="A77" s="2">
        <f t="shared" si="1"/>
        <v>31472</v>
      </c>
      <c r="B77">
        <f>'Ritter transition probs'!P79</f>
        <v>1.7017100000000004E-2</v>
      </c>
      <c r="C77">
        <f>'Ritter transition probs'!Q79</f>
        <v>0.25286896666666664</v>
      </c>
      <c r="D77">
        <f>'Ritter transition probs'!R79</f>
        <v>2.7119633333333334E-2</v>
      </c>
      <c r="E77">
        <f>'Ritter transition probs'!S79</f>
        <v>0.20056286666666667</v>
      </c>
      <c r="F77">
        <f>'Ritter transition probs'!T79</f>
        <v>2.8885533333333335E-2</v>
      </c>
      <c r="G77">
        <f>'Ritter transition probs'!U79</f>
        <v>4.5950466666666669E-2</v>
      </c>
    </row>
    <row r="78" spans="1:7" x14ac:dyDescent="0.25">
      <c r="A78" s="2">
        <f t="shared" si="1"/>
        <v>31564</v>
      </c>
      <c r="B78">
        <f>'Ritter transition probs'!P80</f>
        <v>1.6070399999999999E-2</v>
      </c>
      <c r="C78">
        <f>'Ritter transition probs'!Q80</f>
        <v>0.24392550000000002</v>
      </c>
      <c r="D78">
        <f>'Ritter transition probs'!R80</f>
        <v>2.5706266666666668E-2</v>
      </c>
      <c r="E78">
        <f>'Ritter transition probs'!S80</f>
        <v>0.21159316666666669</v>
      </c>
      <c r="F78">
        <f>'Ritter transition probs'!T80</f>
        <v>2.9191733333333334E-2</v>
      </c>
      <c r="G78">
        <f>'Ritter transition probs'!U80</f>
        <v>4.5118133333333338E-2</v>
      </c>
    </row>
    <row r="79" spans="1:7" x14ac:dyDescent="0.25">
      <c r="A79" s="2">
        <f t="shared" si="1"/>
        <v>31656</v>
      </c>
      <c r="B79">
        <f>'Ritter transition probs'!P81</f>
        <v>1.7211333333333332E-2</v>
      </c>
      <c r="C79">
        <f>'Ritter transition probs'!Q81</f>
        <v>0.2638629666666667</v>
      </c>
      <c r="D79">
        <f>'Ritter transition probs'!R81</f>
        <v>2.5067666666666665E-2</v>
      </c>
      <c r="E79">
        <f>'Ritter transition probs'!S81</f>
        <v>0.20201500000000003</v>
      </c>
      <c r="F79">
        <f>'Ritter transition probs'!T81</f>
        <v>2.8485766666666665E-2</v>
      </c>
      <c r="G79">
        <f>'Ritter transition probs'!U81</f>
        <v>4.5471733333333327E-2</v>
      </c>
    </row>
    <row r="80" spans="1:7" x14ac:dyDescent="0.25">
      <c r="A80" s="2">
        <f t="shared" si="1"/>
        <v>31747</v>
      </c>
      <c r="B80">
        <f>'Ritter transition probs'!P82</f>
        <v>1.58966E-2</v>
      </c>
      <c r="C80">
        <f>'Ritter transition probs'!Q82</f>
        <v>0.26313456666666668</v>
      </c>
      <c r="D80">
        <f>'Ritter transition probs'!R82</f>
        <v>2.5732666666666668E-2</v>
      </c>
      <c r="E80">
        <f>'Ritter transition probs'!S82</f>
        <v>0.20416489999999998</v>
      </c>
      <c r="F80">
        <f>'Ritter transition probs'!T82</f>
        <v>2.7669366666666667E-2</v>
      </c>
      <c r="G80">
        <f>'Ritter transition probs'!U82</f>
        <v>4.4727900000000008E-2</v>
      </c>
    </row>
    <row r="81" spans="1:7" x14ac:dyDescent="0.25">
      <c r="A81" s="2">
        <f t="shared" si="1"/>
        <v>31837</v>
      </c>
      <c r="B81">
        <f>'Ritter transition probs'!P83</f>
        <v>1.4898833333333333E-2</v>
      </c>
      <c r="C81">
        <f>'Ritter transition probs'!Q83</f>
        <v>0.27400343333333327</v>
      </c>
      <c r="D81">
        <f>'Ritter transition probs'!R83</f>
        <v>2.5809499999999999E-2</v>
      </c>
      <c r="E81">
        <f>'Ritter transition probs'!S83</f>
        <v>0.21026556666666665</v>
      </c>
      <c r="F81">
        <f>'Ritter transition probs'!T83</f>
        <v>2.9115166666666664E-2</v>
      </c>
      <c r="G81">
        <f>'Ritter transition probs'!U83</f>
        <v>4.6439366666666669E-2</v>
      </c>
    </row>
    <row r="82" spans="1:7" x14ac:dyDescent="0.25">
      <c r="A82" s="2">
        <f t="shared" si="1"/>
        <v>31929</v>
      </c>
      <c r="B82">
        <f>'Ritter transition probs'!P84</f>
        <v>1.4807500000000001E-2</v>
      </c>
      <c r="C82">
        <f>'Ritter transition probs'!Q84</f>
        <v>0.27138416666666665</v>
      </c>
      <c r="D82">
        <f>'Ritter transition probs'!R84</f>
        <v>2.3931933333333336E-2</v>
      </c>
      <c r="E82">
        <f>'Ritter transition probs'!S84</f>
        <v>0.20864786666666665</v>
      </c>
      <c r="F82">
        <f>'Ritter transition probs'!T84</f>
        <v>2.8474833333333335E-2</v>
      </c>
      <c r="G82">
        <f>'Ritter transition probs'!U84</f>
        <v>4.5683099999999997E-2</v>
      </c>
    </row>
    <row r="83" spans="1:7" x14ac:dyDescent="0.25">
      <c r="A83" s="2">
        <f t="shared" si="1"/>
        <v>32021</v>
      </c>
      <c r="B83">
        <f>'Ritter transition probs'!P85</f>
        <v>1.4980033333333332E-2</v>
      </c>
      <c r="C83">
        <f>'Ritter transition probs'!Q85</f>
        <v>0.27934686666666669</v>
      </c>
      <c r="D83">
        <f>'Ritter transition probs'!R85</f>
        <v>2.3581366666666669E-2</v>
      </c>
      <c r="E83">
        <f>'Ritter transition probs'!S85</f>
        <v>0.2141391</v>
      </c>
      <c r="F83">
        <f>'Ritter transition probs'!T85</f>
        <v>2.8974233333333332E-2</v>
      </c>
      <c r="G83">
        <f>'Ritter transition probs'!U85</f>
        <v>4.7980099999999998E-2</v>
      </c>
    </row>
    <row r="84" spans="1:7" x14ac:dyDescent="0.25">
      <c r="A84" s="2">
        <f t="shared" si="1"/>
        <v>32112</v>
      </c>
      <c r="B84">
        <f>'Ritter transition probs'!P86</f>
        <v>1.3817366666666666E-2</v>
      </c>
      <c r="C84">
        <f>'Ritter transition probs'!Q86</f>
        <v>0.27207846666666669</v>
      </c>
      <c r="D84">
        <f>'Ritter transition probs'!R86</f>
        <v>2.3020099999999998E-2</v>
      </c>
      <c r="E84">
        <f>'Ritter transition probs'!S86</f>
        <v>0.21685953333333333</v>
      </c>
      <c r="F84">
        <f>'Ritter transition probs'!T86</f>
        <v>2.86597E-2</v>
      </c>
      <c r="G84">
        <f>'Ritter transition probs'!U86</f>
        <v>4.8420299999999999E-2</v>
      </c>
    </row>
    <row r="85" spans="1:7" x14ac:dyDescent="0.25">
      <c r="A85" s="2">
        <f t="shared" si="1"/>
        <v>32203</v>
      </c>
      <c r="B85">
        <f>'Ritter transition probs'!P87</f>
        <v>1.4375633333333332E-2</v>
      </c>
      <c r="C85">
        <f>'Ritter transition probs'!Q87</f>
        <v>0.30488816666666668</v>
      </c>
      <c r="D85">
        <f>'Ritter transition probs'!R87</f>
        <v>2.2664933333333331E-2</v>
      </c>
      <c r="E85">
        <f>'Ritter transition probs'!S87</f>
        <v>0.21114599999999997</v>
      </c>
      <c r="F85">
        <f>'Ritter transition probs'!T87</f>
        <v>3.0020199999999997E-2</v>
      </c>
      <c r="G85">
        <f>'Ritter transition probs'!U87</f>
        <v>5.0302933333333334E-2</v>
      </c>
    </row>
    <row r="86" spans="1:7" x14ac:dyDescent="0.25">
      <c r="A86" s="2">
        <f t="shared" si="1"/>
        <v>32295</v>
      </c>
      <c r="B86">
        <f>'Ritter transition probs'!P88</f>
        <v>1.3737366666666667E-2</v>
      </c>
      <c r="C86">
        <f>'Ritter transition probs'!Q88</f>
        <v>0.28900566666666666</v>
      </c>
      <c r="D86">
        <f>'Ritter transition probs'!R88</f>
        <v>2.2621499999999999E-2</v>
      </c>
      <c r="E86">
        <f>'Ritter transition probs'!S88</f>
        <v>0.20747669999999999</v>
      </c>
      <c r="F86">
        <f>'Ritter transition probs'!T88</f>
        <v>2.7335100000000001E-2</v>
      </c>
      <c r="G86">
        <f>'Ritter transition probs'!U88</f>
        <v>4.5498933333333332E-2</v>
      </c>
    </row>
    <row r="87" spans="1:7" x14ac:dyDescent="0.25">
      <c r="A87" s="2">
        <f t="shared" si="1"/>
        <v>32387</v>
      </c>
      <c r="B87">
        <f>'Ritter transition probs'!P89</f>
        <v>1.3580533333333334E-2</v>
      </c>
      <c r="C87">
        <f>'Ritter transition probs'!Q89</f>
        <v>0.27274903333333333</v>
      </c>
      <c r="D87">
        <f>'Ritter transition probs'!R89</f>
        <v>2.1085333333333331E-2</v>
      </c>
      <c r="E87">
        <f>'Ritter transition probs'!S89</f>
        <v>0.21951790000000002</v>
      </c>
      <c r="F87">
        <f>'Ritter transition probs'!T89</f>
        <v>2.9477300000000001E-2</v>
      </c>
      <c r="G87">
        <f>'Ritter transition probs'!U89</f>
        <v>4.7297166666666668E-2</v>
      </c>
    </row>
    <row r="88" spans="1:7" x14ac:dyDescent="0.25">
      <c r="A88" s="2">
        <f t="shared" si="1"/>
        <v>32478</v>
      </c>
      <c r="B88">
        <f>'Ritter transition probs'!P90</f>
        <v>1.3768166666666666E-2</v>
      </c>
      <c r="C88">
        <f>'Ritter transition probs'!Q90</f>
        <v>0.30199540000000002</v>
      </c>
      <c r="D88">
        <f>'Ritter transition probs'!R90</f>
        <v>2.1942233333333335E-2</v>
      </c>
      <c r="E88">
        <f>'Ritter transition probs'!S90</f>
        <v>0.22332529999999998</v>
      </c>
      <c r="F88">
        <f>'Ritter transition probs'!T90</f>
        <v>2.8955666666666668E-2</v>
      </c>
      <c r="G88">
        <f>'Ritter transition probs'!U90</f>
        <v>5.0353000000000002E-2</v>
      </c>
    </row>
    <row r="89" spans="1:7" x14ac:dyDescent="0.25">
      <c r="A89" s="2">
        <f t="shared" si="1"/>
        <v>32568</v>
      </c>
      <c r="B89">
        <f>'Ritter transition probs'!P91</f>
        <v>1.39918E-2</v>
      </c>
      <c r="C89">
        <f>'Ritter transition probs'!Q91</f>
        <v>0.29643970000000003</v>
      </c>
      <c r="D89">
        <f>'Ritter transition probs'!R91</f>
        <v>2.3270566666666669E-2</v>
      </c>
      <c r="E89">
        <f>'Ritter transition probs'!S91</f>
        <v>0.21656963333333334</v>
      </c>
      <c r="F89">
        <f>'Ritter transition probs'!T91</f>
        <v>2.8340866666666669E-2</v>
      </c>
      <c r="G89">
        <f>'Ritter transition probs'!U91</f>
        <v>4.7915433333333333E-2</v>
      </c>
    </row>
    <row r="90" spans="1:7" x14ac:dyDescent="0.25">
      <c r="A90" s="2">
        <f t="shared" si="1"/>
        <v>32660</v>
      </c>
      <c r="B90">
        <f>'Ritter transition probs'!P92</f>
        <v>1.3730166666666668E-2</v>
      </c>
      <c r="C90">
        <f>'Ritter transition probs'!Q92</f>
        <v>0.29352566666666663</v>
      </c>
      <c r="D90">
        <f>'Ritter transition probs'!R92</f>
        <v>2.2929966666666666E-2</v>
      </c>
      <c r="E90">
        <f>'Ritter transition probs'!S92</f>
        <v>0.2057129</v>
      </c>
      <c r="F90">
        <f>'Ritter transition probs'!T92</f>
        <v>2.7595066666666668E-2</v>
      </c>
      <c r="G90">
        <f>'Ritter transition probs'!U92</f>
        <v>4.6548266666666664E-2</v>
      </c>
    </row>
    <row r="91" spans="1:7" x14ac:dyDescent="0.25">
      <c r="A91" s="2">
        <f t="shared" si="1"/>
        <v>32752</v>
      </c>
      <c r="B91">
        <f>'Ritter transition probs'!P93</f>
        <v>1.4821266666666668E-2</v>
      </c>
      <c r="C91">
        <f>'Ritter transition probs'!Q93</f>
        <v>0.29686343333333332</v>
      </c>
      <c r="D91">
        <f>'Ritter transition probs'!R93</f>
        <v>2.2955733333333336E-2</v>
      </c>
      <c r="E91">
        <f>'Ritter transition probs'!S93</f>
        <v>0.21106336666666667</v>
      </c>
      <c r="F91">
        <f>'Ritter transition probs'!T93</f>
        <v>2.82507E-2</v>
      </c>
      <c r="G91">
        <f>'Ritter transition probs'!U93</f>
        <v>4.8232066666666663E-2</v>
      </c>
    </row>
    <row r="92" spans="1:7" x14ac:dyDescent="0.25">
      <c r="A92" s="2">
        <f t="shared" si="1"/>
        <v>32843</v>
      </c>
      <c r="B92">
        <f>'Ritter transition probs'!P94</f>
        <v>1.4526066666666665E-2</v>
      </c>
      <c r="C92">
        <f>'Ritter transition probs'!Q94</f>
        <v>0.31105613333333332</v>
      </c>
      <c r="D92">
        <f>'Ritter transition probs'!R94</f>
        <v>2.2643966666666668E-2</v>
      </c>
      <c r="E92">
        <f>'Ritter transition probs'!S94</f>
        <v>0.21899866666666665</v>
      </c>
      <c r="F92">
        <f>'Ritter transition probs'!T94</f>
        <v>3.0063533333333337E-2</v>
      </c>
      <c r="G92">
        <f>'Ritter transition probs'!U94</f>
        <v>5.1716866666666667E-2</v>
      </c>
    </row>
    <row r="93" spans="1:7" x14ac:dyDescent="0.25">
      <c r="A93" s="2">
        <f t="shared" si="1"/>
        <v>32933</v>
      </c>
      <c r="B93">
        <f>'Ritter transition probs'!P95</f>
        <v>1.42005E-2</v>
      </c>
      <c r="C93">
        <f>'Ritter transition probs'!Q95</f>
        <v>0.28395536666666671</v>
      </c>
      <c r="D93">
        <f>'Ritter transition probs'!R95</f>
        <v>2.1762933333333335E-2</v>
      </c>
      <c r="E93">
        <f>'Ritter transition probs'!S95</f>
        <v>0.20963963333333333</v>
      </c>
      <c r="F93">
        <f>'Ritter transition probs'!T95</f>
        <v>2.7815566666666666E-2</v>
      </c>
      <c r="G93">
        <f>'Ritter transition probs'!U95</f>
        <v>4.7215333333333331E-2</v>
      </c>
    </row>
    <row r="94" spans="1:7" x14ac:dyDescent="0.25">
      <c r="A94" s="2">
        <f t="shared" si="1"/>
        <v>33025</v>
      </c>
      <c r="B94">
        <f>'BLS transition probs'!P4</f>
        <v>1.4892585346788981E-2</v>
      </c>
      <c r="C94">
        <f>'BLS transition probs'!Q4</f>
        <v>0.28184916348486971</v>
      </c>
      <c r="D94">
        <f>'BLS transition probs'!R4</f>
        <v>2.3214891398246489E-2</v>
      </c>
      <c r="E94">
        <f>'BLS transition probs'!S4</f>
        <v>0.20368828362201449</v>
      </c>
      <c r="F94">
        <f>'BLS transition probs'!T4</f>
        <v>2.8018612355289425E-2</v>
      </c>
      <c r="G94">
        <f>'BLS transition probs'!U4</f>
        <v>4.8964268348802159E-2</v>
      </c>
    </row>
    <row r="95" spans="1:7" x14ac:dyDescent="0.25">
      <c r="A95" s="2">
        <f t="shared" si="1"/>
        <v>33117</v>
      </c>
      <c r="B95">
        <f>'BLS transition probs'!P5</f>
        <v>1.5619604928668783E-2</v>
      </c>
      <c r="C95">
        <f>'BLS transition probs'!Q5</f>
        <v>0.26718245609836727</v>
      </c>
      <c r="D95">
        <f>'BLS transition probs'!R5</f>
        <v>2.513470718663938E-2</v>
      </c>
      <c r="E95">
        <f>'BLS transition probs'!S5</f>
        <v>0.19951282183883437</v>
      </c>
      <c r="F95">
        <f>'BLS transition probs'!T5</f>
        <v>2.7367034724870166E-2</v>
      </c>
      <c r="G95">
        <f>'BLS transition probs'!U5</f>
        <v>4.7972480977368871E-2</v>
      </c>
    </row>
    <row r="96" spans="1:7" x14ac:dyDescent="0.25">
      <c r="A96" s="2">
        <f t="shared" si="1"/>
        <v>33208</v>
      </c>
      <c r="B96">
        <f>'BLS transition probs'!P6</f>
        <v>1.6349001801623141E-2</v>
      </c>
      <c r="C96">
        <f>'BLS transition probs'!Q6</f>
        <v>0.26433147145469443</v>
      </c>
      <c r="D96">
        <f>'BLS transition probs'!R6</f>
        <v>2.6015303750173756E-2</v>
      </c>
      <c r="E96">
        <f>'BLS transition probs'!S6</f>
        <v>0.19291766432215143</v>
      </c>
      <c r="F96">
        <f>'BLS transition probs'!T6</f>
        <v>2.7377110817222116E-2</v>
      </c>
      <c r="G96">
        <f>'BLS transition probs'!U6</f>
        <v>4.753315581700563E-2</v>
      </c>
    </row>
    <row r="97" spans="1:7" x14ac:dyDescent="0.25">
      <c r="A97" s="2">
        <f t="shared" si="1"/>
        <v>33298</v>
      </c>
      <c r="B97">
        <f>'BLS transition probs'!P7</f>
        <v>1.7495650507017287E-2</v>
      </c>
      <c r="C97">
        <f>'BLS transition probs'!Q7</f>
        <v>0.25434973278063805</v>
      </c>
      <c r="D97">
        <f>'BLS transition probs'!R7</f>
        <v>2.6983475297423093E-2</v>
      </c>
      <c r="E97">
        <f>'BLS transition probs'!S7</f>
        <v>0.19093996424373261</v>
      </c>
      <c r="F97">
        <f>'BLS transition probs'!T7</f>
        <v>2.6390825105797211E-2</v>
      </c>
      <c r="G97">
        <f>'BLS transition probs'!U7</f>
        <v>4.5102319726449576E-2</v>
      </c>
    </row>
    <row r="98" spans="1:7" x14ac:dyDescent="0.25">
      <c r="A98" s="2">
        <f t="shared" si="1"/>
        <v>33390</v>
      </c>
      <c r="B98">
        <f>'BLS transition probs'!P8</f>
        <v>1.6821953818956754E-2</v>
      </c>
      <c r="C98">
        <f>'BLS transition probs'!Q8</f>
        <v>0.25295888245971287</v>
      </c>
      <c r="D98">
        <f>'BLS transition probs'!R8</f>
        <v>2.7664492958463183E-2</v>
      </c>
      <c r="E98">
        <f>'BLS transition probs'!S8</f>
        <v>0.18318264143120064</v>
      </c>
      <c r="F98">
        <f>'BLS transition probs'!T8</f>
        <v>2.6849627196015958E-2</v>
      </c>
      <c r="G98">
        <f>'BLS transition probs'!U8</f>
        <v>4.5175501013461981E-2</v>
      </c>
    </row>
    <row r="99" spans="1:7" x14ac:dyDescent="0.25">
      <c r="A99" s="2">
        <f t="shared" si="1"/>
        <v>33482</v>
      </c>
      <c r="B99">
        <f>'BLS transition probs'!P9</f>
        <v>1.6867474064175356E-2</v>
      </c>
      <c r="C99">
        <f>'BLS transition probs'!Q9</f>
        <v>0.24870609131373178</v>
      </c>
      <c r="D99">
        <f>'BLS transition probs'!R9</f>
        <v>2.7421862050452116E-2</v>
      </c>
      <c r="E99">
        <f>'BLS transition probs'!S9</f>
        <v>0.18743829228791251</v>
      </c>
      <c r="F99">
        <f>'BLS transition probs'!T9</f>
        <v>2.6073450164540921E-2</v>
      </c>
      <c r="G99">
        <f>'BLS transition probs'!U9</f>
        <v>4.5336479395421937E-2</v>
      </c>
    </row>
    <row r="100" spans="1:7" x14ac:dyDescent="0.25">
      <c r="A100" s="2">
        <f t="shared" si="1"/>
        <v>33573</v>
      </c>
      <c r="B100">
        <f>'BLS transition probs'!P10</f>
        <v>1.6772245784994998E-2</v>
      </c>
      <c r="C100">
        <f>'BLS transition probs'!Q10</f>
        <v>0.2329313593690561</v>
      </c>
      <c r="D100">
        <f>'BLS transition probs'!R10</f>
        <v>2.8735358682032513E-2</v>
      </c>
      <c r="E100">
        <f>'BLS transition probs'!S10</f>
        <v>0.18658573640542042</v>
      </c>
      <c r="F100">
        <f>'BLS transition probs'!T10</f>
        <v>2.5734061783397513E-2</v>
      </c>
      <c r="G100">
        <f>'BLS transition probs'!U10</f>
        <v>4.2112779475208417E-2</v>
      </c>
    </row>
    <row r="101" spans="1:7" x14ac:dyDescent="0.25">
      <c r="A101" s="2">
        <f t="shared" si="1"/>
        <v>33664</v>
      </c>
      <c r="B101">
        <f>'BLS transition probs'!P11</f>
        <v>1.6869696141333223E-2</v>
      </c>
      <c r="C101">
        <f>'BLS transition probs'!Q11</f>
        <v>0.23591936342234945</v>
      </c>
      <c r="D101">
        <f>'BLS transition probs'!R11</f>
        <v>2.8801532921056961E-2</v>
      </c>
      <c r="E101">
        <f>'BLS transition probs'!S11</f>
        <v>0.17115794232066472</v>
      </c>
      <c r="F101">
        <f>'BLS transition probs'!T11</f>
        <v>2.508779415853454E-2</v>
      </c>
      <c r="G101">
        <f>'BLS transition probs'!U11</f>
        <v>4.4998729734933872E-2</v>
      </c>
    </row>
    <row r="102" spans="1:7" x14ac:dyDescent="0.25">
      <c r="A102" s="2">
        <f t="shared" si="1"/>
        <v>33756</v>
      </c>
      <c r="B102">
        <f>'BLS transition probs'!P12</f>
        <v>1.6903543628638124E-2</v>
      </c>
      <c r="C102">
        <f>'BLS transition probs'!Q12</f>
        <v>0.22920055446352761</v>
      </c>
      <c r="D102">
        <f>'BLS transition probs'!R12</f>
        <v>3.1205701598464763E-2</v>
      </c>
      <c r="E102">
        <f>'BLS transition probs'!S12</f>
        <v>0.17478450762827691</v>
      </c>
      <c r="F102">
        <f>'BLS transition probs'!T12</f>
        <v>2.5391767182498668E-2</v>
      </c>
      <c r="G102">
        <f>'BLS transition probs'!U12</f>
        <v>4.4176061200369265E-2</v>
      </c>
    </row>
    <row r="103" spans="1:7" x14ac:dyDescent="0.25">
      <c r="A103" s="2">
        <f t="shared" si="1"/>
        <v>33848</v>
      </c>
      <c r="B103">
        <f>'BLS transition probs'!P13</f>
        <v>1.6790724356915341E-2</v>
      </c>
      <c r="C103">
        <f>'BLS transition probs'!Q13</f>
        <v>0.22676415376674239</v>
      </c>
      <c r="D103">
        <f>'BLS transition probs'!R13</f>
        <v>2.9916409633088448E-2</v>
      </c>
      <c r="E103">
        <f>'BLS transition probs'!S13</f>
        <v>0.18070403781108044</v>
      </c>
      <c r="F103">
        <f>'BLS transition probs'!T13</f>
        <v>2.5858937632051559E-2</v>
      </c>
      <c r="G103">
        <f>'BLS transition probs'!U13</f>
        <v>4.4320965370400749E-2</v>
      </c>
    </row>
    <row r="104" spans="1:7" x14ac:dyDescent="0.25">
      <c r="A104" s="2">
        <f t="shared" si="1"/>
        <v>33939</v>
      </c>
      <c r="B104">
        <f>'BLS transition probs'!P14</f>
        <v>1.6663569454335558E-2</v>
      </c>
      <c r="C104">
        <f>'BLS transition probs'!Q14</f>
        <v>0.23533786752870864</v>
      </c>
      <c r="D104">
        <f>'BLS transition probs'!R14</f>
        <v>3.0099484872550555E-2</v>
      </c>
      <c r="E104">
        <f>'BLS transition probs'!S14</f>
        <v>0.18530872473392254</v>
      </c>
      <c r="F104">
        <f>'BLS transition probs'!T14</f>
        <v>2.6570298205744563E-2</v>
      </c>
      <c r="G104">
        <f>'BLS transition probs'!U14</f>
        <v>4.4323193149694413E-2</v>
      </c>
    </row>
    <row r="105" spans="1:7" x14ac:dyDescent="0.25">
      <c r="A105" s="2">
        <f t="shared" si="1"/>
        <v>34029</v>
      </c>
      <c r="B105">
        <f>'BLS transition probs'!P15</f>
        <v>1.581343814534791E-2</v>
      </c>
      <c r="C105">
        <f>'BLS transition probs'!Q15</f>
        <v>0.23034156237261935</v>
      </c>
      <c r="D105">
        <f>'BLS transition probs'!R15</f>
        <v>2.8339426997330622E-2</v>
      </c>
      <c r="E105">
        <f>'BLS transition probs'!S15</f>
        <v>0.18978993418191778</v>
      </c>
      <c r="F105">
        <f>'BLS transition probs'!T15</f>
        <v>2.6526595398555192E-2</v>
      </c>
      <c r="G105">
        <f>'BLS transition probs'!U15</f>
        <v>4.5944301113895941E-2</v>
      </c>
    </row>
    <row r="106" spans="1:7" x14ac:dyDescent="0.25">
      <c r="A106" s="2">
        <f t="shared" si="1"/>
        <v>34121</v>
      </c>
      <c r="B106">
        <f>'BLS transition probs'!P16</f>
        <v>1.5763353240351427E-2</v>
      </c>
      <c r="C106">
        <f>'BLS transition probs'!Q16</f>
        <v>0.23705531823418527</v>
      </c>
      <c r="D106">
        <f>'BLS transition probs'!R16</f>
        <v>2.8241824588035605E-2</v>
      </c>
      <c r="E106">
        <f>'BLS transition probs'!S16</f>
        <v>0.17431826224022498</v>
      </c>
      <c r="F106">
        <f>'BLS transition probs'!T16</f>
        <v>2.5741216144721555E-2</v>
      </c>
      <c r="G106">
        <f>'BLS transition probs'!U16</f>
        <v>4.5654929396624279E-2</v>
      </c>
    </row>
    <row r="107" spans="1:7" x14ac:dyDescent="0.25">
      <c r="A107" s="2">
        <f t="shared" si="1"/>
        <v>34213</v>
      </c>
      <c r="B107">
        <f>'BLS transition probs'!P17</f>
        <v>1.5442324412967752E-2</v>
      </c>
      <c r="C107">
        <f>'BLS transition probs'!Q17</f>
        <v>0.23764774772836819</v>
      </c>
      <c r="D107">
        <f>'BLS transition probs'!R17</f>
        <v>2.7619818009977714E-2</v>
      </c>
      <c r="E107">
        <f>'BLS transition probs'!S17</f>
        <v>0.19143777267744524</v>
      </c>
      <c r="F107">
        <f>'BLS transition probs'!T17</f>
        <v>2.6453711539221089E-2</v>
      </c>
      <c r="G107">
        <f>'BLS transition probs'!U17</f>
        <v>4.4918518718128686E-2</v>
      </c>
    </row>
    <row r="108" spans="1:7" x14ac:dyDescent="0.25">
      <c r="A108" s="2">
        <f t="shared" si="1"/>
        <v>34304</v>
      </c>
      <c r="B108">
        <f>'BLS transition probs'!P18</f>
        <v>1.5420948085832798E-2</v>
      </c>
      <c r="C108">
        <f>'BLS transition probs'!Q18</f>
        <v>0.2496228746334542</v>
      </c>
      <c r="D108">
        <f>'BLS transition probs'!R18</f>
        <v>2.8334708927121074E-2</v>
      </c>
      <c r="E108">
        <f>'BLS transition probs'!S18</f>
        <v>0.19240897955906741</v>
      </c>
      <c r="F108">
        <f>'BLS transition probs'!T18</f>
        <v>2.5587412471793834E-2</v>
      </c>
      <c r="G108">
        <f>'BLS transition probs'!U18</f>
        <v>4.5885542345558382E-2</v>
      </c>
    </row>
    <row r="109" spans="1:7" x14ac:dyDescent="0.25">
      <c r="A109" s="2">
        <f t="shared" si="1"/>
        <v>34394</v>
      </c>
      <c r="B109">
        <f>'BLS transition probs'!P19</f>
        <v>1.5414039021001085E-2</v>
      </c>
      <c r="C109">
        <f>'BLS transition probs'!Q19</f>
        <v>0.25585933725424531</v>
      </c>
      <c r="D109">
        <f>'BLS transition probs'!R19</f>
        <v>3.1643092054617988E-2</v>
      </c>
      <c r="E109">
        <f>'BLS transition probs'!S19</f>
        <v>0.208438769429967</v>
      </c>
      <c r="F109">
        <f>'BLS transition probs'!T19</f>
        <v>2.79017276500142E-2</v>
      </c>
      <c r="G109">
        <f>'BLS transition probs'!U19</f>
        <v>4.8312806903133776E-2</v>
      </c>
    </row>
    <row r="110" spans="1:7" x14ac:dyDescent="0.25">
      <c r="A110" s="2">
        <f t="shared" si="1"/>
        <v>34486</v>
      </c>
      <c r="B110">
        <f>'BLS transition probs'!P20</f>
        <v>1.5116646729270973E-2</v>
      </c>
      <c r="C110">
        <f>'BLS transition probs'!Q20</f>
        <v>0.26239663747319536</v>
      </c>
      <c r="D110">
        <f>'BLS transition probs'!R20</f>
        <v>3.0914487061706467E-2</v>
      </c>
      <c r="E110">
        <f>'BLS transition probs'!S20</f>
        <v>0.23369498469599073</v>
      </c>
      <c r="F110">
        <f>'BLS transition probs'!T20</f>
        <v>2.6324408452308112E-2</v>
      </c>
      <c r="G110">
        <f>'BLS transition probs'!U20</f>
        <v>4.6307947729778524E-2</v>
      </c>
    </row>
    <row r="111" spans="1:7" x14ac:dyDescent="0.25">
      <c r="A111" s="2">
        <f t="shared" si="1"/>
        <v>34578</v>
      </c>
      <c r="B111">
        <f>'BLS transition probs'!P21</f>
        <v>1.5030309667942054E-2</v>
      </c>
      <c r="C111">
        <f>'BLS transition probs'!Q21</f>
        <v>0.27383510272034178</v>
      </c>
      <c r="D111">
        <f>'BLS transition probs'!R21</f>
        <v>3.0712837057270289E-2</v>
      </c>
      <c r="E111">
        <f>'BLS transition probs'!S21</f>
        <v>0.22607999362313436</v>
      </c>
      <c r="F111">
        <f>'BLS transition probs'!T21</f>
        <v>2.6174939673203012E-2</v>
      </c>
      <c r="G111">
        <f>'BLS transition probs'!U21</f>
        <v>4.7648387259083248E-2</v>
      </c>
    </row>
    <row r="112" spans="1:7" x14ac:dyDescent="0.25">
      <c r="A112" s="2">
        <f t="shared" si="1"/>
        <v>34669</v>
      </c>
      <c r="B112">
        <f>'BLS transition probs'!P22</f>
        <v>1.4136319791482809E-2</v>
      </c>
      <c r="C112">
        <f>'BLS transition probs'!Q22</f>
        <v>0.27997622207360368</v>
      </c>
      <c r="D112">
        <f>'BLS transition probs'!R22</f>
        <v>2.9264635211334173E-2</v>
      </c>
      <c r="E112">
        <f>'BLS transition probs'!S22</f>
        <v>0.23094844692150521</v>
      </c>
      <c r="F112">
        <f>'BLS transition probs'!T22</f>
        <v>2.7020313230669963E-2</v>
      </c>
      <c r="G112">
        <f>'BLS transition probs'!U22</f>
        <v>4.8984650118290694E-2</v>
      </c>
    </row>
    <row r="113" spans="1:7" x14ac:dyDescent="0.25">
      <c r="A113" s="2">
        <f t="shared" si="1"/>
        <v>34759</v>
      </c>
      <c r="B113">
        <f>'BLS transition probs'!P23</f>
        <v>1.4688144906753289E-2</v>
      </c>
      <c r="C113">
        <f>'BLS transition probs'!Q23</f>
        <v>0.28410493695569594</v>
      </c>
      <c r="D113">
        <f>'BLS transition probs'!R23</f>
        <v>2.7744586141790647E-2</v>
      </c>
      <c r="E113">
        <f>'BLS transition probs'!S23</f>
        <v>0.22666116978680093</v>
      </c>
      <c r="F113">
        <f>'BLS transition probs'!T23</f>
        <v>2.5948493333726536E-2</v>
      </c>
      <c r="G113">
        <f>'BLS transition probs'!U23</f>
        <v>4.6506990661272563E-2</v>
      </c>
    </row>
    <row r="114" spans="1:7" x14ac:dyDescent="0.25">
      <c r="A114" s="2">
        <f t="shared" si="1"/>
        <v>34851</v>
      </c>
      <c r="B114">
        <f>'BLS transition probs'!P24</f>
        <v>1.4768444347384224E-2</v>
      </c>
      <c r="C114">
        <f>'BLS transition probs'!Q24</f>
        <v>0.27544048139242938</v>
      </c>
      <c r="D114">
        <f>'BLS transition probs'!R24</f>
        <v>2.9598723073074984E-2</v>
      </c>
      <c r="E114">
        <f>'BLS transition probs'!S24</f>
        <v>0.22749334519735778</v>
      </c>
      <c r="F114">
        <f>'BLS transition probs'!T24</f>
        <v>2.7679242185635361E-2</v>
      </c>
      <c r="G114">
        <f>'BLS transition probs'!U24</f>
        <v>4.5665717122460946E-2</v>
      </c>
    </row>
    <row r="115" spans="1:7" x14ac:dyDescent="0.25">
      <c r="A115" s="2">
        <f t="shared" si="1"/>
        <v>34943</v>
      </c>
      <c r="B115">
        <f>'BLS transition probs'!P25</f>
        <v>1.5032129067474033E-2</v>
      </c>
      <c r="C115">
        <f>'BLS transition probs'!Q25</f>
        <v>0.28092573599041304</v>
      </c>
      <c r="D115">
        <f>'BLS transition probs'!R25</f>
        <v>2.9094855161656261E-2</v>
      </c>
      <c r="E115">
        <f>'BLS transition probs'!S25</f>
        <v>0.22902529673234159</v>
      </c>
      <c r="F115">
        <f>'BLS transition probs'!T25</f>
        <v>2.656371203756976E-2</v>
      </c>
      <c r="G115">
        <f>'BLS transition probs'!U25</f>
        <v>4.79147785509993E-2</v>
      </c>
    </row>
    <row r="116" spans="1:7" x14ac:dyDescent="0.25">
      <c r="A116" s="2">
        <f t="shared" si="1"/>
        <v>35034</v>
      </c>
      <c r="B116">
        <f>'BLS transition probs'!P26</f>
        <v>1.413859771838206E-2</v>
      </c>
      <c r="C116">
        <f>'BLS transition probs'!Q26</f>
        <v>0.27099946131958202</v>
      </c>
      <c r="D116">
        <f>'BLS transition probs'!R26</f>
        <v>2.9026137441482681E-2</v>
      </c>
      <c r="E116">
        <f>'BLS transition probs'!S26</f>
        <v>0.23489816272747835</v>
      </c>
      <c r="F116">
        <f>'BLS transition probs'!T26</f>
        <v>2.6804959346833471E-2</v>
      </c>
      <c r="G116">
        <f>'BLS transition probs'!U26</f>
        <v>4.5113747364590617E-2</v>
      </c>
    </row>
    <row r="117" spans="1:7" x14ac:dyDescent="0.25">
      <c r="A117" s="2">
        <f t="shared" si="1"/>
        <v>35125</v>
      </c>
      <c r="B117">
        <f>'BLS transition probs'!P27</f>
        <v>1.4090934824926205E-2</v>
      </c>
      <c r="C117">
        <f>'BLS transition probs'!Q27</f>
        <v>0.27450086661003481</v>
      </c>
      <c r="D117">
        <f>'BLS transition probs'!R27</f>
        <v>2.8745276620183668E-2</v>
      </c>
      <c r="E117">
        <f>'BLS transition probs'!S27</f>
        <v>0.23078890003067731</v>
      </c>
      <c r="F117">
        <f>'BLS transition probs'!T27</f>
        <v>2.5698671252153221E-2</v>
      </c>
      <c r="G117">
        <f>'BLS transition probs'!U27</f>
        <v>4.6948358949443346E-2</v>
      </c>
    </row>
    <row r="118" spans="1:7" x14ac:dyDescent="0.25">
      <c r="A118" s="2">
        <f t="shared" si="1"/>
        <v>35217</v>
      </c>
      <c r="B118">
        <f>'BLS transition probs'!P28</f>
        <v>1.3993687294820053E-2</v>
      </c>
      <c r="C118">
        <f>'BLS transition probs'!Q28</f>
        <v>0.27061461211884047</v>
      </c>
      <c r="D118">
        <f>'BLS transition probs'!R28</f>
        <v>2.8247900008812291E-2</v>
      </c>
      <c r="E118">
        <f>'BLS transition probs'!S28</f>
        <v>0.23617754492329937</v>
      </c>
      <c r="F118">
        <f>'BLS transition probs'!T28</f>
        <v>2.5350227686326308E-2</v>
      </c>
      <c r="G118">
        <f>'BLS transition probs'!U28</f>
        <v>4.6595715356480195E-2</v>
      </c>
    </row>
    <row r="119" spans="1:7" x14ac:dyDescent="0.25">
      <c r="A119" s="2">
        <f t="shared" si="1"/>
        <v>35309</v>
      </c>
      <c r="B119">
        <f>'BLS transition probs'!P29</f>
        <v>1.3634664463406223E-2</v>
      </c>
      <c r="C119">
        <f>'BLS transition probs'!Q29</f>
        <v>0.28645214070745867</v>
      </c>
      <c r="D119">
        <f>'BLS transition probs'!R29</f>
        <v>2.8236764355975368E-2</v>
      </c>
      <c r="E119">
        <f>'BLS transition probs'!S29</f>
        <v>0.23056814931440259</v>
      </c>
      <c r="F119">
        <f>'BLS transition probs'!T29</f>
        <v>2.5838918769868668E-2</v>
      </c>
      <c r="G119">
        <f>'BLS transition probs'!U29</f>
        <v>4.7628057107379856E-2</v>
      </c>
    </row>
    <row r="120" spans="1:7" x14ac:dyDescent="0.25">
      <c r="A120" s="2">
        <f t="shared" si="1"/>
        <v>35400</v>
      </c>
      <c r="B120">
        <f>'BLS transition probs'!P30</f>
        <v>1.3358141594943593E-2</v>
      </c>
      <c r="C120">
        <f>'BLS transition probs'!Q30</f>
        <v>0.27859173792651099</v>
      </c>
      <c r="D120">
        <f>'BLS transition probs'!R30</f>
        <v>2.8487206382962271E-2</v>
      </c>
      <c r="E120">
        <f>'BLS transition probs'!S30</f>
        <v>0.21996764594963233</v>
      </c>
      <c r="F120">
        <f>'BLS transition probs'!T30</f>
        <v>2.4953359599745688E-2</v>
      </c>
      <c r="G120">
        <f>'BLS transition probs'!U30</f>
        <v>4.3860679572827486E-2</v>
      </c>
    </row>
    <row r="121" spans="1:7" x14ac:dyDescent="0.25">
      <c r="A121" s="2">
        <f t="shared" si="1"/>
        <v>35490</v>
      </c>
      <c r="B121">
        <f>'BLS transition probs'!P31</f>
        <v>1.3791802245201582E-2</v>
      </c>
      <c r="C121">
        <f>'BLS transition probs'!Q31</f>
        <v>0.29359068562991325</v>
      </c>
      <c r="D121">
        <f>'BLS transition probs'!R31</f>
        <v>2.7483405341590401E-2</v>
      </c>
      <c r="E121">
        <f>'BLS transition probs'!S31</f>
        <v>0.2242618642775509</v>
      </c>
      <c r="F121">
        <f>'BLS transition probs'!T31</f>
        <v>2.6242289597381868E-2</v>
      </c>
      <c r="G121">
        <f>'BLS transition probs'!U31</f>
        <v>4.792851082693967E-2</v>
      </c>
    </row>
    <row r="122" spans="1:7" x14ac:dyDescent="0.25">
      <c r="A122" s="2">
        <f t="shared" si="1"/>
        <v>35582</v>
      </c>
      <c r="B122">
        <f>'BLS transition probs'!P32</f>
        <v>1.3490849886799097E-2</v>
      </c>
      <c r="C122">
        <f>'BLS transition probs'!Q32</f>
        <v>0.29324102971391136</v>
      </c>
      <c r="D122">
        <f>'BLS transition probs'!R32</f>
        <v>2.6490838559674105E-2</v>
      </c>
      <c r="E122">
        <f>'BLS transition probs'!S32</f>
        <v>0.23257936413978561</v>
      </c>
      <c r="F122">
        <f>'BLS transition probs'!T32</f>
        <v>2.5840091782915187E-2</v>
      </c>
      <c r="G122">
        <f>'BLS transition probs'!U32</f>
        <v>4.7312161335325897E-2</v>
      </c>
    </row>
    <row r="123" spans="1:7" x14ac:dyDescent="0.25">
      <c r="A123" s="2">
        <f t="shared" si="1"/>
        <v>35674</v>
      </c>
      <c r="B123">
        <f>'BLS transition probs'!P33</f>
        <v>1.266587538738456E-2</v>
      </c>
      <c r="C123">
        <f>'BLS transition probs'!Q33</f>
        <v>0.28613298905450363</v>
      </c>
      <c r="D123">
        <f>'BLS transition probs'!R33</f>
        <v>2.6795204240232805E-2</v>
      </c>
      <c r="E123">
        <f>'BLS transition probs'!S33</f>
        <v>0.23683021951474773</v>
      </c>
      <c r="F123">
        <f>'BLS transition probs'!T33</f>
        <v>2.5196371992046756E-2</v>
      </c>
      <c r="G123">
        <f>'BLS transition probs'!U33</f>
        <v>4.6508116581220692E-2</v>
      </c>
    </row>
    <row r="124" spans="1:7" x14ac:dyDescent="0.25">
      <c r="A124" s="2">
        <f t="shared" si="1"/>
        <v>35765</v>
      </c>
      <c r="B124">
        <f>'BLS transition probs'!P34</f>
        <v>1.3218364501560257E-2</v>
      </c>
      <c r="C124">
        <f>'BLS transition probs'!Q34</f>
        <v>0.30146422146715018</v>
      </c>
      <c r="D124">
        <f>'BLS transition probs'!R34</f>
        <v>2.4964060503863902E-2</v>
      </c>
      <c r="E124">
        <f>'BLS transition probs'!S34</f>
        <v>0.23561850340418708</v>
      </c>
      <c r="F124">
        <f>'BLS transition probs'!T34</f>
        <v>2.6041383553190037E-2</v>
      </c>
      <c r="G124">
        <f>'BLS transition probs'!U34</f>
        <v>4.922961971271067E-2</v>
      </c>
    </row>
    <row r="125" spans="1:7" x14ac:dyDescent="0.25">
      <c r="A125" s="2">
        <f t="shared" si="1"/>
        <v>35855</v>
      </c>
      <c r="B125">
        <f>'BLS transition probs'!P35</f>
        <v>1.3298816285358535E-2</v>
      </c>
      <c r="C125">
        <f>'BLS transition probs'!Q35</f>
        <v>0.29903816675367262</v>
      </c>
      <c r="D125">
        <f>'BLS transition probs'!R35</f>
        <v>2.5542831109698797E-2</v>
      </c>
      <c r="E125">
        <f>'BLS transition probs'!S35</f>
        <v>0.24783922693713922</v>
      </c>
      <c r="F125">
        <f>'BLS transition probs'!T35</f>
        <v>2.6164437317676953E-2</v>
      </c>
      <c r="G125">
        <f>'BLS transition probs'!U35</f>
        <v>4.8168769961310066E-2</v>
      </c>
    </row>
    <row r="126" spans="1:7" x14ac:dyDescent="0.25">
      <c r="A126" s="2">
        <f t="shared" si="1"/>
        <v>35947</v>
      </c>
      <c r="B126">
        <f>'BLS transition probs'!P36</f>
        <v>1.2464393560837351E-2</v>
      </c>
      <c r="C126">
        <f>'BLS transition probs'!Q36</f>
        <v>0.30991095580960321</v>
      </c>
      <c r="D126">
        <f>'BLS transition probs'!R36</f>
        <v>2.4146866438311782E-2</v>
      </c>
      <c r="E126">
        <f>'BLS transition probs'!S36</f>
        <v>0.23582890378074661</v>
      </c>
      <c r="F126">
        <f>'BLS transition probs'!T36</f>
        <v>2.6693441135577034E-2</v>
      </c>
      <c r="G126">
        <f>'BLS transition probs'!U36</f>
        <v>4.848870099924598E-2</v>
      </c>
    </row>
    <row r="127" spans="1:7" x14ac:dyDescent="0.25">
      <c r="A127" s="2">
        <f t="shared" si="1"/>
        <v>36039</v>
      </c>
      <c r="B127">
        <f>'BLS transition probs'!P37</f>
        <v>1.3150967113570618E-2</v>
      </c>
      <c r="C127">
        <f>'BLS transition probs'!Q37</f>
        <v>0.30917558755309038</v>
      </c>
      <c r="D127">
        <f>'BLS transition probs'!R37</f>
        <v>2.466160360685167E-2</v>
      </c>
      <c r="E127">
        <f>'BLS transition probs'!S37</f>
        <v>0.23490861921194939</v>
      </c>
      <c r="F127">
        <f>'BLS transition probs'!T37</f>
        <v>2.7941582158783267E-2</v>
      </c>
      <c r="G127">
        <f>'BLS transition probs'!U37</f>
        <v>5.3325900869707683E-2</v>
      </c>
    </row>
    <row r="128" spans="1:7" x14ac:dyDescent="0.25">
      <c r="A128" s="2">
        <f t="shared" si="1"/>
        <v>36130</v>
      </c>
      <c r="B128">
        <f>'BLS transition probs'!P38</f>
        <v>1.2814355281980995E-2</v>
      </c>
      <c r="C128">
        <f>'BLS transition probs'!Q38</f>
        <v>0.30734848924313268</v>
      </c>
      <c r="D128">
        <f>'BLS transition probs'!R38</f>
        <v>2.4747408703264081E-2</v>
      </c>
      <c r="E128">
        <f>'BLS transition probs'!S38</f>
        <v>0.25072760576623998</v>
      </c>
      <c r="F128">
        <f>'BLS transition probs'!T38</f>
        <v>2.7926123994780071E-2</v>
      </c>
      <c r="G128">
        <f>'BLS transition probs'!U38</f>
        <v>5.2444208513999141E-2</v>
      </c>
    </row>
    <row r="129" spans="1:7" x14ac:dyDescent="0.25">
      <c r="A129" s="2">
        <f t="shared" si="1"/>
        <v>36220</v>
      </c>
      <c r="B129">
        <f>'BLS transition probs'!P39</f>
        <v>1.2303514811397418E-2</v>
      </c>
      <c r="C129">
        <f>'BLS transition probs'!Q39</f>
        <v>0.3186998425697623</v>
      </c>
      <c r="D129">
        <f>'BLS transition probs'!R39</f>
        <v>2.435963994603112E-2</v>
      </c>
      <c r="E129">
        <f>'BLS transition probs'!S39</f>
        <v>0.24289878169777435</v>
      </c>
      <c r="F129">
        <f>'BLS transition probs'!T39</f>
        <v>2.792299616644545E-2</v>
      </c>
      <c r="G129">
        <f>'BLS transition probs'!U39</f>
        <v>5.0987537070209137E-2</v>
      </c>
    </row>
    <row r="130" spans="1:7" x14ac:dyDescent="0.25">
      <c r="A130" s="2">
        <f t="shared" si="1"/>
        <v>36312</v>
      </c>
      <c r="B130">
        <f>'BLS transition probs'!P40</f>
        <v>1.2597402454095909E-2</v>
      </c>
      <c r="C130">
        <f>'BLS transition probs'!Q40</f>
        <v>0.30429305177582644</v>
      </c>
      <c r="D130">
        <f>'BLS transition probs'!R40</f>
        <v>2.2927723968068216E-2</v>
      </c>
      <c r="E130">
        <f>'BLS transition probs'!S40</f>
        <v>0.243403335739065</v>
      </c>
      <c r="F130">
        <f>'BLS transition probs'!T40</f>
        <v>2.7952475255944475E-2</v>
      </c>
      <c r="G130">
        <f>'BLS transition probs'!U40</f>
        <v>5.4030765503425338E-2</v>
      </c>
    </row>
    <row r="131" spans="1:7" x14ac:dyDescent="0.25">
      <c r="A131" s="2">
        <f t="shared" si="1"/>
        <v>36404</v>
      </c>
      <c r="B131">
        <f>'BLS transition probs'!P41</f>
        <v>1.1841365078213718E-2</v>
      </c>
      <c r="C131">
        <f>'BLS transition probs'!Q41</f>
        <v>0.31789270466350844</v>
      </c>
      <c r="D131">
        <f>'BLS transition probs'!R41</f>
        <v>2.3841985018033345E-2</v>
      </c>
      <c r="E131">
        <f>'BLS transition probs'!S41</f>
        <v>0.22812150286305252</v>
      </c>
      <c r="F131">
        <f>'BLS transition probs'!T41</f>
        <v>2.8575293135697798E-2</v>
      </c>
      <c r="G131">
        <f>'BLS transition probs'!U41</f>
        <v>5.2017267829326197E-2</v>
      </c>
    </row>
    <row r="132" spans="1:7" x14ac:dyDescent="0.25">
      <c r="A132" s="2">
        <f t="shared" ref="A132:A188" si="2">DATE(YEAR(A131),MONTH(A131)+3,1)</f>
        <v>36495</v>
      </c>
      <c r="B132">
        <f>'BLS transition probs'!P42</f>
        <v>1.2054457338541233E-2</v>
      </c>
      <c r="C132">
        <f>'BLS transition probs'!Q42</f>
        <v>0.33130091714817039</v>
      </c>
      <c r="D132">
        <f>'BLS transition probs'!R42</f>
        <v>2.3573051944531891E-2</v>
      </c>
      <c r="E132">
        <f>'BLS transition probs'!S42</f>
        <v>0.24480501054203638</v>
      </c>
      <c r="F132">
        <f>'BLS transition probs'!T42</f>
        <v>2.7434513831367635E-2</v>
      </c>
      <c r="G132">
        <f>'BLS transition probs'!U42</f>
        <v>5.2195635278849017E-2</v>
      </c>
    </row>
    <row r="133" spans="1:7" x14ac:dyDescent="0.25">
      <c r="A133" s="2">
        <f t="shared" si="2"/>
        <v>36586</v>
      </c>
      <c r="B133">
        <f>'BLS transition probs'!P43</f>
        <v>1.2111878075742608E-2</v>
      </c>
      <c r="C133">
        <f>'BLS transition probs'!Q43</f>
        <v>0.33012352058111744</v>
      </c>
      <c r="D133">
        <f>'BLS transition probs'!R43</f>
        <v>2.3184357784090042E-2</v>
      </c>
      <c r="E133">
        <f>'BLS transition probs'!S43</f>
        <v>0.23809073471530551</v>
      </c>
      <c r="F133">
        <f>'BLS transition probs'!T43</f>
        <v>2.7292880173988732E-2</v>
      </c>
      <c r="G133">
        <f>'BLS transition probs'!U43</f>
        <v>5.2456698515497634E-2</v>
      </c>
    </row>
    <row r="134" spans="1:7" x14ac:dyDescent="0.25">
      <c r="A134" s="2">
        <f t="shared" si="2"/>
        <v>36678</v>
      </c>
      <c r="B134">
        <f>'BLS transition probs'!P44</f>
        <v>1.1730791846733445E-2</v>
      </c>
      <c r="C134">
        <f>'BLS transition probs'!Q44</f>
        <v>0.32084944102549651</v>
      </c>
      <c r="D134">
        <f>'BLS transition probs'!R44</f>
        <v>2.2843604657009992E-2</v>
      </c>
      <c r="E134">
        <f>'BLS transition probs'!S44</f>
        <v>0.25146396284118</v>
      </c>
      <c r="F134">
        <f>'BLS transition probs'!T44</f>
        <v>2.7359890884546142E-2</v>
      </c>
      <c r="G134">
        <f>'BLS transition probs'!U44</f>
        <v>5.0536804631419269E-2</v>
      </c>
    </row>
    <row r="135" spans="1:7" x14ac:dyDescent="0.25">
      <c r="A135" s="2">
        <f t="shared" si="2"/>
        <v>36770</v>
      </c>
      <c r="B135">
        <f>'BLS transition probs'!P45</f>
        <v>1.2464068825062893E-2</v>
      </c>
      <c r="C135">
        <f>'BLS transition probs'!Q45</f>
        <v>0.32429091595553089</v>
      </c>
      <c r="D135">
        <f>'BLS transition probs'!R45</f>
        <v>2.167265836149419E-2</v>
      </c>
      <c r="E135">
        <f>'BLS transition probs'!S45</f>
        <v>0.2437669794214592</v>
      </c>
      <c r="F135">
        <f>'BLS transition probs'!T45</f>
        <v>2.8053579365648926E-2</v>
      </c>
      <c r="G135">
        <f>'BLS transition probs'!U45</f>
        <v>5.0732085607992104E-2</v>
      </c>
    </row>
    <row r="136" spans="1:7" x14ac:dyDescent="0.25">
      <c r="A136" s="2">
        <f t="shared" si="2"/>
        <v>36861</v>
      </c>
      <c r="B136">
        <f>'BLS transition probs'!P46</f>
        <v>1.0856039383091367E-2</v>
      </c>
      <c r="C136">
        <f>'BLS transition probs'!Q46</f>
        <v>0.31507462718544743</v>
      </c>
      <c r="D136">
        <f>'BLS transition probs'!R46</f>
        <v>2.1607103293370844E-2</v>
      </c>
      <c r="E136">
        <f>'BLS transition probs'!S46</f>
        <v>0.2267997597620898</v>
      </c>
      <c r="F136">
        <f>'BLS transition probs'!T46</f>
        <v>2.8133291659483538E-2</v>
      </c>
      <c r="G136">
        <f>'BLS transition probs'!U46</f>
        <v>5.3252688619681875E-2</v>
      </c>
    </row>
    <row r="137" spans="1:7" x14ac:dyDescent="0.25">
      <c r="A137" s="2">
        <f t="shared" si="2"/>
        <v>36951</v>
      </c>
      <c r="B137">
        <f>'BLS transition probs'!P47</f>
        <v>1.2757829471036592E-2</v>
      </c>
      <c r="C137">
        <f>'BLS transition probs'!Q47</f>
        <v>0.31045816746208721</v>
      </c>
      <c r="D137">
        <f>'BLS transition probs'!R47</f>
        <v>2.3028986887352786E-2</v>
      </c>
      <c r="E137">
        <f>'BLS transition probs'!S47</f>
        <v>0.23481312470823454</v>
      </c>
      <c r="F137">
        <f>'BLS transition probs'!T47</f>
        <v>2.8812698596064664E-2</v>
      </c>
      <c r="G137">
        <f>'BLS transition probs'!U47</f>
        <v>5.5239856277694795E-2</v>
      </c>
    </row>
    <row r="138" spans="1:7" x14ac:dyDescent="0.25">
      <c r="A138" s="2">
        <f t="shared" si="2"/>
        <v>37043</v>
      </c>
      <c r="B138">
        <f>'BLS transition probs'!P48</f>
        <v>1.3378141421118504E-2</v>
      </c>
      <c r="C138">
        <f>'BLS transition probs'!Q48</f>
        <v>0.31128254593778887</v>
      </c>
      <c r="D138">
        <f>'BLS transition probs'!R48</f>
        <v>2.3403366682107057E-2</v>
      </c>
      <c r="E138">
        <f>'BLS transition probs'!S48</f>
        <v>0.23802169564774323</v>
      </c>
      <c r="F138">
        <f>'BLS transition probs'!T48</f>
        <v>2.9874573685950839E-2</v>
      </c>
      <c r="G138">
        <f>'BLS transition probs'!U48</f>
        <v>5.1355401873508705E-2</v>
      </c>
    </row>
    <row r="139" spans="1:7" x14ac:dyDescent="0.25">
      <c r="A139" s="2">
        <f t="shared" si="2"/>
        <v>37135</v>
      </c>
      <c r="B139">
        <f>'BLS transition probs'!P49</f>
        <v>1.3656566287204618E-2</v>
      </c>
      <c r="C139">
        <f>'BLS transition probs'!Q49</f>
        <v>0.29427166386317644</v>
      </c>
      <c r="D139">
        <f>'BLS transition probs'!R49</f>
        <v>2.4982868424584196E-2</v>
      </c>
      <c r="E139">
        <f>'BLS transition probs'!S49</f>
        <v>0.22184420399581484</v>
      </c>
      <c r="F139">
        <f>'BLS transition probs'!T49</f>
        <v>3.0201415415696431E-2</v>
      </c>
      <c r="G139">
        <f>'BLS transition probs'!U49</f>
        <v>5.4765335212976919E-2</v>
      </c>
    </row>
    <row r="140" spans="1:7" x14ac:dyDescent="0.25">
      <c r="A140" s="2">
        <f t="shared" si="2"/>
        <v>37226</v>
      </c>
      <c r="B140">
        <f>'BLS transition probs'!P50</f>
        <v>1.4945956724267824E-2</v>
      </c>
      <c r="C140">
        <f>'BLS transition probs'!Q50</f>
        <v>0.26994933624105372</v>
      </c>
      <c r="D140">
        <f>'BLS transition probs'!R50</f>
        <v>2.7589760386876643E-2</v>
      </c>
      <c r="E140">
        <f>'BLS transition probs'!S50</f>
        <v>0.21323369602850342</v>
      </c>
      <c r="F140">
        <f>'BLS transition probs'!T50</f>
        <v>2.8064900652832844E-2</v>
      </c>
      <c r="G140">
        <f>'BLS transition probs'!U50</f>
        <v>4.8516102494061325E-2</v>
      </c>
    </row>
    <row r="141" spans="1:7" x14ac:dyDescent="0.25">
      <c r="A141" s="2">
        <f t="shared" si="2"/>
        <v>37316</v>
      </c>
      <c r="B141">
        <f>'BLS transition probs'!P51</f>
        <v>1.4611550539466847E-2</v>
      </c>
      <c r="C141">
        <f>'BLS transition probs'!Q51</f>
        <v>0.2691995865133206</v>
      </c>
      <c r="D141">
        <f>'BLS transition probs'!R51</f>
        <v>2.6440811761235722E-2</v>
      </c>
      <c r="E141">
        <f>'BLS transition probs'!S51</f>
        <v>0.20515859422568594</v>
      </c>
      <c r="F141">
        <f>'BLS transition probs'!T51</f>
        <v>2.7699440506971335E-2</v>
      </c>
      <c r="G141">
        <f>'BLS transition probs'!U51</f>
        <v>4.9308946679156307E-2</v>
      </c>
    </row>
    <row r="142" spans="1:7" x14ac:dyDescent="0.25">
      <c r="A142" s="2">
        <f t="shared" si="2"/>
        <v>37408</v>
      </c>
      <c r="B142">
        <f>'BLS transition probs'!P52</f>
        <v>1.4171262158272496E-2</v>
      </c>
      <c r="C142">
        <f>'BLS transition probs'!Q52</f>
        <v>0.24551781236523337</v>
      </c>
      <c r="D142">
        <f>'BLS transition probs'!R52</f>
        <v>2.6248522454127052E-2</v>
      </c>
      <c r="E142">
        <f>'BLS transition probs'!S52</f>
        <v>0.20747299015438839</v>
      </c>
      <c r="F142">
        <f>'BLS transition probs'!T52</f>
        <v>2.838672423044164E-2</v>
      </c>
      <c r="G142">
        <f>'BLS transition probs'!U52</f>
        <v>5.1889971831253733E-2</v>
      </c>
    </row>
    <row r="143" spans="1:7" x14ac:dyDescent="0.25">
      <c r="A143" s="2">
        <f t="shared" si="2"/>
        <v>37500</v>
      </c>
      <c r="B143">
        <f>'BLS transition probs'!P53</f>
        <v>1.4033267231403855E-2</v>
      </c>
      <c r="C143">
        <f>'BLS transition probs'!Q53</f>
        <v>0.25450272599271911</v>
      </c>
      <c r="D143">
        <f>'BLS transition probs'!R53</f>
        <v>2.670056251655915E-2</v>
      </c>
      <c r="E143">
        <f>'BLS transition probs'!S53</f>
        <v>0.21529777584268658</v>
      </c>
      <c r="F143">
        <f>'BLS transition probs'!T53</f>
        <v>2.6411596462747797E-2</v>
      </c>
      <c r="G143">
        <f>'BLS transition probs'!U53</f>
        <v>4.9893125904612867E-2</v>
      </c>
    </row>
    <row r="144" spans="1:7" x14ac:dyDescent="0.25">
      <c r="A144" s="2">
        <f t="shared" si="2"/>
        <v>37591</v>
      </c>
      <c r="B144">
        <f>'BLS transition probs'!P54</f>
        <v>1.4518679823312156E-2</v>
      </c>
      <c r="C144">
        <f>'BLS transition probs'!Q54</f>
        <v>0.23841047235381851</v>
      </c>
      <c r="D144">
        <f>'BLS transition probs'!R54</f>
        <v>2.5936836237816285E-2</v>
      </c>
      <c r="E144">
        <f>'BLS transition probs'!S54</f>
        <v>0.21434301937207259</v>
      </c>
      <c r="F144">
        <f>'BLS transition probs'!T54</f>
        <v>2.8469703530591906E-2</v>
      </c>
      <c r="G144">
        <f>'BLS transition probs'!U54</f>
        <v>4.8703459853011645E-2</v>
      </c>
    </row>
    <row r="145" spans="1:7" x14ac:dyDescent="0.25">
      <c r="A145" s="2">
        <f t="shared" si="2"/>
        <v>37681</v>
      </c>
      <c r="B145">
        <f>'BLS transition probs'!P55</f>
        <v>1.4230796142722005E-2</v>
      </c>
      <c r="C145">
        <f>'BLS transition probs'!Q55</f>
        <v>0.23814778658167915</v>
      </c>
      <c r="D145">
        <f>'BLS transition probs'!R55</f>
        <v>2.6713037537957413E-2</v>
      </c>
      <c r="E145">
        <f>'BLS transition probs'!S55</f>
        <v>0.22490122143286936</v>
      </c>
      <c r="F145">
        <f>'BLS transition probs'!T55</f>
        <v>2.724098010866732E-2</v>
      </c>
      <c r="G145">
        <f>'BLS transition probs'!U55</f>
        <v>5.0299270059516489E-2</v>
      </c>
    </row>
    <row r="146" spans="1:7" x14ac:dyDescent="0.25">
      <c r="A146" s="2">
        <f t="shared" si="2"/>
        <v>37773</v>
      </c>
      <c r="B146">
        <f>'BLS transition probs'!P56</f>
        <v>1.4364590883476559E-2</v>
      </c>
      <c r="C146">
        <f>'BLS transition probs'!Q56</f>
        <v>0.23684513136134941</v>
      </c>
      <c r="D146">
        <f>'BLS transition probs'!R56</f>
        <v>2.8948374396327314E-2</v>
      </c>
      <c r="E146">
        <f>'BLS transition probs'!S56</f>
        <v>0.20855449324536535</v>
      </c>
      <c r="F146">
        <f>'BLS transition probs'!T56</f>
        <v>2.6843571343708569E-2</v>
      </c>
      <c r="G146">
        <f>'BLS transition probs'!U56</f>
        <v>4.8927142549928609E-2</v>
      </c>
    </row>
    <row r="147" spans="1:7" x14ac:dyDescent="0.25">
      <c r="A147" s="2">
        <f t="shared" si="2"/>
        <v>37865</v>
      </c>
      <c r="B147">
        <f>'BLS transition probs'!P57</f>
        <v>1.418118099252764E-2</v>
      </c>
      <c r="C147">
        <f>'BLS transition probs'!Q57</f>
        <v>0.23204892668495355</v>
      </c>
      <c r="D147">
        <f>'BLS transition probs'!R57</f>
        <v>2.6743320927909629E-2</v>
      </c>
      <c r="E147">
        <f>'BLS transition probs'!S57</f>
        <v>0.21834569584807814</v>
      </c>
      <c r="F147">
        <f>'BLS transition probs'!T57</f>
        <v>2.8460008606087817E-2</v>
      </c>
      <c r="G147">
        <f>'BLS transition probs'!U57</f>
        <v>4.8886887322460819E-2</v>
      </c>
    </row>
    <row r="148" spans="1:7" x14ac:dyDescent="0.25">
      <c r="A148" s="2">
        <f t="shared" si="2"/>
        <v>37956</v>
      </c>
      <c r="B148">
        <f>'BLS transition probs'!P58</f>
        <v>1.3251810052099099E-2</v>
      </c>
      <c r="C148">
        <f>'BLS transition probs'!Q58</f>
        <v>0.24538653869078153</v>
      </c>
      <c r="D148">
        <f>'BLS transition probs'!R58</f>
        <v>2.6637130014997689E-2</v>
      </c>
      <c r="E148">
        <f>'BLS transition probs'!S58</f>
        <v>0.21858709998760847</v>
      </c>
      <c r="F148">
        <f>'BLS transition probs'!T58</f>
        <v>2.7970833027312691E-2</v>
      </c>
      <c r="G148">
        <f>'BLS transition probs'!U58</f>
        <v>4.9899466387517771E-2</v>
      </c>
    </row>
    <row r="149" spans="1:7" x14ac:dyDescent="0.25">
      <c r="A149" s="2">
        <f t="shared" si="2"/>
        <v>38047</v>
      </c>
      <c r="B149">
        <f>'BLS transition probs'!P59</f>
        <v>1.2979335719515763E-2</v>
      </c>
      <c r="C149">
        <f>'BLS transition probs'!Q59</f>
        <v>0.24006223144580952</v>
      </c>
      <c r="D149">
        <f>'BLS transition probs'!R59</f>
        <v>2.7322925155240305E-2</v>
      </c>
      <c r="E149">
        <f>'BLS transition probs'!S59</f>
        <v>0.22051336209131603</v>
      </c>
      <c r="F149">
        <f>'BLS transition probs'!T59</f>
        <v>2.7496976919118413E-2</v>
      </c>
      <c r="G149">
        <f>'BLS transition probs'!U59</f>
        <v>4.8606427934002487E-2</v>
      </c>
    </row>
    <row r="150" spans="1:7" x14ac:dyDescent="0.25">
      <c r="A150" s="2">
        <f t="shared" si="2"/>
        <v>38139</v>
      </c>
      <c r="B150">
        <f>'BLS transition probs'!P60</f>
        <v>1.3017326811010943E-2</v>
      </c>
      <c r="C150">
        <f>'BLS transition probs'!Q60</f>
        <v>0.251955962423073</v>
      </c>
      <c r="D150">
        <f>'BLS transition probs'!R60</f>
        <v>2.6465114355550254E-2</v>
      </c>
      <c r="E150">
        <f>'BLS transition probs'!S60</f>
        <v>0.21875863759585354</v>
      </c>
      <c r="F150">
        <f>'BLS transition probs'!T60</f>
        <v>2.7153253709498244E-2</v>
      </c>
      <c r="G150">
        <f>'BLS transition probs'!U60</f>
        <v>4.8404611071939142E-2</v>
      </c>
    </row>
    <row r="151" spans="1:7" x14ac:dyDescent="0.25">
      <c r="A151" s="2">
        <f t="shared" si="2"/>
        <v>38231</v>
      </c>
      <c r="B151">
        <f>'BLS transition probs'!P61</f>
        <v>1.3358487954349409E-2</v>
      </c>
      <c r="C151">
        <f>'BLS transition probs'!Q61</f>
        <v>0.25750279251296648</v>
      </c>
      <c r="D151">
        <f>'BLS transition probs'!R61</f>
        <v>2.6196922273067167E-2</v>
      </c>
      <c r="E151">
        <f>'BLS transition probs'!S61</f>
        <v>0.233778386916911</v>
      </c>
      <c r="F151">
        <f>'BLS transition probs'!T61</f>
        <v>2.8302093717761333E-2</v>
      </c>
      <c r="G151">
        <f>'BLS transition probs'!U61</f>
        <v>4.932253575603366E-2</v>
      </c>
    </row>
    <row r="152" spans="1:7" x14ac:dyDescent="0.25">
      <c r="A152" s="2">
        <f t="shared" si="2"/>
        <v>38322</v>
      </c>
      <c r="B152">
        <f>'BLS transition probs'!P62</f>
        <v>1.3205621510021743E-2</v>
      </c>
      <c r="C152">
        <f>'BLS transition probs'!Q62</f>
        <v>0.26613188594451126</v>
      </c>
      <c r="D152">
        <f>'BLS transition probs'!R62</f>
        <v>2.6580797475383888E-2</v>
      </c>
      <c r="E152">
        <f>'BLS transition probs'!S62</f>
        <v>0.22228997374483681</v>
      </c>
      <c r="F152">
        <f>'BLS transition probs'!T62</f>
        <v>2.8484034260374293E-2</v>
      </c>
      <c r="G152">
        <f>'BLS transition probs'!U62</f>
        <v>5.0346674079101185E-2</v>
      </c>
    </row>
    <row r="153" spans="1:7" x14ac:dyDescent="0.25">
      <c r="A153" s="2">
        <f t="shared" si="2"/>
        <v>38412</v>
      </c>
      <c r="B153">
        <f>'BLS transition probs'!P63</f>
        <v>1.2827143485967946E-2</v>
      </c>
      <c r="C153">
        <f>'BLS transition probs'!Q63</f>
        <v>0.25962809700345429</v>
      </c>
      <c r="D153">
        <f>'BLS transition probs'!R63</f>
        <v>2.4926049441235509E-2</v>
      </c>
      <c r="E153">
        <f>'BLS transition probs'!S63</f>
        <v>0.22078295931215139</v>
      </c>
      <c r="F153">
        <f>'BLS transition probs'!T63</f>
        <v>2.7843108424187638E-2</v>
      </c>
      <c r="G153">
        <f>'BLS transition probs'!U63</f>
        <v>4.9390896483535091E-2</v>
      </c>
    </row>
    <row r="154" spans="1:7" x14ac:dyDescent="0.25">
      <c r="A154" s="2">
        <f t="shared" si="2"/>
        <v>38504</v>
      </c>
      <c r="B154">
        <f>'BLS transition probs'!P64</f>
        <v>1.240000314947527E-2</v>
      </c>
      <c r="C154">
        <f>'BLS transition probs'!Q64</f>
        <v>0.26091078574503856</v>
      </c>
      <c r="D154">
        <f>'BLS transition probs'!R64</f>
        <v>2.5128052475003868E-2</v>
      </c>
      <c r="E154">
        <f>'BLS transition probs'!S64</f>
        <v>0.23038652416642891</v>
      </c>
      <c r="F154">
        <f>'BLS transition probs'!T64</f>
        <v>2.7437086311414241E-2</v>
      </c>
      <c r="G154">
        <f>'BLS transition probs'!U64</f>
        <v>5.1057025958714995E-2</v>
      </c>
    </row>
    <row r="155" spans="1:7" x14ac:dyDescent="0.25">
      <c r="A155" s="2">
        <f t="shared" si="2"/>
        <v>38596</v>
      </c>
      <c r="B155">
        <f>'BLS transition probs'!P65</f>
        <v>1.2682226244374602E-2</v>
      </c>
      <c r="C155">
        <f>'BLS transition probs'!Q65</f>
        <v>0.2655456280938886</v>
      </c>
      <c r="D155">
        <f>'BLS transition probs'!R65</f>
        <v>2.5113343697283491E-2</v>
      </c>
      <c r="E155">
        <f>'BLS transition probs'!S65</f>
        <v>0.23869395310312122</v>
      </c>
      <c r="F155">
        <f>'BLS transition probs'!T65</f>
        <v>2.7693338251720889E-2</v>
      </c>
      <c r="G155">
        <f>'BLS transition probs'!U65</f>
        <v>5.110511355879966E-2</v>
      </c>
    </row>
    <row r="156" spans="1:7" x14ac:dyDescent="0.25">
      <c r="A156" s="2">
        <f t="shared" si="2"/>
        <v>38687</v>
      </c>
      <c r="B156">
        <f>'BLS transition probs'!P66</f>
        <v>1.2055325539838428E-2</v>
      </c>
      <c r="C156">
        <f>'BLS transition probs'!Q66</f>
        <v>0.26471384853410829</v>
      </c>
      <c r="D156">
        <f>'BLS transition probs'!R66</f>
        <v>2.5888186008062114E-2</v>
      </c>
      <c r="E156">
        <f>'BLS transition probs'!S66</f>
        <v>0.24504732410478458</v>
      </c>
      <c r="F156">
        <f>'BLS transition probs'!T66</f>
        <v>2.8485335280420344E-2</v>
      </c>
      <c r="G156">
        <f>'BLS transition probs'!U66</f>
        <v>5.0138119930369984E-2</v>
      </c>
    </row>
    <row r="157" spans="1:7" x14ac:dyDescent="0.25">
      <c r="A157" s="2">
        <f t="shared" si="2"/>
        <v>38777</v>
      </c>
      <c r="B157">
        <f>'BLS transition probs'!P67</f>
        <v>1.1679471413711166E-2</v>
      </c>
      <c r="C157">
        <f>'BLS transition probs'!Q67</f>
        <v>0.26974072475078431</v>
      </c>
      <c r="D157">
        <f>'BLS transition probs'!R67</f>
        <v>2.4725508857975226E-2</v>
      </c>
      <c r="E157">
        <f>'BLS transition probs'!S67</f>
        <v>0.2422935659364864</v>
      </c>
      <c r="F157">
        <f>'BLS transition probs'!T67</f>
        <v>2.7335865381688931E-2</v>
      </c>
      <c r="G157">
        <f>'BLS transition probs'!U67</f>
        <v>5.143363306939211E-2</v>
      </c>
    </row>
    <row r="158" spans="1:7" x14ac:dyDescent="0.25">
      <c r="A158" s="2">
        <f t="shared" si="2"/>
        <v>38869</v>
      </c>
      <c r="B158">
        <f>'BLS transition probs'!P68</f>
        <v>1.2484316929108124E-2</v>
      </c>
      <c r="C158">
        <f>'BLS transition probs'!Q68</f>
        <v>0.28323850308809462</v>
      </c>
      <c r="D158">
        <f>'BLS transition probs'!R68</f>
        <v>2.4503762726809392E-2</v>
      </c>
      <c r="E158">
        <f>'BLS transition probs'!S68</f>
        <v>0.24618641446940173</v>
      </c>
      <c r="F158">
        <f>'BLS transition probs'!T68</f>
        <v>2.8955867376168804E-2</v>
      </c>
      <c r="G158">
        <f>'BLS transition probs'!U68</f>
        <v>5.2946281987405086E-2</v>
      </c>
    </row>
    <row r="159" spans="1:7" x14ac:dyDescent="0.25">
      <c r="A159" s="2">
        <f t="shared" si="2"/>
        <v>38961</v>
      </c>
      <c r="B159">
        <f>'BLS transition probs'!P69</f>
        <v>1.2433627662252242E-2</v>
      </c>
      <c r="C159">
        <f>'BLS transition probs'!Q69</f>
        <v>0.29001890629057453</v>
      </c>
      <c r="D159">
        <f>'BLS transition probs'!R69</f>
        <v>2.4373703704600427E-2</v>
      </c>
      <c r="E159">
        <f>'BLS transition probs'!S69</f>
        <v>0.24132224473046704</v>
      </c>
      <c r="F159">
        <f>'BLS transition probs'!T69</f>
        <v>2.8819320432490841E-2</v>
      </c>
      <c r="G159">
        <f>'BLS transition probs'!U69</f>
        <v>5.1319654684126866E-2</v>
      </c>
    </row>
    <row r="160" spans="1:7" x14ac:dyDescent="0.25">
      <c r="A160" s="2">
        <f t="shared" si="2"/>
        <v>39052</v>
      </c>
      <c r="B160">
        <f>'BLS transition probs'!P70</f>
        <v>1.2355486313480877E-2</v>
      </c>
      <c r="C160">
        <f>'BLS transition probs'!Q70</f>
        <v>0.28805355510680636</v>
      </c>
      <c r="D160">
        <f>'BLS transition probs'!R70</f>
        <v>2.2208144609444744E-2</v>
      </c>
      <c r="E160">
        <f>'BLS transition probs'!S70</f>
        <v>0.23600229088322591</v>
      </c>
      <c r="F160">
        <f>'BLS transition probs'!T70</f>
        <v>2.8038588875936517E-2</v>
      </c>
      <c r="G160">
        <f>'BLS transition probs'!U70</f>
        <v>5.4460229895393904E-2</v>
      </c>
    </row>
    <row r="161" spans="1:7" x14ac:dyDescent="0.25">
      <c r="A161" s="2">
        <f t="shared" si="2"/>
        <v>39142</v>
      </c>
      <c r="B161">
        <f>'BLS transition probs'!P71</f>
        <v>1.2443786959700482E-2</v>
      </c>
      <c r="C161">
        <f>'BLS transition probs'!Q71</f>
        <v>0.295896268594525</v>
      </c>
      <c r="D161">
        <f>'BLS transition probs'!R71</f>
        <v>2.365527403124516E-2</v>
      </c>
      <c r="E161">
        <f>'BLS transition probs'!S71</f>
        <v>0.23610194499226086</v>
      </c>
      <c r="F161">
        <f>'BLS transition probs'!T71</f>
        <v>2.9236104677211824E-2</v>
      </c>
      <c r="G161">
        <f>'BLS transition probs'!U71</f>
        <v>5.2456841142725585E-2</v>
      </c>
    </row>
    <row r="162" spans="1:7" x14ac:dyDescent="0.25">
      <c r="A162" s="2">
        <f t="shared" si="2"/>
        <v>39234</v>
      </c>
      <c r="B162">
        <f>'BLS transition probs'!P72</f>
        <v>1.1989023108182119E-2</v>
      </c>
      <c r="C162">
        <f>'BLS transition probs'!Q72</f>
        <v>0.27442764386934332</v>
      </c>
      <c r="D162">
        <f>'BLS transition probs'!R72</f>
        <v>2.1967151430470316E-2</v>
      </c>
      <c r="E162">
        <f>'BLS transition probs'!S72</f>
        <v>0.22897292679034689</v>
      </c>
      <c r="F162">
        <f>'BLS transition probs'!T72</f>
        <v>2.8543608605287249E-2</v>
      </c>
      <c r="G162">
        <f>'BLS transition probs'!U72</f>
        <v>4.9519592346396267E-2</v>
      </c>
    </row>
    <row r="163" spans="1:7" x14ac:dyDescent="0.25">
      <c r="A163" s="2">
        <f t="shared" si="2"/>
        <v>39326</v>
      </c>
      <c r="B163">
        <f>'BLS transition probs'!P73</f>
        <v>1.2228856775586184E-2</v>
      </c>
      <c r="C163">
        <f>'BLS transition probs'!Q73</f>
        <v>0.27292599731485839</v>
      </c>
      <c r="D163">
        <f>'BLS transition probs'!R73</f>
        <v>2.243948798059615E-2</v>
      </c>
      <c r="E163">
        <f>'BLS transition probs'!S73</f>
        <v>0.22554065315422664</v>
      </c>
      <c r="F163">
        <f>'BLS transition probs'!T73</f>
        <v>2.7635141606579348E-2</v>
      </c>
      <c r="G163">
        <f>'BLS transition probs'!U73</f>
        <v>4.9290649199018377E-2</v>
      </c>
    </row>
    <row r="164" spans="1:7" x14ac:dyDescent="0.25">
      <c r="A164" s="2">
        <f t="shared" si="2"/>
        <v>39417</v>
      </c>
      <c r="B164">
        <f>'BLS transition probs'!P74</f>
        <v>1.2326555465997752E-2</v>
      </c>
      <c r="C164">
        <f>'BLS transition probs'!Q74</f>
        <v>0.26857406470441852</v>
      </c>
      <c r="D164">
        <f>'BLS transition probs'!R74</f>
        <v>2.3770473812219747E-2</v>
      </c>
      <c r="E164">
        <f>'BLS transition probs'!S74</f>
        <v>0.22314389213564234</v>
      </c>
      <c r="F164">
        <f>'BLS transition probs'!T74</f>
        <v>2.782277417399422E-2</v>
      </c>
      <c r="G164">
        <f>'BLS transition probs'!U74</f>
        <v>4.8832441197140065E-2</v>
      </c>
    </row>
    <row r="165" spans="1:7" x14ac:dyDescent="0.25">
      <c r="A165" s="2">
        <f t="shared" si="2"/>
        <v>39508</v>
      </c>
      <c r="B165">
        <f>'BLS transition probs'!P75</f>
        <v>1.2766770945466412E-2</v>
      </c>
      <c r="C165">
        <f>'BLS transition probs'!Q75</f>
        <v>0.26266299448008334</v>
      </c>
      <c r="D165">
        <f>'BLS transition probs'!R75</f>
        <v>2.3944349367306317E-2</v>
      </c>
      <c r="E165">
        <f>'BLS transition probs'!S75</f>
        <v>0.22568337144288222</v>
      </c>
      <c r="F165">
        <f>'BLS transition probs'!T75</f>
        <v>2.651495017515532E-2</v>
      </c>
      <c r="G165">
        <f>'BLS transition probs'!U75</f>
        <v>4.82710569434045E-2</v>
      </c>
    </row>
    <row r="166" spans="1:7" x14ac:dyDescent="0.25">
      <c r="A166" s="2">
        <f t="shared" si="2"/>
        <v>39600</v>
      </c>
      <c r="B166">
        <f>'BLS transition probs'!P76</f>
        <v>1.3614785007292589E-2</v>
      </c>
      <c r="C166">
        <f>'BLS transition probs'!Q76</f>
        <v>0.25340594990686638</v>
      </c>
      <c r="D166">
        <f>'BLS transition probs'!R76</f>
        <v>2.5924753100892688E-2</v>
      </c>
      <c r="E166">
        <f>'BLS transition probs'!S76</f>
        <v>0.22612297717128382</v>
      </c>
      <c r="F166">
        <f>'BLS transition probs'!T76</f>
        <v>2.6787224525104528E-2</v>
      </c>
      <c r="G166">
        <f>'BLS transition probs'!U76</f>
        <v>4.7029601381628233E-2</v>
      </c>
    </row>
    <row r="167" spans="1:7" x14ac:dyDescent="0.25">
      <c r="A167" s="2">
        <f t="shared" si="2"/>
        <v>39692</v>
      </c>
      <c r="B167">
        <f>'BLS transition probs'!P77</f>
        <v>1.4652177138993699E-2</v>
      </c>
      <c r="C167">
        <f>'BLS transition probs'!Q77</f>
        <v>0.23859262033057449</v>
      </c>
      <c r="D167">
        <f>'BLS transition probs'!R77</f>
        <v>2.7806792097889724E-2</v>
      </c>
      <c r="E167">
        <f>'BLS transition probs'!S77</f>
        <v>0.21290848500197057</v>
      </c>
      <c r="F167">
        <f>'BLS transition probs'!T77</f>
        <v>2.6746342815849533E-2</v>
      </c>
      <c r="G167">
        <f>'BLS transition probs'!U77</f>
        <v>4.5786211288632229E-2</v>
      </c>
    </row>
    <row r="168" spans="1:7" x14ac:dyDescent="0.25">
      <c r="A168" s="2">
        <f t="shared" si="2"/>
        <v>39783</v>
      </c>
      <c r="B168">
        <f>'BLS transition probs'!P78</f>
        <v>1.6786151913764338E-2</v>
      </c>
      <c r="C168">
        <f>'BLS transition probs'!Q78</f>
        <v>0.21031332701431502</v>
      </c>
      <c r="D168">
        <f>'BLS transition probs'!R78</f>
        <v>2.9456177156411661E-2</v>
      </c>
      <c r="E168">
        <f>'BLS transition probs'!S78</f>
        <v>0.21015917303846102</v>
      </c>
      <c r="F168">
        <f>'BLS transition probs'!T78</f>
        <v>2.6188652043015719E-2</v>
      </c>
      <c r="G168">
        <f>'BLS transition probs'!U78</f>
        <v>4.3548631477350504E-2</v>
      </c>
    </row>
    <row r="169" spans="1:7" x14ac:dyDescent="0.25">
      <c r="A169" s="2">
        <f t="shared" si="2"/>
        <v>39873</v>
      </c>
      <c r="B169">
        <f>'BLS transition probs'!P79</f>
        <v>1.9293960826636897E-2</v>
      </c>
      <c r="C169">
        <f>'BLS transition probs'!Q79</f>
        <v>0.18669636141181015</v>
      </c>
      <c r="D169">
        <f>'BLS transition probs'!R79</f>
        <v>3.1723110987201437E-2</v>
      </c>
      <c r="E169">
        <f>'BLS transition probs'!S79</f>
        <v>0.19440505074017911</v>
      </c>
      <c r="F169">
        <f>'BLS transition probs'!T79</f>
        <v>2.6657682200605909E-2</v>
      </c>
      <c r="G169">
        <f>'BLS transition probs'!U79</f>
        <v>4.3336453786143515E-2</v>
      </c>
    </row>
    <row r="170" spans="1:7" x14ac:dyDescent="0.25">
      <c r="A170" s="2">
        <f t="shared" si="2"/>
        <v>39965</v>
      </c>
      <c r="B170">
        <f>'BLS transition probs'!P80</f>
        <v>1.8241509842731807E-2</v>
      </c>
      <c r="C170">
        <f>'BLS transition probs'!Q80</f>
        <v>0.17657126939789256</v>
      </c>
      <c r="D170">
        <f>'BLS transition probs'!R80</f>
        <v>3.4852973794884626E-2</v>
      </c>
      <c r="E170">
        <f>'BLS transition probs'!S80</f>
        <v>0.18136711643752956</v>
      </c>
      <c r="F170">
        <f>'BLS transition probs'!T80</f>
        <v>2.5558580783481815E-2</v>
      </c>
      <c r="G170">
        <f>'BLS transition probs'!U80</f>
        <v>4.233333926395582E-2</v>
      </c>
    </row>
    <row r="171" spans="1:7" x14ac:dyDescent="0.25">
      <c r="A171" s="2">
        <f t="shared" si="2"/>
        <v>40057</v>
      </c>
      <c r="B171">
        <f>'BLS transition probs'!P81</f>
        <v>1.8270357356839045E-2</v>
      </c>
      <c r="C171">
        <f>'BLS transition probs'!Q81</f>
        <v>0.17121704576549659</v>
      </c>
      <c r="D171">
        <f>'BLS transition probs'!R81</f>
        <v>3.4626480798358228E-2</v>
      </c>
      <c r="E171">
        <f>'BLS transition probs'!S81</f>
        <v>0.18823199777518637</v>
      </c>
      <c r="F171">
        <f>'BLS transition probs'!T81</f>
        <v>2.6459244043914087E-2</v>
      </c>
      <c r="G171">
        <f>'BLS transition probs'!U81</f>
        <v>4.0759697665859795E-2</v>
      </c>
    </row>
    <row r="172" spans="1:7" x14ac:dyDescent="0.25">
      <c r="A172" s="2">
        <f t="shared" si="2"/>
        <v>40148</v>
      </c>
      <c r="B172">
        <f>'BLS transition probs'!P82</f>
        <v>1.7270378037682544E-2</v>
      </c>
      <c r="C172">
        <f>'BLS transition probs'!Q82</f>
        <v>0.1589677551410443</v>
      </c>
      <c r="D172">
        <f>'BLS transition probs'!R82</f>
        <v>3.4760421670416534E-2</v>
      </c>
      <c r="E172">
        <f>'BLS transition probs'!S82</f>
        <v>0.18652854841752772</v>
      </c>
      <c r="F172">
        <f>'BLS transition probs'!T82</f>
        <v>2.6097097846457942E-2</v>
      </c>
      <c r="G172">
        <f>'BLS transition probs'!U82</f>
        <v>3.9838728933004386E-2</v>
      </c>
    </row>
    <row r="173" spans="1:7" x14ac:dyDescent="0.25">
      <c r="A173" s="2">
        <f t="shared" si="2"/>
        <v>40238</v>
      </c>
      <c r="B173">
        <f>'BLS transition probs'!P83</f>
        <v>1.658643391925323E-2</v>
      </c>
      <c r="C173">
        <f>'BLS transition probs'!Q83</f>
        <v>0.16864338449242164</v>
      </c>
      <c r="D173">
        <f>'BLS transition probs'!R83</f>
        <v>3.7030615663764643E-2</v>
      </c>
      <c r="E173">
        <f>'BLS transition probs'!S83</f>
        <v>0.18740989422817131</v>
      </c>
      <c r="F173">
        <f>'BLS transition probs'!T83</f>
        <v>2.593288079914971E-2</v>
      </c>
      <c r="G173">
        <f>'BLS transition probs'!U83</f>
        <v>4.3203049711113252E-2</v>
      </c>
    </row>
    <row r="174" spans="1:7" x14ac:dyDescent="0.25">
      <c r="A174" s="2">
        <f t="shared" si="2"/>
        <v>40330</v>
      </c>
      <c r="B174">
        <f>'BLS transition probs'!P84</f>
        <v>1.6311363290553407E-2</v>
      </c>
      <c r="C174">
        <f>'BLS transition probs'!Q84</f>
        <v>0.1724699823418849</v>
      </c>
      <c r="D174">
        <f>'BLS transition probs'!R84</f>
        <v>3.6311306139039067E-2</v>
      </c>
      <c r="E174">
        <f>'BLS transition probs'!S84</f>
        <v>0.19398861544249299</v>
      </c>
      <c r="F174">
        <f>'BLS transition probs'!T84</f>
        <v>2.6103465520545443E-2</v>
      </c>
      <c r="G174">
        <f>'BLS transition probs'!U84</f>
        <v>4.084167780415509E-2</v>
      </c>
    </row>
    <row r="175" spans="1:7" x14ac:dyDescent="0.25">
      <c r="A175" s="2">
        <f t="shared" si="2"/>
        <v>40422</v>
      </c>
      <c r="B175">
        <f>'BLS transition probs'!P85</f>
        <v>1.6659867102592023E-2</v>
      </c>
      <c r="C175">
        <f>'BLS transition probs'!Q85</f>
        <v>0.16782521161865546</v>
      </c>
      <c r="D175">
        <f>'BLS transition probs'!R85</f>
        <v>3.6127922036411936E-2</v>
      </c>
      <c r="E175">
        <f>'BLS transition probs'!S85</f>
        <v>0.19877689891257011</v>
      </c>
      <c r="F175">
        <f>'BLS transition probs'!T85</f>
        <v>2.549081538149044E-2</v>
      </c>
      <c r="G175">
        <f>'BLS transition probs'!U85</f>
        <v>4.1470614619570807E-2</v>
      </c>
    </row>
    <row r="176" spans="1:7" x14ac:dyDescent="0.25">
      <c r="A176" s="2">
        <f t="shared" si="2"/>
        <v>40513</v>
      </c>
      <c r="B176">
        <f>'BLS transition probs'!P86</f>
        <v>1.6830275787102913E-2</v>
      </c>
      <c r="C176">
        <f>'BLS transition probs'!Q86</f>
        <v>0.16936101172198134</v>
      </c>
      <c r="D176">
        <f>'BLS transition probs'!R86</f>
        <v>3.5584396480559111E-2</v>
      </c>
      <c r="E176">
        <f>'BLS transition probs'!S86</f>
        <v>0.19983853422652909</v>
      </c>
      <c r="F176">
        <f>'BLS transition probs'!T86</f>
        <v>2.6957305473928387E-2</v>
      </c>
      <c r="G176">
        <f>'BLS transition probs'!U86</f>
        <v>4.1557639296148634E-2</v>
      </c>
    </row>
    <row r="177" spans="1:7" x14ac:dyDescent="0.25">
      <c r="A177" s="2">
        <f t="shared" si="2"/>
        <v>40603</v>
      </c>
      <c r="B177">
        <f>'BLS transition probs'!P87</f>
        <v>1.5097287909580514E-2</v>
      </c>
      <c r="C177">
        <f>'BLS transition probs'!Q87</f>
        <v>0.16746727925683438</v>
      </c>
      <c r="D177">
        <f>'BLS transition probs'!R87</f>
        <v>3.4325629046389243E-2</v>
      </c>
      <c r="E177">
        <f>'BLS transition probs'!S87</f>
        <v>0.20676418852210224</v>
      </c>
      <c r="F177">
        <f>'BLS transition probs'!T87</f>
        <v>2.6075682444699145E-2</v>
      </c>
      <c r="G177">
        <f>'BLS transition probs'!U87</f>
        <v>4.1716661279074536E-2</v>
      </c>
    </row>
    <row r="178" spans="1:7" x14ac:dyDescent="0.25">
      <c r="A178" s="2">
        <f t="shared" si="2"/>
        <v>40695</v>
      </c>
      <c r="B178">
        <f>'BLS transition probs'!P88</f>
        <v>1.5847550272842108E-2</v>
      </c>
      <c r="C178">
        <f>'BLS transition probs'!Q88</f>
        <v>0.16973840353583181</v>
      </c>
      <c r="D178">
        <f>'BLS transition probs'!R88</f>
        <v>3.5168868208010823E-2</v>
      </c>
      <c r="E178">
        <f>'BLS transition probs'!S88</f>
        <v>0.20370803236796242</v>
      </c>
      <c r="F178">
        <f>'BLS transition probs'!T88</f>
        <v>2.6710831343990219E-2</v>
      </c>
      <c r="G178">
        <f>'BLS transition probs'!U88</f>
        <v>4.0639546973736985E-2</v>
      </c>
    </row>
    <row r="179" spans="1:7" x14ac:dyDescent="0.25">
      <c r="A179" s="2">
        <f t="shared" si="2"/>
        <v>40787</v>
      </c>
      <c r="B179">
        <f>'BLS transition probs'!P89</f>
        <v>1.5667901333624487E-2</v>
      </c>
      <c r="C179">
        <f>'BLS transition probs'!Q89</f>
        <v>0.17231273144791218</v>
      </c>
      <c r="D179">
        <f>'BLS transition probs'!R89</f>
        <v>3.5533093768298607E-2</v>
      </c>
      <c r="E179">
        <f>'BLS transition probs'!S89</f>
        <v>0.20847719254219702</v>
      </c>
      <c r="F179">
        <f>'BLS transition probs'!T89</f>
        <v>2.5888066359584686E-2</v>
      </c>
      <c r="G179">
        <f>'BLS transition probs'!U89</f>
        <v>4.2394004114016302E-2</v>
      </c>
    </row>
    <row r="180" spans="1:7" x14ac:dyDescent="0.25">
      <c r="A180" s="2">
        <f t="shared" si="2"/>
        <v>40878</v>
      </c>
      <c r="B180">
        <f>'BLS transition probs'!P90</f>
        <v>1.5020257910728767E-2</v>
      </c>
      <c r="C180">
        <f>'BLS transition probs'!Q90</f>
        <v>0.18170823579865922</v>
      </c>
      <c r="D180">
        <f>'BLS transition probs'!R90</f>
        <v>3.2396239654405551E-2</v>
      </c>
      <c r="E180">
        <f>'BLS transition probs'!S90</f>
        <v>0.20002997821360313</v>
      </c>
      <c r="F180">
        <f>'BLS transition probs'!T90</f>
        <v>2.6721708746899765E-2</v>
      </c>
      <c r="G180">
        <f>'BLS transition probs'!U90</f>
        <v>4.1519668313379415E-2</v>
      </c>
    </row>
    <row r="181" spans="1:7" x14ac:dyDescent="0.25">
      <c r="A181" s="2">
        <f t="shared" si="2"/>
        <v>40969</v>
      </c>
      <c r="B181">
        <f>'BLS transition probs'!P91</f>
        <v>1.4172856354699769E-2</v>
      </c>
      <c r="C181">
        <f>'BLS transition probs'!Q91</f>
        <v>0.18355695734175434</v>
      </c>
      <c r="D181">
        <f>'BLS transition probs'!R91</f>
        <v>3.3678069065789344E-2</v>
      </c>
      <c r="E181">
        <f>'BLS transition probs'!S91</f>
        <v>0.21294897160722834</v>
      </c>
      <c r="F181">
        <f>'BLS transition probs'!T91</f>
        <v>2.6587912485949439E-2</v>
      </c>
      <c r="G181">
        <f>'BLS transition probs'!U91</f>
        <v>4.0035403674763097E-2</v>
      </c>
    </row>
    <row r="182" spans="1:7" x14ac:dyDescent="0.25">
      <c r="A182" s="2">
        <f t="shared" si="2"/>
        <v>41061</v>
      </c>
      <c r="B182">
        <f>'BLS transition probs'!P92</f>
        <v>1.4127313940853104E-2</v>
      </c>
      <c r="C182">
        <f>'BLS transition probs'!Q92</f>
        <v>0.17990308911700711</v>
      </c>
      <c r="D182">
        <f>'BLS transition probs'!R92</f>
        <v>3.2953084688659866E-2</v>
      </c>
      <c r="E182">
        <f>'BLS transition probs'!S92</f>
        <v>0.20965729190578652</v>
      </c>
      <c r="F182">
        <f>'BLS transition probs'!T92</f>
        <v>2.6716409761785066E-2</v>
      </c>
      <c r="G182">
        <f>'BLS transition probs'!U92</f>
        <v>4.1225676417695166E-2</v>
      </c>
    </row>
    <row r="183" spans="1:7" x14ac:dyDescent="0.25">
      <c r="A183" s="2">
        <f t="shared" si="2"/>
        <v>41153</v>
      </c>
      <c r="B183">
        <f>'BLS transition probs'!P93</f>
        <v>1.4493603288143425E-2</v>
      </c>
      <c r="C183">
        <f>'BLS transition probs'!Q93</f>
        <v>0.18363026517368319</v>
      </c>
      <c r="D183">
        <f>'BLS transition probs'!R93</f>
        <v>3.2199686284792021E-2</v>
      </c>
      <c r="E183">
        <f>'BLS transition probs'!S93</f>
        <v>0.22170107135525399</v>
      </c>
      <c r="F183">
        <f>'BLS transition probs'!T93</f>
        <v>2.680417419942964E-2</v>
      </c>
      <c r="G183">
        <f>'BLS transition probs'!U93</f>
        <v>4.2131020186172652E-2</v>
      </c>
    </row>
    <row r="184" spans="1:7" x14ac:dyDescent="0.25">
      <c r="A184" s="2">
        <f t="shared" si="2"/>
        <v>41244</v>
      </c>
      <c r="B184">
        <f>'BLS transition probs'!P94</f>
        <v>1.4079011616482416E-2</v>
      </c>
      <c r="C184">
        <f>'BLS transition probs'!Q94</f>
        <v>0.18106799066190696</v>
      </c>
      <c r="D184">
        <f>'BLS transition probs'!R94</f>
        <v>3.3663841272571243E-2</v>
      </c>
      <c r="E184">
        <f>'BLS transition probs'!S94</f>
        <v>0.22890570064917801</v>
      </c>
      <c r="F184">
        <f>'BLS transition probs'!T94</f>
        <v>2.6457799605702798E-2</v>
      </c>
      <c r="G184">
        <f>'BLS transition probs'!U94</f>
        <v>4.1457826199815424E-2</v>
      </c>
    </row>
    <row r="185" spans="1:7" x14ac:dyDescent="0.25">
      <c r="A185" s="2">
        <f t="shared" si="2"/>
        <v>41334</v>
      </c>
      <c r="B185">
        <f>'BLS transition probs'!P95</f>
        <v>1.3694097271605171E-2</v>
      </c>
      <c r="C185">
        <f>'BLS transition probs'!Q95</f>
        <v>0.18353059270646832</v>
      </c>
      <c r="D185">
        <f>'BLS transition probs'!R95</f>
        <v>3.1358409452341689E-2</v>
      </c>
      <c r="E185">
        <f>'BLS transition probs'!S95</f>
        <v>0.22069682675900612</v>
      </c>
      <c r="F185">
        <f>'BLS transition probs'!T95</f>
        <v>2.7814905448663992E-2</v>
      </c>
      <c r="G185">
        <f>'BLS transition probs'!U95</f>
        <v>4.1196448214149278E-2</v>
      </c>
    </row>
    <row r="186" spans="1:7" x14ac:dyDescent="0.25">
      <c r="A186" s="2">
        <f t="shared" si="2"/>
        <v>41426</v>
      </c>
      <c r="B186">
        <f>'BLS transition probs'!P96</f>
        <v>1.4120959343580363E-2</v>
      </c>
      <c r="C186">
        <f>'BLS transition probs'!Q96</f>
        <v>0.19455681772517544</v>
      </c>
      <c r="D186">
        <f>'BLS transition probs'!R96</f>
        <v>2.999915584371618E-2</v>
      </c>
      <c r="E186">
        <f>'BLS transition probs'!S96</f>
        <v>0.20948736637086221</v>
      </c>
      <c r="F186">
        <f>'BLS transition probs'!T96</f>
        <v>2.7321044525458072E-2</v>
      </c>
      <c r="G186">
        <f>'BLS transition probs'!U96</f>
        <v>4.3118487899865852E-2</v>
      </c>
    </row>
    <row r="187" spans="1:7" x14ac:dyDescent="0.25">
      <c r="A187" s="2">
        <f t="shared" si="2"/>
        <v>41518</v>
      </c>
      <c r="B187">
        <f>'BLS transition probs'!P97</f>
        <v>1.3527830227630598E-2</v>
      </c>
      <c r="C187">
        <f>'BLS transition probs'!Q97</f>
        <v>0.19403053491915045</v>
      </c>
      <c r="D187">
        <f>'BLS transition probs'!R97</f>
        <v>2.9493601083125955E-2</v>
      </c>
      <c r="E187">
        <f>'BLS transition probs'!S97</f>
        <v>0.22251011651249228</v>
      </c>
      <c r="F187">
        <f>'BLS transition probs'!T97</f>
        <v>2.7460068011861117E-2</v>
      </c>
      <c r="G187">
        <f>'BLS transition probs'!U97</f>
        <v>4.1736533435793061E-2</v>
      </c>
    </row>
    <row r="188" spans="1:7" x14ac:dyDescent="0.25">
      <c r="A188" s="2">
        <f t="shared" si="2"/>
        <v>41609</v>
      </c>
      <c r="B188" t="e">
        <f>'BLS transition probs'!P98</f>
        <v>#N/A</v>
      </c>
      <c r="C188" t="e">
        <f>'BLS transition probs'!Q98</f>
        <v>#N/A</v>
      </c>
      <c r="D188" t="e">
        <f>'BLS transition probs'!R98</f>
        <v>#N/A</v>
      </c>
      <c r="E188" t="e">
        <f>'BLS transition probs'!S98</f>
        <v>#N/A</v>
      </c>
      <c r="F188" t="e">
        <f>'BLS transition probs'!T98</f>
        <v>#N/A</v>
      </c>
      <c r="G188" t="e">
        <f>'BLS transition probs'!U98</f>
        <v>#N/A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6</vt:i4>
      </vt:variant>
    </vt:vector>
  </HeadingPairs>
  <TitlesOfParts>
    <vt:vector size="12" baseType="lpstr">
      <vt:lpstr>BLS gross flows</vt:lpstr>
      <vt:lpstr>Transpose</vt:lpstr>
      <vt:lpstr>Cleaned</vt:lpstr>
      <vt:lpstr>BLS transition probs</vt:lpstr>
      <vt:lpstr>Ritter transition probs</vt:lpstr>
      <vt:lpstr>Spliced data</vt:lpstr>
      <vt:lpstr>EU</vt:lpstr>
      <vt:lpstr>UE</vt:lpstr>
      <vt:lpstr>NU</vt:lpstr>
      <vt:lpstr>UN</vt:lpstr>
      <vt:lpstr>EN</vt:lpstr>
      <vt:lpstr>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Information Services</dc:creator>
  <cp:lastModifiedBy>Mike ELSBY </cp:lastModifiedBy>
  <dcterms:created xsi:type="dcterms:W3CDTF">2013-11-21T09:50:56Z</dcterms:created>
  <dcterms:modified xsi:type="dcterms:W3CDTF">2014-06-09T11:55:36Z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RBCheckedInAs">
    <vt:lpwstr/>
  </property>
</Properties>
</file>