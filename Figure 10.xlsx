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comments1.xml" ContentType="application/vnd.openxmlformats-officedocument.spreadsheetml.comments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printerSettings/printerSettings2.bin" ContentType="application/vnd.openxmlformats-officedocument.spreadsheetml.printerSettings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printerSettings/printerSettings3.bin" ContentType="application/vnd.openxmlformats-officedocument.spreadsheetml.printerSettings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3665" windowHeight="12240" tabRatio="851" activeTab="7"/>
  </bookViews>
  <sheets>
    <sheet name="raw FF data" sheetId="1" r:id="rId1"/>
    <sheet name="raw BLS data" sheetId="3" r:id="rId2"/>
    <sheet name="Calculations" sheetId="2" r:id="rId3"/>
    <sheet name="3m MA" sheetId="4" r:id="rId4"/>
    <sheet name="Beveridge curve" sheetId="7" r:id="rId5"/>
    <sheet name="Chart - EE rate" sheetId="15" r:id="rId6"/>
    <sheet name="Chart - Search intensity" sheetId="16" r:id="rId7"/>
    <sheet name="Chart - BC s constant" sheetId="17" r:id="rId8"/>
  </sheets>
  <definedNames>
    <definedName name="X12Dates_1" comment="Census X12 dates for series: 1">Calculations!$A$2:$A$235</definedName>
    <definedName name="X12Dates_2" comment="Census X12 dates for series: 2">Calculations!$A$2:$A$235</definedName>
    <definedName name="X12Dates_3" comment="Census X12 dates for series: 3">Calculations!$A$2:$A$235</definedName>
    <definedName name="X12Header_1" comment="EE">Calculations!$E$1</definedName>
    <definedName name="X12Header_2" comment="UE">Calculations!$F$1</definedName>
    <definedName name="X12Header_3" comment="EU">Calculations!$G$1</definedName>
    <definedName name="X12NSA_1" comment="Census X12 non-seasonally adjusted data for series: 1">Calculations!$B$2:$B$235</definedName>
    <definedName name="X12NSA_2" comment="Census X12 non-seasonally adjusted data for series: 2">Calculations!$C$2:$C$235</definedName>
    <definedName name="X12NSA_3" comment="Census X12 non-seasonally adjusted data for series: 3">Calculations!$D$2:$D$235</definedName>
  </definedNames>
  <calcPr calcId="145621"/>
</workbook>
</file>

<file path=xl/calcChain.xml><?xml version="1.0" encoding="utf-8"?>
<calcChain xmlns="http://schemas.openxmlformats.org/spreadsheetml/2006/main">
  <c r="AG3" i="7" l="1"/>
  <c r="AG4" i="7"/>
  <c r="AG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2" i="7"/>
  <c r="AE3" i="7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2" i="7"/>
  <c r="AD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2" i="7"/>
  <c r="Y3" i="7"/>
  <c r="Y4" i="7"/>
  <c r="Y2" i="7"/>
  <c r="V3" i="7"/>
  <c r="V4" i="7"/>
  <c r="V2" i="7"/>
  <c r="Q3" i="7"/>
  <c r="Q4" i="7"/>
  <c r="Q2" i="7"/>
  <c r="G3" i="7"/>
  <c r="G2" i="7"/>
  <c r="E3" i="7"/>
  <c r="E2" i="7"/>
  <c r="AC4" i="7"/>
  <c r="AC5" i="7" s="1"/>
  <c r="AC6" i="7" s="1"/>
  <c r="AC7" i="7" s="1"/>
  <c r="AC8" i="7" s="1"/>
  <c r="AC9" i="7" s="1"/>
  <c r="AC10" i="7" s="1"/>
  <c r="AC11" i="7" s="1"/>
  <c r="AC12" i="7" s="1"/>
  <c r="AC13" i="7" s="1"/>
  <c r="AC14" i="7" s="1"/>
  <c r="AC15" i="7" s="1"/>
  <c r="AC16" i="7" s="1"/>
  <c r="AC17" i="7" s="1"/>
  <c r="AC18" i="7" s="1"/>
  <c r="AC19" i="7" s="1"/>
  <c r="AC20" i="7" s="1"/>
  <c r="AC21" i="7" s="1"/>
  <c r="AC22" i="7" s="1"/>
  <c r="AC23" i="7" s="1"/>
  <c r="AC24" i="7" s="1"/>
  <c r="AC25" i="7" s="1"/>
  <c r="AC26" i="7" s="1"/>
  <c r="AC27" i="7" s="1"/>
  <c r="AC28" i="7" s="1"/>
  <c r="AC29" i="7" s="1"/>
  <c r="AC30" i="7" s="1"/>
  <c r="AC31" i="7" s="1"/>
  <c r="AC32" i="7" s="1"/>
  <c r="AC33" i="7" s="1"/>
  <c r="AC34" i="7" s="1"/>
  <c r="AC35" i="7" s="1"/>
  <c r="AC36" i="7" s="1"/>
  <c r="AC37" i="7" s="1"/>
  <c r="AC38" i="7" s="1"/>
  <c r="AC39" i="7" s="1"/>
  <c r="AC40" i="7" s="1"/>
  <c r="AC41" i="7" s="1"/>
  <c r="AC42" i="7" s="1"/>
  <c r="AC43" i="7" s="1"/>
  <c r="AC44" i="7" s="1"/>
  <c r="AC45" i="7" s="1"/>
  <c r="AC46" i="7" s="1"/>
  <c r="AC47" i="7" s="1"/>
  <c r="AC48" i="7" s="1"/>
  <c r="AC49" i="7" s="1"/>
  <c r="AC50" i="7" s="1"/>
  <c r="AC51" i="7" s="1"/>
  <c r="AC3" i="7"/>
  <c r="AC2" i="7"/>
  <c r="L2" i="7" l="1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A2" i="7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T2" i="7"/>
  <c r="O2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3" i="7"/>
  <c r="S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2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3" i="7"/>
  <c r="O3" i="7" s="1"/>
  <c r="O4" i="7" s="1"/>
  <c r="O5" i="7" s="1"/>
  <c r="O6" i="7" s="1"/>
  <c r="M2" i="7"/>
  <c r="O7" i="7" l="1"/>
  <c r="O8" i="7" s="1"/>
  <c r="O9" i="7" s="1"/>
  <c r="O10" i="7" s="1"/>
  <c r="O11" i="7" s="1"/>
  <c r="O12" i="7" s="1"/>
  <c r="O13" i="7" s="1"/>
  <c r="O14" i="7" s="1"/>
  <c r="O15" i="7" s="1"/>
  <c r="O16" i="7" s="1"/>
  <c r="O17" i="7" s="1"/>
  <c r="O18" i="7" s="1"/>
  <c r="O19" i="7" s="1"/>
  <c r="O20" i="7" s="1"/>
  <c r="O21" i="7" s="1"/>
  <c r="O22" i="7" s="1"/>
  <c r="O23" i="7" s="1"/>
  <c r="O24" i="7" s="1"/>
  <c r="O25" i="7" s="1"/>
  <c r="O26" i="7" s="1"/>
  <c r="O27" i="7" s="1"/>
  <c r="O28" i="7" s="1"/>
  <c r="O29" i="7" s="1"/>
  <c r="O30" i="7" s="1"/>
  <c r="O31" i="7" s="1"/>
  <c r="O32" i="7" s="1"/>
  <c r="O33" i="7" s="1"/>
  <c r="O34" i="7" s="1"/>
  <c r="O35" i="7" s="1"/>
  <c r="O36" i="7" s="1"/>
  <c r="O37" i="7" s="1"/>
  <c r="O38" i="7" s="1"/>
  <c r="O39" i="7" s="1"/>
  <c r="O40" i="7" s="1"/>
  <c r="O41" i="7" s="1"/>
  <c r="O42" i="7" s="1"/>
  <c r="O43" i="7" s="1"/>
  <c r="O44" i="7" s="1"/>
  <c r="O45" i="7" s="1"/>
  <c r="O46" i="7" s="1"/>
  <c r="O47" i="7" s="1"/>
  <c r="O48" i="7" s="1"/>
  <c r="O49" i="7" s="1"/>
  <c r="O50" i="7" s="1"/>
  <c r="O51" i="7" s="1"/>
  <c r="O52" i="7" s="1"/>
  <c r="O53" i="7" s="1"/>
  <c r="O54" i="7" s="1"/>
  <c r="O55" i="7" s="1"/>
  <c r="O56" i="7" s="1"/>
  <c r="O57" i="7" s="1"/>
  <c r="O58" i="7" s="1"/>
  <c r="O59" i="7" s="1"/>
  <c r="O60" i="7" s="1"/>
  <c r="O61" i="7" s="1"/>
  <c r="O62" i="7" s="1"/>
  <c r="O63" i="7" s="1"/>
  <c r="O64" i="7" s="1"/>
  <c r="O65" i="7" s="1"/>
  <c r="O66" i="7" s="1"/>
  <c r="O67" i="7" s="1"/>
  <c r="O68" i="7" s="1"/>
  <c r="O69" i="7" s="1"/>
  <c r="O70" i="7" s="1"/>
  <c r="O71" i="7" s="1"/>
  <c r="O72" i="7" s="1"/>
  <c r="O73" i="7" s="1"/>
  <c r="O74" i="7" s="1"/>
  <c r="O75" i="7" s="1"/>
  <c r="O76" i="7" s="1"/>
  <c r="O77" i="7" s="1"/>
  <c r="O78" i="7" s="1"/>
  <c r="O79" i="7" s="1"/>
  <c r="O80" i="7" s="1"/>
  <c r="O81" i="7" s="1"/>
  <c r="O82" i="7" s="1"/>
  <c r="O83" i="7" s="1"/>
  <c r="O84" i="7" s="1"/>
  <c r="O85" i="7" s="1"/>
  <c r="O86" i="7" s="1"/>
  <c r="O87" i="7" s="1"/>
  <c r="O88" i="7" s="1"/>
  <c r="O89" i="7" s="1"/>
  <c r="O90" i="7" s="1"/>
  <c r="O91" i="7" s="1"/>
  <c r="O92" i="7" s="1"/>
  <c r="O93" i="7" s="1"/>
  <c r="O94" i="7" s="1"/>
  <c r="O95" i="7" s="1"/>
  <c r="O96" i="7" s="1"/>
  <c r="O97" i="7" s="1"/>
  <c r="O98" i="7" s="1"/>
  <c r="O99" i="7" s="1"/>
  <c r="O100" i="7" s="1"/>
  <c r="O101" i="7" s="1"/>
  <c r="O102" i="7" s="1"/>
  <c r="O103" i="7" s="1"/>
  <c r="O104" i="7" s="1"/>
  <c r="O105" i="7" s="1"/>
  <c r="O106" i="7" s="1"/>
  <c r="O107" i="7" s="1"/>
  <c r="O108" i="7" s="1"/>
  <c r="O109" i="7" s="1"/>
  <c r="O110" i="7" s="1"/>
  <c r="O111" i="7" s="1"/>
  <c r="O112" i="7" s="1"/>
  <c r="O113" i="7" s="1"/>
  <c r="O114" i="7" s="1"/>
  <c r="O115" i="7" s="1"/>
  <c r="O116" i="7" s="1"/>
  <c r="O117" i="7" s="1"/>
  <c r="O118" i="7" s="1"/>
  <c r="O119" i="7" s="1"/>
  <c r="O120" i="7" s="1"/>
  <c r="O121" i="7" s="1"/>
  <c r="O122" i="7" s="1"/>
  <c r="O123" i="7" s="1"/>
  <c r="O124" i="7" s="1"/>
  <c r="O125" i="7" s="1"/>
  <c r="O126" i="7" s="1"/>
  <c r="O127" i="7" s="1"/>
  <c r="O128" i="7" s="1"/>
  <c r="O129" i="7" s="1"/>
  <c r="O130" i="7" s="1"/>
  <c r="O131" i="7" s="1"/>
  <c r="O132" i="7" s="1"/>
  <c r="O133" i="7" s="1"/>
  <c r="O134" i="7" s="1"/>
  <c r="O135" i="7" s="1"/>
  <c r="O136" i="7" s="1"/>
  <c r="O137" i="7" s="1"/>
  <c r="O138" i="7" s="1"/>
  <c r="O139" i="7" s="1"/>
  <c r="O140" i="7" s="1"/>
  <c r="O141" i="7" s="1"/>
  <c r="O142" i="7" s="1"/>
  <c r="O143" i="7" s="1"/>
  <c r="O144" i="7" s="1"/>
  <c r="O145" i="7" s="1"/>
  <c r="O146" i="7" s="1"/>
  <c r="O147" i="7" s="1"/>
  <c r="O148" i="7" s="1"/>
  <c r="O149" i="7" s="1"/>
  <c r="O150" i="7" s="1"/>
  <c r="O151" i="7" s="1"/>
  <c r="O152" i="7" s="1"/>
  <c r="T3" i="7"/>
  <c r="T4" i="7" s="1"/>
  <c r="T5" i="7" s="1"/>
  <c r="T6" i="7" s="1"/>
  <c r="W6" i="7" s="1"/>
  <c r="W2" i="7"/>
  <c r="W4" i="7" l="1"/>
  <c r="T7" i="7"/>
  <c r="T8" i="7" s="1"/>
  <c r="T9" i="7" s="1"/>
  <c r="T10" i="7" s="1"/>
  <c r="T11" i="7" s="1"/>
  <c r="T12" i="7" s="1"/>
  <c r="T13" i="7" s="1"/>
  <c r="T14" i="7" s="1"/>
  <c r="T15" i="7" s="1"/>
  <c r="T16" i="7" s="1"/>
  <c r="T17" i="7" s="1"/>
  <c r="T18" i="7" s="1"/>
  <c r="T19" i="7" s="1"/>
  <c r="T20" i="7" s="1"/>
  <c r="T21" i="7" s="1"/>
  <c r="T22" i="7" s="1"/>
  <c r="T23" i="7" s="1"/>
  <c r="W5" i="7"/>
  <c r="W3" i="7"/>
  <c r="W16" i="7" l="1"/>
  <c r="W22" i="7"/>
  <c r="W7" i="7"/>
  <c r="T24" i="7"/>
  <c r="W23" i="7"/>
  <c r="W18" i="7"/>
  <c r="W14" i="7"/>
  <c r="W10" i="7"/>
  <c r="W9" i="7"/>
  <c r="W17" i="7"/>
  <c r="W21" i="7"/>
  <c r="W11" i="7"/>
  <c r="W13" i="7"/>
  <c r="W12" i="7"/>
  <c r="W20" i="7"/>
  <c r="W8" i="7"/>
  <c r="W15" i="7"/>
  <c r="W19" i="7"/>
  <c r="T25" i="7" l="1"/>
  <c r="W24" i="7"/>
  <c r="T26" i="7" l="1"/>
  <c r="W25" i="7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4" i="4"/>
  <c r="F2" i="4"/>
  <c r="F3" i="4"/>
  <c r="F1" i="4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 s="1"/>
  <c r="D22" i="2"/>
  <c r="D19" i="2" s="1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" i="2"/>
  <c r="D3" i="7"/>
  <c r="E5" i="7" s="1"/>
  <c r="D4" i="7"/>
  <c r="E6" i="7" s="1"/>
  <c r="D5" i="7"/>
  <c r="D6" i="7"/>
  <c r="D7" i="7"/>
  <c r="E9" i="7" s="1"/>
  <c r="D8" i="7"/>
  <c r="E10" i="7" s="1"/>
  <c r="D9" i="7"/>
  <c r="D10" i="7"/>
  <c r="D11" i="7"/>
  <c r="E13" i="7" s="1"/>
  <c r="D12" i="7"/>
  <c r="E14" i="7" s="1"/>
  <c r="D13" i="7"/>
  <c r="D14" i="7"/>
  <c r="D15" i="7"/>
  <c r="E17" i="7" s="1"/>
  <c r="D16" i="7"/>
  <c r="E18" i="7" s="1"/>
  <c r="D17" i="7"/>
  <c r="D18" i="7"/>
  <c r="D19" i="7"/>
  <c r="D20" i="7"/>
  <c r="E22" i="7" s="1"/>
  <c r="D21" i="7"/>
  <c r="D22" i="7"/>
  <c r="D23" i="7"/>
  <c r="D24" i="7"/>
  <c r="E26" i="7" s="1"/>
  <c r="D25" i="7"/>
  <c r="D26" i="7"/>
  <c r="D27" i="7"/>
  <c r="D28" i="7"/>
  <c r="E30" i="7" s="1"/>
  <c r="D29" i="7"/>
  <c r="D30" i="7"/>
  <c r="D31" i="7"/>
  <c r="D32" i="7"/>
  <c r="E34" i="7" s="1"/>
  <c r="D33" i="7"/>
  <c r="D34" i="7"/>
  <c r="D35" i="7"/>
  <c r="D36" i="7"/>
  <c r="E38" i="7" s="1"/>
  <c r="D37" i="7"/>
  <c r="D38" i="7"/>
  <c r="D39" i="7"/>
  <c r="D40" i="7"/>
  <c r="E42" i="7" s="1"/>
  <c r="D41" i="7"/>
  <c r="D42" i="7"/>
  <c r="D43" i="7"/>
  <c r="D44" i="7"/>
  <c r="E46" i="7" s="1"/>
  <c r="D45" i="7"/>
  <c r="D46" i="7"/>
  <c r="D47" i="7"/>
  <c r="D48" i="7"/>
  <c r="E50" i="7" s="1"/>
  <c r="D49" i="7"/>
  <c r="D50" i="7"/>
  <c r="D51" i="7"/>
  <c r="D52" i="7"/>
  <c r="E54" i="7" s="1"/>
  <c r="D53" i="7"/>
  <c r="D54" i="7"/>
  <c r="D55" i="7"/>
  <c r="D56" i="7"/>
  <c r="E58" i="7" s="1"/>
  <c r="D57" i="7"/>
  <c r="D58" i="7"/>
  <c r="D59" i="7"/>
  <c r="D60" i="7"/>
  <c r="E62" i="7" s="1"/>
  <c r="D61" i="7"/>
  <c r="D62" i="7"/>
  <c r="D63" i="7"/>
  <c r="D64" i="7"/>
  <c r="E66" i="7" s="1"/>
  <c r="D65" i="7"/>
  <c r="D66" i="7"/>
  <c r="D67" i="7"/>
  <c r="D68" i="7"/>
  <c r="E70" i="7" s="1"/>
  <c r="D69" i="7"/>
  <c r="D70" i="7"/>
  <c r="D71" i="7"/>
  <c r="D72" i="7"/>
  <c r="E74" i="7" s="1"/>
  <c r="D73" i="7"/>
  <c r="D74" i="7"/>
  <c r="D75" i="7"/>
  <c r="D76" i="7"/>
  <c r="E78" i="7" s="1"/>
  <c r="D77" i="7"/>
  <c r="D78" i="7"/>
  <c r="D79" i="7"/>
  <c r="D80" i="7"/>
  <c r="E82" i="7" s="1"/>
  <c r="D81" i="7"/>
  <c r="D82" i="7"/>
  <c r="D83" i="7"/>
  <c r="D84" i="7"/>
  <c r="E86" i="7" s="1"/>
  <c r="D85" i="7"/>
  <c r="D86" i="7"/>
  <c r="D87" i="7"/>
  <c r="D88" i="7"/>
  <c r="E90" i="7" s="1"/>
  <c r="D89" i="7"/>
  <c r="D90" i="7"/>
  <c r="D91" i="7"/>
  <c r="D92" i="7"/>
  <c r="E94" i="7" s="1"/>
  <c r="D93" i="7"/>
  <c r="D94" i="7"/>
  <c r="D95" i="7"/>
  <c r="D96" i="7"/>
  <c r="E98" i="7" s="1"/>
  <c r="D97" i="7"/>
  <c r="D98" i="7"/>
  <c r="D99" i="7"/>
  <c r="D100" i="7"/>
  <c r="E102" i="7" s="1"/>
  <c r="D101" i="7"/>
  <c r="D102" i="7"/>
  <c r="D103" i="7"/>
  <c r="D104" i="7"/>
  <c r="E106" i="7" s="1"/>
  <c r="D105" i="7"/>
  <c r="D106" i="7"/>
  <c r="D107" i="7"/>
  <c r="D108" i="7"/>
  <c r="E110" i="7" s="1"/>
  <c r="D109" i="7"/>
  <c r="D110" i="7"/>
  <c r="D111" i="7"/>
  <c r="D112" i="7"/>
  <c r="E114" i="7" s="1"/>
  <c r="D113" i="7"/>
  <c r="D114" i="7"/>
  <c r="D115" i="7"/>
  <c r="D116" i="7"/>
  <c r="E118" i="7" s="1"/>
  <c r="D117" i="7"/>
  <c r="D118" i="7"/>
  <c r="D119" i="7"/>
  <c r="D120" i="7"/>
  <c r="E122" i="7" s="1"/>
  <c r="D121" i="7"/>
  <c r="D122" i="7"/>
  <c r="D123" i="7"/>
  <c r="D124" i="7"/>
  <c r="E126" i="7" s="1"/>
  <c r="D125" i="7"/>
  <c r="D126" i="7"/>
  <c r="D127" i="7"/>
  <c r="D128" i="7"/>
  <c r="E130" i="7" s="1"/>
  <c r="D129" i="7"/>
  <c r="D130" i="7"/>
  <c r="D131" i="7"/>
  <c r="D132" i="7"/>
  <c r="E134" i="7" s="1"/>
  <c r="D133" i="7"/>
  <c r="D134" i="7"/>
  <c r="D135" i="7"/>
  <c r="D136" i="7"/>
  <c r="E138" i="7" s="1"/>
  <c r="D137" i="7"/>
  <c r="D138" i="7"/>
  <c r="D139" i="7"/>
  <c r="D140" i="7"/>
  <c r="E142" i="7" s="1"/>
  <c r="D141" i="7"/>
  <c r="D142" i="7"/>
  <c r="D143" i="7"/>
  <c r="D144" i="7"/>
  <c r="E146" i="7" s="1"/>
  <c r="D145" i="7"/>
  <c r="D146" i="7"/>
  <c r="D147" i="7"/>
  <c r="D148" i="7"/>
  <c r="E150" i="7" s="1"/>
  <c r="D149" i="7"/>
  <c r="D150" i="7"/>
  <c r="D151" i="7"/>
  <c r="D152" i="7"/>
  <c r="D2" i="7"/>
  <c r="E4" i="7" s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2" i="7"/>
  <c r="E41" i="7" l="1"/>
  <c r="E37" i="7"/>
  <c r="E33" i="7"/>
  <c r="E25" i="7"/>
  <c r="E141" i="7"/>
  <c r="E137" i="7"/>
  <c r="E133" i="7"/>
  <c r="E129" i="7"/>
  <c r="E117" i="7"/>
  <c r="E113" i="7"/>
  <c r="E109" i="7"/>
  <c r="E105" i="7"/>
  <c r="E101" i="7"/>
  <c r="E97" i="7"/>
  <c r="E93" i="7"/>
  <c r="E89" i="7"/>
  <c r="E85" i="7"/>
  <c r="E21" i="7"/>
  <c r="E151" i="7"/>
  <c r="E147" i="7"/>
  <c r="E143" i="7"/>
  <c r="E139" i="7"/>
  <c r="E135" i="7"/>
  <c r="E131" i="7"/>
  <c r="E127" i="7"/>
  <c r="E123" i="7"/>
  <c r="E119" i="7"/>
  <c r="E115" i="7"/>
  <c r="E111" i="7"/>
  <c r="E107" i="7"/>
  <c r="E103" i="7"/>
  <c r="E99" i="7"/>
  <c r="E95" i="7"/>
  <c r="E91" i="7"/>
  <c r="E87" i="7"/>
  <c r="E83" i="7"/>
  <c r="E79" i="7"/>
  <c r="E75" i="7"/>
  <c r="E71" i="7"/>
  <c r="E67" i="7"/>
  <c r="E63" i="7"/>
  <c r="E59" i="7"/>
  <c r="E55" i="7"/>
  <c r="E51" i="7"/>
  <c r="E47" i="7"/>
  <c r="E43" i="7"/>
  <c r="E39" i="7"/>
  <c r="E35" i="7"/>
  <c r="E31" i="7"/>
  <c r="E27" i="7"/>
  <c r="E23" i="7"/>
  <c r="E19" i="7"/>
  <c r="E15" i="7"/>
  <c r="E11" i="7"/>
  <c r="E7" i="7"/>
  <c r="E149" i="7"/>
  <c r="E145" i="7"/>
  <c r="E125" i="7"/>
  <c r="E121" i="7"/>
  <c r="E81" i="7"/>
  <c r="E77" i="7"/>
  <c r="E73" i="7"/>
  <c r="E69" i="7"/>
  <c r="E65" i="7"/>
  <c r="E61" i="7"/>
  <c r="E57" i="7"/>
  <c r="E53" i="7"/>
  <c r="E49" i="7"/>
  <c r="E45" i="7"/>
  <c r="E29" i="7"/>
  <c r="E152" i="7"/>
  <c r="E148" i="7"/>
  <c r="E144" i="7"/>
  <c r="E140" i="7"/>
  <c r="E136" i="7"/>
  <c r="E132" i="7"/>
  <c r="E128" i="7"/>
  <c r="E124" i="7"/>
  <c r="E120" i="7"/>
  <c r="E116" i="7"/>
  <c r="E112" i="7"/>
  <c r="E108" i="7"/>
  <c r="E104" i="7"/>
  <c r="E100" i="7"/>
  <c r="E96" i="7"/>
  <c r="E92" i="7"/>
  <c r="E88" i="7"/>
  <c r="E84" i="7"/>
  <c r="E80" i="7"/>
  <c r="E76" i="7"/>
  <c r="E72" i="7"/>
  <c r="E68" i="7"/>
  <c r="E64" i="7"/>
  <c r="E60" i="7"/>
  <c r="E56" i="7"/>
  <c r="E52" i="7"/>
  <c r="E48" i="7"/>
  <c r="E44" i="7"/>
  <c r="E40" i="7"/>
  <c r="E36" i="7"/>
  <c r="E32" i="7"/>
  <c r="E28" i="7"/>
  <c r="E24" i="7"/>
  <c r="E20" i="7"/>
  <c r="E16" i="7"/>
  <c r="E12" i="7"/>
  <c r="E8" i="7"/>
  <c r="T27" i="7"/>
  <c r="W26" i="7"/>
  <c r="F146" i="7"/>
  <c r="F134" i="7"/>
  <c r="F126" i="7"/>
  <c r="F118" i="7"/>
  <c r="F110" i="7"/>
  <c r="F102" i="7"/>
  <c r="F94" i="7"/>
  <c r="F90" i="7"/>
  <c r="F82" i="7"/>
  <c r="F78" i="7"/>
  <c r="F74" i="7"/>
  <c r="F70" i="7"/>
  <c r="F66" i="7"/>
  <c r="F62" i="7"/>
  <c r="F58" i="7"/>
  <c r="F54" i="7"/>
  <c r="F50" i="7"/>
  <c r="F46" i="7"/>
  <c r="F42" i="7"/>
  <c r="F38" i="7"/>
  <c r="F34" i="7"/>
  <c r="F30" i="7"/>
  <c r="F26" i="7"/>
  <c r="F22" i="7"/>
  <c r="F18" i="7"/>
  <c r="F14" i="7"/>
  <c r="F10" i="7"/>
  <c r="F6" i="7"/>
  <c r="F150" i="7"/>
  <c r="F142" i="7"/>
  <c r="F138" i="7"/>
  <c r="F130" i="7"/>
  <c r="F122" i="7"/>
  <c r="F114" i="7"/>
  <c r="F106" i="7"/>
  <c r="F98" i="7"/>
  <c r="F86" i="7"/>
  <c r="D21" i="2"/>
  <c r="D20" i="2"/>
  <c r="F151" i="7"/>
  <c r="F143" i="7"/>
  <c r="F139" i="7"/>
  <c r="F135" i="7"/>
  <c r="F131" i="7"/>
  <c r="F127" i="7"/>
  <c r="F123" i="7"/>
  <c r="F119" i="7"/>
  <c r="F115" i="7"/>
  <c r="F111" i="7"/>
  <c r="F107" i="7"/>
  <c r="F103" i="7"/>
  <c r="F99" i="7"/>
  <c r="F95" i="7"/>
  <c r="F91" i="7"/>
  <c r="F87" i="7"/>
  <c r="F83" i="7"/>
  <c r="F79" i="7"/>
  <c r="F75" i="7"/>
  <c r="F71" i="7"/>
  <c r="F67" i="7"/>
  <c r="F63" i="7"/>
  <c r="F59" i="7"/>
  <c r="F55" i="7"/>
  <c r="F51" i="7"/>
  <c r="F47" i="7"/>
  <c r="F43" i="7"/>
  <c r="F39" i="7"/>
  <c r="F35" i="7"/>
  <c r="F31" i="7"/>
  <c r="F27" i="7"/>
  <c r="F23" i="7"/>
  <c r="F19" i="7"/>
  <c r="F15" i="7"/>
  <c r="F11" i="7"/>
  <c r="F7" i="7"/>
  <c r="F3" i="7"/>
  <c r="F147" i="7"/>
  <c r="F148" i="7"/>
  <c r="F140" i="7"/>
  <c r="F132" i="7"/>
  <c r="F124" i="7"/>
  <c r="F120" i="7"/>
  <c r="F112" i="7"/>
  <c r="F100" i="7"/>
  <c r="F92" i="7"/>
  <c r="F84" i="7"/>
  <c r="F76" i="7"/>
  <c r="F72" i="7"/>
  <c r="F64" i="7"/>
  <c r="F56" i="7"/>
  <c r="G58" i="7" s="1"/>
  <c r="F48" i="7"/>
  <c r="F40" i="7"/>
  <c r="F24" i="7"/>
  <c r="F152" i="7"/>
  <c r="F144" i="7"/>
  <c r="F136" i="7"/>
  <c r="F128" i="7"/>
  <c r="F116" i="7"/>
  <c r="G118" i="7" s="1"/>
  <c r="F108" i="7"/>
  <c r="F104" i="7"/>
  <c r="F96" i="7"/>
  <c r="F88" i="7"/>
  <c r="G90" i="7" s="1"/>
  <c r="F80" i="7"/>
  <c r="F68" i="7"/>
  <c r="F60" i="7"/>
  <c r="F52" i="7"/>
  <c r="G54" i="7" s="1"/>
  <c r="F44" i="7"/>
  <c r="F36" i="7"/>
  <c r="F32" i="7"/>
  <c r="F28" i="7"/>
  <c r="F20" i="7"/>
  <c r="F16" i="7"/>
  <c r="F12" i="7"/>
  <c r="F8" i="7"/>
  <c r="F4" i="7"/>
  <c r="F2" i="7"/>
  <c r="F149" i="7"/>
  <c r="F145" i="7"/>
  <c r="G147" i="7" s="1"/>
  <c r="F141" i="7"/>
  <c r="G143" i="7" s="1"/>
  <c r="F137" i="7"/>
  <c r="F133" i="7"/>
  <c r="F129" i="7"/>
  <c r="G131" i="7" s="1"/>
  <c r="F125" i="7"/>
  <c r="G127" i="7" s="1"/>
  <c r="F121" i="7"/>
  <c r="F117" i="7"/>
  <c r="F113" i="7"/>
  <c r="G115" i="7" s="1"/>
  <c r="F109" i="7"/>
  <c r="G111" i="7" s="1"/>
  <c r="F105" i="7"/>
  <c r="F101" i="7"/>
  <c r="F97" i="7"/>
  <c r="G99" i="7" s="1"/>
  <c r="F93" i="7"/>
  <c r="G95" i="7" s="1"/>
  <c r="F89" i="7"/>
  <c r="F85" i="7"/>
  <c r="F81" i="7"/>
  <c r="G83" i="7" s="1"/>
  <c r="F77" i="7"/>
  <c r="G79" i="7" s="1"/>
  <c r="F73" i="7"/>
  <c r="F69" i="7"/>
  <c r="F65" i="7"/>
  <c r="G67" i="7" s="1"/>
  <c r="F61" i="7"/>
  <c r="G63" i="7" s="1"/>
  <c r="F57" i="7"/>
  <c r="F53" i="7"/>
  <c r="F49" i="7"/>
  <c r="G51" i="7" s="1"/>
  <c r="F45" i="7"/>
  <c r="G47" i="7" s="1"/>
  <c r="F41" i="7"/>
  <c r="F37" i="7"/>
  <c r="F33" i="7"/>
  <c r="G35" i="7" s="1"/>
  <c r="F29" i="7"/>
  <c r="G31" i="7" s="1"/>
  <c r="F25" i="7"/>
  <c r="F21" i="7"/>
  <c r="F17" i="7"/>
  <c r="F13" i="7"/>
  <c r="F9" i="7"/>
  <c r="F5" i="7"/>
  <c r="B3" i="4"/>
  <c r="C3" i="4"/>
  <c r="D3" i="4"/>
  <c r="E3" i="4"/>
  <c r="G3" i="4"/>
  <c r="H3" i="4"/>
  <c r="I3" i="4"/>
  <c r="J3" i="4"/>
  <c r="C2" i="4"/>
  <c r="D2" i="4"/>
  <c r="E2" i="4"/>
  <c r="G2" i="4"/>
  <c r="H2" i="4"/>
  <c r="I2" i="4"/>
  <c r="J2" i="4"/>
  <c r="B2" i="4"/>
  <c r="D5" i="4"/>
  <c r="E5" i="4"/>
  <c r="G5" i="4"/>
  <c r="D6" i="4"/>
  <c r="E6" i="4"/>
  <c r="G6" i="4"/>
  <c r="D7" i="4"/>
  <c r="E7" i="4"/>
  <c r="G7" i="4"/>
  <c r="D8" i="4"/>
  <c r="E8" i="4"/>
  <c r="G8" i="4"/>
  <c r="D9" i="4"/>
  <c r="E9" i="4"/>
  <c r="G9" i="4"/>
  <c r="D10" i="4"/>
  <c r="E10" i="4"/>
  <c r="G10" i="4"/>
  <c r="D11" i="4"/>
  <c r="E11" i="4"/>
  <c r="G11" i="4"/>
  <c r="D12" i="4"/>
  <c r="E12" i="4"/>
  <c r="G12" i="4"/>
  <c r="D13" i="4"/>
  <c r="E13" i="4"/>
  <c r="G13" i="4"/>
  <c r="D14" i="4"/>
  <c r="E14" i="4"/>
  <c r="G14" i="4"/>
  <c r="D15" i="4"/>
  <c r="E15" i="4"/>
  <c r="G15" i="4"/>
  <c r="D16" i="4"/>
  <c r="E16" i="4"/>
  <c r="G16" i="4"/>
  <c r="D17" i="4"/>
  <c r="E17" i="4"/>
  <c r="G17" i="4"/>
  <c r="D18" i="4"/>
  <c r="E18" i="4"/>
  <c r="G18" i="4"/>
  <c r="D19" i="4"/>
  <c r="E19" i="4"/>
  <c r="G19" i="4"/>
  <c r="D20" i="4"/>
  <c r="E20" i="4"/>
  <c r="G20" i="4"/>
  <c r="D21" i="4"/>
  <c r="E21" i="4"/>
  <c r="G21" i="4"/>
  <c r="D22" i="4"/>
  <c r="E22" i="4"/>
  <c r="G22" i="4"/>
  <c r="D23" i="4"/>
  <c r="E23" i="4"/>
  <c r="G23" i="4"/>
  <c r="D24" i="4"/>
  <c r="E24" i="4"/>
  <c r="G24" i="4"/>
  <c r="D25" i="4"/>
  <c r="E25" i="4"/>
  <c r="G25" i="4"/>
  <c r="D26" i="4"/>
  <c r="E26" i="4"/>
  <c r="G26" i="4"/>
  <c r="D27" i="4"/>
  <c r="E27" i="4"/>
  <c r="G27" i="4"/>
  <c r="D28" i="4"/>
  <c r="E28" i="4"/>
  <c r="G28" i="4"/>
  <c r="D29" i="4"/>
  <c r="E29" i="4"/>
  <c r="G29" i="4"/>
  <c r="D30" i="4"/>
  <c r="E30" i="4"/>
  <c r="G30" i="4"/>
  <c r="D31" i="4"/>
  <c r="E31" i="4"/>
  <c r="G31" i="4"/>
  <c r="D32" i="4"/>
  <c r="E32" i="4"/>
  <c r="G32" i="4"/>
  <c r="D33" i="4"/>
  <c r="E33" i="4"/>
  <c r="G33" i="4"/>
  <c r="D34" i="4"/>
  <c r="E34" i="4"/>
  <c r="G34" i="4"/>
  <c r="D35" i="4"/>
  <c r="E35" i="4"/>
  <c r="G35" i="4"/>
  <c r="D36" i="4"/>
  <c r="E36" i="4"/>
  <c r="G36" i="4"/>
  <c r="D37" i="4"/>
  <c r="E37" i="4"/>
  <c r="G37" i="4"/>
  <c r="D38" i="4"/>
  <c r="E38" i="4"/>
  <c r="G38" i="4"/>
  <c r="D39" i="4"/>
  <c r="E39" i="4"/>
  <c r="G39" i="4"/>
  <c r="D40" i="4"/>
  <c r="E40" i="4"/>
  <c r="G40" i="4"/>
  <c r="D41" i="4"/>
  <c r="E41" i="4"/>
  <c r="G41" i="4"/>
  <c r="D42" i="4"/>
  <c r="E42" i="4"/>
  <c r="G42" i="4"/>
  <c r="D43" i="4"/>
  <c r="E43" i="4"/>
  <c r="G43" i="4"/>
  <c r="D44" i="4"/>
  <c r="E44" i="4"/>
  <c r="G44" i="4"/>
  <c r="D45" i="4"/>
  <c r="E45" i="4"/>
  <c r="G45" i="4"/>
  <c r="D46" i="4"/>
  <c r="E46" i="4"/>
  <c r="G46" i="4"/>
  <c r="D47" i="4"/>
  <c r="E47" i="4"/>
  <c r="G47" i="4"/>
  <c r="D48" i="4"/>
  <c r="E48" i="4"/>
  <c r="G48" i="4"/>
  <c r="D49" i="4"/>
  <c r="E49" i="4"/>
  <c r="G49" i="4"/>
  <c r="D50" i="4"/>
  <c r="E50" i="4"/>
  <c r="G50" i="4"/>
  <c r="D51" i="4"/>
  <c r="E51" i="4"/>
  <c r="G51" i="4"/>
  <c r="D52" i="4"/>
  <c r="E52" i="4"/>
  <c r="G52" i="4"/>
  <c r="D53" i="4"/>
  <c r="E53" i="4"/>
  <c r="G53" i="4"/>
  <c r="D54" i="4"/>
  <c r="E54" i="4"/>
  <c r="G54" i="4"/>
  <c r="D55" i="4"/>
  <c r="E55" i="4"/>
  <c r="G55" i="4"/>
  <c r="D56" i="4"/>
  <c r="E56" i="4"/>
  <c r="G56" i="4"/>
  <c r="D57" i="4"/>
  <c r="E57" i="4"/>
  <c r="G57" i="4"/>
  <c r="D58" i="4"/>
  <c r="E58" i="4"/>
  <c r="G58" i="4"/>
  <c r="D59" i="4"/>
  <c r="E59" i="4"/>
  <c r="G59" i="4"/>
  <c r="D60" i="4"/>
  <c r="E60" i="4"/>
  <c r="G60" i="4"/>
  <c r="D61" i="4"/>
  <c r="E61" i="4"/>
  <c r="G61" i="4"/>
  <c r="D62" i="4"/>
  <c r="E62" i="4"/>
  <c r="G62" i="4"/>
  <c r="D63" i="4"/>
  <c r="E63" i="4"/>
  <c r="G63" i="4"/>
  <c r="D64" i="4"/>
  <c r="E64" i="4"/>
  <c r="G64" i="4"/>
  <c r="D65" i="4"/>
  <c r="E65" i="4"/>
  <c r="G65" i="4"/>
  <c r="D66" i="4"/>
  <c r="E66" i="4"/>
  <c r="G66" i="4"/>
  <c r="D67" i="4"/>
  <c r="E67" i="4"/>
  <c r="G67" i="4"/>
  <c r="D68" i="4"/>
  <c r="E68" i="4"/>
  <c r="G68" i="4"/>
  <c r="D69" i="4"/>
  <c r="E69" i="4"/>
  <c r="G69" i="4"/>
  <c r="D70" i="4"/>
  <c r="E70" i="4"/>
  <c r="G70" i="4"/>
  <c r="D71" i="4"/>
  <c r="E71" i="4"/>
  <c r="G71" i="4"/>
  <c r="D72" i="4"/>
  <c r="E72" i="4"/>
  <c r="G72" i="4"/>
  <c r="D73" i="4"/>
  <c r="E73" i="4"/>
  <c r="G73" i="4"/>
  <c r="D74" i="4"/>
  <c r="E74" i="4"/>
  <c r="G74" i="4"/>
  <c r="D75" i="4"/>
  <c r="E75" i="4"/>
  <c r="G75" i="4"/>
  <c r="D76" i="4"/>
  <c r="E76" i="4"/>
  <c r="G76" i="4"/>
  <c r="D77" i="4"/>
  <c r="E77" i="4"/>
  <c r="G77" i="4"/>
  <c r="D78" i="4"/>
  <c r="E78" i="4"/>
  <c r="G78" i="4"/>
  <c r="D79" i="4"/>
  <c r="E79" i="4"/>
  <c r="G79" i="4"/>
  <c r="D80" i="4"/>
  <c r="E80" i="4"/>
  <c r="G80" i="4"/>
  <c r="D81" i="4"/>
  <c r="E81" i="4"/>
  <c r="G81" i="4"/>
  <c r="D82" i="4"/>
  <c r="E82" i="4"/>
  <c r="G82" i="4"/>
  <c r="D83" i="4"/>
  <c r="E83" i="4"/>
  <c r="G83" i="4"/>
  <c r="D84" i="4"/>
  <c r="E84" i="4"/>
  <c r="G84" i="4"/>
  <c r="D85" i="4"/>
  <c r="E85" i="4"/>
  <c r="G85" i="4"/>
  <c r="D86" i="4"/>
  <c r="E86" i="4"/>
  <c r="G86" i="4"/>
  <c r="D87" i="4"/>
  <c r="E87" i="4"/>
  <c r="D88" i="4"/>
  <c r="E88" i="4"/>
  <c r="D89" i="4"/>
  <c r="E89" i="4"/>
  <c r="D90" i="4"/>
  <c r="E90" i="4"/>
  <c r="D91" i="4"/>
  <c r="E91" i="4"/>
  <c r="D92" i="4"/>
  <c r="E92" i="4"/>
  <c r="D93" i="4"/>
  <c r="E93" i="4"/>
  <c r="D94" i="4"/>
  <c r="E94" i="4"/>
  <c r="D95" i="4"/>
  <c r="E95" i="4"/>
  <c r="D96" i="4"/>
  <c r="E96" i="4"/>
  <c r="D97" i="4"/>
  <c r="E97" i="4"/>
  <c r="D98" i="4"/>
  <c r="E98" i="4"/>
  <c r="D99" i="4"/>
  <c r="E99" i="4"/>
  <c r="D100" i="4"/>
  <c r="E100" i="4"/>
  <c r="D101" i="4"/>
  <c r="E101" i="4"/>
  <c r="D102" i="4"/>
  <c r="E102" i="4"/>
  <c r="D103" i="4"/>
  <c r="E103" i="4"/>
  <c r="D104" i="4"/>
  <c r="E104" i="4"/>
  <c r="D105" i="4"/>
  <c r="E105" i="4"/>
  <c r="D106" i="4"/>
  <c r="E106" i="4"/>
  <c r="D107" i="4"/>
  <c r="E107" i="4"/>
  <c r="D108" i="4"/>
  <c r="E108" i="4"/>
  <c r="D109" i="4"/>
  <c r="E109" i="4"/>
  <c r="D110" i="4"/>
  <c r="E110" i="4"/>
  <c r="D111" i="4"/>
  <c r="E111" i="4"/>
  <c r="D112" i="4"/>
  <c r="E112" i="4"/>
  <c r="D113" i="4"/>
  <c r="E113" i="4"/>
  <c r="D114" i="4"/>
  <c r="E114" i="4"/>
  <c r="D115" i="4"/>
  <c r="E115" i="4"/>
  <c r="D116" i="4"/>
  <c r="E116" i="4"/>
  <c r="D117" i="4"/>
  <c r="E117" i="4"/>
  <c r="D118" i="4"/>
  <c r="E118" i="4"/>
  <c r="D119" i="4"/>
  <c r="E119" i="4"/>
  <c r="D120" i="4"/>
  <c r="E120" i="4"/>
  <c r="D121" i="4"/>
  <c r="E121" i="4"/>
  <c r="D122" i="4"/>
  <c r="E122" i="4"/>
  <c r="D123" i="4"/>
  <c r="E123" i="4"/>
  <c r="D124" i="4"/>
  <c r="E124" i="4"/>
  <c r="D125" i="4"/>
  <c r="E125" i="4"/>
  <c r="D126" i="4"/>
  <c r="E126" i="4"/>
  <c r="D127" i="4"/>
  <c r="E127" i="4"/>
  <c r="D128" i="4"/>
  <c r="E128" i="4"/>
  <c r="D129" i="4"/>
  <c r="E129" i="4"/>
  <c r="D130" i="4"/>
  <c r="E130" i="4"/>
  <c r="D131" i="4"/>
  <c r="E131" i="4"/>
  <c r="D132" i="4"/>
  <c r="E132" i="4"/>
  <c r="D133" i="4"/>
  <c r="E133" i="4"/>
  <c r="D134" i="4"/>
  <c r="E134" i="4"/>
  <c r="D135" i="4"/>
  <c r="E135" i="4"/>
  <c r="D136" i="4"/>
  <c r="E136" i="4"/>
  <c r="D137" i="4"/>
  <c r="E137" i="4"/>
  <c r="D138" i="4"/>
  <c r="E138" i="4"/>
  <c r="D139" i="4"/>
  <c r="E139" i="4"/>
  <c r="D140" i="4"/>
  <c r="E140" i="4"/>
  <c r="D141" i="4"/>
  <c r="E141" i="4"/>
  <c r="D142" i="4"/>
  <c r="E142" i="4"/>
  <c r="D143" i="4"/>
  <c r="E143" i="4"/>
  <c r="D144" i="4"/>
  <c r="E144" i="4"/>
  <c r="D145" i="4"/>
  <c r="E145" i="4"/>
  <c r="D146" i="4"/>
  <c r="E146" i="4"/>
  <c r="D147" i="4"/>
  <c r="E147" i="4"/>
  <c r="D148" i="4"/>
  <c r="E148" i="4"/>
  <c r="D149" i="4"/>
  <c r="E149" i="4"/>
  <c r="D150" i="4"/>
  <c r="E150" i="4"/>
  <c r="D151" i="4"/>
  <c r="E151" i="4"/>
  <c r="D152" i="4"/>
  <c r="E152" i="4"/>
  <c r="D153" i="4"/>
  <c r="E153" i="4"/>
  <c r="D154" i="4"/>
  <c r="E154" i="4"/>
  <c r="D155" i="4"/>
  <c r="E155" i="4"/>
  <c r="D156" i="4"/>
  <c r="E156" i="4"/>
  <c r="D157" i="4"/>
  <c r="E157" i="4"/>
  <c r="D158" i="4"/>
  <c r="E158" i="4"/>
  <c r="D159" i="4"/>
  <c r="E159" i="4"/>
  <c r="D160" i="4"/>
  <c r="E160" i="4"/>
  <c r="D161" i="4"/>
  <c r="E161" i="4"/>
  <c r="D162" i="4"/>
  <c r="E162" i="4"/>
  <c r="D163" i="4"/>
  <c r="E163" i="4"/>
  <c r="D164" i="4"/>
  <c r="E164" i="4"/>
  <c r="D165" i="4"/>
  <c r="E165" i="4"/>
  <c r="D166" i="4"/>
  <c r="E166" i="4"/>
  <c r="D167" i="4"/>
  <c r="E167" i="4"/>
  <c r="D168" i="4"/>
  <c r="E168" i="4"/>
  <c r="D169" i="4"/>
  <c r="E169" i="4"/>
  <c r="D170" i="4"/>
  <c r="E170" i="4"/>
  <c r="D171" i="4"/>
  <c r="E171" i="4"/>
  <c r="D172" i="4"/>
  <c r="E172" i="4"/>
  <c r="D173" i="4"/>
  <c r="E173" i="4"/>
  <c r="D174" i="4"/>
  <c r="E174" i="4"/>
  <c r="D175" i="4"/>
  <c r="E175" i="4"/>
  <c r="D176" i="4"/>
  <c r="E176" i="4"/>
  <c r="D177" i="4"/>
  <c r="E177" i="4"/>
  <c r="D178" i="4"/>
  <c r="E178" i="4"/>
  <c r="D179" i="4"/>
  <c r="E179" i="4"/>
  <c r="D180" i="4"/>
  <c r="E180" i="4"/>
  <c r="D181" i="4"/>
  <c r="E181" i="4"/>
  <c r="D182" i="4"/>
  <c r="E182" i="4"/>
  <c r="D183" i="4"/>
  <c r="E183" i="4"/>
  <c r="D184" i="4"/>
  <c r="E184" i="4"/>
  <c r="D185" i="4"/>
  <c r="E185" i="4"/>
  <c r="D186" i="4"/>
  <c r="E186" i="4"/>
  <c r="D187" i="4"/>
  <c r="E187" i="4"/>
  <c r="D188" i="4"/>
  <c r="E188" i="4"/>
  <c r="D189" i="4"/>
  <c r="E189" i="4"/>
  <c r="D190" i="4"/>
  <c r="E190" i="4"/>
  <c r="D191" i="4"/>
  <c r="E191" i="4"/>
  <c r="D192" i="4"/>
  <c r="E192" i="4"/>
  <c r="D193" i="4"/>
  <c r="E193" i="4"/>
  <c r="D194" i="4"/>
  <c r="E194" i="4"/>
  <c r="D195" i="4"/>
  <c r="E195" i="4"/>
  <c r="D196" i="4"/>
  <c r="E196" i="4"/>
  <c r="D197" i="4"/>
  <c r="E197" i="4"/>
  <c r="D198" i="4"/>
  <c r="E198" i="4"/>
  <c r="D199" i="4"/>
  <c r="E199" i="4"/>
  <c r="D200" i="4"/>
  <c r="E200" i="4"/>
  <c r="D201" i="4"/>
  <c r="E201" i="4"/>
  <c r="D202" i="4"/>
  <c r="E202" i="4"/>
  <c r="D203" i="4"/>
  <c r="E203" i="4"/>
  <c r="D204" i="4"/>
  <c r="E204" i="4"/>
  <c r="D205" i="4"/>
  <c r="E205" i="4"/>
  <c r="D206" i="4"/>
  <c r="E206" i="4"/>
  <c r="D207" i="4"/>
  <c r="E207" i="4"/>
  <c r="D208" i="4"/>
  <c r="E208" i="4"/>
  <c r="D209" i="4"/>
  <c r="E209" i="4"/>
  <c r="D210" i="4"/>
  <c r="E210" i="4"/>
  <c r="D211" i="4"/>
  <c r="E211" i="4"/>
  <c r="D212" i="4"/>
  <c r="E212" i="4"/>
  <c r="D213" i="4"/>
  <c r="E213" i="4"/>
  <c r="D214" i="4"/>
  <c r="E214" i="4"/>
  <c r="D215" i="4"/>
  <c r="E215" i="4"/>
  <c r="D216" i="4"/>
  <c r="E216" i="4"/>
  <c r="D217" i="4"/>
  <c r="E217" i="4"/>
  <c r="D218" i="4"/>
  <c r="E218" i="4"/>
  <c r="D219" i="4"/>
  <c r="E219" i="4"/>
  <c r="D220" i="4"/>
  <c r="E220" i="4"/>
  <c r="D221" i="4"/>
  <c r="E221" i="4"/>
  <c r="D222" i="4"/>
  <c r="E222" i="4"/>
  <c r="D223" i="4"/>
  <c r="E223" i="4"/>
  <c r="D224" i="4"/>
  <c r="E224" i="4"/>
  <c r="D225" i="4"/>
  <c r="E225" i="4"/>
  <c r="D226" i="4"/>
  <c r="E226" i="4"/>
  <c r="D227" i="4"/>
  <c r="E227" i="4"/>
  <c r="D228" i="4"/>
  <c r="E228" i="4"/>
  <c r="D229" i="4"/>
  <c r="E229" i="4"/>
  <c r="D230" i="4"/>
  <c r="E230" i="4"/>
  <c r="D231" i="4"/>
  <c r="E231" i="4"/>
  <c r="D232" i="4"/>
  <c r="E232" i="4"/>
  <c r="D233" i="4"/>
  <c r="E233" i="4"/>
  <c r="D234" i="4"/>
  <c r="E234" i="4"/>
  <c r="D235" i="4"/>
  <c r="E235" i="4"/>
  <c r="D4" i="4"/>
  <c r="E4" i="4"/>
  <c r="G4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B1" i="4"/>
  <c r="C1" i="4"/>
  <c r="D1" i="4"/>
  <c r="E1" i="4"/>
  <c r="G1" i="4"/>
  <c r="H1" i="4"/>
  <c r="I1" i="4"/>
  <c r="J1" i="4"/>
  <c r="J17" i="2"/>
  <c r="J33" i="2"/>
  <c r="J49" i="2"/>
  <c r="J65" i="2"/>
  <c r="I3" i="2"/>
  <c r="I4" i="2"/>
  <c r="I5" i="2"/>
  <c r="I6" i="2"/>
  <c r="I7" i="2"/>
  <c r="I8" i="2"/>
  <c r="K8" i="2" s="1"/>
  <c r="J10" i="4" s="1"/>
  <c r="I9" i="2"/>
  <c r="J9" i="2" s="1"/>
  <c r="I10" i="2"/>
  <c r="J10" i="2" s="1"/>
  <c r="I11" i="2"/>
  <c r="I12" i="2"/>
  <c r="I13" i="2"/>
  <c r="I14" i="2"/>
  <c r="I15" i="2"/>
  <c r="I16" i="2"/>
  <c r="K16" i="2" s="1"/>
  <c r="J18" i="4" s="1"/>
  <c r="I17" i="2"/>
  <c r="I18" i="2"/>
  <c r="J18" i="2" s="1"/>
  <c r="I19" i="2"/>
  <c r="I20" i="2"/>
  <c r="I21" i="2"/>
  <c r="I22" i="2"/>
  <c r="I23" i="2"/>
  <c r="I24" i="2"/>
  <c r="K24" i="2" s="1"/>
  <c r="J26" i="4" s="1"/>
  <c r="I25" i="2"/>
  <c r="J25" i="2" s="1"/>
  <c r="I26" i="2"/>
  <c r="J26" i="2" s="1"/>
  <c r="I27" i="2"/>
  <c r="I28" i="2"/>
  <c r="I29" i="2"/>
  <c r="I30" i="2"/>
  <c r="I31" i="2"/>
  <c r="I32" i="2"/>
  <c r="K32" i="2" s="1"/>
  <c r="J34" i="4" s="1"/>
  <c r="I33" i="2"/>
  <c r="I34" i="2"/>
  <c r="J34" i="2" s="1"/>
  <c r="I35" i="2"/>
  <c r="I36" i="2"/>
  <c r="I37" i="2"/>
  <c r="I38" i="2"/>
  <c r="I39" i="2"/>
  <c r="I40" i="2"/>
  <c r="K40" i="2" s="1"/>
  <c r="J42" i="4" s="1"/>
  <c r="I41" i="2"/>
  <c r="J41" i="2" s="1"/>
  <c r="I42" i="2"/>
  <c r="J42" i="2" s="1"/>
  <c r="I43" i="2"/>
  <c r="I44" i="2"/>
  <c r="I45" i="2"/>
  <c r="I46" i="2"/>
  <c r="I47" i="2"/>
  <c r="I48" i="2"/>
  <c r="K48" i="2" s="1"/>
  <c r="J50" i="4" s="1"/>
  <c r="I49" i="2"/>
  <c r="I50" i="2"/>
  <c r="J50" i="2" s="1"/>
  <c r="I51" i="2"/>
  <c r="I52" i="2"/>
  <c r="I53" i="2"/>
  <c r="I54" i="2"/>
  <c r="I55" i="2"/>
  <c r="I56" i="2"/>
  <c r="K56" i="2" s="1"/>
  <c r="J58" i="4" s="1"/>
  <c r="I57" i="2"/>
  <c r="J57" i="2" s="1"/>
  <c r="I58" i="2"/>
  <c r="J58" i="2" s="1"/>
  <c r="I59" i="2"/>
  <c r="K59" i="2" s="1"/>
  <c r="J61" i="4" s="1"/>
  <c r="I60" i="2"/>
  <c r="I61" i="2"/>
  <c r="I62" i="2"/>
  <c r="I63" i="2"/>
  <c r="I64" i="2"/>
  <c r="K64" i="2" s="1"/>
  <c r="J66" i="4" s="1"/>
  <c r="I65" i="2"/>
  <c r="I66" i="2"/>
  <c r="J66" i="2" s="1"/>
  <c r="I67" i="2"/>
  <c r="I68" i="2"/>
  <c r="I69" i="2"/>
  <c r="I70" i="2"/>
  <c r="I71" i="2"/>
  <c r="I72" i="2"/>
  <c r="K72" i="2" s="1"/>
  <c r="J74" i="4" s="1"/>
  <c r="I73" i="2"/>
  <c r="J73" i="2" s="1"/>
  <c r="I74" i="2"/>
  <c r="J74" i="2" s="1"/>
  <c r="I75" i="2"/>
  <c r="I76" i="2"/>
  <c r="I77" i="2"/>
  <c r="I78" i="2"/>
  <c r="I79" i="2"/>
  <c r="I80" i="2"/>
  <c r="K80" i="2" s="1"/>
  <c r="J82" i="4" s="1"/>
  <c r="I81" i="2"/>
  <c r="J81" i="2" s="1"/>
  <c r="I82" i="2"/>
  <c r="J82" i="2" s="1"/>
  <c r="I83" i="2"/>
  <c r="I84" i="2"/>
  <c r="I85" i="2"/>
  <c r="I86" i="2"/>
  <c r="I87" i="2"/>
  <c r="I88" i="2"/>
  <c r="I89" i="2"/>
  <c r="J89" i="2" s="1"/>
  <c r="I90" i="2"/>
  <c r="J90" i="2" s="1"/>
  <c r="I91" i="2"/>
  <c r="I92" i="2"/>
  <c r="I93" i="2"/>
  <c r="I94" i="2"/>
  <c r="I95" i="2"/>
  <c r="I96" i="2"/>
  <c r="I97" i="2"/>
  <c r="J97" i="2" s="1"/>
  <c r="I98" i="2"/>
  <c r="J98" i="2" s="1"/>
  <c r="I99" i="2"/>
  <c r="I100" i="2"/>
  <c r="I101" i="2"/>
  <c r="I102" i="2"/>
  <c r="I103" i="2"/>
  <c r="I104" i="2"/>
  <c r="I105" i="2"/>
  <c r="J105" i="2" s="1"/>
  <c r="I106" i="2"/>
  <c r="J106" i="2" s="1"/>
  <c r="I107" i="2"/>
  <c r="H109" i="4" s="1"/>
  <c r="I108" i="2"/>
  <c r="I109" i="2"/>
  <c r="J109" i="2" s="1"/>
  <c r="I110" i="2"/>
  <c r="J110" i="2" s="1"/>
  <c r="I111" i="2"/>
  <c r="H113" i="4" s="1"/>
  <c r="I112" i="2"/>
  <c r="I113" i="2"/>
  <c r="J113" i="2" s="1"/>
  <c r="I114" i="2"/>
  <c r="J114" i="2" s="1"/>
  <c r="I115" i="2"/>
  <c r="H117" i="4" s="1"/>
  <c r="I116" i="2"/>
  <c r="I117" i="2"/>
  <c r="J117" i="2" s="1"/>
  <c r="I118" i="2"/>
  <c r="J118" i="2" s="1"/>
  <c r="I119" i="2"/>
  <c r="H121" i="4" s="1"/>
  <c r="I120" i="2"/>
  <c r="I121" i="2"/>
  <c r="J121" i="2" s="1"/>
  <c r="I122" i="2"/>
  <c r="J122" i="2" s="1"/>
  <c r="I123" i="2"/>
  <c r="H125" i="4" s="1"/>
  <c r="I124" i="2"/>
  <c r="I125" i="2"/>
  <c r="J125" i="2" s="1"/>
  <c r="I126" i="2"/>
  <c r="J126" i="2" s="1"/>
  <c r="I127" i="2"/>
  <c r="H129" i="4" s="1"/>
  <c r="I128" i="2"/>
  <c r="I129" i="2"/>
  <c r="J129" i="2" s="1"/>
  <c r="I130" i="2"/>
  <c r="J130" i="2" s="1"/>
  <c r="I131" i="2"/>
  <c r="I132" i="2"/>
  <c r="I133" i="2"/>
  <c r="J133" i="2" s="1"/>
  <c r="I134" i="2"/>
  <c r="J134" i="2" s="1"/>
  <c r="I135" i="2"/>
  <c r="I136" i="2"/>
  <c r="I137" i="2"/>
  <c r="J137" i="2" s="1"/>
  <c r="I138" i="2"/>
  <c r="J138" i="2" s="1"/>
  <c r="I139" i="2"/>
  <c r="I140" i="2"/>
  <c r="I141" i="2"/>
  <c r="J141" i="2" s="1"/>
  <c r="I142" i="2"/>
  <c r="J142" i="2" s="1"/>
  <c r="I143" i="2"/>
  <c r="I144" i="2"/>
  <c r="I145" i="2"/>
  <c r="J145" i="2" s="1"/>
  <c r="I146" i="2"/>
  <c r="J146" i="2" s="1"/>
  <c r="I147" i="2"/>
  <c r="I148" i="2"/>
  <c r="I149" i="2"/>
  <c r="J149" i="2" s="1"/>
  <c r="I150" i="2"/>
  <c r="J150" i="2" s="1"/>
  <c r="I151" i="2"/>
  <c r="I152" i="2"/>
  <c r="H154" i="4" s="1"/>
  <c r="I153" i="2"/>
  <c r="J153" i="2" s="1"/>
  <c r="I154" i="2"/>
  <c r="J154" i="2" s="1"/>
  <c r="I155" i="2"/>
  <c r="I156" i="2"/>
  <c r="H158" i="4" s="1"/>
  <c r="I157" i="2"/>
  <c r="J157" i="2" s="1"/>
  <c r="I158" i="2"/>
  <c r="J158" i="2" s="1"/>
  <c r="I159" i="2"/>
  <c r="I160" i="2"/>
  <c r="I161" i="2"/>
  <c r="J161" i="2" s="1"/>
  <c r="I162" i="2"/>
  <c r="J162" i="2" s="1"/>
  <c r="I163" i="2"/>
  <c r="I164" i="2"/>
  <c r="I165" i="2"/>
  <c r="J165" i="2" s="1"/>
  <c r="I166" i="2"/>
  <c r="J166" i="2" s="1"/>
  <c r="I167" i="2"/>
  <c r="I168" i="2"/>
  <c r="I169" i="2"/>
  <c r="J169" i="2" s="1"/>
  <c r="I170" i="2"/>
  <c r="J170" i="2" s="1"/>
  <c r="I171" i="2"/>
  <c r="I172" i="2"/>
  <c r="I173" i="2"/>
  <c r="J173" i="2" s="1"/>
  <c r="I174" i="2"/>
  <c r="J174" i="2" s="1"/>
  <c r="I175" i="2"/>
  <c r="I176" i="2"/>
  <c r="I177" i="2"/>
  <c r="J177" i="2" s="1"/>
  <c r="I178" i="2"/>
  <c r="J178" i="2" s="1"/>
  <c r="I179" i="2"/>
  <c r="I180" i="2"/>
  <c r="I181" i="2"/>
  <c r="J181" i="2" s="1"/>
  <c r="I182" i="2"/>
  <c r="J182" i="2" s="1"/>
  <c r="I183" i="2"/>
  <c r="I184" i="2"/>
  <c r="I185" i="2"/>
  <c r="J185" i="2" s="1"/>
  <c r="I186" i="2"/>
  <c r="J186" i="2" s="1"/>
  <c r="I187" i="2"/>
  <c r="I188" i="2"/>
  <c r="I189" i="2"/>
  <c r="J189" i="2" s="1"/>
  <c r="I190" i="2"/>
  <c r="J190" i="2" s="1"/>
  <c r="I191" i="2"/>
  <c r="I192" i="2"/>
  <c r="I193" i="2"/>
  <c r="J193" i="2" s="1"/>
  <c r="I194" i="2"/>
  <c r="J194" i="2" s="1"/>
  <c r="I195" i="2"/>
  <c r="I196" i="2"/>
  <c r="I197" i="2"/>
  <c r="J197" i="2" s="1"/>
  <c r="I198" i="2"/>
  <c r="J198" i="2" s="1"/>
  <c r="I199" i="2"/>
  <c r="I200" i="2"/>
  <c r="I201" i="2"/>
  <c r="J201" i="2" s="1"/>
  <c r="I202" i="2"/>
  <c r="J202" i="2" s="1"/>
  <c r="I203" i="2"/>
  <c r="I204" i="2"/>
  <c r="I205" i="2"/>
  <c r="J205" i="2" s="1"/>
  <c r="I206" i="2"/>
  <c r="J206" i="2" s="1"/>
  <c r="I207" i="2"/>
  <c r="I208" i="2"/>
  <c r="I209" i="2"/>
  <c r="J209" i="2" s="1"/>
  <c r="I210" i="2"/>
  <c r="J210" i="2" s="1"/>
  <c r="I211" i="2"/>
  <c r="I212" i="2"/>
  <c r="I213" i="2"/>
  <c r="J213" i="2" s="1"/>
  <c r="I214" i="2"/>
  <c r="J214" i="2" s="1"/>
  <c r="I215" i="2"/>
  <c r="I216" i="2"/>
  <c r="I217" i="2"/>
  <c r="J217" i="2" s="1"/>
  <c r="I218" i="2"/>
  <c r="J218" i="2" s="1"/>
  <c r="I219" i="2"/>
  <c r="I220" i="2"/>
  <c r="I221" i="2"/>
  <c r="J221" i="2" s="1"/>
  <c r="I222" i="2"/>
  <c r="J222" i="2" s="1"/>
  <c r="I223" i="2"/>
  <c r="I224" i="2"/>
  <c r="I225" i="2"/>
  <c r="J225" i="2" s="1"/>
  <c r="I226" i="2"/>
  <c r="J226" i="2" s="1"/>
  <c r="I227" i="2"/>
  <c r="I228" i="2"/>
  <c r="I229" i="2"/>
  <c r="J229" i="2" s="1"/>
  <c r="I230" i="2"/>
  <c r="J230" i="2" s="1"/>
  <c r="I231" i="2"/>
  <c r="I232" i="2"/>
  <c r="I233" i="2"/>
  <c r="J233" i="2" s="1"/>
  <c r="I234" i="2"/>
  <c r="J234" i="2" s="1"/>
  <c r="I235" i="2"/>
  <c r="J235" i="2" s="1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2" i="2"/>
  <c r="H86" i="2"/>
  <c r="H87" i="2"/>
  <c r="H88" i="2"/>
  <c r="H89" i="2"/>
  <c r="H90" i="2"/>
  <c r="H91" i="2"/>
  <c r="K91" i="2" s="1"/>
  <c r="H92" i="2"/>
  <c r="H93" i="2"/>
  <c r="H94" i="2"/>
  <c r="H95" i="2"/>
  <c r="H96" i="2"/>
  <c r="H97" i="2"/>
  <c r="H98" i="2"/>
  <c r="H99" i="2"/>
  <c r="K99" i="2" s="1"/>
  <c r="H100" i="2"/>
  <c r="H101" i="2"/>
  <c r="H102" i="2"/>
  <c r="H103" i="2"/>
  <c r="H104" i="2"/>
  <c r="H105" i="2"/>
  <c r="H106" i="2"/>
  <c r="H107" i="2"/>
  <c r="K107" i="2" s="1"/>
  <c r="H108" i="2"/>
  <c r="H109" i="2"/>
  <c r="H110" i="2"/>
  <c r="H111" i="2"/>
  <c r="H112" i="2"/>
  <c r="H113" i="2"/>
  <c r="H114" i="2"/>
  <c r="H115" i="2"/>
  <c r="K115" i="2" s="1"/>
  <c r="H116" i="2"/>
  <c r="H117" i="2"/>
  <c r="H118" i="2"/>
  <c r="H119" i="2"/>
  <c r="H120" i="2"/>
  <c r="H121" i="2"/>
  <c r="H122" i="2"/>
  <c r="H123" i="2"/>
  <c r="K123" i="2" s="1"/>
  <c r="H124" i="2"/>
  <c r="H125" i="2"/>
  <c r="H126" i="2"/>
  <c r="H127" i="2"/>
  <c r="H128" i="2"/>
  <c r="H129" i="2"/>
  <c r="H130" i="2"/>
  <c r="H131" i="2"/>
  <c r="K131" i="2" s="1"/>
  <c r="H132" i="2"/>
  <c r="H133" i="2"/>
  <c r="H134" i="2"/>
  <c r="H135" i="2"/>
  <c r="H136" i="2"/>
  <c r="H137" i="2"/>
  <c r="H138" i="2"/>
  <c r="H139" i="2"/>
  <c r="K139" i="2" s="1"/>
  <c r="H140" i="2"/>
  <c r="H141" i="2"/>
  <c r="H142" i="2"/>
  <c r="H143" i="2"/>
  <c r="H144" i="2"/>
  <c r="H145" i="2"/>
  <c r="H146" i="2"/>
  <c r="H147" i="2"/>
  <c r="K147" i="2" s="1"/>
  <c r="H148" i="2"/>
  <c r="H149" i="2"/>
  <c r="H150" i="2"/>
  <c r="H151" i="2"/>
  <c r="H152" i="2"/>
  <c r="H153" i="2"/>
  <c r="H154" i="2"/>
  <c r="H155" i="2"/>
  <c r="K155" i="2" s="1"/>
  <c r="H156" i="2"/>
  <c r="H157" i="2"/>
  <c r="H158" i="2"/>
  <c r="H159" i="2"/>
  <c r="H160" i="2"/>
  <c r="H161" i="2"/>
  <c r="H162" i="2"/>
  <c r="H163" i="2"/>
  <c r="K163" i="2" s="1"/>
  <c r="H164" i="2"/>
  <c r="H165" i="2"/>
  <c r="H166" i="2"/>
  <c r="H167" i="2"/>
  <c r="H168" i="2"/>
  <c r="H169" i="2"/>
  <c r="H170" i="2"/>
  <c r="H171" i="2"/>
  <c r="K171" i="2" s="1"/>
  <c r="H172" i="2"/>
  <c r="H173" i="2"/>
  <c r="H174" i="2"/>
  <c r="H175" i="2"/>
  <c r="H176" i="2"/>
  <c r="H177" i="2"/>
  <c r="H178" i="2"/>
  <c r="H179" i="2"/>
  <c r="K179" i="2" s="1"/>
  <c r="H180" i="2"/>
  <c r="H181" i="2"/>
  <c r="H182" i="2"/>
  <c r="H183" i="2"/>
  <c r="H184" i="2"/>
  <c r="H185" i="2"/>
  <c r="H186" i="2"/>
  <c r="H187" i="2"/>
  <c r="K187" i="2" s="1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K234" i="2" s="1"/>
  <c r="H235" i="2"/>
  <c r="H85" i="2"/>
  <c r="G41" i="7" l="1"/>
  <c r="G122" i="7"/>
  <c r="G38" i="7"/>
  <c r="G70" i="7"/>
  <c r="G102" i="7"/>
  <c r="G134" i="7"/>
  <c r="G96" i="7"/>
  <c r="G128" i="7"/>
  <c r="G86" i="7"/>
  <c r="G150" i="7"/>
  <c r="G32" i="7"/>
  <c r="G64" i="7"/>
  <c r="K5" i="7"/>
  <c r="G7" i="7"/>
  <c r="K21" i="7"/>
  <c r="G23" i="7"/>
  <c r="G39" i="7"/>
  <c r="G55" i="7"/>
  <c r="G71" i="7"/>
  <c r="G87" i="7"/>
  <c r="G103" i="7"/>
  <c r="G119" i="7"/>
  <c r="G135" i="7"/>
  <c r="G151" i="7"/>
  <c r="K12" i="7"/>
  <c r="G14" i="7"/>
  <c r="G34" i="7"/>
  <c r="G62" i="7"/>
  <c r="G98" i="7"/>
  <c r="G130" i="7"/>
  <c r="K24" i="7"/>
  <c r="G26" i="7"/>
  <c r="G66" i="7"/>
  <c r="G94" i="7"/>
  <c r="G126" i="7"/>
  <c r="G149" i="7"/>
  <c r="K15" i="7"/>
  <c r="G17" i="7"/>
  <c r="G33" i="7"/>
  <c r="G49" i="7"/>
  <c r="G65" i="7"/>
  <c r="G81" i="7"/>
  <c r="G97" i="7"/>
  <c r="G113" i="7"/>
  <c r="G129" i="7"/>
  <c r="G145" i="7"/>
  <c r="G88" i="7"/>
  <c r="G124" i="7"/>
  <c r="G152" i="7"/>
  <c r="K18" i="7"/>
  <c r="G20" i="7"/>
  <c r="G36" i="7"/>
  <c r="G52" i="7"/>
  <c r="G68" i="7"/>
  <c r="G84" i="7"/>
  <c r="G112" i="7"/>
  <c r="G148" i="7"/>
  <c r="K9" i="7"/>
  <c r="G11" i="7"/>
  <c r="K25" i="7"/>
  <c r="G27" i="7"/>
  <c r="G43" i="7"/>
  <c r="G59" i="7"/>
  <c r="G75" i="7"/>
  <c r="G91" i="7"/>
  <c r="G107" i="7"/>
  <c r="G123" i="7"/>
  <c r="G139" i="7"/>
  <c r="K2" i="7"/>
  <c r="G4" i="7"/>
  <c r="K16" i="7"/>
  <c r="G18" i="7"/>
  <c r="G106" i="7"/>
  <c r="G138" i="7"/>
  <c r="G42" i="7"/>
  <c r="G74" i="7"/>
  <c r="K3" i="7"/>
  <c r="G5" i="7"/>
  <c r="K19" i="7"/>
  <c r="G21" i="7"/>
  <c r="G37" i="7"/>
  <c r="G53" i="7"/>
  <c r="G69" i="7"/>
  <c r="G85" i="7"/>
  <c r="G101" i="7"/>
  <c r="G117" i="7"/>
  <c r="G133" i="7"/>
  <c r="G100" i="7"/>
  <c r="G132" i="7"/>
  <c r="K6" i="7"/>
  <c r="G8" i="7"/>
  <c r="K22" i="7"/>
  <c r="G24" i="7"/>
  <c r="G40" i="7"/>
  <c r="G56" i="7"/>
  <c r="G72" i="7"/>
  <c r="G92" i="7"/>
  <c r="G120" i="7"/>
  <c r="K13" i="7"/>
  <c r="G15" i="7"/>
  <c r="K4" i="7"/>
  <c r="G6" i="7"/>
  <c r="K20" i="7"/>
  <c r="G22" i="7"/>
  <c r="G46" i="7"/>
  <c r="G82" i="7"/>
  <c r="G110" i="7"/>
  <c r="G146" i="7"/>
  <c r="G50" i="7"/>
  <c r="G78" i="7"/>
  <c r="G114" i="7"/>
  <c r="G142" i="7"/>
  <c r="K7" i="7"/>
  <c r="G9" i="7"/>
  <c r="K23" i="7"/>
  <c r="G25" i="7"/>
  <c r="G57" i="7"/>
  <c r="G73" i="7"/>
  <c r="G89" i="7"/>
  <c r="G105" i="7"/>
  <c r="G121" i="7"/>
  <c r="G137" i="7"/>
  <c r="G108" i="7"/>
  <c r="G140" i="7"/>
  <c r="K10" i="7"/>
  <c r="G12" i="7"/>
  <c r="K26" i="7"/>
  <c r="G28" i="7"/>
  <c r="G44" i="7"/>
  <c r="G60" i="7"/>
  <c r="G76" i="7"/>
  <c r="K17" i="7"/>
  <c r="G19" i="7"/>
  <c r="K8" i="7"/>
  <c r="G10" i="7"/>
  <c r="G30" i="7"/>
  <c r="K11" i="7"/>
  <c r="G13" i="7"/>
  <c r="K27" i="7"/>
  <c r="G29" i="7"/>
  <c r="G45" i="7"/>
  <c r="G61" i="7"/>
  <c r="G77" i="7"/>
  <c r="G93" i="7"/>
  <c r="G109" i="7"/>
  <c r="G125" i="7"/>
  <c r="G141" i="7"/>
  <c r="G116" i="7"/>
  <c r="G144" i="7"/>
  <c r="K14" i="7"/>
  <c r="G16" i="7"/>
  <c r="G48" i="7"/>
  <c r="G80" i="7"/>
  <c r="G104" i="7"/>
  <c r="G136" i="7"/>
  <c r="J41" i="7"/>
  <c r="K41" i="7"/>
  <c r="J57" i="7"/>
  <c r="K57" i="7"/>
  <c r="J73" i="7"/>
  <c r="K73" i="7"/>
  <c r="J89" i="7"/>
  <c r="K89" i="7"/>
  <c r="J105" i="7"/>
  <c r="K105" i="7"/>
  <c r="J121" i="7"/>
  <c r="K121" i="7"/>
  <c r="J137" i="7"/>
  <c r="K137" i="7"/>
  <c r="J36" i="7"/>
  <c r="K36" i="7"/>
  <c r="J68" i="7"/>
  <c r="K68" i="7"/>
  <c r="J104" i="7"/>
  <c r="K104" i="7"/>
  <c r="J136" i="7"/>
  <c r="K136" i="7"/>
  <c r="J40" i="7"/>
  <c r="K40" i="7"/>
  <c r="J72" i="7"/>
  <c r="K72" i="7"/>
  <c r="J100" i="7"/>
  <c r="K100" i="7"/>
  <c r="J132" i="7"/>
  <c r="K132" i="7"/>
  <c r="J35" i="7"/>
  <c r="K35" i="7"/>
  <c r="J51" i="7"/>
  <c r="K51" i="7"/>
  <c r="J67" i="7"/>
  <c r="K67" i="7"/>
  <c r="J83" i="7"/>
  <c r="K83" i="7"/>
  <c r="J99" i="7"/>
  <c r="K99" i="7"/>
  <c r="J115" i="7"/>
  <c r="K115" i="7"/>
  <c r="J131" i="7"/>
  <c r="K131" i="7"/>
  <c r="J151" i="7"/>
  <c r="K151" i="7"/>
  <c r="J98" i="7"/>
  <c r="K98" i="7"/>
  <c r="J130" i="7"/>
  <c r="K130" i="7"/>
  <c r="J38" i="7"/>
  <c r="K38" i="7"/>
  <c r="J54" i="7"/>
  <c r="K54" i="7"/>
  <c r="J70" i="7"/>
  <c r="K70" i="7"/>
  <c r="J90" i="7"/>
  <c r="K90" i="7"/>
  <c r="J118" i="7"/>
  <c r="K118" i="7"/>
  <c r="J29" i="7"/>
  <c r="K29" i="7"/>
  <c r="J45" i="7"/>
  <c r="K45" i="7"/>
  <c r="J61" i="7"/>
  <c r="K61" i="7"/>
  <c r="J77" i="7"/>
  <c r="K77" i="7"/>
  <c r="J93" i="7"/>
  <c r="K93" i="7"/>
  <c r="J109" i="7"/>
  <c r="K109" i="7"/>
  <c r="J125" i="7"/>
  <c r="K125" i="7"/>
  <c r="J141" i="7"/>
  <c r="K141" i="7"/>
  <c r="J44" i="7"/>
  <c r="K44" i="7"/>
  <c r="J80" i="7"/>
  <c r="K80" i="7"/>
  <c r="J108" i="7"/>
  <c r="K108" i="7"/>
  <c r="J144" i="7"/>
  <c r="K144" i="7"/>
  <c r="J48" i="7"/>
  <c r="K48" i="7"/>
  <c r="J76" i="7"/>
  <c r="K76" i="7"/>
  <c r="J112" i="7"/>
  <c r="K112" i="7"/>
  <c r="J140" i="7"/>
  <c r="K140" i="7"/>
  <c r="J39" i="7"/>
  <c r="K39" i="7"/>
  <c r="J55" i="7"/>
  <c r="K55" i="7"/>
  <c r="J71" i="7"/>
  <c r="K71" i="7"/>
  <c r="J87" i="7"/>
  <c r="K87" i="7"/>
  <c r="J103" i="7"/>
  <c r="K103" i="7"/>
  <c r="J119" i="7"/>
  <c r="K119" i="7"/>
  <c r="J135" i="7"/>
  <c r="K135" i="7"/>
  <c r="J106" i="7"/>
  <c r="K106" i="7"/>
  <c r="J138" i="7"/>
  <c r="K138" i="7"/>
  <c r="J42" i="7"/>
  <c r="K42" i="7"/>
  <c r="J58" i="7"/>
  <c r="K58" i="7"/>
  <c r="J74" i="7"/>
  <c r="K74" i="7"/>
  <c r="J94" i="7"/>
  <c r="K94" i="7"/>
  <c r="J126" i="7"/>
  <c r="K126" i="7"/>
  <c r="J33" i="7"/>
  <c r="K33" i="7"/>
  <c r="J49" i="7"/>
  <c r="K49" i="7"/>
  <c r="J65" i="7"/>
  <c r="K65" i="7"/>
  <c r="J81" i="7"/>
  <c r="K81" i="7"/>
  <c r="J97" i="7"/>
  <c r="K97" i="7"/>
  <c r="J113" i="7"/>
  <c r="K113" i="7"/>
  <c r="J129" i="7"/>
  <c r="K129" i="7"/>
  <c r="J145" i="7"/>
  <c r="K145" i="7"/>
  <c r="J28" i="7"/>
  <c r="K28" i="7"/>
  <c r="J52" i="7"/>
  <c r="K52" i="7"/>
  <c r="J88" i="7"/>
  <c r="K88" i="7"/>
  <c r="J116" i="7"/>
  <c r="K116" i="7"/>
  <c r="J152" i="7"/>
  <c r="K152" i="7"/>
  <c r="J56" i="7"/>
  <c r="K56" i="7"/>
  <c r="J84" i="7"/>
  <c r="K84" i="7"/>
  <c r="J120" i="7"/>
  <c r="K120" i="7"/>
  <c r="J148" i="7"/>
  <c r="K148" i="7"/>
  <c r="J43" i="7"/>
  <c r="K43" i="7"/>
  <c r="J59" i="7"/>
  <c r="K59" i="7"/>
  <c r="J75" i="7"/>
  <c r="K75" i="7"/>
  <c r="J91" i="7"/>
  <c r="K91" i="7"/>
  <c r="J107" i="7"/>
  <c r="K107" i="7"/>
  <c r="J123" i="7"/>
  <c r="K123" i="7"/>
  <c r="J139" i="7"/>
  <c r="K139" i="7"/>
  <c r="J114" i="7"/>
  <c r="K114" i="7"/>
  <c r="J142" i="7"/>
  <c r="K142" i="7"/>
  <c r="J30" i="7"/>
  <c r="K30" i="7"/>
  <c r="J46" i="7"/>
  <c r="K46" i="7"/>
  <c r="J62" i="7"/>
  <c r="K62" i="7"/>
  <c r="J78" i="7"/>
  <c r="K78" i="7"/>
  <c r="J102" i="7"/>
  <c r="K102" i="7"/>
  <c r="J134" i="7"/>
  <c r="K134" i="7"/>
  <c r="J37" i="7"/>
  <c r="K37" i="7"/>
  <c r="J53" i="7"/>
  <c r="K53" i="7"/>
  <c r="J69" i="7"/>
  <c r="K69" i="7"/>
  <c r="J85" i="7"/>
  <c r="K85" i="7"/>
  <c r="J101" i="7"/>
  <c r="K101" i="7"/>
  <c r="J117" i="7"/>
  <c r="K117" i="7"/>
  <c r="J133" i="7"/>
  <c r="K133" i="7"/>
  <c r="J149" i="7"/>
  <c r="K149" i="7"/>
  <c r="J32" i="7"/>
  <c r="K32" i="7"/>
  <c r="J60" i="7"/>
  <c r="K60" i="7"/>
  <c r="J96" i="7"/>
  <c r="K96" i="7"/>
  <c r="J128" i="7"/>
  <c r="K128" i="7"/>
  <c r="J64" i="7"/>
  <c r="K64" i="7"/>
  <c r="J92" i="7"/>
  <c r="K92" i="7"/>
  <c r="J124" i="7"/>
  <c r="K124" i="7"/>
  <c r="J147" i="7"/>
  <c r="K147" i="7"/>
  <c r="J31" i="7"/>
  <c r="K31" i="7"/>
  <c r="J47" i="7"/>
  <c r="K47" i="7"/>
  <c r="J63" i="7"/>
  <c r="K63" i="7"/>
  <c r="J79" i="7"/>
  <c r="K79" i="7"/>
  <c r="J95" i="7"/>
  <c r="K95" i="7"/>
  <c r="J111" i="7"/>
  <c r="K111" i="7"/>
  <c r="J127" i="7"/>
  <c r="K127" i="7"/>
  <c r="J143" i="7"/>
  <c r="K143" i="7"/>
  <c r="J86" i="7"/>
  <c r="K86" i="7"/>
  <c r="J122" i="7"/>
  <c r="K122" i="7"/>
  <c r="J150" i="7"/>
  <c r="K150" i="7"/>
  <c r="J34" i="7"/>
  <c r="K34" i="7"/>
  <c r="J50" i="7"/>
  <c r="K50" i="7"/>
  <c r="J66" i="7"/>
  <c r="K66" i="7"/>
  <c r="J82" i="7"/>
  <c r="K82" i="7"/>
  <c r="J110" i="7"/>
  <c r="K110" i="7"/>
  <c r="J146" i="7"/>
  <c r="K146" i="7"/>
  <c r="U13" i="7"/>
  <c r="J13" i="7"/>
  <c r="U4" i="7"/>
  <c r="J4" i="7"/>
  <c r="U20" i="7"/>
  <c r="J20" i="7"/>
  <c r="U7" i="7"/>
  <c r="J7" i="7"/>
  <c r="U23" i="7"/>
  <c r="J23" i="7"/>
  <c r="U14" i="7"/>
  <c r="J14" i="7"/>
  <c r="U17" i="7"/>
  <c r="J17" i="7"/>
  <c r="U8" i="7"/>
  <c r="J8" i="7"/>
  <c r="U11" i="7"/>
  <c r="J11" i="7"/>
  <c r="U27" i="7"/>
  <c r="J27" i="7"/>
  <c r="U18" i="7"/>
  <c r="J18" i="7"/>
  <c r="U5" i="7"/>
  <c r="J5" i="7"/>
  <c r="U21" i="7"/>
  <c r="J21" i="7"/>
  <c r="U12" i="7"/>
  <c r="V14" i="7" s="1"/>
  <c r="J12" i="7"/>
  <c r="U24" i="7"/>
  <c r="J24" i="7"/>
  <c r="U15" i="7"/>
  <c r="J15" i="7"/>
  <c r="U6" i="7"/>
  <c r="V8" i="7" s="1"/>
  <c r="J6" i="7"/>
  <c r="U22" i="7"/>
  <c r="V24" i="7" s="1"/>
  <c r="J22" i="7"/>
  <c r="U9" i="7"/>
  <c r="J9" i="7"/>
  <c r="U25" i="7"/>
  <c r="J25" i="7"/>
  <c r="U2" i="7"/>
  <c r="J2" i="7"/>
  <c r="U16" i="7"/>
  <c r="V18" i="7" s="1"/>
  <c r="J16" i="7"/>
  <c r="U3" i="7"/>
  <c r="V5" i="7" s="1"/>
  <c r="J3" i="7"/>
  <c r="U19" i="7"/>
  <c r="V21" i="7" s="1"/>
  <c r="J19" i="7"/>
  <c r="U10" i="7"/>
  <c r="V12" i="7" s="1"/>
  <c r="J10" i="7"/>
  <c r="U26" i="7"/>
  <c r="J26" i="7"/>
  <c r="X13" i="7"/>
  <c r="P13" i="7"/>
  <c r="P29" i="7"/>
  <c r="P45" i="7"/>
  <c r="P61" i="7"/>
  <c r="P77" i="7"/>
  <c r="P93" i="7"/>
  <c r="P109" i="7"/>
  <c r="P125" i="7"/>
  <c r="P141" i="7"/>
  <c r="X4" i="7"/>
  <c r="P4" i="7"/>
  <c r="X20" i="7"/>
  <c r="P20" i="7"/>
  <c r="P44" i="7"/>
  <c r="P80" i="7"/>
  <c r="P108" i="7"/>
  <c r="P144" i="7"/>
  <c r="P48" i="7"/>
  <c r="P76" i="7"/>
  <c r="P112" i="7"/>
  <c r="P140" i="7"/>
  <c r="X7" i="7"/>
  <c r="P7" i="7"/>
  <c r="X23" i="7"/>
  <c r="P23" i="7"/>
  <c r="P39" i="7"/>
  <c r="P55" i="7"/>
  <c r="P71" i="7"/>
  <c r="P87" i="7"/>
  <c r="P103" i="7"/>
  <c r="P119" i="7"/>
  <c r="P135" i="7"/>
  <c r="P114" i="7"/>
  <c r="P142" i="7"/>
  <c r="X14" i="7"/>
  <c r="P14" i="7"/>
  <c r="P30" i="7"/>
  <c r="P46" i="7"/>
  <c r="P62" i="7"/>
  <c r="P78" i="7"/>
  <c r="P102" i="7"/>
  <c r="P134" i="7"/>
  <c r="X17" i="7"/>
  <c r="P17" i="7"/>
  <c r="P33" i="7"/>
  <c r="P49" i="7"/>
  <c r="P65" i="7"/>
  <c r="P81" i="7"/>
  <c r="P97" i="7"/>
  <c r="P113" i="7"/>
  <c r="P129" i="7"/>
  <c r="P145" i="7"/>
  <c r="X8" i="7"/>
  <c r="P8" i="7"/>
  <c r="P28" i="7"/>
  <c r="Q30" i="7" s="1"/>
  <c r="P52" i="7"/>
  <c r="P88" i="7"/>
  <c r="P116" i="7"/>
  <c r="P152" i="7"/>
  <c r="P56" i="7"/>
  <c r="P84" i="7"/>
  <c r="P120" i="7"/>
  <c r="P148" i="7"/>
  <c r="X11" i="7"/>
  <c r="P11" i="7"/>
  <c r="P27" i="7"/>
  <c r="P43" i="7"/>
  <c r="Q45" i="7" s="1"/>
  <c r="P59" i="7"/>
  <c r="P75" i="7"/>
  <c r="Q77" i="7" s="1"/>
  <c r="AF26" i="7" s="1"/>
  <c r="P91" i="7"/>
  <c r="P107" i="7"/>
  <c r="P123" i="7"/>
  <c r="P139" i="7"/>
  <c r="Q141" i="7" s="1"/>
  <c r="P86" i="7"/>
  <c r="P122" i="7"/>
  <c r="P150" i="7"/>
  <c r="X18" i="7"/>
  <c r="P18" i="7"/>
  <c r="P34" i="7"/>
  <c r="P50" i="7"/>
  <c r="P66" i="7"/>
  <c r="P82" i="7"/>
  <c r="P110" i="7"/>
  <c r="P146" i="7"/>
  <c r="X5" i="7"/>
  <c r="P5" i="7"/>
  <c r="X21" i="7"/>
  <c r="P21" i="7"/>
  <c r="P37" i="7"/>
  <c r="P53" i="7"/>
  <c r="P69" i="7"/>
  <c r="P85" i="7"/>
  <c r="Q87" i="7" s="1"/>
  <c r="P101" i="7"/>
  <c r="Q103" i="7" s="1"/>
  <c r="P117" i="7"/>
  <c r="P133" i="7"/>
  <c r="P149" i="7"/>
  <c r="X12" i="7"/>
  <c r="Y14" i="7" s="1"/>
  <c r="AH5" i="7" s="1"/>
  <c r="P12" i="7"/>
  <c r="P32" i="7"/>
  <c r="Q34" i="7" s="1"/>
  <c r="P60" i="7"/>
  <c r="Q62" i="7" s="1"/>
  <c r="AF21" i="7" s="1"/>
  <c r="P96" i="7"/>
  <c r="P128" i="7"/>
  <c r="X24" i="7"/>
  <c r="P24" i="7"/>
  <c r="P64" i="7"/>
  <c r="Q66" i="7" s="1"/>
  <c r="P92" i="7"/>
  <c r="P124" i="7"/>
  <c r="P147" i="7"/>
  <c r="Q149" i="7" s="1"/>
  <c r="AF50" i="7" s="1"/>
  <c r="X15" i="7"/>
  <c r="P15" i="7"/>
  <c r="P31" i="7"/>
  <c r="Q33" i="7" s="1"/>
  <c r="P47" i="7"/>
  <c r="Q49" i="7" s="1"/>
  <c r="P63" i="7"/>
  <c r="Q65" i="7" s="1"/>
  <c r="AF22" i="7" s="1"/>
  <c r="P79" i="7"/>
  <c r="P95" i="7"/>
  <c r="Q97" i="7" s="1"/>
  <c r="P111" i="7"/>
  <c r="Q113" i="7" s="1"/>
  <c r="AF38" i="7" s="1"/>
  <c r="P127" i="7"/>
  <c r="Q129" i="7" s="1"/>
  <c r="P143" i="7"/>
  <c r="P98" i="7"/>
  <c r="P130" i="7"/>
  <c r="X6" i="7"/>
  <c r="Y8" i="7" s="1"/>
  <c r="AH3" i="7" s="1"/>
  <c r="P6" i="7"/>
  <c r="X22" i="7"/>
  <c r="Y24" i="7" s="1"/>
  <c r="P22" i="7"/>
  <c r="Q24" i="7" s="1"/>
  <c r="P38" i="7"/>
  <c r="P54" i="7"/>
  <c r="P70" i="7"/>
  <c r="P90" i="7"/>
  <c r="Q92" i="7" s="1"/>
  <c r="AF31" i="7" s="1"/>
  <c r="P118" i="7"/>
  <c r="Q120" i="7" s="1"/>
  <c r="X9" i="7"/>
  <c r="P9" i="7"/>
  <c r="X25" i="7"/>
  <c r="P25" i="7"/>
  <c r="P41" i="7"/>
  <c r="P57" i="7"/>
  <c r="P73" i="7"/>
  <c r="P89" i="7"/>
  <c r="P105" i="7"/>
  <c r="P121" i="7"/>
  <c r="Q123" i="7" s="1"/>
  <c r="P137" i="7"/>
  <c r="Q139" i="7" s="1"/>
  <c r="X2" i="7"/>
  <c r="P2" i="7"/>
  <c r="X16" i="7"/>
  <c r="Y18" i="7" s="1"/>
  <c r="P16" i="7"/>
  <c r="Q18" i="7" s="1"/>
  <c r="P36" i="7"/>
  <c r="Q38" i="7" s="1"/>
  <c r="AF13" i="7" s="1"/>
  <c r="P68" i="7"/>
  <c r="P104" i="7"/>
  <c r="P136" i="7"/>
  <c r="Q138" i="7" s="1"/>
  <c r="P40" i="7"/>
  <c r="P72" i="7"/>
  <c r="P100" i="7"/>
  <c r="Q102" i="7" s="1"/>
  <c r="P132" i="7"/>
  <c r="Q134" i="7" s="1"/>
  <c r="AF45" i="7" s="1"/>
  <c r="X3" i="7"/>
  <c r="Y5" i="7" s="1"/>
  <c r="AH2" i="7" s="1"/>
  <c r="P3" i="7"/>
  <c r="Q5" i="7" s="1"/>
  <c r="AF2" i="7" s="1"/>
  <c r="X19" i="7"/>
  <c r="Y21" i="7" s="1"/>
  <c r="P19" i="7"/>
  <c r="Q21" i="7" s="1"/>
  <c r="P35" i="7"/>
  <c r="Q37" i="7" s="1"/>
  <c r="P51" i="7"/>
  <c r="P67" i="7"/>
  <c r="Q69" i="7" s="1"/>
  <c r="P83" i="7"/>
  <c r="Q85" i="7" s="1"/>
  <c r="P99" i="7"/>
  <c r="Q101" i="7" s="1"/>
  <c r="AF34" i="7" s="1"/>
  <c r="P115" i="7"/>
  <c r="Q117" i="7" s="1"/>
  <c r="P131" i="7"/>
  <c r="P151" i="7"/>
  <c r="P106" i="7"/>
  <c r="Q108" i="7" s="1"/>
  <c r="P138" i="7"/>
  <c r="X10" i="7"/>
  <c r="Y12" i="7" s="1"/>
  <c r="P10" i="7"/>
  <c r="Q12" i="7" s="1"/>
  <c r="X26" i="7"/>
  <c r="P26" i="7"/>
  <c r="P42" i="7"/>
  <c r="Q44" i="7" s="1"/>
  <c r="AF15" i="7" s="1"/>
  <c r="P58" i="7"/>
  <c r="Q60" i="7" s="1"/>
  <c r="P74" i="7"/>
  <c r="Q76" i="7" s="1"/>
  <c r="P94" i="7"/>
  <c r="P126" i="7"/>
  <c r="Q128" i="7" s="1"/>
  <c r="AF43" i="7" s="1"/>
  <c r="T28" i="7"/>
  <c r="U28" i="7" s="1"/>
  <c r="W27" i="7"/>
  <c r="X27" i="7" s="1"/>
  <c r="H150" i="4"/>
  <c r="H146" i="4"/>
  <c r="H142" i="4"/>
  <c r="H138" i="4"/>
  <c r="H134" i="4"/>
  <c r="H130" i="4"/>
  <c r="H126" i="4"/>
  <c r="H122" i="4"/>
  <c r="H118" i="4"/>
  <c r="H114" i="4"/>
  <c r="H110" i="4"/>
  <c r="G231" i="4"/>
  <c r="K229" i="2"/>
  <c r="G219" i="4"/>
  <c r="K217" i="2"/>
  <c r="G211" i="4"/>
  <c r="K209" i="2"/>
  <c r="K197" i="2"/>
  <c r="G199" i="4"/>
  <c r="K185" i="2"/>
  <c r="G187" i="4"/>
  <c r="G179" i="4"/>
  <c r="K177" i="2"/>
  <c r="G171" i="4"/>
  <c r="K169" i="2"/>
  <c r="G163" i="4"/>
  <c r="K161" i="2"/>
  <c r="G151" i="4"/>
  <c r="K149" i="2"/>
  <c r="G143" i="4"/>
  <c r="K141" i="2"/>
  <c r="G139" i="4"/>
  <c r="K137" i="2"/>
  <c r="G131" i="4"/>
  <c r="K129" i="2"/>
  <c r="G123" i="4"/>
  <c r="K121" i="2"/>
  <c r="G119" i="4"/>
  <c r="K117" i="2"/>
  <c r="G107" i="4"/>
  <c r="K105" i="2"/>
  <c r="G103" i="4"/>
  <c r="K101" i="2"/>
  <c r="G95" i="4"/>
  <c r="K93" i="2"/>
  <c r="G91" i="4"/>
  <c r="K89" i="2"/>
  <c r="H233" i="4"/>
  <c r="J231" i="2"/>
  <c r="H229" i="4"/>
  <c r="J227" i="2"/>
  <c r="H225" i="4"/>
  <c r="J223" i="2"/>
  <c r="I224" i="4" s="1"/>
  <c r="H217" i="4"/>
  <c r="J215" i="2"/>
  <c r="H213" i="4"/>
  <c r="J211" i="2"/>
  <c r="H209" i="4"/>
  <c r="J207" i="2"/>
  <c r="H205" i="4"/>
  <c r="J203" i="2"/>
  <c r="H201" i="4"/>
  <c r="J199" i="2"/>
  <c r="H197" i="4"/>
  <c r="J195" i="2"/>
  <c r="I195" i="4" s="1"/>
  <c r="H193" i="4"/>
  <c r="J191" i="2"/>
  <c r="K235" i="2"/>
  <c r="G229" i="4"/>
  <c r="K219" i="2"/>
  <c r="K203" i="2"/>
  <c r="K195" i="2"/>
  <c r="G232" i="4"/>
  <c r="K230" i="2"/>
  <c r="G228" i="4"/>
  <c r="K226" i="2"/>
  <c r="G224" i="4"/>
  <c r="K222" i="2"/>
  <c r="G220" i="4"/>
  <c r="K218" i="2"/>
  <c r="G216" i="4"/>
  <c r="K214" i="2"/>
  <c r="G212" i="4"/>
  <c r="K210" i="2"/>
  <c r="G208" i="4"/>
  <c r="K206" i="2"/>
  <c r="G204" i="4"/>
  <c r="K202" i="2"/>
  <c r="G200" i="4"/>
  <c r="K198" i="2"/>
  <c r="G196" i="4"/>
  <c r="K194" i="2"/>
  <c r="G192" i="4"/>
  <c r="K190" i="2"/>
  <c r="G188" i="4"/>
  <c r="K186" i="2"/>
  <c r="G184" i="4"/>
  <c r="K182" i="2"/>
  <c r="G180" i="4"/>
  <c r="K178" i="2"/>
  <c r="G176" i="4"/>
  <c r="K174" i="2"/>
  <c r="G172" i="4"/>
  <c r="K170" i="2"/>
  <c r="G168" i="4"/>
  <c r="K166" i="2"/>
  <c r="G164" i="4"/>
  <c r="K162" i="2"/>
  <c r="G160" i="4"/>
  <c r="K158" i="2"/>
  <c r="G156" i="4"/>
  <c r="K154" i="2"/>
  <c r="G152" i="4"/>
  <c r="K150" i="2"/>
  <c r="G148" i="4"/>
  <c r="K146" i="2"/>
  <c r="G144" i="4"/>
  <c r="K142" i="2"/>
  <c r="G140" i="4"/>
  <c r="K138" i="2"/>
  <c r="G136" i="4"/>
  <c r="K134" i="2"/>
  <c r="G132" i="4"/>
  <c r="K130" i="2"/>
  <c r="G128" i="4"/>
  <c r="K126" i="2"/>
  <c r="G124" i="4"/>
  <c r="K122" i="2"/>
  <c r="G120" i="4"/>
  <c r="K118" i="2"/>
  <c r="G116" i="4"/>
  <c r="K114" i="2"/>
  <c r="G112" i="4"/>
  <c r="K110" i="2"/>
  <c r="G108" i="4"/>
  <c r="K106" i="2"/>
  <c r="G104" i="4"/>
  <c r="K102" i="2"/>
  <c r="G100" i="4"/>
  <c r="K98" i="2"/>
  <c r="G96" i="4"/>
  <c r="K94" i="2"/>
  <c r="G92" i="4"/>
  <c r="K90" i="2"/>
  <c r="G88" i="4"/>
  <c r="K86" i="2"/>
  <c r="H4" i="4"/>
  <c r="K2" i="2"/>
  <c r="J4" i="4" s="1"/>
  <c r="J2" i="2"/>
  <c r="H234" i="4"/>
  <c r="J232" i="2"/>
  <c r="I234" i="4" s="1"/>
  <c r="H230" i="4"/>
  <c r="J228" i="2"/>
  <c r="I230" i="4" s="1"/>
  <c r="H226" i="4"/>
  <c r="J224" i="2"/>
  <c r="I226" i="4" s="1"/>
  <c r="H222" i="4"/>
  <c r="J220" i="2"/>
  <c r="I222" i="4" s="1"/>
  <c r="H218" i="4"/>
  <c r="J216" i="2"/>
  <c r="I218" i="4" s="1"/>
  <c r="H214" i="4"/>
  <c r="J212" i="2"/>
  <c r="I214" i="4" s="1"/>
  <c r="H210" i="4"/>
  <c r="J208" i="2"/>
  <c r="I210" i="4" s="1"/>
  <c r="H206" i="4"/>
  <c r="J204" i="2"/>
  <c r="I206" i="4" s="1"/>
  <c r="H202" i="4"/>
  <c r="J200" i="2"/>
  <c r="I202" i="4" s="1"/>
  <c r="H198" i="4"/>
  <c r="J196" i="2"/>
  <c r="I198" i="4" s="1"/>
  <c r="H194" i="4"/>
  <c r="J192" i="2"/>
  <c r="I194" i="4" s="1"/>
  <c r="H190" i="4"/>
  <c r="J188" i="2"/>
  <c r="I190" i="4" s="1"/>
  <c r="H186" i="4"/>
  <c r="J184" i="2"/>
  <c r="I186" i="4" s="1"/>
  <c r="H182" i="4"/>
  <c r="J180" i="2"/>
  <c r="I182" i="4" s="1"/>
  <c r="H178" i="4"/>
  <c r="J176" i="2"/>
  <c r="I178" i="4" s="1"/>
  <c r="H174" i="4"/>
  <c r="J172" i="2"/>
  <c r="I174" i="4" s="1"/>
  <c r="H170" i="4"/>
  <c r="J168" i="2"/>
  <c r="I170" i="4" s="1"/>
  <c r="H166" i="4"/>
  <c r="J164" i="2"/>
  <c r="I166" i="4" s="1"/>
  <c r="H162" i="4"/>
  <c r="J160" i="2"/>
  <c r="I162" i="4" s="1"/>
  <c r="G227" i="4"/>
  <c r="K225" i="2"/>
  <c r="G215" i="4"/>
  <c r="K213" i="2"/>
  <c r="K201" i="2"/>
  <c r="G203" i="4"/>
  <c r="K193" i="2"/>
  <c r="G195" i="4"/>
  <c r="G183" i="4"/>
  <c r="K181" i="2"/>
  <c r="G175" i="4"/>
  <c r="K173" i="2"/>
  <c r="G159" i="4"/>
  <c r="K157" i="2"/>
  <c r="G155" i="4"/>
  <c r="K153" i="2"/>
  <c r="G147" i="4"/>
  <c r="K145" i="2"/>
  <c r="G135" i="4"/>
  <c r="K133" i="2"/>
  <c r="G127" i="4"/>
  <c r="K125" i="2"/>
  <c r="G115" i="4"/>
  <c r="K113" i="2"/>
  <c r="G99" i="4"/>
  <c r="K97" i="2"/>
  <c r="H221" i="4"/>
  <c r="J219" i="2"/>
  <c r="I223" i="4"/>
  <c r="H204" i="4"/>
  <c r="H200" i="4"/>
  <c r="G235" i="4"/>
  <c r="K233" i="2"/>
  <c r="J235" i="4" s="1"/>
  <c r="G223" i="4"/>
  <c r="K221" i="2"/>
  <c r="G207" i="4"/>
  <c r="K205" i="2"/>
  <c r="K189" i="2"/>
  <c r="G191" i="4"/>
  <c r="G167" i="4"/>
  <c r="K165" i="2"/>
  <c r="G111" i="4"/>
  <c r="K109" i="2"/>
  <c r="G233" i="4"/>
  <c r="K231" i="2"/>
  <c r="K211" i="2"/>
  <c r="I235" i="4"/>
  <c r="I219" i="4"/>
  <c r="I211" i="4"/>
  <c r="H189" i="4"/>
  <c r="H181" i="4"/>
  <c r="H173" i="4"/>
  <c r="H165" i="4"/>
  <c r="H157" i="4"/>
  <c r="H149" i="4"/>
  <c r="H141" i="4"/>
  <c r="H133" i="4"/>
  <c r="H101" i="4"/>
  <c r="J99" i="2"/>
  <c r="H97" i="4"/>
  <c r="J95" i="2"/>
  <c r="H93" i="4"/>
  <c r="J91" i="2"/>
  <c r="I91" i="4" s="1"/>
  <c r="H89" i="4"/>
  <c r="J87" i="2"/>
  <c r="H85" i="4"/>
  <c r="J83" i="2"/>
  <c r="H81" i="4"/>
  <c r="J79" i="2"/>
  <c r="H77" i="4"/>
  <c r="J75" i="2"/>
  <c r="H73" i="4"/>
  <c r="J71" i="2"/>
  <c r="H69" i="4"/>
  <c r="J67" i="2"/>
  <c r="H65" i="4"/>
  <c r="J63" i="2"/>
  <c r="H57" i="4"/>
  <c r="J55" i="2"/>
  <c r="H53" i="4"/>
  <c r="J51" i="2"/>
  <c r="I51" i="4" s="1"/>
  <c r="H49" i="4"/>
  <c r="J47" i="2"/>
  <c r="H45" i="4"/>
  <c r="J43" i="2"/>
  <c r="I43" i="4" s="1"/>
  <c r="H41" i="4"/>
  <c r="J39" i="2"/>
  <c r="H37" i="4"/>
  <c r="J35" i="2"/>
  <c r="I35" i="4" s="1"/>
  <c r="H33" i="4"/>
  <c r="J31" i="2"/>
  <c r="H29" i="4"/>
  <c r="J27" i="2"/>
  <c r="H25" i="4"/>
  <c r="J23" i="2"/>
  <c r="H21" i="4"/>
  <c r="J19" i="2"/>
  <c r="I19" i="4" s="1"/>
  <c r="H17" i="4"/>
  <c r="J15" i="2"/>
  <c r="H13" i="4"/>
  <c r="J11" i="2"/>
  <c r="I11" i="4" s="1"/>
  <c r="H9" i="4"/>
  <c r="J7" i="2"/>
  <c r="H5" i="4"/>
  <c r="J3" i="2"/>
  <c r="I203" i="4"/>
  <c r="I99" i="4"/>
  <c r="I83" i="4"/>
  <c r="I75" i="4"/>
  <c r="I67" i="4"/>
  <c r="I27" i="4"/>
  <c r="K227" i="2"/>
  <c r="K83" i="2"/>
  <c r="J85" i="4" s="1"/>
  <c r="K75" i="2"/>
  <c r="J77" i="4" s="1"/>
  <c r="K67" i="2"/>
  <c r="J69" i="4" s="1"/>
  <c r="K51" i="2"/>
  <c r="J53" i="4" s="1"/>
  <c r="K43" i="2"/>
  <c r="J45" i="4" s="1"/>
  <c r="K35" i="2"/>
  <c r="J37" i="4" s="1"/>
  <c r="K27" i="2"/>
  <c r="J29" i="4" s="1"/>
  <c r="K19" i="2"/>
  <c r="J21" i="4" s="1"/>
  <c r="K11" i="2"/>
  <c r="J13" i="4" s="1"/>
  <c r="K3" i="2"/>
  <c r="J5" i="4" s="1"/>
  <c r="H185" i="4"/>
  <c r="H177" i="4"/>
  <c r="H169" i="4"/>
  <c r="H161" i="4"/>
  <c r="H153" i="4"/>
  <c r="H145" i="4"/>
  <c r="H137" i="4"/>
  <c r="H105" i="4"/>
  <c r="J103" i="2"/>
  <c r="H61" i="4"/>
  <c r="J59" i="2"/>
  <c r="G87" i="4"/>
  <c r="K85" i="2"/>
  <c r="G234" i="4"/>
  <c r="G230" i="4"/>
  <c r="G226" i="4"/>
  <c r="G222" i="4"/>
  <c r="G218" i="4"/>
  <c r="G214" i="4"/>
  <c r="G210" i="4"/>
  <c r="G206" i="4"/>
  <c r="G202" i="4"/>
  <c r="G198" i="4"/>
  <c r="G194" i="4"/>
  <c r="G190" i="4"/>
  <c r="G186" i="4"/>
  <c r="G182" i="4"/>
  <c r="G178" i="4"/>
  <c r="G174" i="4"/>
  <c r="G170" i="4"/>
  <c r="G166" i="4"/>
  <c r="G162" i="4"/>
  <c r="G158" i="4"/>
  <c r="G154" i="4"/>
  <c r="G150" i="4"/>
  <c r="G146" i="4"/>
  <c r="G142" i="4"/>
  <c r="G138" i="4"/>
  <c r="G134" i="4"/>
  <c r="G130" i="4"/>
  <c r="G126" i="4"/>
  <c r="G122" i="4"/>
  <c r="G118" i="4"/>
  <c r="G114" i="4"/>
  <c r="G110" i="4"/>
  <c r="G106" i="4"/>
  <c r="G102" i="4"/>
  <c r="G98" i="4"/>
  <c r="G94" i="4"/>
  <c r="G90" i="4"/>
  <c r="H232" i="4"/>
  <c r="H228" i="4"/>
  <c r="H224" i="4"/>
  <c r="H220" i="4"/>
  <c r="H216" i="4"/>
  <c r="H212" i="4"/>
  <c r="H208" i="4"/>
  <c r="H196" i="4"/>
  <c r="H192" i="4"/>
  <c r="H188" i="4"/>
  <c r="H184" i="4"/>
  <c r="H180" i="4"/>
  <c r="H176" i="4"/>
  <c r="H172" i="4"/>
  <c r="H168" i="4"/>
  <c r="H164" i="4"/>
  <c r="H160" i="4"/>
  <c r="H156" i="4"/>
  <c r="H152" i="4"/>
  <c r="H148" i="4"/>
  <c r="H144" i="4"/>
  <c r="H140" i="4"/>
  <c r="H136" i="4"/>
  <c r="H132" i="4"/>
  <c r="H128" i="4"/>
  <c r="H124" i="4"/>
  <c r="H120" i="4"/>
  <c r="H116" i="4"/>
  <c r="H112" i="4"/>
  <c r="H108" i="4"/>
  <c r="H104" i="4"/>
  <c r="H100" i="4"/>
  <c r="H96" i="4"/>
  <c r="H92" i="4"/>
  <c r="H88" i="4"/>
  <c r="H84" i="4"/>
  <c r="K82" i="2"/>
  <c r="J84" i="4" s="1"/>
  <c r="H80" i="4"/>
  <c r="K78" i="2"/>
  <c r="J80" i="4" s="1"/>
  <c r="H76" i="4"/>
  <c r="K74" i="2"/>
  <c r="J76" i="4" s="1"/>
  <c r="H72" i="4"/>
  <c r="K70" i="2"/>
  <c r="J72" i="4" s="1"/>
  <c r="H68" i="4"/>
  <c r="K66" i="2"/>
  <c r="J68" i="4" s="1"/>
  <c r="H64" i="4"/>
  <c r="K62" i="2"/>
  <c r="J64" i="4" s="1"/>
  <c r="H60" i="4"/>
  <c r="K58" i="2"/>
  <c r="J60" i="4" s="1"/>
  <c r="H56" i="4"/>
  <c r="K54" i="2"/>
  <c r="J56" i="4" s="1"/>
  <c r="H52" i="4"/>
  <c r="K50" i="2"/>
  <c r="J52" i="4" s="1"/>
  <c r="H48" i="4"/>
  <c r="K46" i="2"/>
  <c r="J48" i="4" s="1"/>
  <c r="H44" i="4"/>
  <c r="K42" i="2"/>
  <c r="J44" i="4" s="1"/>
  <c r="H40" i="4"/>
  <c r="K38" i="2"/>
  <c r="J40" i="4" s="1"/>
  <c r="H36" i="4"/>
  <c r="K34" i="2"/>
  <c r="J36" i="4" s="1"/>
  <c r="H32" i="4"/>
  <c r="K30" i="2"/>
  <c r="J32" i="4" s="1"/>
  <c r="H28" i="4"/>
  <c r="K26" i="2"/>
  <c r="J28" i="4" s="1"/>
  <c r="H24" i="4"/>
  <c r="K22" i="2"/>
  <c r="J24" i="4" s="1"/>
  <c r="H20" i="4"/>
  <c r="K18" i="2"/>
  <c r="J20" i="4" s="1"/>
  <c r="H16" i="4"/>
  <c r="K14" i="2"/>
  <c r="J16" i="4" s="1"/>
  <c r="H12" i="4"/>
  <c r="K10" i="2"/>
  <c r="J12" i="4" s="1"/>
  <c r="H8" i="4"/>
  <c r="K6" i="2"/>
  <c r="J8" i="4" s="1"/>
  <c r="J156" i="2"/>
  <c r="I158" i="4" s="1"/>
  <c r="J152" i="2"/>
  <c r="I154" i="4" s="1"/>
  <c r="J148" i="2"/>
  <c r="I150" i="4" s="1"/>
  <c r="J144" i="2"/>
  <c r="I146" i="4" s="1"/>
  <c r="J140" i="2"/>
  <c r="I142" i="4" s="1"/>
  <c r="J136" i="2"/>
  <c r="I138" i="4" s="1"/>
  <c r="J132" i="2"/>
  <c r="I134" i="4" s="1"/>
  <c r="J128" i="2"/>
  <c r="I130" i="4" s="1"/>
  <c r="J124" i="2"/>
  <c r="I126" i="4" s="1"/>
  <c r="J120" i="2"/>
  <c r="I122" i="4" s="1"/>
  <c r="J116" i="2"/>
  <c r="I118" i="4" s="1"/>
  <c r="J112" i="2"/>
  <c r="I114" i="4" s="1"/>
  <c r="J108" i="2"/>
  <c r="I110" i="4" s="1"/>
  <c r="J102" i="2"/>
  <c r="J94" i="2"/>
  <c r="J86" i="2"/>
  <c r="J78" i="2"/>
  <c r="J70" i="2"/>
  <c r="J62" i="2"/>
  <c r="J54" i="2"/>
  <c r="J46" i="2"/>
  <c r="J38" i="2"/>
  <c r="J30" i="2"/>
  <c r="J22" i="2"/>
  <c r="J14" i="2"/>
  <c r="J6" i="2"/>
  <c r="K232" i="2"/>
  <c r="K224" i="2"/>
  <c r="K216" i="2"/>
  <c r="K208" i="2"/>
  <c r="J210" i="4" s="1"/>
  <c r="K200" i="2"/>
  <c r="K192" i="2"/>
  <c r="K184" i="2"/>
  <c r="K176" i="2"/>
  <c r="J178" i="4" s="1"/>
  <c r="K168" i="2"/>
  <c r="K160" i="2"/>
  <c r="K152" i="2"/>
  <c r="K144" i="2"/>
  <c r="J146" i="4" s="1"/>
  <c r="K136" i="2"/>
  <c r="K128" i="2"/>
  <c r="K120" i="2"/>
  <c r="K112" i="2"/>
  <c r="J114" i="4" s="1"/>
  <c r="K104" i="2"/>
  <c r="K96" i="2"/>
  <c r="K88" i="2"/>
  <c r="G225" i="4"/>
  <c r="G221" i="4"/>
  <c r="G217" i="4"/>
  <c r="G213" i="4"/>
  <c r="G209" i="4"/>
  <c r="G205" i="4"/>
  <c r="G201" i="4"/>
  <c r="G197" i="4"/>
  <c r="G193" i="4"/>
  <c r="G189" i="4"/>
  <c r="G185" i="4"/>
  <c r="G181" i="4"/>
  <c r="G177" i="4"/>
  <c r="G173" i="4"/>
  <c r="G169" i="4"/>
  <c r="G165" i="4"/>
  <c r="G161" i="4"/>
  <c r="G157" i="4"/>
  <c r="G153" i="4"/>
  <c r="G149" i="4"/>
  <c r="G145" i="4"/>
  <c r="G141" i="4"/>
  <c r="G137" i="4"/>
  <c r="G133" i="4"/>
  <c r="G129" i="4"/>
  <c r="G125" i="4"/>
  <c r="G121" i="4"/>
  <c r="G117" i="4"/>
  <c r="G113" i="4"/>
  <c r="G109" i="4"/>
  <c r="G105" i="4"/>
  <c r="G101" i="4"/>
  <c r="G97" i="4"/>
  <c r="G93" i="4"/>
  <c r="G89" i="4"/>
  <c r="H235" i="4"/>
  <c r="H231" i="4"/>
  <c r="H227" i="4"/>
  <c r="H223" i="4"/>
  <c r="H219" i="4"/>
  <c r="H215" i="4"/>
  <c r="H211" i="4"/>
  <c r="H207" i="4"/>
  <c r="H203" i="4"/>
  <c r="H199" i="4"/>
  <c r="H195" i="4"/>
  <c r="H191" i="4"/>
  <c r="H187" i="4"/>
  <c r="H183" i="4"/>
  <c r="H179" i="4"/>
  <c r="H175" i="4"/>
  <c r="H171" i="4"/>
  <c r="H167" i="4"/>
  <c r="H163" i="4"/>
  <c r="H159" i="4"/>
  <c r="H155" i="4"/>
  <c r="H151" i="4"/>
  <c r="H147" i="4"/>
  <c r="H143" i="4"/>
  <c r="H139" i="4"/>
  <c r="H135" i="4"/>
  <c r="H131" i="4"/>
  <c r="H127" i="4"/>
  <c r="H123" i="4"/>
  <c r="H119" i="4"/>
  <c r="H115" i="4"/>
  <c r="H111" i="4"/>
  <c r="H107" i="4"/>
  <c r="H103" i="4"/>
  <c r="H99" i="4"/>
  <c r="H95" i="4"/>
  <c r="H91" i="4"/>
  <c r="H87" i="4"/>
  <c r="H83" i="4"/>
  <c r="K81" i="2"/>
  <c r="J83" i="4" s="1"/>
  <c r="H79" i="4"/>
  <c r="K77" i="2"/>
  <c r="J79" i="4" s="1"/>
  <c r="H75" i="4"/>
  <c r="K73" i="2"/>
  <c r="J75" i="4" s="1"/>
  <c r="H71" i="4"/>
  <c r="K69" i="2"/>
  <c r="J71" i="4" s="1"/>
  <c r="H67" i="4"/>
  <c r="K65" i="2"/>
  <c r="J67" i="4" s="1"/>
  <c r="H63" i="4"/>
  <c r="K61" i="2"/>
  <c r="J63" i="4" s="1"/>
  <c r="H59" i="4"/>
  <c r="K57" i="2"/>
  <c r="J59" i="4" s="1"/>
  <c r="H55" i="4"/>
  <c r="K53" i="2"/>
  <c r="J55" i="4" s="1"/>
  <c r="H51" i="4"/>
  <c r="K49" i="2"/>
  <c r="J51" i="4" s="1"/>
  <c r="H47" i="4"/>
  <c r="K45" i="2"/>
  <c r="J47" i="4" s="1"/>
  <c r="H43" i="4"/>
  <c r="K41" i="2"/>
  <c r="J43" i="4" s="1"/>
  <c r="H39" i="4"/>
  <c r="K37" i="2"/>
  <c r="J39" i="4" s="1"/>
  <c r="H35" i="4"/>
  <c r="K33" i="2"/>
  <c r="J35" i="4" s="1"/>
  <c r="H31" i="4"/>
  <c r="K29" i="2"/>
  <c r="J31" i="4" s="1"/>
  <c r="H27" i="4"/>
  <c r="K25" i="2"/>
  <c r="J27" i="4" s="1"/>
  <c r="H23" i="4"/>
  <c r="K21" i="2"/>
  <c r="J23" i="4" s="1"/>
  <c r="H19" i="4"/>
  <c r="K17" i="2"/>
  <c r="J19" i="4" s="1"/>
  <c r="H15" i="4"/>
  <c r="K13" i="2"/>
  <c r="J15" i="4" s="1"/>
  <c r="H11" i="4"/>
  <c r="K9" i="2"/>
  <c r="J11" i="4" s="1"/>
  <c r="H7" i="4"/>
  <c r="K5" i="2"/>
  <c r="J7" i="4" s="1"/>
  <c r="J187" i="2"/>
  <c r="I187" i="4" s="1"/>
  <c r="J183" i="2"/>
  <c r="I185" i="4" s="1"/>
  <c r="J179" i="2"/>
  <c r="I179" i="4" s="1"/>
  <c r="J175" i="2"/>
  <c r="I177" i="4" s="1"/>
  <c r="J171" i="2"/>
  <c r="I171" i="4" s="1"/>
  <c r="J167" i="2"/>
  <c r="I169" i="4" s="1"/>
  <c r="J163" i="2"/>
  <c r="I163" i="4" s="1"/>
  <c r="J159" i="2"/>
  <c r="I161" i="4" s="1"/>
  <c r="J155" i="2"/>
  <c r="I157" i="4" s="1"/>
  <c r="J151" i="2"/>
  <c r="I151" i="4" s="1"/>
  <c r="J147" i="2"/>
  <c r="I147" i="4" s="1"/>
  <c r="J143" i="2"/>
  <c r="I145" i="4" s="1"/>
  <c r="J139" i="2"/>
  <c r="I141" i="4" s="1"/>
  <c r="J135" i="2"/>
  <c r="I135" i="4" s="1"/>
  <c r="J131" i="2"/>
  <c r="I131" i="4" s="1"/>
  <c r="J127" i="2"/>
  <c r="I129" i="4" s="1"/>
  <c r="J123" i="2"/>
  <c r="I125" i="4" s="1"/>
  <c r="J119" i="2"/>
  <c r="I119" i="4" s="1"/>
  <c r="J115" i="2"/>
  <c r="I115" i="4" s="1"/>
  <c r="J111" i="2"/>
  <c r="I113" i="4" s="1"/>
  <c r="J107" i="2"/>
  <c r="I109" i="4" s="1"/>
  <c r="J101" i="2"/>
  <c r="J93" i="2"/>
  <c r="J85" i="2"/>
  <c r="I87" i="4" s="1"/>
  <c r="J77" i="2"/>
  <c r="J69" i="2"/>
  <c r="J61" i="2"/>
  <c r="J53" i="2"/>
  <c r="I55" i="4" s="1"/>
  <c r="J45" i="2"/>
  <c r="I47" i="4" s="1"/>
  <c r="J37" i="2"/>
  <c r="J29" i="2"/>
  <c r="J21" i="2"/>
  <c r="I23" i="4" s="1"/>
  <c r="J13" i="2"/>
  <c r="I15" i="4" s="1"/>
  <c r="J5" i="2"/>
  <c r="K223" i="2"/>
  <c r="K215" i="2"/>
  <c r="J217" i="4" s="1"/>
  <c r="K207" i="2"/>
  <c r="K199" i="2"/>
  <c r="K191" i="2"/>
  <c r="K183" i="2"/>
  <c r="J185" i="4" s="1"/>
  <c r="K175" i="2"/>
  <c r="K167" i="2"/>
  <c r="J169" i="4" s="1"/>
  <c r="K159" i="2"/>
  <c r="K151" i="2"/>
  <c r="J153" i="4" s="1"/>
  <c r="K143" i="2"/>
  <c r="K135" i="2"/>
  <c r="J137" i="4" s="1"/>
  <c r="K127" i="2"/>
  <c r="K119" i="2"/>
  <c r="J121" i="4" s="1"/>
  <c r="K111" i="2"/>
  <c r="K103" i="2"/>
  <c r="J105" i="4" s="1"/>
  <c r="K95" i="2"/>
  <c r="K87" i="2"/>
  <c r="J89" i="4" s="1"/>
  <c r="K79" i="2"/>
  <c r="J81" i="4" s="1"/>
  <c r="K71" i="2"/>
  <c r="J73" i="4" s="1"/>
  <c r="K63" i="2"/>
  <c r="J65" i="4" s="1"/>
  <c r="K55" i="2"/>
  <c r="J57" i="4" s="1"/>
  <c r="K47" i="2"/>
  <c r="J49" i="4" s="1"/>
  <c r="K39" i="2"/>
  <c r="J41" i="4" s="1"/>
  <c r="K31" i="2"/>
  <c r="J33" i="4" s="1"/>
  <c r="K23" i="2"/>
  <c r="J25" i="4" s="1"/>
  <c r="K15" i="2"/>
  <c r="J17" i="4" s="1"/>
  <c r="K7" i="2"/>
  <c r="J9" i="4" s="1"/>
  <c r="H106" i="4"/>
  <c r="J104" i="2"/>
  <c r="I106" i="4" s="1"/>
  <c r="H102" i="4"/>
  <c r="J100" i="2"/>
  <c r="H98" i="4"/>
  <c r="J96" i="2"/>
  <c r="I98" i="4" s="1"/>
  <c r="H94" i="4"/>
  <c r="J92" i="2"/>
  <c r="I94" i="4" s="1"/>
  <c r="H90" i="4"/>
  <c r="J88" i="2"/>
  <c r="I90" i="4" s="1"/>
  <c r="H86" i="4"/>
  <c r="J84" i="2"/>
  <c r="I84" i="4" s="1"/>
  <c r="H82" i="4"/>
  <c r="J80" i="2"/>
  <c r="I82" i="4" s="1"/>
  <c r="H78" i="4"/>
  <c r="J76" i="2"/>
  <c r="I78" i="4" s="1"/>
  <c r="H74" i="4"/>
  <c r="J72" i="2"/>
  <c r="I74" i="4" s="1"/>
  <c r="H70" i="4"/>
  <c r="J68" i="2"/>
  <c r="I68" i="4" s="1"/>
  <c r="H66" i="4"/>
  <c r="J64" i="2"/>
  <c r="I66" i="4" s="1"/>
  <c r="H62" i="4"/>
  <c r="J60" i="2"/>
  <c r="I62" i="4" s="1"/>
  <c r="H58" i="4"/>
  <c r="J56" i="2"/>
  <c r="I58" i="4" s="1"/>
  <c r="H54" i="4"/>
  <c r="J52" i="2"/>
  <c r="H50" i="4"/>
  <c r="J48" i="2"/>
  <c r="I50" i="4" s="1"/>
  <c r="H46" i="4"/>
  <c r="J44" i="2"/>
  <c r="I46" i="4" s="1"/>
  <c r="H42" i="4"/>
  <c r="J40" i="2"/>
  <c r="I42" i="4" s="1"/>
  <c r="H38" i="4"/>
  <c r="J36" i="2"/>
  <c r="H34" i="4"/>
  <c r="J32" i="2"/>
  <c r="I34" i="4" s="1"/>
  <c r="H30" i="4"/>
  <c r="J28" i="2"/>
  <c r="I30" i="4" s="1"/>
  <c r="H26" i="4"/>
  <c r="J24" i="2"/>
  <c r="I26" i="4" s="1"/>
  <c r="H22" i="4"/>
  <c r="J20" i="2"/>
  <c r="H18" i="4"/>
  <c r="J16" i="2"/>
  <c r="I18" i="4" s="1"/>
  <c r="H14" i="4"/>
  <c r="J12" i="2"/>
  <c r="I14" i="4" s="1"/>
  <c r="H10" i="4"/>
  <c r="J8" i="2"/>
  <c r="I10" i="4" s="1"/>
  <c r="H6" i="4"/>
  <c r="J4" i="2"/>
  <c r="I200" i="4"/>
  <c r="I184" i="4"/>
  <c r="I168" i="4"/>
  <c r="I148" i="4"/>
  <c r="I136" i="4"/>
  <c r="I132" i="4"/>
  <c r="I116" i="4"/>
  <c r="I100" i="4"/>
  <c r="K228" i="2"/>
  <c r="J230" i="4" s="1"/>
  <c r="K220" i="2"/>
  <c r="J222" i="4" s="1"/>
  <c r="K212" i="2"/>
  <c r="J214" i="4" s="1"/>
  <c r="K204" i="2"/>
  <c r="J206" i="4" s="1"/>
  <c r="K196" i="2"/>
  <c r="J198" i="4" s="1"/>
  <c r="K188" i="2"/>
  <c r="J190" i="4" s="1"/>
  <c r="K180" i="2"/>
  <c r="K172" i="2"/>
  <c r="J174" i="4" s="1"/>
  <c r="K164" i="2"/>
  <c r="K156" i="2"/>
  <c r="K148" i="2"/>
  <c r="J150" i="4" s="1"/>
  <c r="K140" i="2"/>
  <c r="K132" i="2"/>
  <c r="J134" i="4" s="1"/>
  <c r="K124" i="2"/>
  <c r="K116" i="2"/>
  <c r="J118" i="4" s="1"/>
  <c r="K108" i="2"/>
  <c r="J110" i="4" s="1"/>
  <c r="K100" i="2"/>
  <c r="J102" i="4" s="1"/>
  <c r="K92" i="2"/>
  <c r="J94" i="4" s="1"/>
  <c r="K84" i="2"/>
  <c r="J86" i="4" s="1"/>
  <c r="K76" i="2"/>
  <c r="J78" i="4" s="1"/>
  <c r="K68" i="2"/>
  <c r="J70" i="4" s="1"/>
  <c r="K60" i="2"/>
  <c r="J62" i="4" s="1"/>
  <c r="K52" i="2"/>
  <c r="J54" i="4" s="1"/>
  <c r="K44" i="2"/>
  <c r="J46" i="4" s="1"/>
  <c r="K36" i="2"/>
  <c r="J38" i="4" s="1"/>
  <c r="K28" i="2"/>
  <c r="J30" i="4" s="1"/>
  <c r="K20" i="2"/>
  <c r="J22" i="4" s="1"/>
  <c r="K12" i="2"/>
  <c r="J14" i="4" s="1"/>
  <c r="K4" i="2"/>
  <c r="J6" i="4" s="1"/>
  <c r="C3" i="2"/>
  <c r="C4" i="2"/>
  <c r="C5" i="2"/>
  <c r="C7" i="4" s="1"/>
  <c r="C6" i="2"/>
  <c r="C7" i="2"/>
  <c r="C8" i="2"/>
  <c r="C9" i="2"/>
  <c r="C11" i="4" s="1"/>
  <c r="C10" i="2"/>
  <c r="C11" i="2"/>
  <c r="C12" i="2"/>
  <c r="C13" i="2"/>
  <c r="C15" i="4" s="1"/>
  <c r="C14" i="2"/>
  <c r="C15" i="2"/>
  <c r="C16" i="2"/>
  <c r="C17" i="2"/>
  <c r="C22" i="2"/>
  <c r="C23" i="2"/>
  <c r="C24" i="2"/>
  <c r="C25" i="2"/>
  <c r="C27" i="4" s="1"/>
  <c r="C26" i="2"/>
  <c r="C27" i="2"/>
  <c r="C28" i="2"/>
  <c r="C29" i="2"/>
  <c r="C31" i="4" s="1"/>
  <c r="C30" i="2"/>
  <c r="C31" i="2"/>
  <c r="C32" i="2"/>
  <c r="C33" i="2"/>
  <c r="C35" i="4" s="1"/>
  <c r="C34" i="2"/>
  <c r="C35" i="2"/>
  <c r="C36" i="2"/>
  <c r="C37" i="2"/>
  <c r="C39" i="4" s="1"/>
  <c r="C38" i="2"/>
  <c r="C39" i="2"/>
  <c r="C40" i="2"/>
  <c r="C41" i="2"/>
  <c r="C43" i="4" s="1"/>
  <c r="C42" i="2"/>
  <c r="C43" i="2"/>
  <c r="C44" i="2"/>
  <c r="C45" i="2"/>
  <c r="C47" i="4" s="1"/>
  <c r="C46" i="2"/>
  <c r="C47" i="2"/>
  <c r="C48" i="2"/>
  <c r="C49" i="2"/>
  <c r="C51" i="4" s="1"/>
  <c r="C50" i="2"/>
  <c r="C51" i="2"/>
  <c r="C52" i="2"/>
  <c r="C53" i="2"/>
  <c r="C55" i="4" s="1"/>
  <c r="C54" i="2"/>
  <c r="C55" i="2"/>
  <c r="C56" i="2"/>
  <c r="C57" i="2"/>
  <c r="C59" i="4" s="1"/>
  <c r="C58" i="2"/>
  <c r="C59" i="2"/>
  <c r="C60" i="2"/>
  <c r="C61" i="2"/>
  <c r="C63" i="4" s="1"/>
  <c r="C62" i="2"/>
  <c r="C63" i="2"/>
  <c r="C64" i="2"/>
  <c r="C65" i="2"/>
  <c r="C67" i="4" s="1"/>
  <c r="C66" i="2"/>
  <c r="C67" i="2"/>
  <c r="C68" i="2"/>
  <c r="C69" i="2"/>
  <c r="C71" i="4" s="1"/>
  <c r="C70" i="2"/>
  <c r="C71" i="2"/>
  <c r="C72" i="2"/>
  <c r="C73" i="2"/>
  <c r="C75" i="4" s="1"/>
  <c r="C74" i="2"/>
  <c r="C75" i="2"/>
  <c r="C76" i="2"/>
  <c r="C77" i="2"/>
  <c r="C79" i="4" s="1"/>
  <c r="C78" i="2"/>
  <c r="C79" i="2"/>
  <c r="C80" i="2"/>
  <c r="C81" i="2"/>
  <c r="C83" i="4" s="1"/>
  <c r="C82" i="2"/>
  <c r="C83" i="2"/>
  <c r="C84" i="2"/>
  <c r="C85" i="2"/>
  <c r="C87" i="4" s="1"/>
  <c r="C86" i="2"/>
  <c r="C87" i="2"/>
  <c r="C88" i="2"/>
  <c r="C89" i="2"/>
  <c r="C91" i="4" s="1"/>
  <c r="C90" i="2"/>
  <c r="C91" i="2"/>
  <c r="C92" i="2"/>
  <c r="C93" i="2"/>
  <c r="C95" i="4" s="1"/>
  <c r="C94" i="2"/>
  <c r="C95" i="2"/>
  <c r="C96" i="2"/>
  <c r="C97" i="2"/>
  <c r="C99" i="4" s="1"/>
  <c r="C98" i="2"/>
  <c r="C99" i="2"/>
  <c r="C100" i="2"/>
  <c r="C101" i="2"/>
  <c r="C103" i="4" s="1"/>
  <c r="C102" i="2"/>
  <c r="C103" i="2"/>
  <c r="C104" i="2"/>
  <c r="C105" i="2"/>
  <c r="C107" i="4" s="1"/>
  <c r="C106" i="2"/>
  <c r="C107" i="2"/>
  <c r="C108" i="2"/>
  <c r="C109" i="2"/>
  <c r="C111" i="4" s="1"/>
  <c r="C110" i="2"/>
  <c r="C111" i="2"/>
  <c r="C112" i="2"/>
  <c r="C113" i="2"/>
  <c r="C115" i="4" s="1"/>
  <c r="C114" i="2"/>
  <c r="C115" i="2"/>
  <c r="C116" i="2"/>
  <c r="C117" i="2"/>
  <c r="C119" i="4" s="1"/>
  <c r="C118" i="2"/>
  <c r="C119" i="2"/>
  <c r="C120" i="2"/>
  <c r="C121" i="2"/>
  <c r="C123" i="4" s="1"/>
  <c r="C122" i="2"/>
  <c r="C123" i="2"/>
  <c r="C124" i="2"/>
  <c r="C125" i="2"/>
  <c r="C127" i="4" s="1"/>
  <c r="C126" i="2"/>
  <c r="C127" i="2"/>
  <c r="C128" i="2"/>
  <c r="C129" i="2"/>
  <c r="C131" i="4" s="1"/>
  <c r="C130" i="2"/>
  <c r="C131" i="2"/>
  <c r="C132" i="2"/>
  <c r="C133" i="2"/>
  <c r="C135" i="4" s="1"/>
  <c r="C134" i="2"/>
  <c r="C135" i="2"/>
  <c r="C136" i="2"/>
  <c r="C137" i="2"/>
  <c r="C139" i="4" s="1"/>
  <c r="C138" i="2"/>
  <c r="C139" i="2"/>
  <c r="C140" i="2"/>
  <c r="C141" i="2"/>
  <c r="C143" i="4" s="1"/>
  <c r="C142" i="2"/>
  <c r="C143" i="2"/>
  <c r="C144" i="2"/>
  <c r="C145" i="2"/>
  <c r="C147" i="4" s="1"/>
  <c r="C146" i="2"/>
  <c r="C147" i="2"/>
  <c r="C148" i="2"/>
  <c r="C149" i="2"/>
  <c r="C151" i="4" s="1"/>
  <c r="C150" i="2"/>
  <c r="C151" i="2"/>
  <c r="C152" i="2"/>
  <c r="C153" i="2"/>
  <c r="C155" i="4" s="1"/>
  <c r="C154" i="2"/>
  <c r="C155" i="2"/>
  <c r="C156" i="2"/>
  <c r="C157" i="2"/>
  <c r="C159" i="4" s="1"/>
  <c r="C158" i="2"/>
  <c r="C159" i="2"/>
  <c r="C160" i="2"/>
  <c r="C161" i="2"/>
  <c r="C163" i="4" s="1"/>
  <c r="C162" i="2"/>
  <c r="C163" i="2"/>
  <c r="C164" i="2"/>
  <c r="C165" i="2"/>
  <c r="C167" i="4" s="1"/>
  <c r="C166" i="2"/>
  <c r="C167" i="2"/>
  <c r="C168" i="2"/>
  <c r="C169" i="2"/>
  <c r="C171" i="4" s="1"/>
  <c r="C170" i="2"/>
  <c r="C171" i="2"/>
  <c r="C172" i="2"/>
  <c r="C173" i="2"/>
  <c r="C175" i="4" s="1"/>
  <c r="C174" i="2"/>
  <c r="C175" i="2"/>
  <c r="C176" i="2"/>
  <c r="C177" i="2"/>
  <c r="C179" i="4" s="1"/>
  <c r="C178" i="2"/>
  <c r="C179" i="2"/>
  <c r="C180" i="2"/>
  <c r="C181" i="2"/>
  <c r="C183" i="4" s="1"/>
  <c r="C182" i="2"/>
  <c r="C183" i="2"/>
  <c r="C184" i="2"/>
  <c r="C185" i="2"/>
  <c r="C187" i="4" s="1"/>
  <c r="C186" i="2"/>
  <c r="C187" i="2"/>
  <c r="C188" i="2"/>
  <c r="C189" i="2"/>
  <c r="C191" i="4" s="1"/>
  <c r="C190" i="2"/>
  <c r="C191" i="2"/>
  <c r="C192" i="2"/>
  <c r="C193" i="2"/>
  <c r="C195" i="4" s="1"/>
  <c r="C194" i="2"/>
  <c r="C195" i="2"/>
  <c r="C196" i="2"/>
  <c r="C197" i="2"/>
  <c r="C199" i="4" s="1"/>
  <c r="C198" i="2"/>
  <c r="C199" i="2"/>
  <c r="C200" i="2"/>
  <c r="C201" i="2"/>
  <c r="C203" i="4" s="1"/>
  <c r="C202" i="2"/>
  <c r="C203" i="2"/>
  <c r="C204" i="2"/>
  <c r="C205" i="2"/>
  <c r="C207" i="4" s="1"/>
  <c r="C206" i="2"/>
  <c r="C207" i="2"/>
  <c r="C208" i="2"/>
  <c r="C209" i="2"/>
  <c r="C211" i="4" s="1"/>
  <c r="C210" i="2"/>
  <c r="C211" i="2"/>
  <c r="C212" i="2"/>
  <c r="C213" i="2"/>
  <c r="C215" i="4" s="1"/>
  <c r="C214" i="2"/>
  <c r="C215" i="2"/>
  <c r="C216" i="2"/>
  <c r="C217" i="2"/>
  <c r="C219" i="4" s="1"/>
  <c r="C218" i="2"/>
  <c r="C219" i="2"/>
  <c r="C220" i="2"/>
  <c r="C221" i="2"/>
  <c r="C223" i="4" s="1"/>
  <c r="C222" i="2"/>
  <c r="C223" i="2"/>
  <c r="C224" i="2"/>
  <c r="C225" i="2"/>
  <c r="C227" i="4" s="1"/>
  <c r="C226" i="2"/>
  <c r="C227" i="2"/>
  <c r="C228" i="2"/>
  <c r="C229" i="2"/>
  <c r="C231" i="4" s="1"/>
  <c r="C230" i="2"/>
  <c r="C231" i="2"/>
  <c r="C232" i="2"/>
  <c r="C233" i="2"/>
  <c r="C235" i="4" s="1"/>
  <c r="C234" i="2"/>
  <c r="C235" i="2"/>
  <c r="C2" i="2"/>
  <c r="Y11" i="7" l="1"/>
  <c r="AH4" i="7" s="1"/>
  <c r="Y9" i="7"/>
  <c r="Y6" i="7"/>
  <c r="Y17" i="7"/>
  <c r="AH6" i="7" s="1"/>
  <c r="Y7" i="7"/>
  <c r="Y20" i="7"/>
  <c r="AH7" i="7" s="1"/>
  <c r="Y10" i="7"/>
  <c r="Y27" i="7"/>
  <c r="Y13" i="7"/>
  <c r="Y25" i="7"/>
  <c r="Y22" i="7"/>
  <c r="Y15" i="7"/>
  <c r="Y26" i="7"/>
  <c r="AH9" i="7" s="1"/>
  <c r="Y23" i="7"/>
  <c r="AH8" i="7" s="1"/>
  <c r="Y19" i="7"/>
  <c r="Y16" i="7"/>
  <c r="Q52" i="7"/>
  <c r="Q54" i="7"/>
  <c r="V11" i="7"/>
  <c r="V26" i="7"/>
  <c r="V23" i="7"/>
  <c r="V20" i="7"/>
  <c r="V13" i="7"/>
  <c r="V19" i="7"/>
  <c r="V25" i="7"/>
  <c r="V22" i="7"/>
  <c r="V15" i="7"/>
  <c r="Q133" i="7"/>
  <c r="Q72" i="7"/>
  <c r="Q135" i="7"/>
  <c r="Q109" i="7"/>
  <c r="Q78" i="7"/>
  <c r="Q6" i="7"/>
  <c r="V28" i="7"/>
  <c r="V27" i="7"/>
  <c r="V17" i="7"/>
  <c r="V7" i="7"/>
  <c r="V10" i="7"/>
  <c r="V16" i="7"/>
  <c r="V9" i="7"/>
  <c r="V6" i="7"/>
  <c r="Q91" i="7"/>
  <c r="Q27" i="7"/>
  <c r="Q13" i="7"/>
  <c r="Q116" i="7"/>
  <c r="AF39" i="7" s="1"/>
  <c r="Q142" i="7"/>
  <c r="Q143" i="7"/>
  <c r="AF48" i="7" s="1"/>
  <c r="Q96" i="7"/>
  <c r="Q28" i="7"/>
  <c r="Q140" i="7"/>
  <c r="AF47" i="7" s="1"/>
  <c r="Q53" i="7"/>
  <c r="AF18" i="7" s="1"/>
  <c r="Q74" i="7"/>
  <c r="AF25" i="7" s="1"/>
  <c r="Q70" i="7"/>
  <c r="Q107" i="7"/>
  <c r="AF36" i="7" s="1"/>
  <c r="Q43" i="7"/>
  <c r="Q56" i="7"/>
  <c r="AF19" i="7" s="1"/>
  <c r="Q8" i="7"/>
  <c r="AF3" i="7" s="1"/>
  <c r="Q145" i="7"/>
  <c r="Q81" i="7"/>
  <c r="Q17" i="7"/>
  <c r="AF6" i="7" s="1"/>
  <c r="Q94" i="7"/>
  <c r="Q130" i="7"/>
  <c r="Q14" i="7"/>
  <c r="AF5" i="7" s="1"/>
  <c r="Q119" i="7"/>
  <c r="AF40" i="7" s="1"/>
  <c r="Q55" i="7"/>
  <c r="Q7" i="7"/>
  <c r="Q84" i="7"/>
  <c r="Q20" i="7"/>
  <c r="AF7" i="7" s="1"/>
  <c r="Q88" i="7"/>
  <c r="Q93" i="7"/>
  <c r="Q29" i="7"/>
  <c r="AF10" i="7" s="1"/>
  <c r="Q122" i="7"/>
  <c r="AF41" i="7" s="1"/>
  <c r="Q118" i="7"/>
  <c r="Q10" i="7"/>
  <c r="Q115" i="7"/>
  <c r="Q51" i="7"/>
  <c r="Q136" i="7"/>
  <c r="Q48" i="7"/>
  <c r="Q144" i="7"/>
  <c r="Q105" i="7"/>
  <c r="Q41" i="7"/>
  <c r="AF14" i="7" s="1"/>
  <c r="Q50" i="7"/>
  <c r="AF17" i="7" s="1"/>
  <c r="Q46" i="7"/>
  <c r="Q95" i="7"/>
  <c r="AF32" i="7" s="1"/>
  <c r="Q31" i="7"/>
  <c r="Q42" i="7"/>
  <c r="Q40" i="7"/>
  <c r="Q98" i="7"/>
  <c r="AF33" i="7" s="1"/>
  <c r="Q39" i="7"/>
  <c r="Q68" i="7"/>
  <c r="AF23" i="7" s="1"/>
  <c r="Q86" i="7"/>
  <c r="AF29" i="7" s="1"/>
  <c r="Q90" i="7"/>
  <c r="Q99" i="7"/>
  <c r="Q35" i="7"/>
  <c r="AF12" i="7" s="1"/>
  <c r="Q104" i="7"/>
  <c r="AF35" i="7" s="1"/>
  <c r="Q32" i="7"/>
  <c r="AF11" i="7" s="1"/>
  <c r="Q89" i="7"/>
  <c r="AF30" i="7" s="1"/>
  <c r="Q25" i="7"/>
  <c r="Q146" i="7"/>
  <c r="AF49" i="7" s="1"/>
  <c r="Q22" i="7"/>
  <c r="Q79" i="7"/>
  <c r="Q15" i="7"/>
  <c r="Q75" i="7"/>
  <c r="Q132" i="7"/>
  <c r="Q26" i="7"/>
  <c r="AF9" i="7" s="1"/>
  <c r="Q151" i="7"/>
  <c r="Q23" i="7"/>
  <c r="AF8" i="7" s="1"/>
  <c r="Q148" i="7"/>
  <c r="Q152" i="7"/>
  <c r="AF51" i="7" s="1"/>
  <c r="Q125" i="7"/>
  <c r="AF42" i="7" s="1"/>
  <c r="Q61" i="7"/>
  <c r="Q58" i="7"/>
  <c r="Q147" i="7"/>
  <c r="Q83" i="7"/>
  <c r="AF28" i="7" s="1"/>
  <c r="Q19" i="7"/>
  <c r="Q80" i="7"/>
  <c r="AF27" i="7" s="1"/>
  <c r="Q16" i="7"/>
  <c r="Q137" i="7"/>
  <c r="AF46" i="7" s="1"/>
  <c r="Q73" i="7"/>
  <c r="Q114" i="7"/>
  <c r="Q110" i="7"/>
  <c r="AF37" i="7" s="1"/>
  <c r="Q127" i="7"/>
  <c r="Q63" i="7"/>
  <c r="Q106" i="7"/>
  <c r="Q59" i="7"/>
  <c r="AF20" i="7" s="1"/>
  <c r="Q11" i="7"/>
  <c r="AF4" i="7" s="1"/>
  <c r="Q100" i="7"/>
  <c r="Q126" i="7"/>
  <c r="Q71" i="7"/>
  <c r="AF24" i="7" s="1"/>
  <c r="Q112" i="7"/>
  <c r="Q36" i="7"/>
  <c r="Q124" i="7"/>
  <c r="Q150" i="7"/>
  <c r="Q131" i="7"/>
  <c r="AF44" i="7" s="1"/>
  <c r="Q67" i="7"/>
  <c r="Q64" i="7"/>
  <c r="Q121" i="7"/>
  <c r="Q57" i="7"/>
  <c r="Q9" i="7"/>
  <c r="Q82" i="7"/>
  <c r="Q111" i="7"/>
  <c r="Q47" i="7"/>
  <c r="AF16" i="7" s="1"/>
  <c r="T29" i="7"/>
  <c r="U29" i="7" s="1"/>
  <c r="W28" i="7"/>
  <c r="X28" i="7" s="1"/>
  <c r="J166" i="4"/>
  <c r="J122" i="4"/>
  <c r="J154" i="4"/>
  <c r="J186" i="4"/>
  <c r="J115" i="4"/>
  <c r="J155" i="4"/>
  <c r="J91" i="4"/>
  <c r="J131" i="4"/>
  <c r="J163" i="4"/>
  <c r="J179" i="4"/>
  <c r="I120" i="4"/>
  <c r="I20" i="4"/>
  <c r="I52" i="4"/>
  <c r="J201" i="4"/>
  <c r="J194" i="4"/>
  <c r="J195" i="4"/>
  <c r="I36" i="4"/>
  <c r="I152" i="4"/>
  <c r="I79" i="4"/>
  <c r="J106" i="4"/>
  <c r="J138" i="4"/>
  <c r="J170" i="4"/>
  <c r="J202" i="4"/>
  <c r="J234" i="4"/>
  <c r="J99" i="4"/>
  <c r="J147" i="4"/>
  <c r="J227" i="4"/>
  <c r="J107" i="4"/>
  <c r="J123" i="4"/>
  <c r="J139" i="4"/>
  <c r="J171" i="4"/>
  <c r="J187" i="4"/>
  <c r="J173" i="4"/>
  <c r="J205" i="4"/>
  <c r="I193" i="4"/>
  <c r="I201" i="4"/>
  <c r="I209" i="4"/>
  <c r="I217" i="4"/>
  <c r="J103" i="4"/>
  <c r="J143" i="4"/>
  <c r="J219" i="4"/>
  <c r="J127" i="4"/>
  <c r="J159" i="4"/>
  <c r="I61" i="4"/>
  <c r="I4" i="4"/>
  <c r="I212" i="4"/>
  <c r="I232" i="4"/>
  <c r="I72" i="4"/>
  <c r="I59" i="4"/>
  <c r="J101" i="4"/>
  <c r="J133" i="4"/>
  <c r="J183" i="4"/>
  <c r="I229" i="4"/>
  <c r="J119" i="4"/>
  <c r="C4" i="4"/>
  <c r="C234" i="4"/>
  <c r="C230" i="4"/>
  <c r="C226" i="4"/>
  <c r="C222" i="4"/>
  <c r="C218" i="4"/>
  <c r="C214" i="4"/>
  <c r="C210" i="4"/>
  <c r="C206" i="4"/>
  <c r="C202" i="4"/>
  <c r="C198" i="4"/>
  <c r="C194" i="4"/>
  <c r="C190" i="4"/>
  <c r="C186" i="4"/>
  <c r="C182" i="4"/>
  <c r="C178" i="4"/>
  <c r="C174" i="4"/>
  <c r="C170" i="4"/>
  <c r="C166" i="4"/>
  <c r="C162" i="4"/>
  <c r="C158" i="4"/>
  <c r="C154" i="4"/>
  <c r="C150" i="4"/>
  <c r="C146" i="4"/>
  <c r="C142" i="4"/>
  <c r="C138" i="4"/>
  <c r="C134" i="4"/>
  <c r="C130" i="4"/>
  <c r="C126" i="4"/>
  <c r="C122" i="4"/>
  <c r="C118" i="4"/>
  <c r="C114" i="4"/>
  <c r="C110" i="4"/>
  <c r="C106" i="4"/>
  <c r="C102" i="4"/>
  <c r="C98" i="4"/>
  <c r="C94" i="4"/>
  <c r="C90" i="4"/>
  <c r="C86" i="4"/>
  <c r="C82" i="4"/>
  <c r="C78" i="4"/>
  <c r="C74" i="4"/>
  <c r="C70" i="4"/>
  <c r="C66" i="4"/>
  <c r="C62" i="4"/>
  <c r="C58" i="4"/>
  <c r="C54" i="4"/>
  <c r="C50" i="4"/>
  <c r="C46" i="4"/>
  <c r="C42" i="4"/>
  <c r="C38" i="4"/>
  <c r="C34" i="4"/>
  <c r="C30" i="4"/>
  <c r="C26" i="4"/>
  <c r="C14" i="4"/>
  <c r="C10" i="4"/>
  <c r="C6" i="4"/>
  <c r="J142" i="4"/>
  <c r="I12" i="4"/>
  <c r="I44" i="4"/>
  <c r="I76" i="4"/>
  <c r="I108" i="4"/>
  <c r="I124" i="4"/>
  <c r="I140" i="4"/>
  <c r="I156" i="4"/>
  <c r="I172" i="4"/>
  <c r="I188" i="4"/>
  <c r="I204" i="4"/>
  <c r="J97" i="4"/>
  <c r="J129" i="4"/>
  <c r="J161" i="4"/>
  <c r="J193" i="4"/>
  <c r="J225" i="4"/>
  <c r="I31" i="4"/>
  <c r="I63" i="4"/>
  <c r="I95" i="4"/>
  <c r="I117" i="4"/>
  <c r="I133" i="4"/>
  <c r="I149" i="4"/>
  <c r="I165" i="4"/>
  <c r="I181" i="4"/>
  <c r="J90" i="4"/>
  <c r="J218" i="4"/>
  <c r="I16" i="4"/>
  <c r="I48" i="4"/>
  <c r="I80" i="4"/>
  <c r="J229" i="4"/>
  <c r="I167" i="4"/>
  <c r="I183" i="4"/>
  <c r="I199" i="4"/>
  <c r="I9" i="4"/>
  <c r="I17" i="4"/>
  <c r="I25" i="4"/>
  <c r="I33" i="4"/>
  <c r="I41" i="4"/>
  <c r="I49" i="4"/>
  <c r="I57" i="4"/>
  <c r="I69" i="4"/>
  <c r="I77" i="4"/>
  <c r="I85" i="4"/>
  <c r="I93" i="4"/>
  <c r="I101" i="4"/>
  <c r="I227" i="4"/>
  <c r="J109" i="4"/>
  <c r="J141" i="4"/>
  <c r="J189" i="4"/>
  <c r="J111" i="4"/>
  <c r="J223" i="4"/>
  <c r="I231" i="4"/>
  <c r="J203" i="4"/>
  <c r="J92" i="4"/>
  <c r="J100" i="4"/>
  <c r="J108" i="4"/>
  <c r="J116" i="4"/>
  <c r="J124" i="4"/>
  <c r="J132" i="4"/>
  <c r="J140" i="4"/>
  <c r="J148" i="4"/>
  <c r="J156" i="4"/>
  <c r="J164" i="4"/>
  <c r="J172" i="4"/>
  <c r="J180" i="4"/>
  <c r="J188" i="4"/>
  <c r="J196" i="4"/>
  <c r="J204" i="4"/>
  <c r="J212" i="4"/>
  <c r="J220" i="4"/>
  <c r="J228" i="4"/>
  <c r="J165" i="4"/>
  <c r="J221" i="4"/>
  <c r="J199" i="4"/>
  <c r="I40" i="4"/>
  <c r="C233" i="4"/>
  <c r="C225" i="4"/>
  <c r="C217" i="4"/>
  <c r="C209" i="4"/>
  <c r="C201" i="4"/>
  <c r="C189" i="4"/>
  <c r="C181" i="4"/>
  <c r="C173" i="4"/>
  <c r="C169" i="4"/>
  <c r="C161" i="4"/>
  <c r="C153" i="4"/>
  <c r="C149" i="4"/>
  <c r="C145" i="4"/>
  <c r="C141" i="4"/>
  <c r="C137" i="4"/>
  <c r="C133" i="4"/>
  <c r="C129" i="4"/>
  <c r="C125" i="4"/>
  <c r="C121" i="4"/>
  <c r="C117" i="4"/>
  <c r="C113" i="4"/>
  <c r="C109" i="4"/>
  <c r="C105" i="4"/>
  <c r="C101" i="4"/>
  <c r="C97" i="4"/>
  <c r="C93" i="4"/>
  <c r="C89" i="4"/>
  <c r="C85" i="4"/>
  <c r="C81" i="4"/>
  <c r="C77" i="4"/>
  <c r="C73" i="4"/>
  <c r="C69" i="4"/>
  <c r="C65" i="4"/>
  <c r="C61" i="4"/>
  <c r="C57" i="4"/>
  <c r="C53" i="4"/>
  <c r="C49" i="4"/>
  <c r="C45" i="4"/>
  <c r="C41" i="4"/>
  <c r="C37" i="4"/>
  <c r="C33" i="4"/>
  <c r="C29" i="4"/>
  <c r="C25" i="4"/>
  <c r="C17" i="4"/>
  <c r="C13" i="4"/>
  <c r="C9" i="4"/>
  <c r="C5" i="4"/>
  <c r="J182" i="4"/>
  <c r="I112" i="4"/>
  <c r="I128" i="4"/>
  <c r="I144" i="4"/>
  <c r="I160" i="4"/>
  <c r="I176" i="4"/>
  <c r="I192" i="4"/>
  <c r="I6" i="4"/>
  <c r="I22" i="4"/>
  <c r="I38" i="4"/>
  <c r="I54" i="4"/>
  <c r="I70" i="4"/>
  <c r="I86" i="4"/>
  <c r="I102" i="4"/>
  <c r="I7" i="4"/>
  <c r="I39" i="4"/>
  <c r="I71" i="4"/>
  <c r="I103" i="4"/>
  <c r="I121" i="4"/>
  <c r="I137" i="4"/>
  <c r="I153" i="4"/>
  <c r="J98" i="4"/>
  <c r="J130" i="4"/>
  <c r="J162" i="4"/>
  <c r="J226" i="4"/>
  <c r="I24" i="4"/>
  <c r="I56" i="4"/>
  <c r="I88" i="4"/>
  <c r="J87" i="4"/>
  <c r="I105" i="4"/>
  <c r="I107" i="4"/>
  <c r="I123" i="4"/>
  <c r="I139" i="4"/>
  <c r="I155" i="4"/>
  <c r="J117" i="4"/>
  <c r="J149" i="4"/>
  <c r="J213" i="4"/>
  <c r="J191" i="4"/>
  <c r="I220" i="4"/>
  <c r="I207" i="4"/>
  <c r="I221" i="4"/>
  <c r="J135" i="4"/>
  <c r="J175" i="4"/>
  <c r="J215" i="4"/>
  <c r="I208" i="4"/>
  <c r="J181" i="4"/>
  <c r="I197" i="4"/>
  <c r="I205" i="4"/>
  <c r="I213" i="4"/>
  <c r="I225" i="4"/>
  <c r="I233" i="4"/>
  <c r="J95" i="4"/>
  <c r="J151" i="4"/>
  <c r="J211" i="4"/>
  <c r="J231" i="4"/>
  <c r="I8" i="4"/>
  <c r="I104" i="4"/>
  <c r="C229" i="4"/>
  <c r="C221" i="4"/>
  <c r="C213" i="4"/>
  <c r="C205" i="4"/>
  <c r="C197" i="4"/>
  <c r="C193" i="4"/>
  <c r="C185" i="4"/>
  <c r="C177" i="4"/>
  <c r="C165" i="4"/>
  <c r="C157" i="4"/>
  <c r="C232" i="4"/>
  <c r="C228" i="4"/>
  <c r="C224" i="4"/>
  <c r="C220" i="4"/>
  <c r="C216" i="4"/>
  <c r="C212" i="4"/>
  <c r="C208" i="4"/>
  <c r="C204" i="4"/>
  <c r="C200" i="4"/>
  <c r="C196" i="4"/>
  <c r="C192" i="4"/>
  <c r="C188" i="4"/>
  <c r="C184" i="4"/>
  <c r="C180" i="4"/>
  <c r="C176" i="4"/>
  <c r="C172" i="4"/>
  <c r="C168" i="4"/>
  <c r="C164" i="4"/>
  <c r="C160" i="4"/>
  <c r="C156" i="4"/>
  <c r="C152" i="4"/>
  <c r="C148" i="4"/>
  <c r="C144" i="4"/>
  <c r="C140" i="4"/>
  <c r="C136" i="4"/>
  <c r="C132" i="4"/>
  <c r="C128" i="4"/>
  <c r="C124" i="4"/>
  <c r="C120" i="4"/>
  <c r="C116" i="4"/>
  <c r="C112" i="4"/>
  <c r="C108" i="4"/>
  <c r="C104" i="4"/>
  <c r="C100" i="4"/>
  <c r="C96" i="4"/>
  <c r="C92" i="4"/>
  <c r="C88" i="4"/>
  <c r="C84" i="4"/>
  <c r="C80" i="4"/>
  <c r="C76" i="4"/>
  <c r="C72" i="4"/>
  <c r="C68" i="4"/>
  <c r="C64" i="4"/>
  <c r="C60" i="4"/>
  <c r="C56" i="4"/>
  <c r="C52" i="4"/>
  <c r="C48" i="4"/>
  <c r="C44" i="4"/>
  <c r="C40" i="4"/>
  <c r="C36" i="4"/>
  <c r="C32" i="4"/>
  <c r="C28" i="4"/>
  <c r="C24" i="4"/>
  <c r="C16" i="4"/>
  <c r="C12" i="4"/>
  <c r="C8" i="4"/>
  <c r="J126" i="4"/>
  <c r="J158" i="4"/>
  <c r="I28" i="4"/>
  <c r="I60" i="4"/>
  <c r="I92" i="4"/>
  <c r="I164" i="4"/>
  <c r="I180" i="4"/>
  <c r="I196" i="4"/>
  <c r="J113" i="4"/>
  <c r="J145" i="4"/>
  <c r="J177" i="4"/>
  <c r="J209" i="4"/>
  <c r="I173" i="4"/>
  <c r="I189" i="4"/>
  <c r="I32" i="4"/>
  <c r="I64" i="4"/>
  <c r="I96" i="4"/>
  <c r="I111" i="4"/>
  <c r="I127" i="4"/>
  <c r="I143" i="4"/>
  <c r="I159" i="4"/>
  <c r="I175" i="4"/>
  <c r="I191" i="4"/>
  <c r="I5" i="4"/>
  <c r="I13" i="4"/>
  <c r="I21" i="4"/>
  <c r="I29" i="4"/>
  <c r="I37" i="4"/>
  <c r="I45" i="4"/>
  <c r="I53" i="4"/>
  <c r="I65" i="4"/>
  <c r="I73" i="4"/>
  <c r="I81" i="4"/>
  <c r="I89" i="4"/>
  <c r="I97" i="4"/>
  <c r="J93" i="4"/>
  <c r="J125" i="4"/>
  <c r="J157" i="4"/>
  <c r="J233" i="4"/>
  <c r="J167" i="4"/>
  <c r="J207" i="4"/>
  <c r="I228" i="4"/>
  <c r="I215" i="4"/>
  <c r="I216" i="4"/>
  <c r="J88" i="4"/>
  <c r="J96" i="4"/>
  <c r="J104" i="4"/>
  <c r="J112" i="4"/>
  <c r="J120" i="4"/>
  <c r="J128" i="4"/>
  <c r="J136" i="4"/>
  <c r="J144" i="4"/>
  <c r="J152" i="4"/>
  <c r="J160" i="4"/>
  <c r="J168" i="4"/>
  <c r="J176" i="4"/>
  <c r="J184" i="4"/>
  <c r="J192" i="4"/>
  <c r="J200" i="4"/>
  <c r="J208" i="4"/>
  <c r="J216" i="4"/>
  <c r="J224" i="4"/>
  <c r="J232" i="4"/>
  <c r="J197" i="4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6" i="4" s="1"/>
  <c r="B35" i="2"/>
  <c r="B36" i="2"/>
  <c r="B37" i="2"/>
  <c r="B38" i="2"/>
  <c r="B39" i="2"/>
  <c r="B40" i="2"/>
  <c r="B41" i="2"/>
  <c r="B42" i="2"/>
  <c r="B44" i="4" s="1"/>
  <c r="B43" i="2"/>
  <c r="B44" i="2"/>
  <c r="B45" i="2"/>
  <c r="B46" i="2"/>
  <c r="B48" i="4" s="1"/>
  <c r="B47" i="2"/>
  <c r="B48" i="2"/>
  <c r="B49" i="2"/>
  <c r="B50" i="2"/>
  <c r="B52" i="4" s="1"/>
  <c r="B51" i="2"/>
  <c r="B52" i="2"/>
  <c r="B53" i="2"/>
  <c r="B54" i="2"/>
  <c r="B56" i="4" s="1"/>
  <c r="B55" i="2"/>
  <c r="B56" i="2"/>
  <c r="B57" i="2"/>
  <c r="B58" i="2"/>
  <c r="B60" i="4" s="1"/>
  <c r="B59" i="2"/>
  <c r="B60" i="2"/>
  <c r="B61" i="2"/>
  <c r="B62" i="2"/>
  <c r="B64" i="4" s="1"/>
  <c r="B63" i="2"/>
  <c r="B64" i="2"/>
  <c r="B65" i="2"/>
  <c r="B66" i="2"/>
  <c r="B68" i="4" s="1"/>
  <c r="B67" i="2"/>
  <c r="B68" i="2"/>
  <c r="B69" i="2"/>
  <c r="B70" i="2"/>
  <c r="B72" i="4" s="1"/>
  <c r="B71" i="2"/>
  <c r="B72" i="2"/>
  <c r="B73" i="2"/>
  <c r="B74" i="2"/>
  <c r="B76" i="4" s="1"/>
  <c r="B75" i="2"/>
  <c r="B76" i="2"/>
  <c r="B77" i="2"/>
  <c r="B78" i="2"/>
  <c r="B80" i="4" s="1"/>
  <c r="B79" i="2"/>
  <c r="B80" i="2"/>
  <c r="B81" i="2"/>
  <c r="B82" i="2"/>
  <c r="B84" i="4" s="1"/>
  <c r="B83" i="2"/>
  <c r="B84" i="2"/>
  <c r="B85" i="2"/>
  <c r="B86" i="2"/>
  <c r="B88" i="4" s="1"/>
  <c r="B87" i="2"/>
  <c r="B88" i="2"/>
  <c r="B89" i="2"/>
  <c r="B90" i="2"/>
  <c r="B92" i="4" s="1"/>
  <c r="B91" i="2"/>
  <c r="B92" i="2"/>
  <c r="B93" i="2"/>
  <c r="B94" i="2"/>
  <c r="B96" i="4" s="1"/>
  <c r="B95" i="2"/>
  <c r="B96" i="2"/>
  <c r="B97" i="2"/>
  <c r="B98" i="2"/>
  <c r="B100" i="4" s="1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2" i="2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Y28" i="7" l="1"/>
  <c r="V29" i="7"/>
  <c r="V30" i="7"/>
  <c r="T30" i="7"/>
  <c r="U30" i="7" s="1"/>
  <c r="W29" i="7"/>
  <c r="X29" i="7" s="1"/>
  <c r="Y29" i="7" s="1"/>
  <c r="AH10" i="7" s="1"/>
  <c r="B13" i="4"/>
  <c r="B9" i="4"/>
  <c r="B230" i="4"/>
  <c r="B226" i="4"/>
  <c r="B218" i="4"/>
  <c r="B210" i="4"/>
  <c r="B202" i="4"/>
  <c r="B194" i="4"/>
  <c r="B186" i="4"/>
  <c r="B178" i="4"/>
  <c r="B170" i="4"/>
  <c r="B162" i="4"/>
  <c r="B154" i="4"/>
  <c r="B146" i="4"/>
  <c r="B138" i="4"/>
  <c r="B130" i="4"/>
  <c r="B122" i="4"/>
  <c r="B114" i="4"/>
  <c r="B110" i="4"/>
  <c r="B40" i="4"/>
  <c r="B32" i="4"/>
  <c r="B28" i="4"/>
  <c r="B24" i="4"/>
  <c r="B17" i="4"/>
  <c r="B5" i="4"/>
  <c r="B234" i="4"/>
  <c r="B222" i="4"/>
  <c r="B214" i="4"/>
  <c r="B206" i="4"/>
  <c r="B198" i="4"/>
  <c r="B190" i="4"/>
  <c r="B182" i="4"/>
  <c r="B174" i="4"/>
  <c r="B166" i="4"/>
  <c r="B158" i="4"/>
  <c r="B150" i="4"/>
  <c r="B142" i="4"/>
  <c r="B134" i="4"/>
  <c r="B126" i="4"/>
  <c r="B118" i="4"/>
  <c r="B106" i="4"/>
  <c r="B11" i="4"/>
  <c r="B232" i="4"/>
  <c r="B228" i="4"/>
  <c r="B220" i="4"/>
  <c r="B212" i="4"/>
  <c r="B204" i="4"/>
  <c r="B196" i="4"/>
  <c r="B188" i="4"/>
  <c r="B180" i="4"/>
  <c r="B172" i="4"/>
  <c r="B164" i="4"/>
  <c r="B156" i="4"/>
  <c r="B148" i="4"/>
  <c r="B140" i="4"/>
  <c r="B132" i="4"/>
  <c r="B124" i="4"/>
  <c r="B116" i="4"/>
  <c r="B112" i="4"/>
  <c r="B104" i="4"/>
  <c r="B18" i="4"/>
  <c r="B14" i="4"/>
  <c r="B10" i="4"/>
  <c r="B6" i="4"/>
  <c r="B235" i="4"/>
  <c r="B231" i="4"/>
  <c r="B227" i="4"/>
  <c r="B223" i="4"/>
  <c r="B219" i="4"/>
  <c r="B215" i="4"/>
  <c r="B211" i="4"/>
  <c r="B207" i="4"/>
  <c r="B203" i="4"/>
  <c r="B199" i="4"/>
  <c r="B195" i="4"/>
  <c r="B191" i="4"/>
  <c r="B187" i="4"/>
  <c r="B183" i="4"/>
  <c r="B179" i="4"/>
  <c r="B175" i="4"/>
  <c r="B171" i="4"/>
  <c r="B167" i="4"/>
  <c r="B163" i="4"/>
  <c r="B159" i="4"/>
  <c r="B155" i="4"/>
  <c r="B151" i="4"/>
  <c r="B147" i="4"/>
  <c r="B143" i="4"/>
  <c r="B139" i="4"/>
  <c r="B135" i="4"/>
  <c r="B131" i="4"/>
  <c r="B127" i="4"/>
  <c r="B123" i="4"/>
  <c r="B119" i="4"/>
  <c r="B115" i="4"/>
  <c r="B111" i="4"/>
  <c r="B107" i="4"/>
  <c r="B103" i="4"/>
  <c r="B99" i="4"/>
  <c r="B95" i="4"/>
  <c r="B91" i="4"/>
  <c r="B87" i="4"/>
  <c r="B83" i="4"/>
  <c r="B79" i="4"/>
  <c r="B75" i="4"/>
  <c r="B71" i="4"/>
  <c r="B67" i="4"/>
  <c r="B63" i="4"/>
  <c r="B59" i="4"/>
  <c r="B55" i="4"/>
  <c r="B51" i="4"/>
  <c r="B47" i="4"/>
  <c r="B43" i="4"/>
  <c r="B39" i="4"/>
  <c r="B35" i="4"/>
  <c r="B31" i="4"/>
  <c r="B27" i="4"/>
  <c r="B102" i="4"/>
  <c r="B98" i="4"/>
  <c r="B94" i="4"/>
  <c r="B90" i="4"/>
  <c r="B86" i="4"/>
  <c r="B82" i="4"/>
  <c r="B78" i="4"/>
  <c r="B74" i="4"/>
  <c r="B70" i="4"/>
  <c r="B66" i="4"/>
  <c r="B62" i="4"/>
  <c r="B58" i="4"/>
  <c r="B54" i="4"/>
  <c r="B50" i="4"/>
  <c r="B46" i="4"/>
  <c r="B42" i="4"/>
  <c r="B38" i="4"/>
  <c r="B34" i="4"/>
  <c r="B30" i="4"/>
  <c r="B26" i="4"/>
  <c r="B4" i="4"/>
  <c r="B16" i="4"/>
  <c r="B12" i="4"/>
  <c r="B8" i="4"/>
  <c r="B233" i="4"/>
  <c r="B229" i="4"/>
  <c r="B225" i="4"/>
  <c r="B221" i="4"/>
  <c r="B217" i="4"/>
  <c r="B213" i="4"/>
  <c r="B209" i="4"/>
  <c r="B205" i="4"/>
  <c r="B201" i="4"/>
  <c r="B197" i="4"/>
  <c r="B193" i="4"/>
  <c r="B189" i="4"/>
  <c r="B185" i="4"/>
  <c r="B181" i="4"/>
  <c r="B177" i="4"/>
  <c r="B173" i="4"/>
  <c r="B169" i="4"/>
  <c r="B165" i="4"/>
  <c r="B161" i="4"/>
  <c r="B157" i="4"/>
  <c r="B153" i="4"/>
  <c r="B149" i="4"/>
  <c r="B145" i="4"/>
  <c r="B141" i="4"/>
  <c r="B137" i="4"/>
  <c r="B133" i="4"/>
  <c r="B129" i="4"/>
  <c r="B125" i="4"/>
  <c r="B121" i="4"/>
  <c r="B117" i="4"/>
  <c r="B113" i="4"/>
  <c r="B109" i="4"/>
  <c r="B105" i="4"/>
  <c r="B101" i="4"/>
  <c r="B97" i="4"/>
  <c r="B93" i="4"/>
  <c r="B89" i="4"/>
  <c r="B85" i="4"/>
  <c r="B81" i="4"/>
  <c r="B77" i="4"/>
  <c r="B73" i="4"/>
  <c r="B69" i="4"/>
  <c r="B65" i="4"/>
  <c r="B61" i="4"/>
  <c r="B57" i="4"/>
  <c r="B53" i="4"/>
  <c r="B49" i="4"/>
  <c r="B45" i="4"/>
  <c r="B41" i="4"/>
  <c r="B37" i="4"/>
  <c r="B33" i="4"/>
  <c r="B29" i="4"/>
  <c r="B25" i="4"/>
  <c r="B15" i="4"/>
  <c r="B7" i="4"/>
  <c r="B224" i="4"/>
  <c r="B216" i="4"/>
  <c r="B208" i="4"/>
  <c r="B200" i="4"/>
  <c r="B192" i="4"/>
  <c r="B184" i="4"/>
  <c r="B176" i="4"/>
  <c r="B168" i="4"/>
  <c r="B160" i="4"/>
  <c r="B152" i="4"/>
  <c r="B144" i="4"/>
  <c r="B136" i="4"/>
  <c r="B128" i="4"/>
  <c r="B120" i="4"/>
  <c r="B108" i="4"/>
  <c r="C20" i="2"/>
  <c r="C22" i="4" s="1"/>
  <c r="C19" i="2"/>
  <c r="C21" i="4" s="1"/>
  <c r="C18" i="2"/>
  <c r="B18" i="2"/>
  <c r="B19" i="2"/>
  <c r="B20" i="2"/>
  <c r="B21" i="2"/>
  <c r="B23" i="4" s="1"/>
  <c r="C21" i="2"/>
  <c r="C23" i="4" s="1"/>
  <c r="Y30" i="7" l="1"/>
  <c r="V31" i="7"/>
  <c r="T31" i="7"/>
  <c r="U31" i="7" s="1"/>
  <c r="W30" i="7"/>
  <c r="X30" i="7" s="1"/>
  <c r="B22" i="4"/>
  <c r="B21" i="4"/>
  <c r="B19" i="4"/>
  <c r="B20" i="4"/>
  <c r="C20" i="4"/>
  <c r="C18" i="4"/>
  <c r="C19" i="4"/>
  <c r="Y31" i="7" l="1"/>
  <c r="V32" i="7"/>
  <c r="T32" i="7"/>
  <c r="U32" i="7" s="1"/>
  <c r="W31" i="7"/>
  <c r="X31" i="7" s="1"/>
  <c r="V33" i="7" l="1"/>
  <c r="T33" i="7"/>
  <c r="U33" i="7" s="1"/>
  <c r="W32" i="7"/>
  <c r="X32" i="7" s="1"/>
  <c r="Y32" i="7" s="1"/>
  <c r="AH11" i="7" s="1"/>
  <c r="Y33" i="7" l="1"/>
  <c r="V34" i="7"/>
  <c r="T34" i="7"/>
  <c r="U34" i="7" s="1"/>
  <c r="W33" i="7"/>
  <c r="X33" i="7" s="1"/>
  <c r="T35" i="7" l="1"/>
  <c r="U35" i="7" s="1"/>
  <c r="W34" i="7"/>
  <c r="X34" i="7" s="1"/>
  <c r="Y34" i="7" s="1"/>
  <c r="V35" i="7" l="1"/>
  <c r="V36" i="7"/>
  <c r="T36" i="7"/>
  <c r="U36" i="7" s="1"/>
  <c r="W35" i="7"/>
  <c r="X35" i="7" s="1"/>
  <c r="Y35" i="7" l="1"/>
  <c r="AH12" i="7" s="1"/>
  <c r="Y36" i="7"/>
  <c r="T37" i="7"/>
  <c r="U37" i="7" s="1"/>
  <c r="W36" i="7"/>
  <c r="X36" i="7" s="1"/>
  <c r="V37" i="7" l="1"/>
  <c r="V38" i="7"/>
  <c r="T38" i="7"/>
  <c r="U38" i="7" s="1"/>
  <c r="W37" i="7"/>
  <c r="X37" i="7" s="1"/>
  <c r="Y37" i="7" l="1"/>
  <c r="Y38" i="7"/>
  <c r="AH13" i="7" s="1"/>
  <c r="T39" i="7"/>
  <c r="U39" i="7" s="1"/>
  <c r="W38" i="7"/>
  <c r="X38" i="7" s="1"/>
  <c r="V40" i="7" l="1"/>
  <c r="V39" i="7"/>
  <c r="T40" i="7"/>
  <c r="U40" i="7" s="1"/>
  <c r="W39" i="7"/>
  <c r="X39" i="7" s="1"/>
  <c r="Y39" i="7" s="1"/>
  <c r="T41" i="7" l="1"/>
  <c r="U41" i="7" s="1"/>
  <c r="W40" i="7"/>
  <c r="X40" i="7" s="1"/>
  <c r="I106" i="7"/>
  <c r="I2" i="7"/>
  <c r="H106" i="7"/>
  <c r="I3" i="7"/>
  <c r="H3" i="7"/>
  <c r="H2" i="7"/>
  <c r="I4" i="7"/>
  <c r="H4" i="7"/>
  <c r="I5" i="7"/>
  <c r="H5" i="7"/>
  <c r="I6" i="7"/>
  <c r="H6" i="7"/>
  <c r="I7" i="7"/>
  <c r="H7" i="7"/>
  <c r="I8" i="7"/>
  <c r="H8" i="7"/>
  <c r="I9" i="7"/>
  <c r="H9" i="7"/>
  <c r="I10" i="7"/>
  <c r="H10" i="7"/>
  <c r="I11" i="7"/>
  <c r="H11" i="7"/>
  <c r="I12" i="7"/>
  <c r="H12" i="7"/>
  <c r="I13" i="7"/>
  <c r="H13" i="7"/>
  <c r="I14" i="7"/>
  <c r="H14" i="7"/>
  <c r="I15" i="7"/>
  <c r="H15" i="7"/>
  <c r="I16" i="7"/>
  <c r="H16" i="7"/>
  <c r="I17" i="7"/>
  <c r="H17" i="7"/>
  <c r="I18" i="7"/>
  <c r="H18" i="7"/>
  <c r="I19" i="7"/>
  <c r="H19" i="7"/>
  <c r="I20" i="7"/>
  <c r="H20" i="7"/>
  <c r="I21" i="7"/>
  <c r="H21" i="7"/>
  <c r="I22" i="7"/>
  <c r="H22" i="7"/>
  <c r="I23" i="7"/>
  <c r="H23" i="7"/>
  <c r="I24" i="7"/>
  <c r="H24" i="7"/>
  <c r="I25" i="7"/>
  <c r="H25" i="7"/>
  <c r="I26" i="7"/>
  <c r="H26" i="7"/>
  <c r="I27" i="7"/>
  <c r="H27" i="7"/>
  <c r="I28" i="7"/>
  <c r="H28" i="7"/>
  <c r="I29" i="7"/>
  <c r="H29" i="7"/>
  <c r="I30" i="7"/>
  <c r="H30" i="7"/>
  <c r="I31" i="7"/>
  <c r="H31" i="7"/>
  <c r="I32" i="7"/>
  <c r="H32" i="7"/>
  <c r="I33" i="7"/>
  <c r="H33" i="7"/>
  <c r="I34" i="7"/>
  <c r="H34" i="7"/>
  <c r="I35" i="7"/>
  <c r="H35" i="7"/>
  <c r="I36" i="7"/>
  <c r="H36" i="7"/>
  <c r="I37" i="7"/>
  <c r="H37" i="7"/>
  <c r="I38" i="7"/>
  <c r="H38" i="7"/>
  <c r="I39" i="7"/>
  <c r="H39" i="7"/>
  <c r="I40" i="7"/>
  <c r="H40" i="7"/>
  <c r="I41" i="7"/>
  <c r="H41" i="7"/>
  <c r="I42" i="7"/>
  <c r="H42" i="7"/>
  <c r="I43" i="7"/>
  <c r="H43" i="7"/>
  <c r="I44" i="7"/>
  <c r="H44" i="7"/>
  <c r="I45" i="7"/>
  <c r="H45" i="7"/>
  <c r="I46" i="7"/>
  <c r="H46" i="7"/>
  <c r="I47" i="7"/>
  <c r="H47" i="7"/>
  <c r="I48" i="7"/>
  <c r="H48" i="7"/>
  <c r="I49" i="7"/>
  <c r="H49" i="7"/>
  <c r="I50" i="7"/>
  <c r="H50" i="7"/>
  <c r="I51" i="7"/>
  <c r="H51" i="7"/>
  <c r="I52" i="7"/>
  <c r="H52" i="7"/>
  <c r="I53" i="7"/>
  <c r="H53" i="7"/>
  <c r="I54" i="7"/>
  <c r="H54" i="7"/>
  <c r="I55" i="7"/>
  <c r="H55" i="7"/>
  <c r="I56" i="7"/>
  <c r="H56" i="7"/>
  <c r="I57" i="7"/>
  <c r="H57" i="7"/>
  <c r="I58" i="7"/>
  <c r="H58" i="7"/>
  <c r="I59" i="7"/>
  <c r="H59" i="7"/>
  <c r="I60" i="7"/>
  <c r="H60" i="7"/>
  <c r="I61" i="7"/>
  <c r="H61" i="7"/>
  <c r="I62" i="7"/>
  <c r="H62" i="7"/>
  <c r="I63" i="7"/>
  <c r="H63" i="7"/>
  <c r="I64" i="7"/>
  <c r="H64" i="7"/>
  <c r="I65" i="7"/>
  <c r="H65" i="7"/>
  <c r="I66" i="7"/>
  <c r="H66" i="7"/>
  <c r="I67" i="7"/>
  <c r="H67" i="7"/>
  <c r="I68" i="7"/>
  <c r="H68" i="7"/>
  <c r="I69" i="7"/>
  <c r="H69" i="7"/>
  <c r="I70" i="7"/>
  <c r="H70" i="7"/>
  <c r="I71" i="7"/>
  <c r="H71" i="7"/>
  <c r="I72" i="7"/>
  <c r="H72" i="7"/>
  <c r="I73" i="7"/>
  <c r="H73" i="7"/>
  <c r="I74" i="7"/>
  <c r="H74" i="7"/>
  <c r="I75" i="7"/>
  <c r="H75" i="7"/>
  <c r="I76" i="7"/>
  <c r="H76" i="7"/>
  <c r="I77" i="7"/>
  <c r="H77" i="7"/>
  <c r="I78" i="7"/>
  <c r="H78" i="7"/>
  <c r="I79" i="7"/>
  <c r="H79" i="7"/>
  <c r="I80" i="7"/>
  <c r="H80" i="7"/>
  <c r="I81" i="7"/>
  <c r="H81" i="7"/>
  <c r="I82" i="7"/>
  <c r="H82" i="7"/>
  <c r="I83" i="7"/>
  <c r="H83" i="7"/>
  <c r="I84" i="7"/>
  <c r="H84" i="7"/>
  <c r="I85" i="7"/>
  <c r="H85" i="7"/>
  <c r="I86" i="7"/>
  <c r="H86" i="7"/>
  <c r="I87" i="7"/>
  <c r="H87" i="7"/>
  <c r="I88" i="7"/>
  <c r="H88" i="7"/>
  <c r="I89" i="7"/>
  <c r="H89" i="7"/>
  <c r="I90" i="7"/>
  <c r="H90" i="7"/>
  <c r="I91" i="7"/>
  <c r="H91" i="7"/>
  <c r="I92" i="7"/>
  <c r="H92" i="7"/>
  <c r="I93" i="7"/>
  <c r="H93" i="7"/>
  <c r="I94" i="7"/>
  <c r="H94" i="7"/>
  <c r="I95" i="7"/>
  <c r="H95" i="7"/>
  <c r="I96" i="7"/>
  <c r="H96" i="7"/>
  <c r="I97" i="7"/>
  <c r="H97" i="7"/>
  <c r="I98" i="7"/>
  <c r="H98" i="7"/>
  <c r="I99" i="7"/>
  <c r="H99" i="7"/>
  <c r="I100" i="7"/>
  <c r="H100" i="7"/>
  <c r="I101" i="7"/>
  <c r="H101" i="7"/>
  <c r="I102" i="7"/>
  <c r="H102" i="7"/>
  <c r="I103" i="7"/>
  <c r="H103" i="7"/>
  <c r="I104" i="7"/>
  <c r="H104" i="7"/>
  <c r="H105" i="7"/>
  <c r="I105" i="7"/>
  <c r="Y40" i="7" l="1"/>
  <c r="V42" i="7"/>
  <c r="V41" i="7"/>
  <c r="T42" i="7"/>
  <c r="U42" i="7" s="1"/>
  <c r="W41" i="7"/>
  <c r="X41" i="7" s="1"/>
  <c r="H107" i="7"/>
  <c r="I107" i="7"/>
  <c r="Y41" i="7" l="1"/>
  <c r="AH14" i="7" s="1"/>
  <c r="Y42" i="7"/>
  <c r="T43" i="7"/>
  <c r="U43" i="7" s="1"/>
  <c r="W42" i="7"/>
  <c r="X42" i="7" s="1"/>
  <c r="H108" i="7"/>
  <c r="I108" i="7"/>
  <c r="V43" i="7" l="1"/>
  <c r="V44" i="7"/>
  <c r="T44" i="7"/>
  <c r="U44" i="7" s="1"/>
  <c r="W43" i="7"/>
  <c r="X43" i="7" s="1"/>
  <c r="Y43" i="7" s="1"/>
  <c r="H109" i="7"/>
  <c r="I109" i="7"/>
  <c r="T45" i="7" l="1"/>
  <c r="U45" i="7" s="1"/>
  <c r="W44" i="7"/>
  <c r="X44" i="7" s="1"/>
  <c r="Y44" i="7" s="1"/>
  <c r="AH15" i="7" s="1"/>
  <c r="H110" i="7"/>
  <c r="I110" i="7"/>
  <c r="V45" i="7" l="1"/>
  <c r="T46" i="7"/>
  <c r="U46" i="7" s="1"/>
  <c r="W45" i="7"/>
  <c r="X45" i="7" s="1"/>
  <c r="Y45" i="7" s="1"/>
  <c r="H111" i="7"/>
  <c r="I111" i="7"/>
  <c r="V46" i="7" l="1"/>
  <c r="T47" i="7"/>
  <c r="U47" i="7" s="1"/>
  <c r="W46" i="7"/>
  <c r="X46" i="7" s="1"/>
  <c r="Y46" i="7" s="1"/>
  <c r="H112" i="7"/>
  <c r="I112" i="7"/>
  <c r="V47" i="7" l="1"/>
  <c r="T48" i="7"/>
  <c r="U48" i="7" s="1"/>
  <c r="W47" i="7"/>
  <c r="X47" i="7" s="1"/>
  <c r="Y47" i="7" s="1"/>
  <c r="AH16" i="7" s="1"/>
  <c r="H113" i="7"/>
  <c r="I113" i="7"/>
  <c r="V48" i="7" l="1"/>
  <c r="T49" i="7"/>
  <c r="U49" i="7" s="1"/>
  <c r="W48" i="7"/>
  <c r="X48" i="7" s="1"/>
  <c r="Y48" i="7" s="1"/>
  <c r="H114" i="7"/>
  <c r="I114" i="7"/>
  <c r="V49" i="7" l="1"/>
  <c r="T50" i="7"/>
  <c r="U50" i="7" s="1"/>
  <c r="W49" i="7"/>
  <c r="X49" i="7" s="1"/>
  <c r="Y49" i="7" s="1"/>
  <c r="H115" i="7"/>
  <c r="I115" i="7"/>
  <c r="V50" i="7" l="1"/>
  <c r="T51" i="7"/>
  <c r="U51" i="7" s="1"/>
  <c r="W50" i="7"/>
  <c r="X50" i="7" s="1"/>
  <c r="Y50" i="7" s="1"/>
  <c r="AH17" i="7" s="1"/>
  <c r="H116" i="7"/>
  <c r="I116" i="7"/>
  <c r="V51" i="7" l="1"/>
  <c r="V52" i="7"/>
  <c r="T52" i="7"/>
  <c r="U52" i="7" s="1"/>
  <c r="W51" i="7"/>
  <c r="X51" i="7" s="1"/>
  <c r="Y51" i="7" s="1"/>
  <c r="H117" i="7"/>
  <c r="I117" i="7"/>
  <c r="T53" i="7" l="1"/>
  <c r="U53" i="7" s="1"/>
  <c r="W52" i="7"/>
  <c r="X52" i="7" s="1"/>
  <c r="H118" i="7"/>
  <c r="I118" i="7"/>
  <c r="Y52" i="7" l="1"/>
  <c r="V53" i="7"/>
  <c r="T54" i="7"/>
  <c r="U54" i="7" s="1"/>
  <c r="W53" i="7"/>
  <c r="X53" i="7" s="1"/>
  <c r="H119" i="7"/>
  <c r="I119" i="7"/>
  <c r="Y53" i="7" l="1"/>
  <c r="AH18" i="7" s="1"/>
  <c r="Y54" i="7"/>
  <c r="V54" i="7"/>
  <c r="T55" i="7"/>
  <c r="U55" i="7" s="1"/>
  <c r="W54" i="7"/>
  <c r="X54" i="7" s="1"/>
  <c r="H120" i="7"/>
  <c r="I120" i="7"/>
  <c r="V55" i="7" l="1"/>
  <c r="T56" i="7"/>
  <c r="U56" i="7" s="1"/>
  <c r="W55" i="7"/>
  <c r="X55" i="7" s="1"/>
  <c r="Y55" i="7" s="1"/>
  <c r="H121" i="7"/>
  <c r="I121" i="7"/>
  <c r="V56" i="7" l="1"/>
  <c r="T57" i="7"/>
  <c r="U57" i="7" s="1"/>
  <c r="W56" i="7"/>
  <c r="X56" i="7" s="1"/>
  <c r="Y56" i="7" s="1"/>
  <c r="AH19" i="7" s="1"/>
  <c r="H122" i="7"/>
  <c r="I122" i="7"/>
  <c r="V57" i="7" l="1"/>
  <c r="T58" i="7"/>
  <c r="U58" i="7" s="1"/>
  <c r="W57" i="7"/>
  <c r="X57" i="7" s="1"/>
  <c r="Y57" i="7" s="1"/>
  <c r="H123" i="7"/>
  <c r="I123" i="7"/>
  <c r="Y58" i="7" l="1"/>
  <c r="V58" i="7"/>
  <c r="T59" i="7"/>
  <c r="U59" i="7" s="1"/>
  <c r="W58" i="7"/>
  <c r="X58" i="7" s="1"/>
  <c r="H124" i="7"/>
  <c r="I124" i="7"/>
  <c r="V59" i="7" l="1"/>
  <c r="T60" i="7"/>
  <c r="U60" i="7" s="1"/>
  <c r="W59" i="7"/>
  <c r="X59" i="7" s="1"/>
  <c r="Y59" i="7" s="1"/>
  <c r="AH20" i="7" s="1"/>
  <c r="H125" i="7"/>
  <c r="I125" i="7"/>
  <c r="V60" i="7" l="1"/>
  <c r="T61" i="7"/>
  <c r="U61" i="7" s="1"/>
  <c r="W60" i="7"/>
  <c r="X60" i="7" s="1"/>
  <c r="Y60" i="7" s="1"/>
  <c r="H126" i="7"/>
  <c r="I126" i="7"/>
  <c r="V61" i="7" l="1"/>
  <c r="T62" i="7"/>
  <c r="U62" i="7" s="1"/>
  <c r="W61" i="7"/>
  <c r="X61" i="7" s="1"/>
  <c r="Y61" i="7" s="1"/>
  <c r="H127" i="7"/>
  <c r="I127" i="7"/>
  <c r="V62" i="7" l="1"/>
  <c r="T63" i="7"/>
  <c r="U63" i="7" s="1"/>
  <c r="W62" i="7"/>
  <c r="X62" i="7" s="1"/>
  <c r="Y62" i="7" s="1"/>
  <c r="AH21" i="7" s="1"/>
  <c r="H128" i="7"/>
  <c r="I128" i="7"/>
  <c r="V63" i="7" l="1"/>
  <c r="T64" i="7"/>
  <c r="U64" i="7" s="1"/>
  <c r="W63" i="7"/>
  <c r="X63" i="7" s="1"/>
  <c r="Y63" i="7" s="1"/>
  <c r="H129" i="7"/>
  <c r="I129" i="7"/>
  <c r="Y64" i="7" l="1"/>
  <c r="V64" i="7"/>
  <c r="T65" i="7"/>
  <c r="U65" i="7" s="1"/>
  <c r="W64" i="7"/>
  <c r="X64" i="7" s="1"/>
  <c r="H130" i="7"/>
  <c r="I130" i="7"/>
  <c r="V65" i="7" l="1"/>
  <c r="T66" i="7"/>
  <c r="U66" i="7" s="1"/>
  <c r="W65" i="7"/>
  <c r="X65" i="7" s="1"/>
  <c r="Y65" i="7" s="1"/>
  <c r="AH22" i="7" s="1"/>
  <c r="H131" i="7"/>
  <c r="I131" i="7"/>
  <c r="V66" i="7" l="1"/>
  <c r="T67" i="7"/>
  <c r="U67" i="7" s="1"/>
  <c r="W66" i="7"/>
  <c r="X66" i="7" s="1"/>
  <c r="Y66" i="7" s="1"/>
  <c r="H132" i="7"/>
  <c r="I132" i="7"/>
  <c r="V67" i="7" l="1"/>
  <c r="T68" i="7"/>
  <c r="U68" i="7" s="1"/>
  <c r="W67" i="7"/>
  <c r="X67" i="7" s="1"/>
  <c r="Y67" i="7" s="1"/>
  <c r="H133" i="7"/>
  <c r="I133" i="7"/>
  <c r="Y68" i="7" l="1"/>
  <c r="AH23" i="7" s="1"/>
  <c r="V68" i="7"/>
  <c r="T69" i="7"/>
  <c r="U69" i="7" s="1"/>
  <c r="W68" i="7"/>
  <c r="X68" i="7" s="1"/>
  <c r="H134" i="7"/>
  <c r="I134" i="7"/>
  <c r="Y69" i="7" l="1"/>
  <c r="V69" i="7"/>
  <c r="T70" i="7"/>
  <c r="U70" i="7" s="1"/>
  <c r="W69" i="7"/>
  <c r="X69" i="7" s="1"/>
  <c r="H135" i="7"/>
  <c r="I135" i="7"/>
  <c r="Y70" i="7" l="1"/>
  <c r="V70" i="7"/>
  <c r="T71" i="7"/>
  <c r="U71" i="7" s="1"/>
  <c r="W70" i="7"/>
  <c r="X70" i="7" s="1"/>
  <c r="H136" i="7"/>
  <c r="I136" i="7"/>
  <c r="V71" i="7" l="1"/>
  <c r="T72" i="7"/>
  <c r="U72" i="7" s="1"/>
  <c r="W71" i="7"/>
  <c r="X71" i="7" s="1"/>
  <c r="Y71" i="7" s="1"/>
  <c r="AH24" i="7" s="1"/>
  <c r="H137" i="7"/>
  <c r="I137" i="7"/>
  <c r="V72" i="7" l="1"/>
  <c r="T73" i="7"/>
  <c r="U73" i="7" s="1"/>
  <c r="W72" i="7"/>
  <c r="X72" i="7" s="1"/>
  <c r="Y72" i="7" s="1"/>
  <c r="H138" i="7"/>
  <c r="I138" i="7"/>
  <c r="V73" i="7" l="1"/>
  <c r="T74" i="7"/>
  <c r="U74" i="7" s="1"/>
  <c r="W73" i="7"/>
  <c r="X73" i="7" s="1"/>
  <c r="Y73" i="7" s="1"/>
  <c r="H139" i="7"/>
  <c r="I139" i="7"/>
  <c r="V74" i="7" l="1"/>
  <c r="T75" i="7"/>
  <c r="U75" i="7" s="1"/>
  <c r="W74" i="7"/>
  <c r="X74" i="7" s="1"/>
  <c r="Y74" i="7" s="1"/>
  <c r="AH25" i="7" s="1"/>
  <c r="H140" i="7"/>
  <c r="I140" i="7"/>
  <c r="V75" i="7" l="1"/>
  <c r="T76" i="7"/>
  <c r="U76" i="7" s="1"/>
  <c r="W75" i="7"/>
  <c r="X75" i="7" s="1"/>
  <c r="Y75" i="7" s="1"/>
  <c r="H141" i="7"/>
  <c r="I141" i="7"/>
  <c r="Y76" i="7" l="1"/>
  <c r="V76" i="7"/>
  <c r="T77" i="7"/>
  <c r="U77" i="7" s="1"/>
  <c r="W76" i="7"/>
  <c r="X76" i="7" s="1"/>
  <c r="H142" i="7"/>
  <c r="I142" i="7"/>
  <c r="V77" i="7" l="1"/>
  <c r="T78" i="7"/>
  <c r="U78" i="7" s="1"/>
  <c r="W77" i="7"/>
  <c r="X77" i="7" s="1"/>
  <c r="Y77" i="7" s="1"/>
  <c r="AH26" i="7" s="1"/>
  <c r="H143" i="7"/>
  <c r="I143" i="7"/>
  <c r="V78" i="7" l="1"/>
  <c r="T79" i="7"/>
  <c r="U79" i="7" s="1"/>
  <c r="W78" i="7"/>
  <c r="X78" i="7" s="1"/>
  <c r="Y78" i="7" s="1"/>
  <c r="H144" i="7"/>
  <c r="I144" i="7"/>
  <c r="Y79" i="7" l="1"/>
  <c r="V79" i="7"/>
  <c r="T80" i="7"/>
  <c r="U80" i="7" s="1"/>
  <c r="W79" i="7"/>
  <c r="X79" i="7" s="1"/>
  <c r="H145" i="7"/>
  <c r="I145" i="7"/>
  <c r="Y80" i="7" l="1"/>
  <c r="AH27" i="7" s="1"/>
  <c r="V80" i="7"/>
  <c r="T81" i="7"/>
  <c r="U81" i="7" s="1"/>
  <c r="W80" i="7"/>
  <c r="X80" i="7" s="1"/>
  <c r="H146" i="7"/>
  <c r="I146" i="7"/>
  <c r="V81" i="7" l="1"/>
  <c r="T82" i="7"/>
  <c r="U82" i="7" s="1"/>
  <c r="W81" i="7"/>
  <c r="X81" i="7" s="1"/>
  <c r="Y81" i="7" s="1"/>
  <c r="H147" i="7"/>
  <c r="I147" i="7"/>
  <c r="V82" i="7" l="1"/>
  <c r="T83" i="7"/>
  <c r="U83" i="7" s="1"/>
  <c r="W82" i="7"/>
  <c r="X82" i="7" s="1"/>
  <c r="Y82" i="7" s="1"/>
  <c r="H148" i="7"/>
  <c r="I148" i="7"/>
  <c r="Y83" i="7" l="1"/>
  <c r="AH28" i="7" s="1"/>
  <c r="V83" i="7"/>
  <c r="T84" i="7"/>
  <c r="U84" i="7" s="1"/>
  <c r="W83" i="7"/>
  <c r="X83" i="7" s="1"/>
  <c r="H149" i="7"/>
  <c r="I149" i="7"/>
  <c r="V84" i="7" l="1"/>
  <c r="T85" i="7"/>
  <c r="U85" i="7" s="1"/>
  <c r="W84" i="7"/>
  <c r="X84" i="7" s="1"/>
  <c r="Y84" i="7" s="1"/>
  <c r="H150" i="7"/>
  <c r="I150" i="7"/>
  <c r="Y85" i="7" l="1"/>
  <c r="V85" i="7"/>
  <c r="T86" i="7"/>
  <c r="U86" i="7" s="1"/>
  <c r="W85" i="7"/>
  <c r="X85" i="7" s="1"/>
  <c r="H151" i="7"/>
  <c r="I151" i="7"/>
  <c r="V86" i="7" l="1"/>
  <c r="T87" i="7"/>
  <c r="U87" i="7" s="1"/>
  <c r="W86" i="7"/>
  <c r="X86" i="7" s="1"/>
  <c r="Y86" i="7" s="1"/>
  <c r="AH29" i="7" s="1"/>
  <c r="H152" i="7"/>
  <c r="I152" i="7"/>
  <c r="V87" i="7" l="1"/>
  <c r="T88" i="7"/>
  <c r="U88" i="7" s="1"/>
  <c r="W87" i="7"/>
  <c r="X87" i="7" s="1"/>
  <c r="Y87" i="7" s="1"/>
  <c r="V88" i="7" l="1"/>
  <c r="T89" i="7"/>
  <c r="U89" i="7" s="1"/>
  <c r="W88" i="7"/>
  <c r="X88" i="7" s="1"/>
  <c r="Y88" i="7" s="1"/>
  <c r="Y89" i="7" l="1"/>
  <c r="AH30" i="7" s="1"/>
  <c r="V89" i="7"/>
  <c r="T90" i="7"/>
  <c r="U90" i="7" s="1"/>
  <c r="W89" i="7"/>
  <c r="X89" i="7" s="1"/>
  <c r="Y90" i="7" l="1"/>
  <c r="V90" i="7"/>
  <c r="T91" i="7"/>
  <c r="U91" i="7" s="1"/>
  <c r="W90" i="7"/>
  <c r="X90" i="7" s="1"/>
  <c r="V91" i="7" l="1"/>
  <c r="V92" i="7"/>
  <c r="T92" i="7"/>
  <c r="U92" i="7" s="1"/>
  <c r="W91" i="7"/>
  <c r="X91" i="7" s="1"/>
  <c r="Y91" i="7" s="1"/>
  <c r="T93" i="7" l="1"/>
  <c r="U93" i="7" s="1"/>
  <c r="W92" i="7"/>
  <c r="X92" i="7" s="1"/>
  <c r="Y92" i="7" s="1"/>
  <c r="AH31" i="7" s="1"/>
  <c r="V93" i="7" l="1"/>
  <c r="T94" i="7"/>
  <c r="U94" i="7" s="1"/>
  <c r="W93" i="7"/>
  <c r="X93" i="7" s="1"/>
  <c r="Y93" i="7" s="1"/>
  <c r="V94" i="7" l="1"/>
  <c r="T95" i="7"/>
  <c r="U95" i="7" s="1"/>
  <c r="W94" i="7"/>
  <c r="X94" i="7" s="1"/>
  <c r="Y94" i="7" s="1"/>
  <c r="V95" i="7" l="1"/>
  <c r="T96" i="7"/>
  <c r="U96" i="7" s="1"/>
  <c r="W95" i="7"/>
  <c r="X95" i="7" s="1"/>
  <c r="Y95" i="7" s="1"/>
  <c r="AH32" i="7" s="1"/>
  <c r="Y96" i="7" l="1"/>
  <c r="V96" i="7"/>
  <c r="T97" i="7"/>
  <c r="U97" i="7" s="1"/>
  <c r="W96" i="7"/>
  <c r="X96" i="7" s="1"/>
  <c r="V97" i="7" l="1"/>
  <c r="T98" i="7"/>
  <c r="U98" i="7" s="1"/>
  <c r="W97" i="7"/>
  <c r="X97" i="7" s="1"/>
  <c r="Y97" i="7" s="1"/>
  <c r="V98" i="7" l="1"/>
  <c r="T99" i="7"/>
  <c r="U99" i="7" s="1"/>
  <c r="W98" i="7"/>
  <c r="X98" i="7" s="1"/>
  <c r="Y98" i="7" s="1"/>
  <c r="AH33" i="7" s="1"/>
  <c r="V99" i="7" l="1"/>
  <c r="T100" i="7"/>
  <c r="U100" i="7" s="1"/>
  <c r="W99" i="7"/>
  <c r="X99" i="7" s="1"/>
  <c r="Y99" i="7" s="1"/>
  <c r="V100" i="7" l="1"/>
  <c r="T101" i="7"/>
  <c r="U101" i="7" s="1"/>
  <c r="W100" i="7"/>
  <c r="X100" i="7" s="1"/>
  <c r="Y100" i="7" s="1"/>
  <c r="V101" i="7" l="1"/>
  <c r="T102" i="7"/>
  <c r="U102" i="7" s="1"/>
  <c r="W101" i="7"/>
  <c r="X101" i="7" s="1"/>
  <c r="Y101" i="7" s="1"/>
  <c r="AH34" i="7" s="1"/>
  <c r="V102" i="7" l="1"/>
  <c r="T103" i="7"/>
  <c r="U103" i="7" s="1"/>
  <c r="W102" i="7"/>
  <c r="X102" i="7" s="1"/>
  <c r="Y102" i="7" s="1"/>
  <c r="V103" i="7" l="1"/>
  <c r="T104" i="7"/>
  <c r="U104" i="7" s="1"/>
  <c r="W103" i="7"/>
  <c r="X103" i="7" s="1"/>
  <c r="Y103" i="7" s="1"/>
  <c r="V104" i="7" l="1"/>
  <c r="T105" i="7"/>
  <c r="U105" i="7" s="1"/>
  <c r="W104" i="7"/>
  <c r="X104" i="7" s="1"/>
  <c r="Y104" i="7" s="1"/>
  <c r="AH35" i="7" s="1"/>
  <c r="V105" i="7" l="1"/>
  <c r="T106" i="7"/>
  <c r="U106" i="7" s="1"/>
  <c r="W105" i="7"/>
  <c r="X105" i="7" s="1"/>
  <c r="Y105" i="7" s="1"/>
  <c r="V106" i="7" l="1"/>
  <c r="T107" i="7"/>
  <c r="U107" i="7" s="1"/>
  <c r="W106" i="7"/>
  <c r="X106" i="7" s="1"/>
  <c r="Y106" i="7" s="1"/>
  <c r="Y107" i="7" l="1"/>
  <c r="AH36" i="7" s="1"/>
  <c r="V107" i="7"/>
  <c r="T108" i="7"/>
  <c r="U108" i="7" s="1"/>
  <c r="W107" i="7"/>
  <c r="X107" i="7" s="1"/>
  <c r="V108" i="7" l="1"/>
  <c r="V109" i="7"/>
  <c r="T109" i="7"/>
  <c r="U109" i="7" s="1"/>
  <c r="W108" i="7"/>
  <c r="X108" i="7" s="1"/>
  <c r="Y108" i="7" l="1"/>
  <c r="Y109" i="7"/>
  <c r="T110" i="7"/>
  <c r="U110" i="7" s="1"/>
  <c r="W109" i="7"/>
  <c r="X109" i="7" s="1"/>
  <c r="Y110" i="7" l="1"/>
  <c r="AH37" i="7" s="1"/>
  <c r="V110" i="7"/>
  <c r="T111" i="7"/>
  <c r="U111" i="7" s="1"/>
  <c r="W110" i="7"/>
  <c r="X110" i="7" s="1"/>
  <c r="V111" i="7" l="1"/>
  <c r="T112" i="7"/>
  <c r="U112" i="7" s="1"/>
  <c r="W111" i="7"/>
  <c r="X111" i="7" s="1"/>
  <c r="Y111" i="7" s="1"/>
  <c r="Y112" i="7" l="1"/>
  <c r="V112" i="7"/>
  <c r="T113" i="7"/>
  <c r="U113" i="7" s="1"/>
  <c r="W112" i="7"/>
  <c r="X112" i="7" s="1"/>
  <c r="V113" i="7" l="1"/>
  <c r="V114" i="7"/>
  <c r="T114" i="7"/>
  <c r="U114" i="7" s="1"/>
  <c r="W113" i="7"/>
  <c r="X113" i="7" s="1"/>
  <c r="Y113" i="7" s="1"/>
  <c r="AH38" i="7" s="1"/>
  <c r="T115" i="7" l="1"/>
  <c r="U115" i="7" s="1"/>
  <c r="W114" i="7"/>
  <c r="X114" i="7" s="1"/>
  <c r="Y114" i="7" s="1"/>
  <c r="V115" i="7" l="1"/>
  <c r="T116" i="7"/>
  <c r="U116" i="7" s="1"/>
  <c r="W115" i="7"/>
  <c r="X115" i="7" s="1"/>
  <c r="Y115" i="7" s="1"/>
  <c r="V116" i="7" l="1"/>
  <c r="T117" i="7"/>
  <c r="U117" i="7" s="1"/>
  <c r="W116" i="7"/>
  <c r="X116" i="7" s="1"/>
  <c r="Y116" i="7" s="1"/>
  <c r="AH39" i="7" s="1"/>
  <c r="V117" i="7" l="1"/>
  <c r="T118" i="7"/>
  <c r="U118" i="7" s="1"/>
  <c r="W117" i="7"/>
  <c r="X117" i="7" s="1"/>
  <c r="Y117" i="7" s="1"/>
  <c r="Y118" i="7" l="1"/>
  <c r="V118" i="7"/>
  <c r="T119" i="7"/>
  <c r="U119" i="7" s="1"/>
  <c r="W118" i="7"/>
  <c r="X118" i="7" s="1"/>
  <c r="V119" i="7" l="1"/>
  <c r="T120" i="7"/>
  <c r="U120" i="7" s="1"/>
  <c r="W119" i="7"/>
  <c r="X119" i="7" s="1"/>
  <c r="Y119" i="7" s="1"/>
  <c r="AH40" i="7" s="1"/>
  <c r="V120" i="7" l="1"/>
  <c r="T121" i="7"/>
  <c r="U121" i="7" s="1"/>
  <c r="W120" i="7"/>
  <c r="X120" i="7" s="1"/>
  <c r="Y120" i="7" s="1"/>
  <c r="V121" i="7" l="1"/>
  <c r="T122" i="7"/>
  <c r="U122" i="7" s="1"/>
  <c r="W121" i="7"/>
  <c r="X121" i="7" s="1"/>
  <c r="Y121" i="7" s="1"/>
  <c r="V122" i="7" l="1"/>
  <c r="V123" i="7"/>
  <c r="T123" i="7"/>
  <c r="U123" i="7" s="1"/>
  <c r="W122" i="7"/>
  <c r="X122" i="7" s="1"/>
  <c r="Y122" i="7" l="1"/>
  <c r="AH41" i="7" s="1"/>
  <c r="Y123" i="7"/>
  <c r="T124" i="7"/>
  <c r="U124" i="7" s="1"/>
  <c r="W123" i="7"/>
  <c r="X123" i="7" s="1"/>
  <c r="Y124" i="7" l="1"/>
  <c r="V124" i="7"/>
  <c r="T125" i="7"/>
  <c r="U125" i="7" s="1"/>
  <c r="W124" i="7"/>
  <c r="X124" i="7" s="1"/>
  <c r="Y125" i="7" l="1"/>
  <c r="AH42" i="7" s="1"/>
  <c r="V125" i="7"/>
  <c r="T126" i="7"/>
  <c r="U126" i="7" s="1"/>
  <c r="W125" i="7"/>
  <c r="X125" i="7" s="1"/>
  <c r="Y126" i="7" l="1"/>
  <c r="V126" i="7"/>
  <c r="T127" i="7"/>
  <c r="U127" i="7" s="1"/>
  <c r="W126" i="7"/>
  <c r="X126" i="7" s="1"/>
  <c r="V127" i="7" l="1"/>
  <c r="T128" i="7"/>
  <c r="U128" i="7" s="1"/>
  <c r="W127" i="7"/>
  <c r="X127" i="7" s="1"/>
  <c r="Y127" i="7" s="1"/>
  <c r="Y128" i="7" l="1"/>
  <c r="AH43" i="7" s="1"/>
  <c r="V128" i="7"/>
  <c r="T129" i="7"/>
  <c r="U129" i="7" s="1"/>
  <c r="W128" i="7"/>
  <c r="X128" i="7" s="1"/>
  <c r="V129" i="7" l="1"/>
  <c r="T130" i="7"/>
  <c r="U130" i="7" s="1"/>
  <c r="W129" i="7"/>
  <c r="X129" i="7" s="1"/>
  <c r="Y129" i="7" s="1"/>
  <c r="Y130" i="7" l="1"/>
  <c r="V130" i="7"/>
  <c r="T131" i="7"/>
  <c r="U131" i="7" s="1"/>
  <c r="W130" i="7"/>
  <c r="X130" i="7" s="1"/>
  <c r="V131" i="7" l="1"/>
  <c r="T132" i="7"/>
  <c r="U132" i="7" s="1"/>
  <c r="W131" i="7"/>
  <c r="X131" i="7" s="1"/>
  <c r="Y131" i="7" s="1"/>
  <c r="AH44" i="7" s="1"/>
  <c r="V132" i="7" l="1"/>
  <c r="T133" i="7"/>
  <c r="U133" i="7" s="1"/>
  <c r="W132" i="7"/>
  <c r="X132" i="7" s="1"/>
  <c r="Y132" i="7" s="1"/>
  <c r="V133" i="7" l="1"/>
  <c r="T134" i="7"/>
  <c r="U134" i="7" s="1"/>
  <c r="W133" i="7"/>
  <c r="X133" i="7" s="1"/>
  <c r="Y133" i="7" s="1"/>
  <c r="V134" i="7" l="1"/>
  <c r="T135" i="7"/>
  <c r="U135" i="7" s="1"/>
  <c r="W134" i="7"/>
  <c r="X134" i="7" s="1"/>
  <c r="Y134" i="7" s="1"/>
  <c r="AH45" i="7" s="1"/>
  <c r="V135" i="7" l="1"/>
  <c r="T136" i="7"/>
  <c r="U136" i="7" s="1"/>
  <c r="W135" i="7"/>
  <c r="X135" i="7" s="1"/>
  <c r="Y135" i="7" s="1"/>
  <c r="V136" i="7" l="1"/>
  <c r="T137" i="7"/>
  <c r="U137" i="7" s="1"/>
  <c r="W136" i="7"/>
  <c r="X136" i="7" s="1"/>
  <c r="Y136" i="7" s="1"/>
  <c r="V137" i="7" l="1"/>
  <c r="T138" i="7"/>
  <c r="U138" i="7" s="1"/>
  <c r="W137" i="7"/>
  <c r="X137" i="7" s="1"/>
  <c r="Y137" i="7" s="1"/>
  <c r="AH46" i="7" s="1"/>
  <c r="V138" i="7" l="1"/>
  <c r="T139" i="7"/>
  <c r="U139" i="7" s="1"/>
  <c r="W138" i="7"/>
  <c r="X138" i="7" s="1"/>
  <c r="Y138" i="7" s="1"/>
  <c r="V139" i="7" l="1"/>
  <c r="T140" i="7"/>
  <c r="U140" i="7" s="1"/>
  <c r="W139" i="7"/>
  <c r="X139" i="7" s="1"/>
  <c r="Y139" i="7" s="1"/>
  <c r="V140" i="7" l="1"/>
  <c r="T141" i="7"/>
  <c r="U141" i="7" s="1"/>
  <c r="W140" i="7"/>
  <c r="X140" i="7" s="1"/>
  <c r="Y140" i="7" s="1"/>
  <c r="AH47" i="7" s="1"/>
  <c r="V141" i="7" l="1"/>
  <c r="T142" i="7"/>
  <c r="U142" i="7" s="1"/>
  <c r="W141" i="7"/>
  <c r="X141" i="7" s="1"/>
  <c r="Y141" i="7" s="1"/>
  <c r="V142" i="7" l="1"/>
  <c r="T143" i="7"/>
  <c r="U143" i="7" s="1"/>
  <c r="W142" i="7"/>
  <c r="X142" i="7" s="1"/>
  <c r="Y142" i="7" s="1"/>
  <c r="Y143" i="7" l="1"/>
  <c r="AH48" i="7" s="1"/>
  <c r="V143" i="7"/>
  <c r="T144" i="7"/>
  <c r="U144" i="7" s="1"/>
  <c r="W143" i="7"/>
  <c r="X143" i="7" s="1"/>
  <c r="Y144" i="7" l="1"/>
  <c r="V144" i="7"/>
  <c r="T145" i="7"/>
  <c r="U145" i="7" s="1"/>
  <c r="W144" i="7"/>
  <c r="X144" i="7" s="1"/>
  <c r="V145" i="7" l="1"/>
  <c r="T146" i="7"/>
  <c r="U146" i="7" s="1"/>
  <c r="W145" i="7"/>
  <c r="X145" i="7" s="1"/>
  <c r="Y145" i="7" s="1"/>
  <c r="V146" i="7" l="1"/>
  <c r="T147" i="7"/>
  <c r="U147" i="7" s="1"/>
  <c r="W146" i="7"/>
  <c r="X146" i="7" s="1"/>
  <c r="Y146" i="7" l="1"/>
  <c r="AH49" i="7" s="1"/>
  <c r="Y147" i="7"/>
  <c r="V147" i="7"/>
  <c r="T148" i="7"/>
  <c r="U148" i="7" s="1"/>
  <c r="W147" i="7"/>
  <c r="X147" i="7" s="1"/>
  <c r="V148" i="7" l="1"/>
  <c r="T149" i="7"/>
  <c r="U149" i="7" s="1"/>
  <c r="W148" i="7"/>
  <c r="X148" i="7" s="1"/>
  <c r="Y148" i="7" s="1"/>
  <c r="V149" i="7" l="1"/>
  <c r="T150" i="7"/>
  <c r="U150" i="7" s="1"/>
  <c r="W149" i="7"/>
  <c r="X149" i="7" s="1"/>
  <c r="Y149" i="7" s="1"/>
  <c r="AH50" i="7" s="1"/>
  <c r="V150" i="7" l="1"/>
  <c r="T151" i="7"/>
  <c r="U151" i="7" s="1"/>
  <c r="W150" i="7"/>
  <c r="X150" i="7" s="1"/>
  <c r="Y150" i="7" s="1"/>
  <c r="V151" i="7" l="1"/>
  <c r="T152" i="7"/>
  <c r="W151" i="7"/>
  <c r="X151" i="7" s="1"/>
  <c r="Y151" i="7" l="1"/>
  <c r="W152" i="7"/>
  <c r="X152" i="7" s="1"/>
  <c r="Y152" i="7" s="1"/>
  <c r="AH51" i="7" s="1"/>
  <c r="U152" i="7"/>
  <c r="V152" i="7" s="1"/>
</calcChain>
</file>

<file path=xl/comments1.xml><?xml version="1.0" encoding="utf-8"?>
<comments xmlns="http://schemas.openxmlformats.org/spreadsheetml/2006/main">
  <authors>
    <author xml:space="preserve">Mike ELSBY </author>
  </authors>
  <commentList>
    <comment ref="E1" authorId="0">
      <text>
        <r>
          <rPr>
            <sz val="9"/>
            <color indexed="81"/>
            <rFont val="Tahoma"/>
            <family val="2"/>
          </rPr>
          <t>X12 Error Log:_x000D_
_x000D_
 _x000D_
     Error messages generated from processing the X-12-ARIMA spec file_x000D_
     C:\FRBAutomation\AddIns\x12\specfile.spc:_x000D_
_x000D_
_x000D_
  _x000D_
 WARNING: At least one visually significant trading day peak has been_x000D_
          found in one or more of the estimated spectra.</t>
        </r>
      </text>
    </comment>
    <comment ref="F1" authorId="0">
      <text>
        <r>
          <rPr>
            <sz val="9"/>
            <color indexed="81"/>
            <rFont val="Tahoma"/>
            <family val="2"/>
          </rPr>
          <t>X12 Error Log:_x000D_
_x000D_
 _x000D_
     Error messages generated from processing the X-12-ARIMA spec file_x000D_
     C:\FRBAutomation\AddIns\x12\specfile.spc:_x000D_
_x000D_
_x000D_
  _x000D_
 WARNING: At least one visually significant trading day peak has been_x000D_
          found in one or more of the estimated spectra.</t>
        </r>
      </text>
    </comment>
    <comment ref="G1" authorId="0">
      <text>
        <r>
          <rPr>
            <sz val="9"/>
            <color indexed="81"/>
            <rFont val="Tahoma"/>
            <family val="2"/>
          </rPr>
          <t xml:space="preserve">X12 Error Log:_x000D_
 _x000D_
     Error messages generated from processing the X-12-ARIMA spec file_x000D_
     C:\FRBAutomation\AddIns\x12\specfile.spc:_x000D_
_x000D_
</t>
        </r>
      </text>
    </comment>
    <comment ref="A18" authorId="0">
      <text>
        <r>
          <rPr>
            <b/>
            <sz val="9"/>
            <color indexed="81"/>
            <rFont val="Tahoma"/>
            <family val="2"/>
          </rPr>
          <t>Mike ELSBY :</t>
        </r>
        <r>
          <rPr>
            <sz val="9"/>
            <color indexed="81"/>
            <rFont val="Tahoma"/>
            <family val="2"/>
          </rPr>
          <t xml:space="preserve">
Missing data linearly interpolated for seasonal adjustment.</t>
        </r>
      </text>
    </comment>
  </commentList>
</comments>
</file>

<file path=xl/sharedStrings.xml><?xml version="1.0" encoding="utf-8"?>
<sst xmlns="http://schemas.openxmlformats.org/spreadsheetml/2006/main" count="1881" uniqueCount="363">
  <si>
    <t>The data presented here are measures of gross worker flows as</t>
  </si>
  <si>
    <t>described in Fallick, Bruce and Charles Fleischman,</t>
  </si>
  <si>
    <t>"Employer-to-Employer Flows in the U.S. Labor Market:  The Complete</t>
  </si>
  <si>
    <t>Picture of Gross Worker Flows" FEDS #2004-34, updated to include more</t>
  </si>
  <si>
    <t>recent months.</t>
  </si>
  <si>
    <t xml:space="preserve">The data currently cover the period January 1994 to June 2013.  </t>
  </si>
  <si>
    <t>Data for several months in 1995 are missing because the public use</t>
  </si>
  <si>
    <t>files of the CPS do not allow one to match individuals across those months.</t>
  </si>
  <si>
    <t>The series with suffix "pop" are flows as a percent of population.</t>
  </si>
  <si>
    <t>The series with suffix "haz" are flows as hazard rates.</t>
  </si>
  <si>
    <t>E = employment  U = unemployment  N = not in the labor force</t>
  </si>
  <si>
    <t>EE* refers to persons who move from one employer to another.</t>
  </si>
  <si>
    <t>SE* refers to persons who remain with the same employer.</t>
  </si>
  <si>
    <t>EU* refers to persons who move from employment to unemployment.</t>
  </si>
  <si>
    <t>EN* refers to persons who move from employment to nonemployment.</t>
  </si>
  <si>
    <t>UE* refers to persons who move from unemployment to employment.</t>
  </si>
  <si>
    <t>SU* refers to persons who remain unemployed.</t>
  </si>
  <si>
    <t>UN* refers to persons who move from unemployment to nonemployment.</t>
  </si>
  <si>
    <t>NE* refers to persons who move from nonemployment to employment.</t>
  </si>
  <si>
    <t>NU* refers to persons who move from nonemployment to unemployment.</t>
  </si>
  <si>
    <t xml:space="preserve">SN* refers to persons who remain out of the labor force.  </t>
  </si>
  <si>
    <t>The means over the entire sample period are</t>
  </si>
  <si>
    <t>EEpop</t>
  </si>
  <si>
    <t>SEpop</t>
  </si>
  <si>
    <t>EUpop</t>
  </si>
  <si>
    <t>ENpop</t>
  </si>
  <si>
    <t>UEpop</t>
  </si>
  <si>
    <t>SUpop</t>
  </si>
  <si>
    <t>UNpop</t>
  </si>
  <si>
    <t>NEpop</t>
  </si>
  <si>
    <t>NUpop</t>
  </si>
  <si>
    <t>SNpop</t>
  </si>
  <si>
    <t>EEhaz</t>
  </si>
  <si>
    <t>SEhaz</t>
  </si>
  <si>
    <t>EUhaz</t>
  </si>
  <si>
    <t>ENhaz</t>
  </si>
  <si>
    <t>UEhaz</t>
  </si>
  <si>
    <t>SUhaz</t>
  </si>
  <si>
    <t>UNhaz</t>
  </si>
  <si>
    <t>NEhaz</t>
  </si>
  <si>
    <t>NUhaz</t>
  </si>
  <si>
    <t>SNhaz</t>
  </si>
  <si>
    <t>Year:Mnth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</si>
  <si>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</si>
  <si>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</si>
  <si>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</si>
  <si>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</si>
  <si>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</si>
  <si>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</si>
  <si>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</si>
  <si>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</si>
  <si>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</si>
  <si>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</si>
  <si>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</si>
  <si>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</si>
  <si>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</si>
  <si>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</si>
  <si>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</si>
  <si>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</si>
  <si>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</si>
  <si>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n.a.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</si>
  <si>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</si>
  <si>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</si>
  <si>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</si>
  <si>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</si>
  <si>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</si>
  <si>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</si>
  <si>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</si>
  <si>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</si>
  <si>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</si>
  <si>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</si>
  <si>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</si>
  <si>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</si>
  <si>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</si>
  <si>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</si>
  <si>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</si>
  <si>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</si>
  <si>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</si>
  <si>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</si>
  <si>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</si>
  <si>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</si>
  <si>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</si>
  <si>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</si>
  <si>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</si>
  <si>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</si>
  <si>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</si>
  <si>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</si>
  <si>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</si>
  <si>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</si>
  <si>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</si>
  <si>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</si>
  <si>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</si>
  <si>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</si>
  <si>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</si>
  <si>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</si>
  <si>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</si>
  <si>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</si>
  <si>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</si>
  <si>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</si>
  <si>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</si>
  <si>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</si>
  <si>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</si>
  <si>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</si>
  <si>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</si>
  <si>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</si>
  <si>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</si>
  <si>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</si>
  <si>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</si>
  <si>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</si>
  <si>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</si>
  <si>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</si>
  <si>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</si>
  <si>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</si>
  <si>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</si>
  <si>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</si>
  <si>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</si>
  <si>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</si>
  <si>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</si>
  <si>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</si>
  <si>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</si>
  <si>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</si>
  <si>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</si>
  <si>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</si>
  <si>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</si>
  <si>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</si>
  <si>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</si>
  <si>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</si>
  <si>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</si>
  <si>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</si>
  <si>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</si>
  <si>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</si>
  <si>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</si>
  <si>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</si>
  <si>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</si>
  <si>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</si>
  <si>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</si>
  <si>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</si>
  <si>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</si>
  <si>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</si>
  <si>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</si>
  <si>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</si>
  <si>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</si>
  <si>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</si>
  <si>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</si>
  <si>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</si>
  <si>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</si>
  <si>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</si>
  <si>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</si>
  <si>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</si>
  <si>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</si>
  <si>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</si>
  <si>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</si>
  <si>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</si>
  <si>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</si>
  <si>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</si>
  <si>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</si>
  <si>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</si>
  <si>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</si>
  <si>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</si>
  <si>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</si>
  <si>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</si>
  <si>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</si>
  <si>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</si>
  <si>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</si>
  <si>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</si>
  <si>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</si>
  <si>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</si>
  <si>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</si>
  <si>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</si>
  <si>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</si>
  <si>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</si>
  <si>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</si>
  <si>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</si>
  <si>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</si>
  <si>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</si>
  <si>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</si>
  <si>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</si>
  <si>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</si>
  <si>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</si>
  <si>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</si>
  <si>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</si>
  <si>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</si>
  <si>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</si>
  <si>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</si>
  <si>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</si>
  <si>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</si>
  <si>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</si>
  <si>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</si>
  <si>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</si>
  <si>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</si>
  <si>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</si>
  <si>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</si>
  <si>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</si>
  <si>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</si>
  <si>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</si>
  <si>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</si>
  <si>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</si>
  <si>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</si>
  <si>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</si>
  <si>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</si>
  <si>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</si>
  <si>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</si>
  <si>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</si>
  <si>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</si>
  <si>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</si>
  <si>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</si>
  <si>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</si>
  <si>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</si>
  <si>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</si>
  <si>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</si>
  <si>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</si>
  <si>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</si>
  <si>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</si>
  <si>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</si>
  <si>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</si>
  <si>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</si>
  <si>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</si>
  <si>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</si>
  <si>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</si>
  <si>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</si>
  <si>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</si>
  <si>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</si>
  <si>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</si>
  <si>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</si>
  <si>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</si>
  <si>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</si>
  <si>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</si>
  <si>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</si>
  <si>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</si>
  <si>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</si>
  <si>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</si>
  <si>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</si>
  <si>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</si>
  <si>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</si>
  <si>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</si>
  <si>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</si>
  <si>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</si>
  <si>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</si>
  <si>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</si>
  <si>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</si>
  <si>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</si>
  <si>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</si>
  <si>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</si>
  <si>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</si>
  <si>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</si>
  <si>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</si>
  <si>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</si>
  <si>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</si>
  <si>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</si>
  <si>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</si>
  <si>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</si>
  <si>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</si>
  <si>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</si>
  <si>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</si>
  <si>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</si>
  <si>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</si>
  <si>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</si>
  <si>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</si>
  <si>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</si>
  <si>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</si>
  <si>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</si>
  <si>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</si>
  <si>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</si>
  <si>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</si>
  <si>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</si>
  <si>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</si>
  <si>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</si>
  <si>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</si>
  <si>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</si>
  <si>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</si>
  <si>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</si>
  <si>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</si>
  <si>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</si>
  <si>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</si>
  <si>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</si>
  <si>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</si>
  <si>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</si>
  <si>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</si>
  <si>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EE rate (FF, NSA)</t>
  </si>
  <si>
    <t>UE rate (FF, NSA)</t>
  </si>
  <si>
    <t>EE rate (FF, SA)</t>
  </si>
  <si>
    <t>UE rate (FF, SA)</t>
  </si>
  <si>
    <t>Data extracted on: September 24, 2013 (10:31:41 AM)</t>
  </si>
  <si>
    <t>Job Openings and Labor Turnover Survey</t>
  </si>
  <si>
    <r>
      <t>Series Id:     </t>
    </r>
    <r>
      <rPr>
        <sz val="10"/>
        <rFont val="Arial Unicode MS"/>
        <family val="2"/>
      </rPr>
      <t>JTS00000000QUR (4)</t>
    </r>
  </si>
  <si>
    <t>Seasonally adjusted</t>
  </si>
  <si>
    <r>
      <t>Industry:      </t>
    </r>
    <r>
      <rPr>
        <sz val="10"/>
        <rFont val="Arial Unicode MS"/>
        <family val="2"/>
      </rPr>
      <t>Total nonfarm</t>
    </r>
  </si>
  <si>
    <r>
      <t>Region:        </t>
    </r>
    <r>
      <rPr>
        <sz val="10"/>
        <rFont val="Arial Unicode MS"/>
        <family val="2"/>
      </rPr>
      <t>Total US</t>
    </r>
  </si>
  <si>
    <r>
      <t>Data Element:  </t>
    </r>
    <r>
      <rPr>
        <sz val="10"/>
        <rFont val="Arial Unicode MS"/>
        <family val="2"/>
      </rPr>
      <t>Quits</t>
    </r>
  </si>
  <si>
    <r>
      <t>Rate/Level:    </t>
    </r>
    <r>
      <rPr>
        <sz val="10"/>
        <rFont val="Arial Unicode MS"/>
        <family val="2"/>
      </rPr>
      <t>Rate</t>
    </r>
  </si>
  <si>
    <t>Download:</t>
  </si>
  <si>
    <t>Series Id</t>
  </si>
  <si>
    <t>Year</t>
  </si>
  <si>
    <t>Period</t>
  </si>
  <si>
    <t>Value</t>
  </si>
  <si>
    <t>JTS00000000QUR</t>
  </si>
  <si>
    <t>M12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</si>
  <si>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</si>
  <si>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</si>
  <si>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</si>
  <si>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</si>
  <si>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</si>
  <si>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</si>
  <si>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</si>
  <si>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</si>
  <si>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</si>
  <si>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</si>
  <si>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</si>
  <si>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4 : The quits rate is the number of quits as a percent of total employment.</t>
  </si>
  <si>
    <t>P : preliminary</t>
  </si>
  <si>
    <t>Quit rate (JOLTS, SA)</t>
  </si>
  <si>
    <t>Data extracted on: September 24, 2013 (10:34:54 AM)</t>
  </si>
  <si>
    <t>Labor Force Statistics from the Current Population Survey</t>
  </si>
  <si>
    <r>
      <t>Series Id:           </t>
    </r>
    <r>
      <rPr>
        <sz val="10"/>
        <rFont val="Arial Unicode MS"/>
        <family val="2"/>
      </rPr>
      <t>LNS14000000</t>
    </r>
  </si>
  <si>
    <t>Seasonally Adjusted</t>
  </si>
  <si>
    <r>
      <t>Series title:        </t>
    </r>
    <r>
      <rPr>
        <sz val="10"/>
        <rFont val="Arial Unicode MS"/>
        <family val="2"/>
      </rPr>
      <t>(Seas) Unemployment Rate</t>
    </r>
  </si>
  <si>
    <r>
      <t>Labor force status:  </t>
    </r>
    <r>
      <rPr>
        <sz val="10"/>
        <rFont val="Arial Unicode MS"/>
        <family val="2"/>
      </rPr>
      <t>Unemployment rate</t>
    </r>
  </si>
  <si>
    <r>
      <t>Type of data:        </t>
    </r>
    <r>
      <rPr>
        <sz val="10"/>
        <rFont val="Arial Unicode MS"/>
        <family val="2"/>
      </rPr>
      <t>Percent or rate</t>
    </r>
  </si>
  <si>
    <r>
      <t>Age:                 </t>
    </r>
    <r>
      <rPr>
        <sz val="10"/>
        <rFont val="Arial Unicode MS"/>
        <family val="2"/>
      </rPr>
      <t>16 years and over</t>
    </r>
  </si>
  <si>
    <t>Series id</t>
  </si>
  <si>
    <t>LNS14000000</t>
  </si>
  <si>
    <t>Unemployment rate (CPS, SA)</t>
  </si>
  <si>
    <t>Implied search intensity of employed (FF)</t>
  </si>
  <si>
    <t>Implied search intensity of employed (JOLTS)</t>
  </si>
  <si>
    <t>Data extracted on: September 25, 2013 (4:11:58 AM)</t>
  </si>
  <si>
    <r>
      <t>Series Id:     </t>
    </r>
    <r>
      <rPr>
        <sz val="10"/>
        <rFont val="Arial Unicode MS"/>
        <family val="2"/>
      </rPr>
      <t>JTS00000000JOL</t>
    </r>
  </si>
  <si>
    <r>
      <t>Data Element:  </t>
    </r>
    <r>
      <rPr>
        <sz val="10"/>
        <rFont val="Arial Unicode MS"/>
        <family val="2"/>
      </rPr>
      <t>Job openings</t>
    </r>
  </si>
  <si>
    <r>
      <t>Rate/Level:    </t>
    </r>
    <r>
      <rPr>
        <sz val="10"/>
        <rFont val="Arial Unicode MS"/>
        <family val="2"/>
      </rPr>
      <t>Level - In Thousands</t>
    </r>
  </si>
  <si>
    <t>JTS00000000JOL</t>
  </si>
  <si>
    <t>Data extracted on: September 25, 2013 (4:13:15 AM)</t>
  </si>
  <si>
    <r>
      <t>Series Id:           </t>
    </r>
    <r>
      <rPr>
        <sz val="10"/>
        <rFont val="Arial Unicode MS"/>
        <family val="2"/>
      </rPr>
      <t>LNS11000000</t>
    </r>
  </si>
  <si>
    <r>
      <t>Series title:        </t>
    </r>
    <r>
      <rPr>
        <sz val="10"/>
        <rFont val="Arial Unicode MS"/>
        <family val="2"/>
      </rPr>
      <t>(Seas) Civilian Labor Force Level</t>
    </r>
  </si>
  <si>
    <r>
      <t>Labor force status:  </t>
    </r>
    <r>
      <rPr>
        <sz val="10"/>
        <rFont val="Arial Unicode MS"/>
        <family val="2"/>
      </rPr>
      <t>Civilian labor force</t>
    </r>
  </si>
  <si>
    <r>
      <t>Type of data:        </t>
    </r>
    <r>
      <rPr>
        <sz val="10"/>
        <rFont val="Arial Unicode MS"/>
        <family val="2"/>
      </rPr>
      <t>Number in thousands</t>
    </r>
  </si>
  <si>
    <t>LNS11000000</t>
  </si>
  <si>
    <t>1 : Data affected by changes in population controls.</t>
  </si>
  <si>
    <t>V</t>
  </si>
  <si>
    <t>L</t>
  </si>
  <si>
    <t>V/L</t>
  </si>
  <si>
    <t>U/L</t>
  </si>
  <si>
    <t>EU rate (FF, NSA)</t>
  </si>
  <si>
    <t>EU rate (FF, SA)</t>
  </si>
  <si>
    <t>Aug 2009 and before</t>
  </si>
  <si>
    <t>Post Aug 2009</t>
  </si>
  <si>
    <t>d ln EU rate</t>
  </si>
  <si>
    <t>s/(u+s)</t>
  </si>
  <si>
    <t>d ln s</t>
  </si>
  <si>
    <t>Elasticity of f wrt theta</t>
  </si>
  <si>
    <t>Cumulative vertical BC shift due to EU (logs)</t>
  </si>
  <si>
    <t>Cumulative vertical BC shift due to s (logs)</t>
  </si>
  <si>
    <t>Combined cumulative vertical shift (logs)</t>
  </si>
  <si>
    <t>Implied V/L (EU constant)</t>
  </si>
  <si>
    <t>Implied V/L (s constant)</t>
  </si>
  <si>
    <t>Implied V/L (EU and s constant)</t>
  </si>
  <si>
    <t>V/U</t>
  </si>
  <si>
    <t>UE rate</t>
  </si>
  <si>
    <t>V/(U+S)</t>
  </si>
  <si>
    <t>Quarterly averages:</t>
  </si>
  <si>
    <t>U/L (3m MA)</t>
  </si>
  <si>
    <t>V/L (3m MA)</t>
  </si>
  <si>
    <t>Implied V/L (EU constant, 3m MA)</t>
  </si>
  <si>
    <t>Implied V/L (s constant, 3m MA)</t>
  </si>
  <si>
    <t>Implied V/L (EU and s constant, 3m 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</si>
</sst>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sz val="9"/>
      <color indexed="81"/>
      <name val="Tahoma"/>
      <family val="2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sz val="10"/>
      <color rgb="FF333333"/>
      <name val="Tahoma"/>
      <family val="2"/>
    </font>
    <font>
      <b/>
      <sz val="10.7"/>
      <color rgb="FF000000"/>
      <name val="Arial"/>
      <family val="2"/>
    </font>
    <font>
      <sz val="10"/>
      <name val="Arial Unicode MS"/>
      <family val="2"/>
    </font>
    <font>
      <b/>
      <sz val="10"/>
      <name val="Arial Unicode MS"/>
      <family val="2"/>
    </font>
    <font>
      <sz val="9.1999999999999993"/>
      <name val="Tahoma"/>
      <family val="2"/>
    </font>
    <font>
      <b/>
      <sz val="9.1999999999999993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/>
      <right/>
      <top style="medium">
        <color rgb="FF999999"/>
      </top>
      <bottom/>
      <diagonal/>
    </border>
    <border>
      <left style="medium">
        <color rgb="FFAAAAAA"/>
      </left>
      <right/>
      <top style="medium">
        <color rgb="FFAAAAAA"/>
      </top>
      <bottom style="medium">
        <color rgb="FF999999"/>
      </bottom>
      <diagonal/>
    </border>
    <border>
      <left style="medium">
        <color rgb="FF999999"/>
      </left>
      <right/>
      <top style="medium">
        <color rgb="FFAAAAAA"/>
      </top>
      <bottom style="medium">
        <color rgb="FF999999"/>
      </bottom>
      <diagonal/>
    </border>
    <border>
      <left style="medium">
        <color rgb="FF999999"/>
      </left>
      <right style="medium">
        <color rgb="FFAAAAAA"/>
      </right>
      <top style="medium">
        <color rgb="FFAAAAAA"/>
      </top>
      <bottom style="medium">
        <color rgb="FF999999"/>
      </bottom>
      <diagonal/>
    </border>
    <border>
      <left style="medium">
        <color rgb="FFAAAAAA"/>
      </left>
      <right/>
      <top/>
      <bottom style="medium">
        <color rgb="FF999999"/>
      </bottom>
      <diagonal/>
    </border>
    <border>
      <left style="medium">
        <color rgb="FF999999"/>
      </left>
      <right style="medium">
        <color rgb="FFAAAAAA"/>
      </right>
      <top/>
      <bottom style="medium">
        <color rgb="FF999999"/>
      </bottom>
      <diagonal/>
    </border>
    <border>
      <left style="medium">
        <color rgb="FFAAAAAA"/>
      </left>
      <right/>
      <top style="medium">
        <color rgb="FF999999"/>
      </top>
      <bottom/>
      <diagonal/>
    </border>
    <border>
      <left/>
      <right style="medium">
        <color rgb="FFAAAAAA"/>
      </right>
      <top style="medium">
        <color rgb="FF999999"/>
      </top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999999"/>
      </left>
      <right/>
      <top/>
      <bottom style="medium">
        <color rgb="FFAAAAAA"/>
      </bottom>
      <diagonal/>
    </border>
    <border>
      <left style="medium">
        <color rgb="FF999999"/>
      </left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medium">
        <color rgb="FF999999"/>
      </top>
      <bottom style="medium">
        <color rgb="FFAAAAAA"/>
      </bottom>
      <diagonal/>
    </border>
    <border>
      <left/>
      <right/>
      <top style="medium">
        <color rgb="FF999999"/>
      </top>
      <bottom style="medium">
        <color rgb="FFAAAAAA"/>
      </bottom>
      <diagonal/>
    </border>
    <border>
      <left/>
      <right style="medium">
        <color rgb="FFAAAAAA"/>
      </right>
      <top style="medium">
        <color rgb="FF999999"/>
      </top>
      <bottom style="medium">
        <color rgb="FFAAAAAA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0" fontId="1" fillId="0" borderId="0" xfId="0" applyFont="1"/>
    <xf numFmtId="14" fontId="3" fillId="0" borderId="0" xfId="0" applyNumberFormat="1" applyFont="1"/>
    <xf numFmtId="0" fontId="3" fillId="0" borderId="0" xfId="0" applyFont="1"/>
    <xf numFmtId="0" fontId="1" fillId="2" borderId="0" xfId="0" applyFont="1" applyFill="1"/>
    <xf numFmtId="0" fontId="5" fillId="0" borderId="0" xfId="0" applyFont="1" applyAlignment="1">
      <alignment horizontal="left" vertical="center" indent="1"/>
    </xf>
    <xf numFmtId="0" fontId="0" fillId="3" borderId="0" xfId="0" applyFill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0" fillId="3" borderId="0" xfId="0" applyFill="1"/>
    <xf numFmtId="0" fontId="0" fillId="3" borderId="0" xfId="0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 indent="1"/>
    </xf>
    <xf numFmtId="0" fontId="10" fillId="6" borderId="2" xfId="0" applyFont="1" applyFill="1" applyBorder="1" applyAlignment="1">
      <alignment horizontal="left" vertical="center" indent="1"/>
    </xf>
    <xf numFmtId="0" fontId="10" fillId="4" borderId="4" xfId="0" applyFont="1" applyFill="1" applyBorder="1" applyAlignment="1">
      <alignment horizontal="center" wrapText="1"/>
    </xf>
    <xf numFmtId="0" fontId="10" fillId="4" borderId="5" xfId="0" applyFont="1" applyFill="1" applyBorder="1" applyAlignment="1">
      <alignment horizontal="center" wrapText="1"/>
    </xf>
    <xf numFmtId="0" fontId="10" fillId="4" borderId="6" xfId="0" applyFont="1" applyFill="1" applyBorder="1" applyAlignment="1">
      <alignment horizontal="center" wrapText="1"/>
    </xf>
    <xf numFmtId="0" fontId="10" fillId="5" borderId="7" xfId="0" applyFont="1" applyFill="1" applyBorder="1" applyAlignment="1">
      <alignment horizontal="left" vertical="center" indent="1"/>
    </xf>
    <xf numFmtId="0" fontId="9" fillId="3" borderId="8" xfId="0" applyFont="1" applyFill="1" applyBorder="1" applyAlignment="1">
      <alignment horizontal="right" vertical="center" indent="1"/>
    </xf>
    <xf numFmtId="0" fontId="10" fillId="6" borderId="7" xfId="0" applyFont="1" applyFill="1" applyBorder="1" applyAlignment="1">
      <alignment horizontal="left" vertical="center" indent="1"/>
    </xf>
    <xf numFmtId="0" fontId="9" fillId="7" borderId="8" xfId="0" applyFont="1" applyFill="1" applyBorder="1" applyAlignment="1">
      <alignment horizontal="right" vertical="center" indent="1"/>
    </xf>
    <xf numFmtId="0" fontId="10" fillId="6" borderId="11" xfId="0" applyFont="1" applyFill="1" applyBorder="1" applyAlignment="1">
      <alignment horizontal="left" vertical="center" indent="1"/>
    </xf>
    <xf numFmtId="0" fontId="10" fillId="6" borderId="14" xfId="0" applyFont="1" applyFill="1" applyBorder="1" applyAlignment="1">
      <alignment horizontal="left" vertical="center" indent="1"/>
    </xf>
    <xf numFmtId="0" fontId="9" fillId="7" borderId="15" xfId="0" applyFont="1" applyFill="1" applyBorder="1" applyAlignment="1">
      <alignment horizontal="right" vertical="center" indent="1"/>
    </xf>
    <xf numFmtId="0" fontId="9" fillId="3" borderId="9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0" fontId="9" fillId="3" borderId="11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left" vertical="center"/>
    </xf>
    <xf numFmtId="0" fontId="9" fillId="3" borderId="17" xfId="0" applyFont="1" applyFill="1" applyBorder="1" applyAlignment="1">
      <alignment horizontal="left" vertical="center"/>
    </xf>
    <xf numFmtId="0" fontId="9" fillId="3" borderId="1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activeX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image" Target="../media/image54.emf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image" Target="../media/image55.emf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5003965256959821E-2"/>
          <c:y val="5.0089384813883447E-2"/>
          <c:w val="0.96999206948608041"/>
          <c:h val="0.9499106141766408"/>
        </c:manualLayout>
      </c:layout>
      <c:lineChart>
        <c:grouping val="standard"/>
        <c:varyColors val="0"/>
        <c:ser>
          <c:idx val="0"/>
          <c:order val="0"/>
          <c:tx>
            <c:v>Fallick and Fleischman EE rate</c:v>
          </c:tx>
          <c:spPr>
            <a:ln w="28575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'3m MA'!$A$2:$A$235</c:f>
              <c:numCache>
                <c:formatCode>m/d/yyyy</c:formatCode>
                <c:ptCount val="234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</c:numCache>
            </c:numRef>
          </c:cat>
          <c:val>
            <c:numRef>
              <c:f>'3m MA'!$D$2:$D$235</c:f>
              <c:numCache>
                <c:formatCode>General</c:formatCode>
                <c:ptCount val="234"/>
                <c:pt idx="0">
                  <c:v>#N/A</c:v>
                </c:pt>
                <c:pt idx="1">
                  <c:v>#N/A</c:v>
                </c:pt>
                <c:pt idx="2">
                  <c:v>3.1543144977602897</c:v>
                </c:pt>
                <c:pt idx="3">
                  <c:v>3.0090679216242897</c:v>
                </c:pt>
                <c:pt idx="4">
                  <c:v>3.1253913016833899</c:v>
                </c:pt>
                <c:pt idx="5">
                  <c:v>2.9776267624690931</c:v>
                </c:pt>
                <c:pt idx="6">
                  <c:v>2.8778433934704832</c:v>
                </c:pt>
                <c:pt idx="7">
                  <c:v>3.0485209430316367</c:v>
                </c:pt>
                <c:pt idx="8">
                  <c:v>2.9966211244995136</c:v>
                </c:pt>
                <c:pt idx="9">
                  <c:v>2.9673767539441935</c:v>
                </c:pt>
                <c:pt idx="10">
                  <c:v>2.67492291064565</c:v>
                </c:pt>
                <c:pt idx="11">
                  <c:v>2.6426078867816969</c:v>
                </c:pt>
                <c:pt idx="12">
                  <c:v>2.7633108088175402</c:v>
                </c:pt>
                <c:pt idx="13">
                  <c:v>2.6968872169383538</c:v>
                </c:pt>
                <c:pt idx="14">
                  <c:v>2.7055270780828597</c:v>
                </c:pt>
                <c:pt idx="15">
                  <c:v>2.6151730030347364</c:v>
                </c:pt>
                <c:pt idx="16">
                  <c:v>2.5141556097250466</c:v>
                </c:pt>
                <c:pt idx="17">
                  <c:v>2.4632918262308769</c:v>
                </c:pt>
                <c:pt idx="18">
                  <c:v>2.3978675138546897</c:v>
                </c:pt>
                <c:pt idx="19">
                  <c:v>2.4196461684825366</c:v>
                </c:pt>
                <c:pt idx="20">
                  <c:v>2.4877067364086134</c:v>
                </c:pt>
                <c:pt idx="21">
                  <c:v>2.7687718937420072</c:v>
                </c:pt>
                <c:pt idx="22">
                  <c:v>2.7847165653074533</c:v>
                </c:pt>
                <c:pt idx="23">
                  <c:v>2.7599542930046872</c:v>
                </c:pt>
                <c:pt idx="24">
                  <c:v>2.51744997293383</c:v>
                </c:pt>
                <c:pt idx="25">
                  <c:v>2.5744408478676264</c:v>
                </c:pt>
                <c:pt idx="26">
                  <c:v>2.5507584449165432</c:v>
                </c:pt>
                <c:pt idx="27">
                  <c:v>2.6502182413810336</c:v>
                </c:pt>
                <c:pt idx="28">
                  <c:v>2.6383142829059305</c:v>
                </c:pt>
                <c:pt idx="29">
                  <c:v>2.6901350052815665</c:v>
                </c:pt>
                <c:pt idx="30">
                  <c:v>2.6790689169679567</c:v>
                </c:pt>
                <c:pt idx="31">
                  <c:v>2.6539254195437034</c:v>
                </c:pt>
                <c:pt idx="32">
                  <c:v>2.5776714522083499</c:v>
                </c:pt>
                <c:pt idx="33">
                  <c:v>2.5653476669914501</c:v>
                </c:pt>
                <c:pt idx="34">
                  <c:v>2.5021075411355231</c:v>
                </c:pt>
                <c:pt idx="35">
                  <c:v>2.5874549990774169</c:v>
                </c:pt>
                <c:pt idx="36">
                  <c:v>2.5325672418250664</c:v>
                </c:pt>
                <c:pt idx="37">
                  <c:v>2.6278389508413462</c:v>
                </c:pt>
                <c:pt idx="38">
                  <c:v>2.5709633000753764</c:v>
                </c:pt>
                <c:pt idx="39">
                  <c:v>2.6226437400665232</c:v>
                </c:pt>
                <c:pt idx="40">
                  <c:v>2.61624642819103</c:v>
                </c:pt>
                <c:pt idx="41">
                  <c:v>2.6166613910327965</c:v>
                </c:pt>
                <c:pt idx="42">
                  <c:v>2.6090786036069868</c:v>
                </c:pt>
                <c:pt idx="43">
                  <c:v>2.5942729663936697</c:v>
                </c:pt>
                <c:pt idx="44">
                  <c:v>2.7527392908288797</c:v>
                </c:pt>
                <c:pt idx="45">
                  <c:v>2.7322910117421233</c:v>
                </c:pt>
                <c:pt idx="46">
                  <c:v>2.7885996552770997</c:v>
                </c:pt>
                <c:pt idx="47">
                  <c:v>2.6530227302426233</c:v>
                </c:pt>
                <c:pt idx="48">
                  <c:v>2.6428286218687869</c:v>
                </c:pt>
                <c:pt idx="49">
                  <c:v>2.5673408473442136</c:v>
                </c:pt>
                <c:pt idx="50">
                  <c:v>2.740379490474417</c:v>
                </c:pt>
                <c:pt idx="51">
                  <c:v>2.7210876872402103</c:v>
                </c:pt>
                <c:pt idx="52">
                  <c:v>2.7533358906803098</c:v>
                </c:pt>
                <c:pt idx="53">
                  <c:v>2.6343116399194466</c:v>
                </c:pt>
                <c:pt idx="54">
                  <c:v>2.6622347783152303</c:v>
                </c:pt>
                <c:pt idx="55">
                  <c:v>2.6280109067082171</c:v>
                </c:pt>
                <c:pt idx="56">
                  <c:v>2.61847706795385</c:v>
                </c:pt>
                <c:pt idx="57">
                  <c:v>2.5511688616604569</c:v>
                </c:pt>
                <c:pt idx="58">
                  <c:v>2.5939460076580065</c:v>
                </c:pt>
                <c:pt idx="59">
                  <c:v>2.5196748850200001</c:v>
                </c:pt>
                <c:pt idx="60">
                  <c:v>2.5480936598914834</c:v>
                </c:pt>
                <c:pt idx="61">
                  <c:v>2.5097871132578065</c:v>
                </c:pt>
                <c:pt idx="62">
                  <c:v>2.7539504709907896</c:v>
                </c:pt>
                <c:pt idx="63">
                  <c:v>2.7387950106381367</c:v>
                </c:pt>
                <c:pt idx="64">
                  <c:v>2.6973319490627632</c:v>
                </c:pt>
                <c:pt idx="65">
                  <c:v>2.4998970652650332</c:v>
                </c:pt>
                <c:pt idx="66">
                  <c:v>2.5274385318946968</c:v>
                </c:pt>
                <c:pt idx="67">
                  <c:v>2.7152048386201968</c:v>
                </c:pt>
                <c:pt idx="68">
                  <c:v>2.7245631655993598</c:v>
                </c:pt>
                <c:pt idx="69">
                  <c:v>2.7492707188014265</c:v>
                </c:pt>
                <c:pt idx="70">
                  <c:v>2.8214499237999928</c:v>
                </c:pt>
                <c:pt idx="71">
                  <c:v>2.8007552460641763</c:v>
                </c:pt>
                <c:pt idx="72">
                  <c:v>2.79253791302204</c:v>
                </c:pt>
                <c:pt idx="73">
                  <c:v>2.6815356850191168</c:v>
                </c:pt>
                <c:pt idx="74">
                  <c:v>2.7835535465448102</c:v>
                </c:pt>
                <c:pt idx="75">
                  <c:v>2.8500998617178404</c:v>
                </c:pt>
                <c:pt idx="76">
                  <c:v>2.8822472518142335</c:v>
                </c:pt>
                <c:pt idx="77">
                  <c:v>2.7903964975932234</c:v>
                </c:pt>
                <c:pt idx="78">
                  <c:v>2.6756208318970969</c:v>
                </c:pt>
                <c:pt idx="79">
                  <c:v>2.641415084862873</c:v>
                </c:pt>
                <c:pt idx="80">
                  <c:v>2.6283996499840434</c:v>
                </c:pt>
                <c:pt idx="81">
                  <c:v>2.7501480132362333</c:v>
                </c:pt>
                <c:pt idx="82">
                  <c:v>2.6172899011562865</c:v>
                </c:pt>
                <c:pt idx="83">
                  <c:v>2.6601527890668364</c:v>
                </c:pt>
                <c:pt idx="84">
                  <c:v>2.6898385659030466</c:v>
                </c:pt>
                <c:pt idx="85">
                  <c:v>2.7187811408291771</c:v>
                </c:pt>
                <c:pt idx="86">
                  <c:v>2.6345559901996634</c:v>
                </c:pt>
                <c:pt idx="87">
                  <c:v>2.4458529936579065</c:v>
                </c:pt>
                <c:pt idx="88">
                  <c:v>2.4230298778232466</c:v>
                </c:pt>
                <c:pt idx="89">
                  <c:v>2.4211600755573932</c:v>
                </c:pt>
                <c:pt idx="90">
                  <c:v>2.6041472503584799</c:v>
                </c:pt>
                <c:pt idx="91">
                  <c:v>2.5675315745022496</c:v>
                </c:pt>
                <c:pt idx="92">
                  <c:v>2.5239126085844901</c:v>
                </c:pt>
                <c:pt idx="93">
                  <c:v>2.3600861978807899</c:v>
                </c:pt>
                <c:pt idx="94">
                  <c:v>2.3520991659601167</c:v>
                </c:pt>
                <c:pt idx="95">
                  <c:v>2.3384868909812737</c:v>
                </c:pt>
                <c:pt idx="96">
                  <c:v>2.3686732206662935</c:v>
                </c:pt>
                <c:pt idx="97">
                  <c:v>2.3652127152254767</c:v>
                </c:pt>
                <c:pt idx="98">
                  <c:v>2.3554508419592071</c:v>
                </c:pt>
                <c:pt idx="99">
                  <c:v>2.3701443243666467</c:v>
                </c:pt>
                <c:pt idx="100">
                  <c:v>2.3497231439873798</c:v>
                </c:pt>
                <c:pt idx="101">
                  <c:v>2.3641265831014699</c:v>
                </c:pt>
                <c:pt idx="102">
                  <c:v>2.3297173590500564</c:v>
                </c:pt>
                <c:pt idx="103">
                  <c:v>2.3078929407658868</c:v>
                </c:pt>
                <c:pt idx="104">
                  <c:v>2.252931225939653</c:v>
                </c:pt>
                <c:pt idx="105">
                  <c:v>2.2481755988517098</c:v>
                </c:pt>
                <c:pt idx="106">
                  <c:v>2.1589619620556468</c:v>
                </c:pt>
                <c:pt idx="107">
                  <c:v>2.2495213623452899</c:v>
                </c:pt>
                <c:pt idx="108">
                  <c:v>2.1349929112116635</c:v>
                </c:pt>
                <c:pt idx="109">
                  <c:v>2.1948859760835164</c:v>
                </c:pt>
                <c:pt idx="110">
                  <c:v>2.0694321808921234</c:v>
                </c:pt>
                <c:pt idx="111">
                  <c:v>2.1825709723714133</c:v>
                </c:pt>
                <c:pt idx="112">
                  <c:v>2.1659374635017268</c:v>
                </c:pt>
                <c:pt idx="113">
                  <c:v>2.1716336654735202</c:v>
                </c:pt>
                <c:pt idx="114">
                  <c:v>2.0909331767264367</c:v>
                </c:pt>
                <c:pt idx="115">
                  <c:v>2.1135604446777165</c:v>
                </c:pt>
                <c:pt idx="116">
                  <c:v>2.1427070663347569</c:v>
                </c:pt>
                <c:pt idx="117">
                  <c:v>2.0923022655146601</c:v>
                </c:pt>
                <c:pt idx="118">
                  <c:v>2.0533980683445101</c:v>
                </c:pt>
                <c:pt idx="119">
                  <c:v>2.0028018101364933</c:v>
                </c:pt>
                <c:pt idx="120">
                  <c:v>2.0216425955047668</c:v>
                </c:pt>
                <c:pt idx="121">
                  <c:v>2.0874168119042733</c:v>
                </c:pt>
                <c:pt idx="122">
                  <c:v>2.3050079011195965</c:v>
                </c:pt>
                <c:pt idx="123">
                  <c:v>2.3886583757001332</c:v>
                </c:pt>
                <c:pt idx="124">
                  <c:v>2.3024062683509934</c:v>
                </c:pt>
                <c:pt idx="125">
                  <c:v>2.2022295864565398</c:v>
                </c:pt>
                <c:pt idx="126">
                  <c:v>2.1863840814134368</c:v>
                </c:pt>
                <c:pt idx="127">
                  <c:v>2.2734769509681532</c:v>
                </c:pt>
                <c:pt idx="128">
                  <c:v>2.2672609444846632</c:v>
                </c:pt>
                <c:pt idx="129">
                  <c:v>2.2266207905863933</c:v>
                </c:pt>
                <c:pt idx="130">
                  <c:v>2.3044855774867563</c:v>
                </c:pt>
                <c:pt idx="131">
                  <c:v>2.3033562833315933</c:v>
                </c:pt>
                <c:pt idx="132">
                  <c:v>2.3443372620788301</c:v>
                </c:pt>
                <c:pt idx="133">
                  <c:v>2.2590411823400767</c:v>
                </c:pt>
                <c:pt idx="134">
                  <c:v>2.3576077068267769</c:v>
                </c:pt>
                <c:pt idx="135">
                  <c:v>2.3085806089201033</c:v>
                </c:pt>
                <c:pt idx="136">
                  <c:v>2.3412875458731599</c:v>
                </c:pt>
                <c:pt idx="137">
                  <c:v>2.1673819480949899</c:v>
                </c:pt>
                <c:pt idx="138">
                  <c:v>2.1669348628434961</c:v>
                </c:pt>
                <c:pt idx="139">
                  <c:v>2.1741655524302366</c:v>
                </c:pt>
                <c:pt idx="140">
                  <c:v>2.2144022920192765</c:v>
                </c:pt>
                <c:pt idx="141">
                  <c:v>2.2684661598839599</c:v>
                </c:pt>
                <c:pt idx="142">
                  <c:v>2.2097932558703932</c:v>
                </c:pt>
                <c:pt idx="143">
                  <c:v>2.1724900251049437</c:v>
                </c:pt>
                <c:pt idx="144">
                  <c:v>2.1941477533160767</c:v>
                </c:pt>
                <c:pt idx="145">
                  <c:v>2.2438075738239398</c:v>
                </c:pt>
                <c:pt idx="146">
                  <c:v>2.28424512173024</c:v>
                </c:pt>
                <c:pt idx="147">
                  <c:v>2.2561321343136567</c:v>
                </c:pt>
                <c:pt idx="148">
                  <c:v>2.2566524315390235</c:v>
                </c:pt>
                <c:pt idx="149">
                  <c:v>2.2826573528972234</c:v>
                </c:pt>
                <c:pt idx="150">
                  <c:v>2.2764733154047168</c:v>
                </c:pt>
                <c:pt idx="151">
                  <c:v>2.29134717987781</c:v>
                </c:pt>
                <c:pt idx="152">
                  <c:v>2.2259215159024235</c:v>
                </c:pt>
                <c:pt idx="153">
                  <c:v>2.2475192654765768</c:v>
                </c:pt>
                <c:pt idx="154">
                  <c:v>2.2065469438401801</c:v>
                </c:pt>
                <c:pt idx="155">
                  <c:v>2.2405563631717968</c:v>
                </c:pt>
                <c:pt idx="156">
                  <c:v>2.1076774424004867</c:v>
                </c:pt>
                <c:pt idx="157">
                  <c:v>2.0579835401131432</c:v>
                </c:pt>
                <c:pt idx="158">
                  <c:v>1.9705905432430935</c:v>
                </c:pt>
                <c:pt idx="159">
                  <c:v>1.9853534603935434</c:v>
                </c:pt>
                <c:pt idx="160">
                  <c:v>2.0089696535257464</c:v>
                </c:pt>
                <c:pt idx="161">
                  <c:v>2.0111860258053</c:v>
                </c:pt>
                <c:pt idx="162">
                  <c:v>2.0214204438942134</c:v>
                </c:pt>
                <c:pt idx="163">
                  <c:v>1.9296279139564536</c:v>
                </c:pt>
                <c:pt idx="164">
                  <c:v>1.9183895876309502</c:v>
                </c:pt>
                <c:pt idx="165">
                  <c:v>1.88241831369427</c:v>
                </c:pt>
                <c:pt idx="166">
                  <c:v>1.9142905553018332</c:v>
                </c:pt>
                <c:pt idx="167">
                  <c:v>1.8993789706761099</c:v>
                </c:pt>
                <c:pt idx="168">
                  <c:v>1.9060118808051065</c:v>
                </c:pt>
                <c:pt idx="169">
                  <c:v>1.8678562747086831</c:v>
                </c:pt>
                <c:pt idx="170">
                  <c:v>1.8387202059828198</c:v>
                </c:pt>
                <c:pt idx="171">
                  <c:v>1.8989256176816633</c:v>
                </c:pt>
                <c:pt idx="172">
                  <c:v>1.8534535989536935</c:v>
                </c:pt>
                <c:pt idx="173">
                  <c:v>1.8210247685370735</c:v>
                </c:pt>
                <c:pt idx="174">
                  <c:v>1.7954110406562098</c:v>
                </c:pt>
                <c:pt idx="175">
                  <c:v>1.7963091010772434</c:v>
                </c:pt>
                <c:pt idx="176">
                  <c:v>1.8433127681510768</c:v>
                </c:pt>
                <c:pt idx="177">
                  <c:v>1.7302484850119699</c:v>
                </c:pt>
                <c:pt idx="178">
                  <c:v>1.7378187565315935</c:v>
                </c:pt>
                <c:pt idx="179">
                  <c:v>1.6407876010331668</c:v>
                </c:pt>
                <c:pt idx="180">
                  <c:v>1.6513612104830067</c:v>
                </c:pt>
                <c:pt idx="181">
                  <c:v>1.5800840411005035</c:v>
                </c:pt>
                <c:pt idx="182">
                  <c:v>1.5764184852899534</c:v>
                </c:pt>
                <c:pt idx="183">
                  <c:v>1.5990189293575401</c:v>
                </c:pt>
                <c:pt idx="184">
                  <c:v>1.57407896412603</c:v>
                </c:pt>
                <c:pt idx="185">
                  <c:v>1.57050720207082</c:v>
                </c:pt>
                <c:pt idx="186">
                  <c:v>1.4608385393638768</c:v>
                </c:pt>
                <c:pt idx="187">
                  <c:v>1.4708200101043865</c:v>
                </c:pt>
                <c:pt idx="188">
                  <c:v>1.4483175237035135</c:v>
                </c:pt>
                <c:pt idx="189">
                  <c:v>1.4530190741701965</c:v>
                </c:pt>
                <c:pt idx="190">
                  <c:v>1.4619040504399232</c:v>
                </c:pt>
                <c:pt idx="191">
                  <c:v>1.4863699943790001</c:v>
                </c:pt>
                <c:pt idx="192">
                  <c:v>1.5017864179345402</c:v>
                </c:pt>
                <c:pt idx="193">
                  <c:v>1.5367192034796</c:v>
                </c:pt>
                <c:pt idx="194">
                  <c:v>1.5678986154456833</c:v>
                </c:pt>
                <c:pt idx="195">
                  <c:v>1.586739565614727</c:v>
                </c:pt>
                <c:pt idx="196">
                  <c:v>1.4706429709980735</c:v>
                </c:pt>
                <c:pt idx="197">
                  <c:v>1.5086937348294469</c:v>
                </c:pt>
                <c:pt idx="198">
                  <c:v>1.5018505719403101</c:v>
                </c:pt>
                <c:pt idx="199">
                  <c:v>1.6065013770284933</c:v>
                </c:pt>
                <c:pt idx="200">
                  <c:v>1.5165456476128067</c:v>
                </c:pt>
                <c:pt idx="201">
                  <c:v>1.5261611968072499</c:v>
                </c:pt>
                <c:pt idx="202">
                  <c:v>1.5044509697438999</c:v>
                </c:pt>
                <c:pt idx="203">
                  <c:v>1.5201017054827233</c:v>
                </c:pt>
                <c:pt idx="204">
                  <c:v>1.4327153988940466</c:v>
                </c:pt>
                <c:pt idx="205">
                  <c:v>1.4611399945451167</c:v>
                </c:pt>
                <c:pt idx="206">
                  <c:v>1.4947079977654465</c:v>
                </c:pt>
                <c:pt idx="207">
                  <c:v>1.5815323077210468</c:v>
                </c:pt>
                <c:pt idx="208">
                  <c:v>1.5828831859153898</c:v>
                </c:pt>
                <c:pt idx="209">
                  <c:v>1.5660479619740466</c:v>
                </c:pt>
                <c:pt idx="210">
                  <c:v>1.5550013633276869</c:v>
                </c:pt>
                <c:pt idx="211">
                  <c:v>1.5784874282221164</c:v>
                </c:pt>
                <c:pt idx="212">
                  <c:v>1.5839460211732499</c:v>
                </c:pt>
                <c:pt idx="213">
                  <c:v>1.6309817249851868</c:v>
                </c:pt>
                <c:pt idx="214">
                  <c:v>1.5771866328095598</c:v>
                </c:pt>
                <c:pt idx="215">
                  <c:v>1.6198877873933766</c:v>
                </c:pt>
                <c:pt idx="216">
                  <c:v>1.5981837604330866</c:v>
                </c:pt>
                <c:pt idx="217">
                  <c:v>1.6240861395014365</c:v>
                </c:pt>
                <c:pt idx="218">
                  <c:v>1.5574030086126267</c:v>
                </c:pt>
                <c:pt idx="219">
                  <c:v>1.5066143965022631</c:v>
                </c:pt>
                <c:pt idx="220">
                  <c:v>1.5336791462261565</c:v>
                </c:pt>
                <c:pt idx="221">
                  <c:v>1.5576408377949067</c:v>
                </c:pt>
                <c:pt idx="222">
                  <c:v>1.6458634653063333</c:v>
                </c:pt>
                <c:pt idx="223">
                  <c:v>1.5892571921034333</c:v>
                </c:pt>
                <c:pt idx="224">
                  <c:v>1.5934333751979899</c:v>
                </c:pt>
                <c:pt idx="225">
                  <c:v>1.5392798050147098</c:v>
                </c:pt>
                <c:pt idx="226">
                  <c:v>1.6205621156589733</c:v>
                </c:pt>
                <c:pt idx="227">
                  <c:v>1.5889544780323099</c:v>
                </c:pt>
                <c:pt idx="228">
                  <c:v>1.6073240488569034</c:v>
                </c:pt>
                <c:pt idx="229">
                  <c:v>1.5537612914465766</c:v>
                </c:pt>
                <c:pt idx="230">
                  <c:v>1.5583206958726066</c:v>
                </c:pt>
                <c:pt idx="231">
                  <c:v>1.6180665161413266</c:v>
                </c:pt>
                <c:pt idx="232">
                  <c:v>1.6146828372317401</c:v>
                </c:pt>
                <c:pt idx="233">
                  <c:v>1.6081094699071767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49312"/>
        <c:axId val="38750848"/>
      </c:lineChart>
      <c:lineChart>
        <c:grouping val="standard"/>
        <c:varyColors val="0"/>
        <c:ser>
          <c:idx val="2"/>
          <c:order val="1"/>
          <c:tx>
            <c:v>_FRBDummySeriesRight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#N/A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54176"/>
        <c:axId val="38752640"/>
      </c:lineChart>
      <c:dateAx>
        <c:axId val="38749312"/>
        <c:scaling>
          <c:orientation val="minMax"/>
        </c:scaling>
        <c:delete val="0"/>
        <c:axPos val="b"/>
        <c:numFmt formatCode="\ \ yyyy" sourceLinked="0"/>
        <c:majorTickMark val="in"/>
        <c:minorTickMark val="none"/>
        <c:tickLblPos val="low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750848"/>
        <c:crosses val="min"/>
        <c:auto val="1"/>
        <c:lblOffset val="100"/>
        <c:baseTimeUnit val="months"/>
        <c:majorUnit val="24"/>
        <c:majorTimeUnit val="months"/>
      </c:dateAx>
      <c:valAx>
        <c:axId val="38750848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one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749312"/>
        <c:crosses val="autoZero"/>
        <c:crossBetween val="between"/>
      </c:valAx>
      <c:valAx>
        <c:axId val="38752640"/>
        <c:scaling>
          <c:orientation val="minMax"/>
          <c:max val="3.5"/>
          <c:min val="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754176"/>
        <c:crosses val="max"/>
        <c:crossBetween val="between"/>
        <c:majorUnit val="0.5"/>
        <c:minorUnit val="0.1"/>
      </c:valAx>
      <c:catAx>
        <c:axId val="38754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752640"/>
        <c:crosses val="min"/>
        <c:auto val="1"/>
        <c:lblAlgn val="ctr"/>
        <c:lblOffset val="100"/>
        <c:noMultiLvlLbl val="0"/>
      </c:catAx>
      <c:spPr>
        <a:blipFill>
          <a:blip xmlns:r="http://schemas.openxmlformats.org/officeDocument/2006/relationships" r:embed="rId1"/>
          <a:stretch>
            <a:fillRect/>
          </a:stretch>
        </a:blipFill>
        <a:ln w="22225">
          <a:solidFill>
            <a:srgbClr val="000000"/>
          </a:solidFill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5003965256959821E-2"/>
          <c:y val="5.0097089993490107E-2"/>
          <c:w val="0.96999206948608041"/>
          <c:h val="0.94990291000650984"/>
        </c:manualLayout>
      </c:layout>
      <c:lineChart>
        <c:grouping val="standard"/>
        <c:varyColors val="0"/>
        <c:ser>
          <c:idx val="0"/>
          <c:order val="0"/>
          <c:tx>
            <c:v>Implied by Fallick and Fleischman estimates</c:v>
          </c:tx>
          <c:spPr>
            <a:ln w="28575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'3m MA'!$A$2:$A$235</c:f>
              <c:numCache>
                <c:formatCode>m/d/yyyy</c:formatCode>
                <c:ptCount val="234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</c:numCache>
            </c:numRef>
          </c:cat>
          <c:val>
            <c:numRef>
              <c:f>'3m MA'!$I$2:$I$235</c:f>
              <c:numCache>
                <c:formatCode>General</c:formatCode>
                <c:ptCount val="234"/>
                <c:pt idx="0">
                  <c:v>#N/A</c:v>
                </c:pt>
                <c:pt idx="1">
                  <c:v>#N/A</c:v>
                </c:pt>
                <c:pt idx="2">
                  <c:v>0.11161632502570183</c:v>
                </c:pt>
                <c:pt idx="3">
                  <c:v>0.10266735337050215</c:v>
                </c:pt>
                <c:pt idx="4">
                  <c:v>0.10587415816857389</c:v>
                </c:pt>
                <c:pt idx="5">
                  <c:v>0.1022112241183243</c:v>
                </c:pt>
                <c:pt idx="6">
                  <c:v>0.10185610654856365</c:v>
                </c:pt>
                <c:pt idx="7">
                  <c:v>0.10502983302218959</c:v>
                </c:pt>
                <c:pt idx="8">
                  <c:v>0.10544077890011294</c:v>
                </c:pt>
                <c:pt idx="9">
                  <c:v>0.10266627279279535</c:v>
                </c:pt>
                <c:pt idx="10">
                  <c:v>9.0415410644854977E-2</c:v>
                </c:pt>
                <c:pt idx="11">
                  <c:v>8.8993933969042247E-2</c:v>
                </c:pt>
                <c:pt idx="12">
                  <c:v>8.9167033264807974E-2</c:v>
                </c:pt>
                <c:pt idx="13">
                  <c:v>9.0228393800866738E-2</c:v>
                </c:pt>
                <c:pt idx="14">
                  <c:v>8.8477876744651893E-2</c:v>
                </c:pt>
                <c:pt idx="15">
                  <c:v>8.9541997216200944E-2</c:v>
                </c:pt>
                <c:pt idx="16">
                  <c:v>8.6662218840381208E-2</c:v>
                </c:pt>
                <c:pt idx="17">
                  <c:v>8.59111076166265E-2</c:v>
                </c:pt>
                <c:pt idx="18">
                  <c:v>8.2210453412482121E-2</c:v>
                </c:pt>
                <c:pt idx="19">
                  <c:v>8.4207637170319247E-2</c:v>
                </c:pt>
                <c:pt idx="20">
                  <c:v>8.5535684305858825E-2</c:v>
                </c:pt>
                <c:pt idx="21">
                  <c:v>9.3446156829744109E-2</c:v>
                </c:pt>
                <c:pt idx="22">
                  <c:v>9.4108500055462493E-2</c:v>
                </c:pt>
                <c:pt idx="23">
                  <c:v>9.4814330627732424E-2</c:v>
                </c:pt>
                <c:pt idx="24">
                  <c:v>8.7010933223818102E-2</c:v>
                </c:pt>
                <c:pt idx="25">
                  <c:v>8.8897141772508903E-2</c:v>
                </c:pt>
                <c:pt idx="26">
                  <c:v>8.9626937035015286E-2</c:v>
                </c:pt>
                <c:pt idx="27">
                  <c:v>9.1967603957125069E-2</c:v>
                </c:pt>
                <c:pt idx="28">
                  <c:v>9.0979625952362544E-2</c:v>
                </c:pt>
                <c:pt idx="29">
                  <c:v>9.0343507710762341E-2</c:v>
                </c:pt>
                <c:pt idx="30">
                  <c:v>8.9798746143836108E-2</c:v>
                </c:pt>
                <c:pt idx="31">
                  <c:v>8.8603725337905739E-2</c:v>
                </c:pt>
                <c:pt idx="32">
                  <c:v>8.4680187145357813E-2</c:v>
                </c:pt>
                <c:pt idx="33">
                  <c:v>8.561605824453257E-2</c:v>
                </c:pt>
                <c:pt idx="34">
                  <c:v>8.3824494147434356E-2</c:v>
                </c:pt>
                <c:pt idx="35">
                  <c:v>8.6072646891477742E-2</c:v>
                </c:pt>
                <c:pt idx="36">
                  <c:v>8.6189625817257462E-2</c:v>
                </c:pt>
                <c:pt idx="37">
                  <c:v>8.8665016642073269E-2</c:v>
                </c:pt>
                <c:pt idx="38">
                  <c:v>8.9008448433955056E-2</c:v>
                </c:pt>
                <c:pt idx="39">
                  <c:v>8.5274755711413908E-2</c:v>
                </c:pt>
                <c:pt idx="40">
                  <c:v>8.4886008217096243E-2</c:v>
                </c:pt>
                <c:pt idx="41">
                  <c:v>8.4022441149855173E-2</c:v>
                </c:pt>
                <c:pt idx="42">
                  <c:v>8.6865493969791818E-2</c:v>
                </c:pt>
                <c:pt idx="43">
                  <c:v>8.8012998472264778E-2</c:v>
                </c:pt>
                <c:pt idx="44">
                  <c:v>8.7991692274009103E-2</c:v>
                </c:pt>
                <c:pt idx="45">
                  <c:v>8.8365484008102679E-2</c:v>
                </c:pt>
                <c:pt idx="46">
                  <c:v>8.3955818613352454E-2</c:v>
                </c:pt>
                <c:pt idx="47">
                  <c:v>8.3905186675673135E-2</c:v>
                </c:pt>
                <c:pt idx="48">
                  <c:v>8.3098547047723223E-2</c:v>
                </c:pt>
                <c:pt idx="49">
                  <c:v>8.3715963526518875E-2</c:v>
                </c:pt>
                <c:pt idx="50">
                  <c:v>8.4000413986336245E-2</c:v>
                </c:pt>
                <c:pt idx="51">
                  <c:v>8.2653848104186994E-2</c:v>
                </c:pt>
                <c:pt idx="52">
                  <c:v>8.2025637938746121E-2</c:v>
                </c:pt>
                <c:pt idx="53">
                  <c:v>8.036629471919754E-2</c:v>
                </c:pt>
                <c:pt idx="54">
                  <c:v>8.188767975653774E-2</c:v>
                </c:pt>
                <c:pt idx="55">
                  <c:v>8.2781182110098092E-2</c:v>
                </c:pt>
                <c:pt idx="56">
                  <c:v>8.0445854945561404E-2</c:v>
                </c:pt>
                <c:pt idx="57">
                  <c:v>7.829317777227586E-2</c:v>
                </c:pt>
                <c:pt idx="58">
                  <c:v>7.8563243915525924E-2</c:v>
                </c:pt>
                <c:pt idx="59">
                  <c:v>7.9043882825994186E-2</c:v>
                </c:pt>
                <c:pt idx="60">
                  <c:v>7.9099015930714431E-2</c:v>
                </c:pt>
                <c:pt idx="61">
                  <c:v>7.60940455187748E-2</c:v>
                </c:pt>
                <c:pt idx="62">
                  <c:v>8.3930853566492034E-2</c:v>
                </c:pt>
                <c:pt idx="63">
                  <c:v>8.2729782587561349E-2</c:v>
                </c:pt>
                <c:pt idx="64">
                  <c:v>8.3346500869974235E-2</c:v>
                </c:pt>
                <c:pt idx="65">
                  <c:v>7.452507129999654E-2</c:v>
                </c:pt>
                <c:pt idx="66">
                  <c:v>7.6101299152912305E-2</c:v>
                </c:pt>
                <c:pt idx="67">
                  <c:v>7.8842724986547832E-2</c:v>
                </c:pt>
                <c:pt idx="68">
                  <c:v>8.3198823102894351E-2</c:v>
                </c:pt>
                <c:pt idx="69">
                  <c:v>8.2165989271311926E-2</c:v>
                </c:pt>
                <c:pt idx="70">
                  <c:v>8.4276793300240835E-2</c:v>
                </c:pt>
                <c:pt idx="71">
                  <c:v>7.8589415277355079E-2</c:v>
                </c:pt>
                <c:pt idx="72">
                  <c:v>7.977208563586953E-2</c:v>
                </c:pt>
                <c:pt idx="73">
                  <c:v>7.6543112612224282E-2</c:v>
                </c:pt>
                <c:pt idx="74">
                  <c:v>8.036767540083728E-2</c:v>
                </c:pt>
                <c:pt idx="75">
                  <c:v>8.2459517563122378E-2</c:v>
                </c:pt>
                <c:pt idx="76">
                  <c:v>8.2759130732603201E-2</c:v>
                </c:pt>
                <c:pt idx="77">
                  <c:v>8.1740015835206833E-2</c:v>
                </c:pt>
                <c:pt idx="78">
                  <c:v>7.8626042299794627E-2</c:v>
                </c:pt>
                <c:pt idx="79">
                  <c:v>7.8365751364379121E-2</c:v>
                </c:pt>
                <c:pt idx="80">
                  <c:v>7.8220326751626143E-2</c:v>
                </c:pt>
                <c:pt idx="81">
                  <c:v>7.9588445452143081E-2</c:v>
                </c:pt>
                <c:pt idx="82">
                  <c:v>7.945334391102489E-2</c:v>
                </c:pt>
                <c:pt idx="83">
                  <c:v>8.1672567059005996E-2</c:v>
                </c:pt>
                <c:pt idx="84">
                  <c:v>8.2140102983795107E-2</c:v>
                </c:pt>
                <c:pt idx="85">
                  <c:v>8.2197155719430759E-2</c:v>
                </c:pt>
                <c:pt idx="86">
                  <c:v>8.0916563853417708E-2</c:v>
                </c:pt>
                <c:pt idx="87">
                  <c:v>7.5513165199529761E-2</c:v>
                </c:pt>
                <c:pt idx="88">
                  <c:v>7.2824072803540377E-2</c:v>
                </c:pt>
                <c:pt idx="89">
                  <c:v>7.6127801201270842E-2</c:v>
                </c:pt>
                <c:pt idx="90">
                  <c:v>8.3194054873716561E-2</c:v>
                </c:pt>
                <c:pt idx="91">
                  <c:v>8.7069144330986184E-2</c:v>
                </c:pt>
                <c:pt idx="92">
                  <c:v>8.4756503612412548E-2</c:v>
                </c:pt>
                <c:pt idx="93">
                  <c:v>8.0526533716934023E-2</c:v>
                </c:pt>
                <c:pt idx="94">
                  <c:v>7.8583784795759684E-2</c:v>
                </c:pt>
                <c:pt idx="95">
                  <c:v>7.8826937754331111E-2</c:v>
                </c:pt>
                <c:pt idx="96">
                  <c:v>7.9552353825448383E-2</c:v>
                </c:pt>
                <c:pt idx="97">
                  <c:v>8.0311605453645019E-2</c:v>
                </c:pt>
                <c:pt idx="98">
                  <c:v>8.1858642042600502E-2</c:v>
                </c:pt>
                <c:pt idx="99">
                  <c:v>8.6247358384628936E-2</c:v>
                </c:pt>
                <c:pt idx="100">
                  <c:v>9.0643211982037994E-2</c:v>
                </c:pt>
                <c:pt idx="101">
                  <c:v>9.2432284625456981E-2</c:v>
                </c:pt>
                <c:pt idx="102">
                  <c:v>8.9978750010393752E-2</c:v>
                </c:pt>
                <c:pt idx="103">
                  <c:v>8.6050799041104464E-2</c:v>
                </c:pt>
                <c:pt idx="104">
                  <c:v>8.3815478276875535E-2</c:v>
                </c:pt>
                <c:pt idx="105">
                  <c:v>8.6438939157664832E-2</c:v>
                </c:pt>
                <c:pt idx="106">
                  <c:v>8.4986425589885492E-2</c:v>
                </c:pt>
                <c:pt idx="107">
                  <c:v>8.8351369870428201E-2</c:v>
                </c:pt>
                <c:pt idx="108">
                  <c:v>8.4759377221453228E-2</c:v>
                </c:pt>
                <c:pt idx="109">
                  <c:v>8.768776674903804E-2</c:v>
                </c:pt>
                <c:pt idx="110">
                  <c:v>8.1469389326322958E-2</c:v>
                </c:pt>
                <c:pt idx="111">
                  <c:v>8.660325765789996E-2</c:v>
                </c:pt>
                <c:pt idx="112">
                  <c:v>8.6577926844079292E-2</c:v>
                </c:pt>
                <c:pt idx="113">
                  <c:v>8.8605592022634752E-2</c:v>
                </c:pt>
                <c:pt idx="114">
                  <c:v>8.3779918835348785E-2</c:v>
                </c:pt>
                <c:pt idx="115">
                  <c:v>8.3728922122523655E-2</c:v>
                </c:pt>
                <c:pt idx="116">
                  <c:v>8.252612167732809E-2</c:v>
                </c:pt>
                <c:pt idx="117">
                  <c:v>8.268206225887105E-2</c:v>
                </c:pt>
                <c:pt idx="118">
                  <c:v>7.8104721673637953E-2</c:v>
                </c:pt>
                <c:pt idx="119">
                  <c:v>7.6894554969389156E-2</c:v>
                </c:pt>
                <c:pt idx="120">
                  <c:v>7.7307644349602855E-2</c:v>
                </c:pt>
                <c:pt idx="121">
                  <c:v>8.5157522863396548E-2</c:v>
                </c:pt>
                <c:pt idx="122">
                  <c:v>9.205615388900884E-2</c:v>
                </c:pt>
                <c:pt idx="123">
                  <c:v>9.1954702834524379E-2</c:v>
                </c:pt>
                <c:pt idx="124">
                  <c:v>8.5450644949818855E-2</c:v>
                </c:pt>
                <c:pt idx="125">
                  <c:v>7.9311842367285168E-2</c:v>
                </c:pt>
                <c:pt idx="126">
                  <c:v>8.1845943097434384E-2</c:v>
                </c:pt>
                <c:pt idx="127">
                  <c:v>8.2134199797531823E-2</c:v>
                </c:pt>
                <c:pt idx="128">
                  <c:v>8.2093342928536761E-2</c:v>
                </c:pt>
                <c:pt idx="129">
                  <c:v>7.7571569460233747E-2</c:v>
                </c:pt>
                <c:pt idx="130">
                  <c:v>8.0494829229569867E-2</c:v>
                </c:pt>
                <c:pt idx="131">
                  <c:v>8.3721765997324546E-2</c:v>
                </c:pt>
                <c:pt idx="132">
                  <c:v>8.6280578441354838E-2</c:v>
                </c:pt>
                <c:pt idx="133">
                  <c:v>8.5781606123895668E-2</c:v>
                </c:pt>
                <c:pt idx="134">
                  <c:v>8.5682453492258323E-2</c:v>
                </c:pt>
                <c:pt idx="135">
                  <c:v>8.4318749970260912E-2</c:v>
                </c:pt>
                <c:pt idx="136">
                  <c:v>8.1918285833365287E-2</c:v>
                </c:pt>
                <c:pt idx="137">
                  <c:v>7.8288279458477369E-2</c:v>
                </c:pt>
                <c:pt idx="138">
                  <c:v>7.6445080116113798E-2</c:v>
                </c:pt>
                <c:pt idx="139">
                  <c:v>7.8366699541361204E-2</c:v>
                </c:pt>
                <c:pt idx="140">
                  <c:v>7.8888032981861811E-2</c:v>
                </c:pt>
                <c:pt idx="141">
                  <c:v>8.016642076950424E-2</c:v>
                </c:pt>
                <c:pt idx="142">
                  <c:v>7.9193587140718461E-2</c:v>
                </c:pt>
                <c:pt idx="143">
                  <c:v>7.6637239036032437E-2</c:v>
                </c:pt>
                <c:pt idx="144">
                  <c:v>7.7974640422721578E-2</c:v>
                </c:pt>
                <c:pt idx="145">
                  <c:v>7.8325091515073678E-2</c:v>
                </c:pt>
                <c:pt idx="146">
                  <c:v>8.1841126660898419E-2</c:v>
                </c:pt>
                <c:pt idx="147">
                  <c:v>7.9889584354404256E-2</c:v>
                </c:pt>
                <c:pt idx="148">
                  <c:v>7.6742825771335746E-2</c:v>
                </c:pt>
                <c:pt idx="149">
                  <c:v>7.5128744333868513E-2</c:v>
                </c:pt>
                <c:pt idx="150">
                  <c:v>7.7063761336699912E-2</c:v>
                </c:pt>
                <c:pt idx="151">
                  <c:v>7.7645187316257122E-2</c:v>
                </c:pt>
                <c:pt idx="152">
                  <c:v>7.7849855018574263E-2</c:v>
                </c:pt>
                <c:pt idx="153">
                  <c:v>7.5176214514490247E-2</c:v>
                </c:pt>
                <c:pt idx="154">
                  <c:v>7.5249098211513737E-2</c:v>
                </c:pt>
                <c:pt idx="155">
                  <c:v>7.4221063515885852E-2</c:v>
                </c:pt>
                <c:pt idx="156">
                  <c:v>6.9832986683251122E-2</c:v>
                </c:pt>
                <c:pt idx="157">
                  <c:v>6.6480628621989932E-2</c:v>
                </c:pt>
                <c:pt idx="158">
                  <c:v>6.6874861653515749E-2</c:v>
                </c:pt>
                <c:pt idx="159">
                  <c:v>6.7179334308978697E-2</c:v>
                </c:pt>
                <c:pt idx="160">
                  <c:v>7.0909760279598111E-2</c:v>
                </c:pt>
                <c:pt idx="161">
                  <c:v>7.0275436203105016E-2</c:v>
                </c:pt>
                <c:pt idx="162">
                  <c:v>7.095867695647512E-2</c:v>
                </c:pt>
                <c:pt idx="163">
                  <c:v>7.0228708415515373E-2</c:v>
                </c:pt>
                <c:pt idx="164">
                  <c:v>6.8746902753842654E-2</c:v>
                </c:pt>
                <c:pt idx="165">
                  <c:v>6.9913109698080955E-2</c:v>
                </c:pt>
                <c:pt idx="166">
                  <c:v>6.8313686931485193E-2</c:v>
                </c:pt>
                <c:pt idx="167">
                  <c:v>6.7446529119659995E-2</c:v>
                </c:pt>
                <c:pt idx="168">
                  <c:v>6.6177793589624598E-2</c:v>
                </c:pt>
                <c:pt idx="169">
                  <c:v>6.6009447431840659E-2</c:v>
                </c:pt>
                <c:pt idx="170">
                  <c:v>6.7047500019416853E-2</c:v>
                </c:pt>
                <c:pt idx="171">
                  <c:v>6.8743772430113495E-2</c:v>
                </c:pt>
                <c:pt idx="172">
                  <c:v>6.9406471230013853E-2</c:v>
                </c:pt>
                <c:pt idx="173">
                  <c:v>6.9425247675916499E-2</c:v>
                </c:pt>
                <c:pt idx="174">
                  <c:v>7.2207573284060231E-2</c:v>
                </c:pt>
                <c:pt idx="175">
                  <c:v>7.2628436061897769E-2</c:v>
                </c:pt>
                <c:pt idx="176">
                  <c:v>7.359729759236594E-2</c:v>
                </c:pt>
                <c:pt idx="177">
                  <c:v>7.2529937555558754E-2</c:v>
                </c:pt>
                <c:pt idx="178">
                  <c:v>7.5370488279445189E-2</c:v>
                </c:pt>
                <c:pt idx="179">
                  <c:v>7.5075073603667206E-2</c:v>
                </c:pt>
                <c:pt idx="180">
                  <c:v>7.886646968621909E-2</c:v>
                </c:pt>
                <c:pt idx="181">
                  <c:v>7.8541970881127757E-2</c:v>
                </c:pt>
                <c:pt idx="182">
                  <c:v>7.9153976882163302E-2</c:v>
                </c:pt>
                <c:pt idx="183">
                  <c:v>8.3557088112610992E-2</c:v>
                </c:pt>
                <c:pt idx="184">
                  <c:v>8.4012171503416611E-2</c:v>
                </c:pt>
                <c:pt idx="185">
                  <c:v>8.450140518339104E-2</c:v>
                </c:pt>
                <c:pt idx="186">
                  <c:v>7.8355718943753802E-2</c:v>
                </c:pt>
                <c:pt idx="187">
                  <c:v>7.7493484044852012E-2</c:v>
                </c:pt>
                <c:pt idx="188">
                  <c:v>8.0255050128438823E-2</c:v>
                </c:pt>
                <c:pt idx="189">
                  <c:v>7.8787320995042001E-2</c:v>
                </c:pt>
                <c:pt idx="190">
                  <c:v>8.2508666481724627E-2</c:v>
                </c:pt>
                <c:pt idx="191">
                  <c:v>8.397243774854278E-2</c:v>
                </c:pt>
                <c:pt idx="192">
                  <c:v>8.5830006419172947E-2</c:v>
                </c:pt>
                <c:pt idx="193">
                  <c:v>8.3496539060103417E-2</c:v>
                </c:pt>
                <c:pt idx="194">
                  <c:v>8.0669326635549418E-2</c:v>
                </c:pt>
                <c:pt idx="195">
                  <c:v>8.1140473649357003E-2</c:v>
                </c:pt>
                <c:pt idx="196">
                  <c:v>7.9524266436417981E-2</c:v>
                </c:pt>
                <c:pt idx="197">
                  <c:v>8.2031874516595452E-2</c:v>
                </c:pt>
                <c:pt idx="198">
                  <c:v>8.2464835184476032E-2</c:v>
                </c:pt>
                <c:pt idx="199">
                  <c:v>8.6090124692467032E-2</c:v>
                </c:pt>
                <c:pt idx="200">
                  <c:v>8.4659581273376847E-2</c:v>
                </c:pt>
                <c:pt idx="201">
                  <c:v>8.4566226723844784E-2</c:v>
                </c:pt>
                <c:pt idx="202">
                  <c:v>8.0469471649932858E-2</c:v>
                </c:pt>
                <c:pt idx="203">
                  <c:v>8.1769945159003876E-2</c:v>
                </c:pt>
                <c:pt idx="204">
                  <c:v>7.8977466044873268E-2</c:v>
                </c:pt>
                <c:pt idx="205">
                  <c:v>8.2835777655622486E-2</c:v>
                </c:pt>
                <c:pt idx="206">
                  <c:v>8.2144563336183848E-2</c:v>
                </c:pt>
                <c:pt idx="207">
                  <c:v>8.6464591986299411E-2</c:v>
                </c:pt>
                <c:pt idx="208">
                  <c:v>8.269739156560546E-2</c:v>
                </c:pt>
                <c:pt idx="209">
                  <c:v>8.2364716542738067E-2</c:v>
                </c:pt>
                <c:pt idx="210">
                  <c:v>8.0122002532858325E-2</c:v>
                </c:pt>
                <c:pt idx="211">
                  <c:v>8.5633967444501954E-2</c:v>
                </c:pt>
                <c:pt idx="212">
                  <c:v>8.4384596854943775E-2</c:v>
                </c:pt>
                <c:pt idx="213">
                  <c:v>8.4805703989680722E-2</c:v>
                </c:pt>
                <c:pt idx="214">
                  <c:v>7.8536846849479355E-2</c:v>
                </c:pt>
                <c:pt idx="215">
                  <c:v>8.0017338361055443E-2</c:v>
                </c:pt>
                <c:pt idx="216">
                  <c:v>7.8164956498786589E-2</c:v>
                </c:pt>
                <c:pt idx="217">
                  <c:v>7.9558854277684762E-2</c:v>
                </c:pt>
                <c:pt idx="218">
                  <c:v>7.9087803504935578E-2</c:v>
                </c:pt>
                <c:pt idx="219">
                  <c:v>7.7116271133847378E-2</c:v>
                </c:pt>
                <c:pt idx="220">
                  <c:v>7.8481985010413549E-2</c:v>
                </c:pt>
                <c:pt idx="221">
                  <c:v>7.9318592438721566E-2</c:v>
                </c:pt>
                <c:pt idx="222">
                  <c:v>8.3421013465204252E-2</c:v>
                </c:pt>
                <c:pt idx="223">
                  <c:v>8.1088477326972955E-2</c:v>
                </c:pt>
                <c:pt idx="224">
                  <c:v>7.9149975311947826E-2</c:v>
                </c:pt>
                <c:pt idx="225">
                  <c:v>7.8464399503435284E-2</c:v>
                </c:pt>
                <c:pt idx="226">
                  <c:v>8.4426475117794289E-2</c:v>
                </c:pt>
                <c:pt idx="227">
                  <c:v>8.2157767485559363E-2</c:v>
                </c:pt>
                <c:pt idx="228">
                  <c:v>8.0119177771744557E-2</c:v>
                </c:pt>
                <c:pt idx="229">
                  <c:v>7.746506549872853E-2</c:v>
                </c:pt>
                <c:pt idx="230">
                  <c:v>7.9794195790547487E-2</c:v>
                </c:pt>
                <c:pt idx="231">
                  <c:v>7.8992576491926647E-2</c:v>
                </c:pt>
                <c:pt idx="232">
                  <c:v>7.6042928066989826E-2</c:v>
                </c:pt>
                <c:pt idx="233">
                  <c:v>7.4142995531675485E-2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17504"/>
        <c:axId val="39319040"/>
      </c:lineChart>
      <c:lineChart>
        <c:grouping val="standard"/>
        <c:varyColors val="0"/>
        <c:ser>
          <c:idx val="2"/>
          <c:order val="1"/>
          <c:tx>
            <c:v>_FRBDummySeriesRight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#N/A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22368"/>
        <c:axId val="39320576"/>
      </c:lineChart>
      <c:dateAx>
        <c:axId val="39317504"/>
        <c:scaling>
          <c:orientation val="minMax"/>
        </c:scaling>
        <c:delete val="0"/>
        <c:axPos val="b"/>
        <c:numFmt formatCode="\ \ yyyy" sourceLinked="0"/>
        <c:majorTickMark val="in"/>
        <c:minorTickMark val="none"/>
        <c:tickLblPos val="low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19040"/>
        <c:crosses val="min"/>
        <c:auto val="1"/>
        <c:lblOffset val="100"/>
        <c:baseTimeUnit val="months"/>
        <c:majorUnit val="24"/>
        <c:majorTimeUnit val="months"/>
      </c:dateAx>
      <c:valAx>
        <c:axId val="39319040"/>
        <c:scaling>
          <c:orientation val="minMax"/>
          <c:max val="0.12000000000000001"/>
          <c:min val="4.0000000000000008E-2"/>
        </c:scaling>
        <c:delete val="0"/>
        <c:axPos val="l"/>
        <c:numFmt formatCode="General" sourceLinked="1"/>
        <c:majorTickMark val="in"/>
        <c:minorTickMark val="none"/>
        <c:tickLblPos val="none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17504"/>
        <c:crosses val="autoZero"/>
        <c:crossBetween val="between"/>
        <c:majorUnit val="2.0000000000000004E-2"/>
      </c:valAx>
      <c:valAx>
        <c:axId val="39320576"/>
        <c:scaling>
          <c:orientation val="minMax"/>
          <c:max val="0.12000000000000001"/>
          <c:min val="4.0000000000000008E-2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22368"/>
        <c:crosses val="max"/>
        <c:crossBetween val="between"/>
        <c:majorUnit val="2.0000000000000004E-2"/>
        <c:minorUnit val="4.000000000000001E-3"/>
      </c:valAx>
      <c:catAx>
        <c:axId val="39322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320576"/>
        <c:crosses val="min"/>
        <c:auto val="1"/>
        <c:lblAlgn val="ctr"/>
        <c:lblOffset val="100"/>
        <c:noMultiLvlLbl val="0"/>
      </c:catAx>
      <c:spPr>
        <a:blipFill>
          <a:blip xmlns:r="http://schemas.openxmlformats.org/officeDocument/2006/relationships" r:embed="rId1"/>
          <a:stretch>
            <a:fillRect/>
          </a:stretch>
        </a:blipFill>
        <a:ln w="22225">
          <a:solidFill>
            <a:srgbClr val="000000"/>
          </a:solidFill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5003965256959821E-2"/>
          <c:y val="4.9752544587335967E-2"/>
          <c:w val="0.96999206948608041"/>
          <c:h val="0.91684009044844594"/>
        </c:manualLayout>
      </c:layout>
      <c:lineChart>
        <c:grouping val="standard"/>
        <c:varyColors val="0"/>
        <c:ser>
          <c:idx val="2"/>
          <c:order val="2"/>
          <c:tx>
            <c:v>_FRBDummySeriesRight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#N/A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74944"/>
        <c:axId val="40273408"/>
      </c:lineChart>
      <c:scatterChart>
        <c:scatterStyle val="lineMarker"/>
        <c:varyColors val="0"/>
        <c:ser>
          <c:idx val="0"/>
          <c:order val="0"/>
          <c:tx>
            <c:v>Actual Beveridge curve</c:v>
          </c:tx>
          <c:spPr>
            <a:ln w="28575">
              <a:noFill/>
            </a:ln>
          </c:spPr>
          <c:marker>
            <c:symbol val="circle"/>
            <c:size val="7"/>
            <c:spPr>
              <a:noFill/>
              <a:ln w="12700">
                <a:solidFill>
                  <a:schemeClr val="tx1"/>
                </a:solidFill>
                <a:prstDash val="solid"/>
              </a:ln>
            </c:spPr>
          </c:marker>
          <c:xVal>
            <c:numRef>
              <c:f>'Beveridge curve'!$AD$2:$AD$51</c:f>
              <c:numCache>
                <c:formatCode>General</c:formatCode>
                <c:ptCount val="50"/>
                <c:pt idx="0">
                  <c:v>4.2333333333333334E-2</c:v>
                </c:pt>
                <c:pt idx="1">
                  <c:v>4.4000000000000004E-2</c:v>
                </c:pt>
                <c:pt idx="2">
                  <c:v>4.8333333333333339E-2</c:v>
                </c:pt>
                <c:pt idx="3">
                  <c:v>5.5E-2</c:v>
                </c:pt>
                <c:pt idx="4">
                  <c:v>5.7000000000000002E-2</c:v>
                </c:pt>
                <c:pt idx="5">
                  <c:v>5.8333333333333327E-2</c:v>
                </c:pt>
                <c:pt idx="6">
                  <c:v>5.7333333333333326E-2</c:v>
                </c:pt>
                <c:pt idx="7">
                  <c:v>5.8666666666666666E-2</c:v>
                </c:pt>
                <c:pt idx="8">
                  <c:v>5.8666666666666666E-2</c:v>
                </c:pt>
                <c:pt idx="9">
                  <c:v>6.133333333333333E-2</c:v>
                </c:pt>
                <c:pt idx="10">
                  <c:v>6.133333333333333E-2</c:v>
                </c:pt>
                <c:pt idx="11">
                  <c:v>5.8333333333333327E-2</c:v>
                </c:pt>
                <c:pt idx="12">
                  <c:v>5.6999999999999995E-2</c:v>
                </c:pt>
                <c:pt idx="13">
                  <c:v>5.5999999999999994E-2</c:v>
                </c:pt>
                <c:pt idx="14">
                  <c:v>5.4333333333333345E-2</c:v>
                </c:pt>
                <c:pt idx="15">
                  <c:v>5.4333333333333345E-2</c:v>
                </c:pt>
                <c:pt idx="16">
                  <c:v>5.3000000000000012E-2</c:v>
                </c:pt>
                <c:pt idx="17">
                  <c:v>5.1000000000000011E-2</c:v>
                </c:pt>
                <c:pt idx="18">
                  <c:v>4.9666666666666671E-2</c:v>
                </c:pt>
                <c:pt idx="19">
                  <c:v>4.9666666666666671E-2</c:v>
                </c:pt>
                <c:pt idx="20">
                  <c:v>4.7333333333333338E-2</c:v>
                </c:pt>
                <c:pt idx="21">
                  <c:v>4.6333333333333337E-2</c:v>
                </c:pt>
                <c:pt idx="22">
                  <c:v>4.6333333333333337E-2</c:v>
                </c:pt>
                <c:pt idx="23">
                  <c:v>4.4333333333333336E-2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4.6666666666666669E-2</c:v>
                </c:pt>
                <c:pt idx="27">
                  <c:v>4.8000000000000008E-2</c:v>
                </c:pt>
                <c:pt idx="28">
                  <c:v>4.9999999999999996E-2</c:v>
                </c:pt>
                <c:pt idx="29">
                  <c:v>5.3333333333333337E-2</c:v>
                </c:pt>
                <c:pt idx="30">
                  <c:v>0.06</c:v>
                </c:pt>
                <c:pt idx="31">
                  <c:v>6.8666666666666668E-2</c:v>
                </c:pt>
                <c:pt idx="32">
                  <c:v>8.2666666666666666E-2</c:v>
                </c:pt>
                <c:pt idx="33">
                  <c:v>9.3000000000000013E-2</c:v>
                </c:pt>
                <c:pt idx="34">
                  <c:v>9.633333333333334E-2</c:v>
                </c:pt>
                <c:pt idx="35">
                  <c:v>9.9333333333333343E-2</c:v>
                </c:pt>
                <c:pt idx="36">
                  <c:v>9.8333333333333342E-2</c:v>
                </c:pt>
                <c:pt idx="37">
                  <c:v>9.633333333333334E-2</c:v>
                </c:pt>
                <c:pt idx="38">
                  <c:v>9.5000000000000015E-2</c:v>
                </c:pt>
                <c:pt idx="39">
                  <c:v>9.5333333333333339E-2</c:v>
                </c:pt>
                <c:pt idx="40">
                  <c:v>9.0000000000000011E-2</c:v>
                </c:pt>
                <c:pt idx="41">
                  <c:v>9.0333333333333335E-2</c:v>
                </c:pt>
                <c:pt idx="42">
                  <c:v>9.0000000000000011E-2</c:v>
                </c:pt>
                <c:pt idx="43">
                  <c:v>8.666666666666667E-2</c:v>
                </c:pt>
                <c:pt idx="44">
                  <c:v>8.2666666666666666E-2</c:v>
                </c:pt>
                <c:pt idx="45">
                  <c:v>8.1666666666666651E-2</c:v>
                </c:pt>
                <c:pt idx="46">
                  <c:v>8.0333333333333326E-2</c:v>
                </c:pt>
                <c:pt idx="47">
                  <c:v>7.8333333333333324E-2</c:v>
                </c:pt>
                <c:pt idx="48">
                  <c:v>7.7333333333333323E-2</c:v>
                </c:pt>
                <c:pt idx="49">
                  <c:v>7.566666666666666E-2</c:v>
                </c:pt>
              </c:numCache>
            </c:numRef>
          </c:xVal>
          <c:yVal>
            <c:numRef>
              <c:f>'Beveridge curve'!$AE$2:$AE$51</c:f>
              <c:numCache>
                <c:formatCode>General</c:formatCode>
                <c:ptCount val="50"/>
                <c:pt idx="0">
                  <c:v>3.39849935927155E-2</c:v>
                </c:pt>
                <c:pt idx="1">
                  <c:v>3.1242145303938998E-2</c:v>
                </c:pt>
                <c:pt idx="2">
                  <c:v>2.872032301730593E-2</c:v>
                </c:pt>
                <c:pt idx="3">
                  <c:v>2.468623228590509E-2</c:v>
                </c:pt>
                <c:pt idx="4">
                  <c:v>2.4254258755499372E-2</c:v>
                </c:pt>
                <c:pt idx="5">
                  <c:v>2.3260251026514328E-2</c:v>
                </c:pt>
                <c:pt idx="6">
                  <c:v>2.3218254100084258E-2</c:v>
                </c:pt>
                <c:pt idx="7">
                  <c:v>2.3261894236239321E-2</c:v>
                </c:pt>
                <c:pt idx="8">
                  <c:v>2.2947007595833541E-2</c:v>
                </c:pt>
                <c:pt idx="9">
                  <c:v>2.1386730016022527E-2</c:v>
                </c:pt>
                <c:pt idx="10">
                  <c:v>2.1251168279784145E-2</c:v>
                </c:pt>
                <c:pt idx="11">
                  <c:v>2.1979795770096806E-2</c:v>
                </c:pt>
                <c:pt idx="12">
                  <c:v>2.2999187272950142E-2</c:v>
                </c:pt>
                <c:pt idx="13">
                  <c:v>2.3941772345219714E-2</c:v>
                </c:pt>
                <c:pt idx="14">
                  <c:v>2.5264732491166331E-2</c:v>
                </c:pt>
                <c:pt idx="15">
                  <c:v>2.4835937650916764E-2</c:v>
                </c:pt>
                <c:pt idx="16">
                  <c:v>2.5429620226678811E-2</c:v>
                </c:pt>
                <c:pt idx="17">
                  <c:v>2.6816007538766801E-2</c:v>
                </c:pt>
                <c:pt idx="18">
                  <c:v>2.7900349638332825E-2</c:v>
                </c:pt>
                <c:pt idx="19">
                  <c:v>2.8740432364627772E-2</c:v>
                </c:pt>
                <c:pt idx="20">
                  <c:v>2.8892336986104179E-2</c:v>
                </c:pt>
                <c:pt idx="21">
                  <c:v>2.9247939162282622E-2</c:v>
                </c:pt>
                <c:pt idx="22">
                  <c:v>2.8886763522722892E-2</c:v>
                </c:pt>
                <c:pt idx="23">
                  <c:v>3.0013827852673494E-2</c:v>
                </c:pt>
                <c:pt idx="24">
                  <c:v>3.0036170953921609E-2</c:v>
                </c:pt>
                <c:pt idx="25">
                  <c:v>2.9830276332213811E-2</c:v>
                </c:pt>
                <c:pt idx="26">
                  <c:v>2.9247462156771622E-2</c:v>
                </c:pt>
                <c:pt idx="27">
                  <c:v>2.8044985088220026E-2</c:v>
                </c:pt>
                <c:pt idx="28">
                  <c:v>2.6542765360996628E-2</c:v>
                </c:pt>
                <c:pt idx="29">
                  <c:v>2.5152502470987177E-2</c:v>
                </c:pt>
                <c:pt idx="30">
                  <c:v>2.2990234362615741E-2</c:v>
                </c:pt>
                <c:pt idx="31">
                  <c:v>2.057374510068084E-2</c:v>
                </c:pt>
                <c:pt idx="32">
                  <c:v>1.7735507352301009E-2</c:v>
                </c:pt>
                <c:pt idx="33">
                  <c:v>1.5269273539124885E-2</c:v>
                </c:pt>
                <c:pt idx="34">
                  <c:v>1.4998745275181344E-2</c:v>
                </c:pt>
                <c:pt idx="35">
                  <c:v>1.5733573816237054E-2</c:v>
                </c:pt>
                <c:pt idx="36">
                  <c:v>1.7223908498662271E-2</c:v>
                </c:pt>
                <c:pt idx="37">
                  <c:v>1.8676902780874641E-2</c:v>
                </c:pt>
                <c:pt idx="38">
                  <c:v>1.8648649482660238E-2</c:v>
                </c:pt>
                <c:pt idx="39">
                  <c:v>1.9532939262570138E-2</c:v>
                </c:pt>
                <c:pt idx="40">
                  <c:v>1.9546606514275169E-2</c:v>
                </c:pt>
                <c:pt idx="41">
                  <c:v>1.9857014547712663E-2</c:v>
                </c:pt>
                <c:pt idx="42">
                  <c:v>2.1519152970715882E-2</c:v>
                </c:pt>
                <c:pt idx="43">
                  <c:v>2.1231713711150294E-2</c:v>
                </c:pt>
                <c:pt idx="44">
                  <c:v>2.3257034789566325E-2</c:v>
                </c:pt>
                <c:pt idx="45">
                  <c:v>2.3866515221866429E-2</c:v>
                </c:pt>
                <c:pt idx="46">
                  <c:v>2.3099144265973839E-2</c:v>
                </c:pt>
                <c:pt idx="47">
                  <c:v>2.3685699670556757E-2</c:v>
                </c:pt>
                <c:pt idx="48">
                  <c:v>2.442148672600299E-2</c:v>
                </c:pt>
                <c:pt idx="49">
                  <c:v>2.4801994357238399E-2</c:v>
                </c:pt>
              </c:numCache>
            </c:numRef>
          </c:yVal>
          <c:smooth val="0"/>
        </c:ser>
        <c:ser>
          <c:idx val="1"/>
          <c:order val="1"/>
          <c:tx>
            <c:v>Implied by constant search intensity of employed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'Beveridge curve'!$AD$2:$AD$51</c:f>
              <c:numCache>
                <c:formatCode>General</c:formatCode>
                <c:ptCount val="50"/>
                <c:pt idx="0">
                  <c:v>4.2333333333333334E-2</c:v>
                </c:pt>
                <c:pt idx="1">
                  <c:v>4.4000000000000004E-2</c:v>
                </c:pt>
                <c:pt idx="2">
                  <c:v>4.8333333333333339E-2</c:v>
                </c:pt>
                <c:pt idx="3">
                  <c:v>5.5E-2</c:v>
                </c:pt>
                <c:pt idx="4">
                  <c:v>5.7000000000000002E-2</c:v>
                </c:pt>
                <c:pt idx="5">
                  <c:v>5.8333333333333327E-2</c:v>
                </c:pt>
                <c:pt idx="6">
                  <c:v>5.7333333333333326E-2</c:v>
                </c:pt>
                <c:pt idx="7">
                  <c:v>5.8666666666666666E-2</c:v>
                </c:pt>
                <c:pt idx="8">
                  <c:v>5.8666666666666666E-2</c:v>
                </c:pt>
                <c:pt idx="9">
                  <c:v>6.133333333333333E-2</c:v>
                </c:pt>
                <c:pt idx="10">
                  <c:v>6.133333333333333E-2</c:v>
                </c:pt>
                <c:pt idx="11">
                  <c:v>5.8333333333333327E-2</c:v>
                </c:pt>
                <c:pt idx="12">
                  <c:v>5.6999999999999995E-2</c:v>
                </c:pt>
                <c:pt idx="13">
                  <c:v>5.5999999999999994E-2</c:v>
                </c:pt>
                <c:pt idx="14">
                  <c:v>5.4333333333333345E-2</c:v>
                </c:pt>
                <c:pt idx="15">
                  <c:v>5.4333333333333345E-2</c:v>
                </c:pt>
                <c:pt idx="16">
                  <c:v>5.3000000000000012E-2</c:v>
                </c:pt>
                <c:pt idx="17">
                  <c:v>5.1000000000000011E-2</c:v>
                </c:pt>
                <c:pt idx="18">
                  <c:v>4.9666666666666671E-2</c:v>
                </c:pt>
                <c:pt idx="19">
                  <c:v>4.9666666666666671E-2</c:v>
                </c:pt>
                <c:pt idx="20">
                  <c:v>4.7333333333333338E-2</c:v>
                </c:pt>
                <c:pt idx="21">
                  <c:v>4.6333333333333337E-2</c:v>
                </c:pt>
                <c:pt idx="22">
                  <c:v>4.6333333333333337E-2</c:v>
                </c:pt>
                <c:pt idx="23">
                  <c:v>4.4333333333333336E-2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4.6666666666666669E-2</c:v>
                </c:pt>
                <c:pt idx="27">
                  <c:v>4.8000000000000008E-2</c:v>
                </c:pt>
                <c:pt idx="28">
                  <c:v>4.9999999999999996E-2</c:v>
                </c:pt>
                <c:pt idx="29">
                  <c:v>5.3333333333333337E-2</c:v>
                </c:pt>
                <c:pt idx="30">
                  <c:v>0.06</c:v>
                </c:pt>
                <c:pt idx="31">
                  <c:v>6.8666666666666668E-2</c:v>
                </c:pt>
                <c:pt idx="32">
                  <c:v>8.2666666666666666E-2</c:v>
                </c:pt>
                <c:pt idx="33">
                  <c:v>9.3000000000000013E-2</c:v>
                </c:pt>
                <c:pt idx="34">
                  <c:v>9.633333333333334E-2</c:v>
                </c:pt>
                <c:pt idx="35">
                  <c:v>9.9333333333333343E-2</c:v>
                </c:pt>
                <c:pt idx="36">
                  <c:v>9.8333333333333342E-2</c:v>
                </c:pt>
                <c:pt idx="37">
                  <c:v>9.633333333333334E-2</c:v>
                </c:pt>
                <c:pt idx="38">
                  <c:v>9.5000000000000015E-2</c:v>
                </c:pt>
                <c:pt idx="39">
                  <c:v>9.5333333333333339E-2</c:v>
                </c:pt>
                <c:pt idx="40">
                  <c:v>9.0000000000000011E-2</c:v>
                </c:pt>
                <c:pt idx="41">
                  <c:v>9.0333333333333335E-2</c:v>
                </c:pt>
                <c:pt idx="42">
                  <c:v>9.0000000000000011E-2</c:v>
                </c:pt>
                <c:pt idx="43">
                  <c:v>8.666666666666667E-2</c:v>
                </c:pt>
                <c:pt idx="44">
                  <c:v>8.2666666666666666E-2</c:v>
                </c:pt>
                <c:pt idx="45">
                  <c:v>8.1666666666666651E-2</c:v>
                </c:pt>
                <c:pt idx="46">
                  <c:v>8.0333333333333326E-2</c:v>
                </c:pt>
                <c:pt idx="47">
                  <c:v>7.8333333333333324E-2</c:v>
                </c:pt>
                <c:pt idx="48">
                  <c:v>7.7333333333333323E-2</c:v>
                </c:pt>
                <c:pt idx="49">
                  <c:v>7.566666666666666E-2</c:v>
                </c:pt>
              </c:numCache>
            </c:numRef>
          </c:xVal>
          <c:yVal>
            <c:numRef>
              <c:f>'Beveridge curve'!$AG$2:$AG$51</c:f>
              <c:numCache>
                <c:formatCode>General</c:formatCode>
                <c:ptCount val="50"/>
                <c:pt idx="0">
                  <c:v>3.4662130209040139E-2</c:v>
                </c:pt>
                <c:pt idx="1">
                  <c:v>3.3248555156064237E-2</c:v>
                </c:pt>
                <c:pt idx="2">
                  <c:v>2.8145409377752232E-2</c:v>
                </c:pt>
                <c:pt idx="3">
                  <c:v>2.5289257520926849E-2</c:v>
                </c:pt>
                <c:pt idx="4">
                  <c:v>2.4272227034923915E-2</c:v>
                </c:pt>
                <c:pt idx="5">
                  <c:v>2.1601683989749196E-2</c:v>
                </c:pt>
                <c:pt idx="6">
                  <c:v>2.2844280022178125E-2</c:v>
                </c:pt>
                <c:pt idx="7">
                  <c:v>2.217936416906989E-2</c:v>
                </c:pt>
                <c:pt idx="8">
                  <c:v>2.2610832078344481E-2</c:v>
                </c:pt>
                <c:pt idx="9">
                  <c:v>1.9946165453742584E-2</c:v>
                </c:pt>
                <c:pt idx="10">
                  <c:v>2.0603743957455237E-2</c:v>
                </c:pt>
                <c:pt idx="11">
                  <c:v>2.2181455547582284E-2</c:v>
                </c:pt>
                <c:pt idx="12">
                  <c:v>2.0764173957691274E-2</c:v>
                </c:pt>
                <c:pt idx="13">
                  <c:v>2.3530744686772812E-2</c:v>
                </c:pt>
                <c:pt idx="14">
                  <c:v>2.4226657054447362E-2</c:v>
                </c:pt>
                <c:pt idx="15">
                  <c:v>2.3497524954807985E-2</c:v>
                </c:pt>
                <c:pt idx="16">
                  <c:v>2.3651917902100462E-2</c:v>
                </c:pt>
                <c:pt idx="17">
                  <c:v>2.6324343218956867E-2</c:v>
                </c:pt>
                <c:pt idx="18">
                  <c:v>2.7243442998321796E-2</c:v>
                </c:pt>
                <c:pt idx="19">
                  <c:v>2.8537610435057259E-2</c:v>
                </c:pt>
                <c:pt idx="20">
                  <c:v>2.7390195280696545E-2</c:v>
                </c:pt>
                <c:pt idx="21">
                  <c:v>2.9239844448260267E-2</c:v>
                </c:pt>
                <c:pt idx="22">
                  <c:v>2.8197602858037619E-2</c:v>
                </c:pt>
                <c:pt idx="23">
                  <c:v>3.0080175605305876E-2</c:v>
                </c:pt>
                <c:pt idx="24">
                  <c:v>3.1917529672138616E-2</c:v>
                </c:pt>
                <c:pt idx="25">
                  <c:v>3.0428674789161548E-2</c:v>
                </c:pt>
                <c:pt idx="26">
                  <c:v>3.0020028576040733E-2</c:v>
                </c:pt>
                <c:pt idx="27">
                  <c:v>2.9077895772205858E-2</c:v>
                </c:pt>
                <c:pt idx="28">
                  <c:v>2.7626084040336008E-2</c:v>
                </c:pt>
                <c:pt idx="29">
                  <c:v>2.5636482524720075E-2</c:v>
                </c:pt>
                <c:pt idx="30">
                  <c:v>2.2615590568897784E-2</c:v>
                </c:pt>
                <c:pt idx="31">
                  <c:v>1.9996370532907468E-2</c:v>
                </c:pt>
                <c:pt idx="32">
                  <c:v>1.6671818764959805E-2</c:v>
                </c:pt>
                <c:pt idx="33">
                  <c:v>1.3743418769788886E-2</c:v>
                </c:pt>
                <c:pt idx="34">
                  <c:v>1.3721319468310275E-2</c:v>
                </c:pt>
                <c:pt idx="35">
                  <c:v>1.4064928676103983E-2</c:v>
                </c:pt>
                <c:pt idx="36">
                  <c:v>1.5647354704681277E-2</c:v>
                </c:pt>
                <c:pt idx="37">
                  <c:v>1.6828152963216256E-2</c:v>
                </c:pt>
                <c:pt idx="38">
                  <c:v>1.6491666896206514E-2</c:v>
                </c:pt>
                <c:pt idx="39">
                  <c:v>1.7519491700797418E-2</c:v>
                </c:pt>
                <c:pt idx="40">
                  <c:v>1.7354118473048748E-2</c:v>
                </c:pt>
                <c:pt idx="41">
                  <c:v>1.7548010022357344E-2</c:v>
                </c:pt>
                <c:pt idx="42">
                  <c:v>1.874385415436269E-2</c:v>
                </c:pt>
                <c:pt idx="43">
                  <c:v>1.8850639008978844E-2</c:v>
                </c:pt>
                <c:pt idx="44">
                  <c:v>2.0676236468900988E-2</c:v>
                </c:pt>
                <c:pt idx="45">
                  <c:v>2.112109797810155E-2</c:v>
                </c:pt>
                <c:pt idx="46">
                  <c:v>2.0428084048374182E-2</c:v>
                </c:pt>
                <c:pt idx="47">
                  <c:v>2.0454360820721138E-2</c:v>
                </c:pt>
                <c:pt idx="48">
                  <c:v>2.125324606746774E-2</c:v>
                </c:pt>
                <c:pt idx="49">
                  <c:v>2.2381730056414223E-2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65600"/>
        <c:axId val="40271872"/>
      </c:scatterChart>
      <c:valAx>
        <c:axId val="40265600"/>
        <c:scaling>
          <c:orientation val="minMax"/>
          <c:min val="3.0000000000000006E-2"/>
        </c:scaling>
        <c:delete val="0"/>
        <c:axPos val="b"/>
        <c:numFmt formatCode="General" sourceLinked="1"/>
        <c:majorTickMark val="in"/>
        <c:minorTickMark val="none"/>
        <c:tickLblPos val="low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271872"/>
        <c:crosses val="min"/>
        <c:crossBetween val="midCat"/>
      </c:valAx>
      <c:valAx>
        <c:axId val="40271872"/>
        <c:scaling>
          <c:orientation val="minMax"/>
          <c:min val="5.000000000000001E-3"/>
        </c:scaling>
        <c:delete val="0"/>
        <c:axPos val="l"/>
        <c:numFmt formatCode="General" sourceLinked="1"/>
        <c:majorTickMark val="in"/>
        <c:minorTickMark val="none"/>
        <c:tickLblPos val="none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265600"/>
        <c:crosses val="autoZero"/>
        <c:crossBetween val="midCat"/>
      </c:valAx>
      <c:valAx>
        <c:axId val="40273408"/>
        <c:scaling>
          <c:orientation val="minMax"/>
          <c:max val="3.9999999999999994E-2"/>
          <c:min val="5.000000000000001E-3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274944"/>
        <c:crosses val="max"/>
        <c:crossBetween val="between"/>
        <c:majorUnit val="5.0000000000000001E-3"/>
        <c:minorUnit val="1E-3"/>
      </c:valAx>
      <c:catAx>
        <c:axId val="40274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273408"/>
        <c:crosses val="min"/>
        <c:auto val="1"/>
        <c:lblAlgn val="ctr"/>
        <c:lblOffset val="100"/>
        <c:noMultiLvlLbl val="0"/>
      </c:catAx>
      <c:spPr>
        <a:noFill/>
        <a:ln w="22225">
          <a:solidFill>
            <a:srgbClr val="000000"/>
          </a:solidFill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theme="9" tint="0.39994506668294322"/>
  </sheetPr>
  <sheetViews>
    <sheetView zoomScale="129" workbookViewId="0" zoomToFit="1"/>
  </sheetViews>
  <pageMargins left="1.9362500000000002" right="1.9362500000000002" top="0.86125000000000007" bottom="0.86125000000000007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theme="9" tint="0.39994506668294322"/>
  </sheetPr>
  <sheetViews>
    <sheetView zoomScale="129" workbookViewId="0" zoomToFit="1"/>
  </sheetViews>
  <pageMargins left="1.9362500000000002" right="1.9362500000000002" top="0.86125000000000007" bottom="0.86125000000000007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>
    <tabColor theme="9" tint="0.39994506668294322"/>
  </sheetPr>
  <sheetViews>
    <sheetView tabSelected="1" zoomScale="129" workbookViewId="0" zoomToFit="1"/>
  </sheetViews>
  <pageMargins left="1.9362500000000002" right="1.9362500000000002" top="0.86125000000000007" bottom="0.86125000000000007" header="0.3" footer="0.3"/>
  <pageSetup orientation="landscape" r:id="rId1"/>
  <drawing r:id="rId2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50" Type="http://schemas.openxmlformats.org/officeDocument/2006/relationships/image" Target="../media/image50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41" Type="http://schemas.openxmlformats.org/officeDocument/2006/relationships/image" Target="../media/image41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476250</xdr:colOff>
          <xdr:row>17</xdr:row>
          <xdr:rowOff>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2</xdr:col>
          <xdr:colOff>304800</xdr:colOff>
          <xdr:row>17</xdr:row>
          <xdr:rowOff>57150</xdr:rowOff>
        </xdr:to>
        <xdr:sp macro="" textlink="">
          <xdr:nvSpPr>
            <xdr:cNvPr id="3074" name="Control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2</xdr:col>
          <xdr:colOff>304800</xdr:colOff>
          <xdr:row>17</xdr:row>
          <xdr:rowOff>57150</xdr:rowOff>
        </xdr:to>
        <xdr:sp macro="" textlink="">
          <xdr:nvSpPr>
            <xdr:cNvPr id="3075" name="Control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2</xdr:col>
          <xdr:colOff>304800</xdr:colOff>
          <xdr:row>17</xdr:row>
          <xdr:rowOff>57150</xdr:rowOff>
        </xdr:to>
        <xdr:sp macro="" textlink="">
          <xdr:nvSpPr>
            <xdr:cNvPr id="3076" name="Control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2</xdr:col>
          <xdr:colOff>304800</xdr:colOff>
          <xdr:row>17</xdr:row>
          <xdr:rowOff>57150</xdr:rowOff>
        </xdr:to>
        <xdr:sp macro="" textlink="">
          <xdr:nvSpPr>
            <xdr:cNvPr id="3077" name="Control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2</xdr:col>
          <xdr:colOff>304800</xdr:colOff>
          <xdr:row>17</xdr:row>
          <xdr:rowOff>57150</xdr:rowOff>
        </xdr:to>
        <xdr:sp macro="" textlink="">
          <xdr:nvSpPr>
            <xdr:cNvPr id="3078" name="Control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2</xdr:col>
          <xdr:colOff>304800</xdr:colOff>
          <xdr:row>17</xdr:row>
          <xdr:rowOff>57150</xdr:rowOff>
        </xdr:to>
        <xdr:sp macro="" textlink="">
          <xdr:nvSpPr>
            <xdr:cNvPr id="3079" name="Control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2</xdr:col>
          <xdr:colOff>304800</xdr:colOff>
          <xdr:row>17</xdr:row>
          <xdr:rowOff>57150</xdr:rowOff>
        </xdr:to>
        <xdr:sp macro="" textlink="">
          <xdr:nvSpPr>
            <xdr:cNvPr id="3080" name="Control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2</xdr:col>
          <xdr:colOff>304800</xdr:colOff>
          <xdr:row>17</xdr:row>
          <xdr:rowOff>57150</xdr:rowOff>
        </xdr:to>
        <xdr:sp macro="" textlink="">
          <xdr:nvSpPr>
            <xdr:cNvPr id="3081" name="Control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2</xdr:col>
          <xdr:colOff>304800</xdr:colOff>
          <xdr:row>17</xdr:row>
          <xdr:rowOff>57150</xdr:rowOff>
        </xdr:to>
        <xdr:sp macro="" textlink="">
          <xdr:nvSpPr>
            <xdr:cNvPr id="3082" name="Control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2</xdr:col>
          <xdr:colOff>304800</xdr:colOff>
          <xdr:row>17</xdr:row>
          <xdr:rowOff>57150</xdr:rowOff>
        </xdr:to>
        <xdr:sp macro="" textlink="">
          <xdr:nvSpPr>
            <xdr:cNvPr id="3083" name="Control 11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2</xdr:col>
          <xdr:colOff>304800</xdr:colOff>
          <xdr:row>17</xdr:row>
          <xdr:rowOff>57150</xdr:rowOff>
        </xdr:to>
        <xdr:sp macro="" textlink="">
          <xdr:nvSpPr>
            <xdr:cNvPr id="3084" name="Control 12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2</xdr:col>
          <xdr:colOff>304800</xdr:colOff>
          <xdr:row>17</xdr:row>
          <xdr:rowOff>57150</xdr:rowOff>
        </xdr:to>
        <xdr:sp macro="" textlink="">
          <xdr:nvSpPr>
            <xdr:cNvPr id="3085" name="Control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2</xdr:col>
          <xdr:colOff>304800</xdr:colOff>
          <xdr:row>17</xdr:row>
          <xdr:rowOff>57150</xdr:rowOff>
        </xdr:to>
        <xdr:sp macro="" textlink="">
          <xdr:nvSpPr>
            <xdr:cNvPr id="3086" name="Control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</xdr:row>
          <xdr:rowOff>0</xdr:rowOff>
        </xdr:from>
        <xdr:to>
          <xdr:col>6</xdr:col>
          <xdr:colOff>476250</xdr:colOff>
          <xdr:row>17</xdr:row>
          <xdr:rowOff>0</xdr:rowOff>
        </xdr:to>
        <xdr:sp macro="" textlink="">
          <xdr:nvSpPr>
            <xdr:cNvPr id="3087" name="Control 15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</xdr:row>
          <xdr:rowOff>0</xdr:rowOff>
        </xdr:from>
        <xdr:to>
          <xdr:col>8</xdr:col>
          <xdr:colOff>304800</xdr:colOff>
          <xdr:row>17</xdr:row>
          <xdr:rowOff>57150</xdr:rowOff>
        </xdr:to>
        <xdr:sp macro="" textlink="">
          <xdr:nvSpPr>
            <xdr:cNvPr id="3088" name="Control 16" hidden="1">
              <a:extLst>
                <a:ext uri="{63B3BB69-23CF-44E3-9099-C40C66FF867C}">
                  <a14:compatExt spid="_x0000_s3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</xdr:row>
          <xdr:rowOff>0</xdr:rowOff>
        </xdr:from>
        <xdr:to>
          <xdr:col>8</xdr:col>
          <xdr:colOff>304800</xdr:colOff>
          <xdr:row>17</xdr:row>
          <xdr:rowOff>57150</xdr:rowOff>
        </xdr:to>
        <xdr:sp macro="" textlink="">
          <xdr:nvSpPr>
            <xdr:cNvPr id="3089" name="Control 17" hidden="1">
              <a:extLst>
                <a:ext uri="{63B3BB69-23CF-44E3-9099-C40C66FF867C}">
                  <a14:compatExt spid="_x0000_s3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</xdr:row>
          <xdr:rowOff>0</xdr:rowOff>
        </xdr:from>
        <xdr:to>
          <xdr:col>8</xdr:col>
          <xdr:colOff>304800</xdr:colOff>
          <xdr:row>17</xdr:row>
          <xdr:rowOff>57150</xdr:rowOff>
        </xdr:to>
        <xdr:sp macro="" textlink="">
          <xdr:nvSpPr>
            <xdr:cNvPr id="3090" name="Control 18" hidden="1">
              <a:extLst>
                <a:ext uri="{63B3BB69-23CF-44E3-9099-C40C66FF867C}">
                  <a14:compatExt spid="_x0000_s3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</xdr:row>
          <xdr:rowOff>0</xdr:rowOff>
        </xdr:from>
        <xdr:to>
          <xdr:col>8</xdr:col>
          <xdr:colOff>304800</xdr:colOff>
          <xdr:row>17</xdr:row>
          <xdr:rowOff>57150</xdr:rowOff>
        </xdr:to>
        <xdr:sp macro="" textlink="">
          <xdr:nvSpPr>
            <xdr:cNvPr id="3091" name="Control 19" hidden="1">
              <a:extLst>
                <a:ext uri="{63B3BB69-23CF-44E3-9099-C40C66FF867C}">
                  <a14:compatExt spid="_x0000_s30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</xdr:row>
          <xdr:rowOff>0</xdr:rowOff>
        </xdr:from>
        <xdr:to>
          <xdr:col>8</xdr:col>
          <xdr:colOff>304800</xdr:colOff>
          <xdr:row>17</xdr:row>
          <xdr:rowOff>57150</xdr:rowOff>
        </xdr:to>
        <xdr:sp macro="" textlink="">
          <xdr:nvSpPr>
            <xdr:cNvPr id="3092" name="Control 20" hidden="1">
              <a:extLst>
                <a:ext uri="{63B3BB69-23CF-44E3-9099-C40C66FF867C}">
                  <a14:compatExt spid="_x0000_s30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</xdr:row>
          <xdr:rowOff>0</xdr:rowOff>
        </xdr:from>
        <xdr:to>
          <xdr:col>8</xdr:col>
          <xdr:colOff>304800</xdr:colOff>
          <xdr:row>17</xdr:row>
          <xdr:rowOff>57150</xdr:rowOff>
        </xdr:to>
        <xdr:sp macro="" textlink="">
          <xdr:nvSpPr>
            <xdr:cNvPr id="3093" name="Control 21" hidden="1">
              <a:extLst>
                <a:ext uri="{63B3BB69-23CF-44E3-9099-C40C66FF867C}">
                  <a14:compatExt spid="_x0000_s30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</xdr:row>
          <xdr:rowOff>0</xdr:rowOff>
        </xdr:from>
        <xdr:to>
          <xdr:col>8</xdr:col>
          <xdr:colOff>304800</xdr:colOff>
          <xdr:row>17</xdr:row>
          <xdr:rowOff>57150</xdr:rowOff>
        </xdr:to>
        <xdr:sp macro="" textlink="">
          <xdr:nvSpPr>
            <xdr:cNvPr id="3094" name="Control 22" hidden="1">
              <a:extLst>
                <a:ext uri="{63B3BB69-23CF-44E3-9099-C40C66FF867C}">
                  <a14:compatExt spid="_x0000_s3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</xdr:row>
          <xdr:rowOff>0</xdr:rowOff>
        </xdr:from>
        <xdr:to>
          <xdr:col>8</xdr:col>
          <xdr:colOff>304800</xdr:colOff>
          <xdr:row>17</xdr:row>
          <xdr:rowOff>57150</xdr:rowOff>
        </xdr:to>
        <xdr:sp macro="" textlink="">
          <xdr:nvSpPr>
            <xdr:cNvPr id="3095" name="Control 23" hidden="1">
              <a:extLst>
                <a:ext uri="{63B3BB69-23CF-44E3-9099-C40C66FF867C}">
                  <a14:compatExt spid="_x0000_s3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</xdr:row>
          <xdr:rowOff>0</xdr:rowOff>
        </xdr:from>
        <xdr:to>
          <xdr:col>8</xdr:col>
          <xdr:colOff>304800</xdr:colOff>
          <xdr:row>17</xdr:row>
          <xdr:rowOff>57150</xdr:rowOff>
        </xdr:to>
        <xdr:sp macro="" textlink="">
          <xdr:nvSpPr>
            <xdr:cNvPr id="3096" name="Control 24" hidden="1">
              <a:extLst>
                <a:ext uri="{63B3BB69-23CF-44E3-9099-C40C66FF867C}">
                  <a14:compatExt spid="_x0000_s30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</xdr:row>
          <xdr:rowOff>0</xdr:rowOff>
        </xdr:from>
        <xdr:to>
          <xdr:col>8</xdr:col>
          <xdr:colOff>304800</xdr:colOff>
          <xdr:row>17</xdr:row>
          <xdr:rowOff>57150</xdr:rowOff>
        </xdr:to>
        <xdr:sp macro="" textlink="">
          <xdr:nvSpPr>
            <xdr:cNvPr id="3097" name="Control 25" hidden="1">
              <a:extLst>
                <a:ext uri="{63B3BB69-23CF-44E3-9099-C40C66FF867C}">
                  <a14:compatExt spid="_x0000_s3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</xdr:row>
          <xdr:rowOff>0</xdr:rowOff>
        </xdr:from>
        <xdr:to>
          <xdr:col>8</xdr:col>
          <xdr:colOff>304800</xdr:colOff>
          <xdr:row>17</xdr:row>
          <xdr:rowOff>57150</xdr:rowOff>
        </xdr:to>
        <xdr:sp macro="" textlink="">
          <xdr:nvSpPr>
            <xdr:cNvPr id="3098" name="Control 26" hidden="1">
              <a:extLst>
                <a:ext uri="{63B3BB69-23CF-44E3-9099-C40C66FF867C}">
                  <a14:compatExt spid="_x0000_s3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</xdr:row>
          <xdr:rowOff>0</xdr:rowOff>
        </xdr:from>
        <xdr:to>
          <xdr:col>8</xdr:col>
          <xdr:colOff>304800</xdr:colOff>
          <xdr:row>17</xdr:row>
          <xdr:rowOff>57150</xdr:rowOff>
        </xdr:to>
        <xdr:sp macro="" textlink="">
          <xdr:nvSpPr>
            <xdr:cNvPr id="3099" name="Control 27" hidden="1">
              <a:extLst>
                <a:ext uri="{63B3BB69-23CF-44E3-9099-C40C66FF867C}">
                  <a14:compatExt spid="_x0000_s3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</xdr:row>
          <xdr:rowOff>0</xdr:rowOff>
        </xdr:from>
        <xdr:to>
          <xdr:col>8</xdr:col>
          <xdr:colOff>304800</xdr:colOff>
          <xdr:row>17</xdr:row>
          <xdr:rowOff>57150</xdr:rowOff>
        </xdr:to>
        <xdr:sp macro="" textlink="">
          <xdr:nvSpPr>
            <xdr:cNvPr id="3100" name="Control 28" hidden="1">
              <a:extLst>
                <a:ext uri="{63B3BB69-23CF-44E3-9099-C40C66FF867C}">
                  <a14:compatExt spid="_x0000_s3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16</xdr:row>
          <xdr:rowOff>0</xdr:rowOff>
        </xdr:from>
        <xdr:to>
          <xdr:col>13</xdr:col>
          <xdr:colOff>476250</xdr:colOff>
          <xdr:row>17</xdr:row>
          <xdr:rowOff>0</xdr:rowOff>
        </xdr:to>
        <xdr:sp macro="" textlink="">
          <xdr:nvSpPr>
            <xdr:cNvPr id="3101" name="Control 29" hidden="1">
              <a:extLst>
                <a:ext uri="{63B3BB69-23CF-44E3-9099-C40C66FF867C}">
                  <a14:compatExt spid="_x0000_s3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16</xdr:row>
          <xdr:rowOff>0</xdr:rowOff>
        </xdr:from>
        <xdr:to>
          <xdr:col>15</xdr:col>
          <xdr:colOff>304800</xdr:colOff>
          <xdr:row>17</xdr:row>
          <xdr:rowOff>57150</xdr:rowOff>
        </xdr:to>
        <xdr:sp macro="" textlink="">
          <xdr:nvSpPr>
            <xdr:cNvPr id="3102" name="Control 30" hidden="1">
              <a:extLst>
                <a:ext uri="{63B3BB69-23CF-44E3-9099-C40C66FF867C}">
                  <a14:compatExt spid="_x0000_s3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16</xdr:row>
          <xdr:rowOff>0</xdr:rowOff>
        </xdr:from>
        <xdr:to>
          <xdr:col>15</xdr:col>
          <xdr:colOff>304800</xdr:colOff>
          <xdr:row>17</xdr:row>
          <xdr:rowOff>57150</xdr:rowOff>
        </xdr:to>
        <xdr:sp macro="" textlink="">
          <xdr:nvSpPr>
            <xdr:cNvPr id="3103" name="Control 31" hidden="1">
              <a:extLst>
                <a:ext uri="{63B3BB69-23CF-44E3-9099-C40C66FF867C}">
                  <a14:compatExt spid="_x0000_s3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16</xdr:row>
          <xdr:rowOff>0</xdr:rowOff>
        </xdr:from>
        <xdr:to>
          <xdr:col>15</xdr:col>
          <xdr:colOff>304800</xdr:colOff>
          <xdr:row>17</xdr:row>
          <xdr:rowOff>57150</xdr:rowOff>
        </xdr:to>
        <xdr:sp macro="" textlink="">
          <xdr:nvSpPr>
            <xdr:cNvPr id="3104" name="Control 32" hidden="1">
              <a:extLst>
                <a:ext uri="{63B3BB69-23CF-44E3-9099-C40C66FF867C}">
                  <a14:compatExt spid="_x0000_s31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16</xdr:row>
          <xdr:rowOff>0</xdr:rowOff>
        </xdr:from>
        <xdr:to>
          <xdr:col>15</xdr:col>
          <xdr:colOff>304800</xdr:colOff>
          <xdr:row>17</xdr:row>
          <xdr:rowOff>57150</xdr:rowOff>
        </xdr:to>
        <xdr:sp macro="" textlink="">
          <xdr:nvSpPr>
            <xdr:cNvPr id="3105" name="Control 33" hidden="1">
              <a:extLst>
                <a:ext uri="{63B3BB69-23CF-44E3-9099-C40C66FF867C}">
                  <a14:compatExt spid="_x0000_s3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16</xdr:row>
          <xdr:rowOff>0</xdr:rowOff>
        </xdr:from>
        <xdr:to>
          <xdr:col>15</xdr:col>
          <xdr:colOff>304800</xdr:colOff>
          <xdr:row>17</xdr:row>
          <xdr:rowOff>57150</xdr:rowOff>
        </xdr:to>
        <xdr:sp macro="" textlink="">
          <xdr:nvSpPr>
            <xdr:cNvPr id="3106" name="Control 34" hidden="1">
              <a:extLst>
                <a:ext uri="{63B3BB69-23CF-44E3-9099-C40C66FF867C}">
                  <a14:compatExt spid="_x0000_s3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16</xdr:row>
          <xdr:rowOff>0</xdr:rowOff>
        </xdr:from>
        <xdr:to>
          <xdr:col>15</xdr:col>
          <xdr:colOff>304800</xdr:colOff>
          <xdr:row>17</xdr:row>
          <xdr:rowOff>57150</xdr:rowOff>
        </xdr:to>
        <xdr:sp macro="" textlink="">
          <xdr:nvSpPr>
            <xdr:cNvPr id="3107" name="Control 35" hidden="1">
              <a:extLst>
                <a:ext uri="{63B3BB69-23CF-44E3-9099-C40C66FF867C}">
                  <a14:compatExt spid="_x0000_s3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16</xdr:row>
          <xdr:rowOff>0</xdr:rowOff>
        </xdr:from>
        <xdr:to>
          <xdr:col>15</xdr:col>
          <xdr:colOff>304800</xdr:colOff>
          <xdr:row>17</xdr:row>
          <xdr:rowOff>57150</xdr:rowOff>
        </xdr:to>
        <xdr:sp macro="" textlink="">
          <xdr:nvSpPr>
            <xdr:cNvPr id="3108" name="Control 36" hidden="1">
              <a:extLst>
                <a:ext uri="{63B3BB69-23CF-44E3-9099-C40C66FF867C}">
                  <a14:compatExt spid="_x0000_s31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16</xdr:row>
          <xdr:rowOff>0</xdr:rowOff>
        </xdr:from>
        <xdr:to>
          <xdr:col>15</xdr:col>
          <xdr:colOff>304800</xdr:colOff>
          <xdr:row>17</xdr:row>
          <xdr:rowOff>57150</xdr:rowOff>
        </xdr:to>
        <xdr:sp macro="" textlink="">
          <xdr:nvSpPr>
            <xdr:cNvPr id="3109" name="Control 37" hidden="1">
              <a:extLst>
                <a:ext uri="{63B3BB69-23CF-44E3-9099-C40C66FF867C}">
                  <a14:compatExt spid="_x0000_s3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16</xdr:row>
          <xdr:rowOff>0</xdr:rowOff>
        </xdr:from>
        <xdr:to>
          <xdr:col>15</xdr:col>
          <xdr:colOff>304800</xdr:colOff>
          <xdr:row>17</xdr:row>
          <xdr:rowOff>57150</xdr:rowOff>
        </xdr:to>
        <xdr:sp macro="" textlink="">
          <xdr:nvSpPr>
            <xdr:cNvPr id="3110" name="Control 38" hidden="1">
              <a:extLst>
                <a:ext uri="{63B3BB69-23CF-44E3-9099-C40C66FF867C}">
                  <a14:compatExt spid="_x0000_s3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16</xdr:row>
          <xdr:rowOff>0</xdr:rowOff>
        </xdr:from>
        <xdr:to>
          <xdr:col>15</xdr:col>
          <xdr:colOff>304800</xdr:colOff>
          <xdr:row>17</xdr:row>
          <xdr:rowOff>57150</xdr:rowOff>
        </xdr:to>
        <xdr:sp macro="" textlink="">
          <xdr:nvSpPr>
            <xdr:cNvPr id="3111" name="Control 39" hidden="1">
              <a:extLst>
                <a:ext uri="{63B3BB69-23CF-44E3-9099-C40C66FF867C}">
                  <a14:compatExt spid="_x0000_s3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16</xdr:row>
          <xdr:rowOff>0</xdr:rowOff>
        </xdr:from>
        <xdr:to>
          <xdr:col>15</xdr:col>
          <xdr:colOff>304800</xdr:colOff>
          <xdr:row>17</xdr:row>
          <xdr:rowOff>57150</xdr:rowOff>
        </xdr:to>
        <xdr:sp macro="" textlink="">
          <xdr:nvSpPr>
            <xdr:cNvPr id="3112" name="Control 40" hidden="1">
              <a:extLst>
                <a:ext uri="{63B3BB69-23CF-44E3-9099-C40C66FF867C}">
                  <a14:compatExt spid="_x0000_s31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16</xdr:row>
          <xdr:rowOff>0</xdr:rowOff>
        </xdr:from>
        <xdr:to>
          <xdr:col>15</xdr:col>
          <xdr:colOff>304800</xdr:colOff>
          <xdr:row>17</xdr:row>
          <xdr:rowOff>57150</xdr:rowOff>
        </xdr:to>
        <xdr:sp macro="" textlink="">
          <xdr:nvSpPr>
            <xdr:cNvPr id="3113" name="Control 41" hidden="1">
              <a:extLst>
                <a:ext uri="{63B3BB69-23CF-44E3-9099-C40C66FF867C}">
                  <a14:compatExt spid="_x0000_s31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16</xdr:row>
          <xdr:rowOff>0</xdr:rowOff>
        </xdr:from>
        <xdr:to>
          <xdr:col>15</xdr:col>
          <xdr:colOff>304800</xdr:colOff>
          <xdr:row>17</xdr:row>
          <xdr:rowOff>57150</xdr:rowOff>
        </xdr:to>
        <xdr:sp macro="" textlink="">
          <xdr:nvSpPr>
            <xdr:cNvPr id="3114" name="Control 42" hidden="1">
              <a:extLst>
                <a:ext uri="{63B3BB69-23CF-44E3-9099-C40C66FF867C}">
                  <a14:compatExt spid="_x0000_s3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16</xdr:row>
          <xdr:rowOff>0</xdr:rowOff>
        </xdr:from>
        <xdr:to>
          <xdr:col>19</xdr:col>
          <xdr:colOff>476250</xdr:colOff>
          <xdr:row>17</xdr:row>
          <xdr:rowOff>0</xdr:rowOff>
        </xdr:to>
        <xdr:sp macro="" textlink="">
          <xdr:nvSpPr>
            <xdr:cNvPr id="3115" name="Control 43" hidden="1">
              <a:extLst>
                <a:ext uri="{63B3BB69-23CF-44E3-9099-C40C66FF867C}">
                  <a14:compatExt spid="_x0000_s31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16</xdr:row>
          <xdr:rowOff>0</xdr:rowOff>
        </xdr:from>
        <xdr:to>
          <xdr:col>21</xdr:col>
          <xdr:colOff>304800</xdr:colOff>
          <xdr:row>17</xdr:row>
          <xdr:rowOff>57150</xdr:rowOff>
        </xdr:to>
        <xdr:sp macro="" textlink="">
          <xdr:nvSpPr>
            <xdr:cNvPr id="3116" name="Control 44" hidden="1">
              <a:extLst>
                <a:ext uri="{63B3BB69-23CF-44E3-9099-C40C66FF867C}">
                  <a14:compatExt spid="_x0000_s3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16</xdr:row>
          <xdr:rowOff>0</xdr:rowOff>
        </xdr:from>
        <xdr:to>
          <xdr:col>21</xdr:col>
          <xdr:colOff>304800</xdr:colOff>
          <xdr:row>17</xdr:row>
          <xdr:rowOff>57150</xdr:rowOff>
        </xdr:to>
        <xdr:sp macro="" textlink="">
          <xdr:nvSpPr>
            <xdr:cNvPr id="3117" name="Control 45" hidden="1">
              <a:extLst>
                <a:ext uri="{63B3BB69-23CF-44E3-9099-C40C66FF867C}">
                  <a14:compatExt spid="_x0000_s31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16</xdr:row>
          <xdr:rowOff>0</xdr:rowOff>
        </xdr:from>
        <xdr:to>
          <xdr:col>21</xdr:col>
          <xdr:colOff>304800</xdr:colOff>
          <xdr:row>17</xdr:row>
          <xdr:rowOff>57150</xdr:rowOff>
        </xdr:to>
        <xdr:sp macro="" textlink="">
          <xdr:nvSpPr>
            <xdr:cNvPr id="3118" name="Control 46" hidden="1">
              <a:extLst>
                <a:ext uri="{63B3BB69-23CF-44E3-9099-C40C66FF867C}">
                  <a14:compatExt spid="_x0000_s31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16</xdr:row>
          <xdr:rowOff>0</xdr:rowOff>
        </xdr:from>
        <xdr:to>
          <xdr:col>21</xdr:col>
          <xdr:colOff>304800</xdr:colOff>
          <xdr:row>17</xdr:row>
          <xdr:rowOff>57150</xdr:rowOff>
        </xdr:to>
        <xdr:sp macro="" textlink="">
          <xdr:nvSpPr>
            <xdr:cNvPr id="3119" name="Control 47" hidden="1">
              <a:extLst>
                <a:ext uri="{63B3BB69-23CF-44E3-9099-C40C66FF867C}">
                  <a14:compatExt spid="_x0000_s31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16</xdr:row>
          <xdr:rowOff>0</xdr:rowOff>
        </xdr:from>
        <xdr:to>
          <xdr:col>21</xdr:col>
          <xdr:colOff>304800</xdr:colOff>
          <xdr:row>17</xdr:row>
          <xdr:rowOff>57150</xdr:rowOff>
        </xdr:to>
        <xdr:sp macro="" textlink="">
          <xdr:nvSpPr>
            <xdr:cNvPr id="3120" name="Control 48" hidden="1">
              <a:extLst>
                <a:ext uri="{63B3BB69-23CF-44E3-9099-C40C66FF867C}">
                  <a14:compatExt spid="_x0000_s31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16</xdr:row>
          <xdr:rowOff>0</xdr:rowOff>
        </xdr:from>
        <xdr:to>
          <xdr:col>21</xdr:col>
          <xdr:colOff>304800</xdr:colOff>
          <xdr:row>17</xdr:row>
          <xdr:rowOff>57150</xdr:rowOff>
        </xdr:to>
        <xdr:sp macro="" textlink="">
          <xdr:nvSpPr>
            <xdr:cNvPr id="3121" name="Control 49" hidden="1">
              <a:extLst>
                <a:ext uri="{63B3BB69-23CF-44E3-9099-C40C66FF867C}">
                  <a14:compatExt spid="_x0000_s3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16</xdr:row>
          <xdr:rowOff>0</xdr:rowOff>
        </xdr:from>
        <xdr:to>
          <xdr:col>21</xdr:col>
          <xdr:colOff>304800</xdr:colOff>
          <xdr:row>17</xdr:row>
          <xdr:rowOff>57150</xdr:rowOff>
        </xdr:to>
        <xdr:sp macro="" textlink="">
          <xdr:nvSpPr>
            <xdr:cNvPr id="3122" name="Control 50" hidden="1">
              <a:extLst>
                <a:ext uri="{63B3BB69-23CF-44E3-9099-C40C66FF867C}">
                  <a14:compatExt spid="_x0000_s3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16</xdr:row>
          <xdr:rowOff>0</xdr:rowOff>
        </xdr:from>
        <xdr:to>
          <xdr:col>21</xdr:col>
          <xdr:colOff>304800</xdr:colOff>
          <xdr:row>17</xdr:row>
          <xdr:rowOff>57150</xdr:rowOff>
        </xdr:to>
        <xdr:sp macro="" textlink="">
          <xdr:nvSpPr>
            <xdr:cNvPr id="3123" name="Control 51" hidden="1">
              <a:extLst>
                <a:ext uri="{63B3BB69-23CF-44E3-9099-C40C66FF867C}">
                  <a14:compatExt spid="_x0000_s3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16</xdr:row>
          <xdr:rowOff>0</xdr:rowOff>
        </xdr:from>
        <xdr:to>
          <xdr:col>21</xdr:col>
          <xdr:colOff>304800</xdr:colOff>
          <xdr:row>17</xdr:row>
          <xdr:rowOff>57150</xdr:rowOff>
        </xdr:to>
        <xdr:sp macro="" textlink="">
          <xdr:nvSpPr>
            <xdr:cNvPr id="3124" name="Control 52" hidden="1">
              <a:extLst>
                <a:ext uri="{63B3BB69-23CF-44E3-9099-C40C66FF867C}">
                  <a14:compatExt spid="_x0000_s3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16</xdr:row>
          <xdr:rowOff>0</xdr:rowOff>
        </xdr:from>
        <xdr:to>
          <xdr:col>21</xdr:col>
          <xdr:colOff>304800</xdr:colOff>
          <xdr:row>17</xdr:row>
          <xdr:rowOff>57150</xdr:rowOff>
        </xdr:to>
        <xdr:sp macro="" textlink="">
          <xdr:nvSpPr>
            <xdr:cNvPr id="3125" name="Control 53" hidden="1">
              <a:extLst>
                <a:ext uri="{63B3BB69-23CF-44E3-9099-C40C66FF867C}">
                  <a14:compatExt spid="_x0000_s3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16</xdr:row>
          <xdr:rowOff>0</xdr:rowOff>
        </xdr:from>
        <xdr:to>
          <xdr:col>21</xdr:col>
          <xdr:colOff>304800</xdr:colOff>
          <xdr:row>17</xdr:row>
          <xdr:rowOff>57150</xdr:rowOff>
        </xdr:to>
        <xdr:sp macro="" textlink="">
          <xdr:nvSpPr>
            <xdr:cNvPr id="3126" name="Control 54" hidden="1">
              <a:extLst>
                <a:ext uri="{63B3BB69-23CF-44E3-9099-C40C66FF867C}">
                  <a14:compatExt spid="_x0000_s3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16</xdr:row>
          <xdr:rowOff>0</xdr:rowOff>
        </xdr:from>
        <xdr:to>
          <xdr:col>21</xdr:col>
          <xdr:colOff>304800</xdr:colOff>
          <xdr:row>17</xdr:row>
          <xdr:rowOff>57150</xdr:rowOff>
        </xdr:to>
        <xdr:sp macro="" textlink="">
          <xdr:nvSpPr>
            <xdr:cNvPr id="3127" name="Control 55" hidden="1">
              <a:extLst>
                <a:ext uri="{63B3BB69-23CF-44E3-9099-C40C66FF867C}">
                  <a14:compatExt spid="_x0000_s3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16</xdr:row>
          <xdr:rowOff>0</xdr:rowOff>
        </xdr:from>
        <xdr:to>
          <xdr:col>21</xdr:col>
          <xdr:colOff>304800</xdr:colOff>
          <xdr:row>17</xdr:row>
          <xdr:rowOff>57150</xdr:rowOff>
        </xdr:to>
        <xdr:sp macro="" textlink="">
          <xdr:nvSpPr>
            <xdr:cNvPr id="3128" name="Control 56" hidden="1">
              <a:extLst>
                <a:ext uri="{63B3BB69-23CF-44E3-9099-C40C66FF867C}">
                  <a14:compatExt spid="_x0000_s3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6416453" cy="609895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2" name="FRBMDKey" descr="FRBChart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3" name="FRBMDTemplate" descr="Tru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0.00277</cdr:x>
      <cdr:y>0.10171</cdr:y>
    </cdr:from>
    <cdr:to>
      <cdr:x>0.05162</cdr:x>
      <cdr:y>0.12837</cdr:y>
    </cdr:to>
    <cdr:sp macro="" textlink="">
      <cdr:nvSpPr>
        <cdr:cNvPr id="4" name="contact" hidden="1"/>
        <cdr:cNvSpPr txBox="1"/>
      </cdr:nvSpPr>
      <cdr:spPr>
        <a:xfrm xmlns:a="http://schemas.openxmlformats.org/drawingml/2006/main">
          <a:off x="25793" y="618825"/>
          <a:ext cx="454868" cy="162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GB" sz="1100" b="0" i="0" u="none">
              <a:solidFill>
                <a:srgbClr val="000000"/>
              </a:solidFill>
              <a:latin typeface="Arial"/>
            </a:rPr>
            <a:t>contact</a:t>
          </a:r>
        </a:p>
      </cdr:txBody>
    </cdr:sp>
  </cdr:relSizeAnchor>
  <cdr:relSizeAnchor xmlns:cdr="http://schemas.openxmlformats.org/drawingml/2006/chartDrawing">
    <cdr:from>
      <cdr:x>0.015</cdr:x>
      <cdr:y>0.96869</cdr:y>
    </cdr:from>
    <cdr:to>
      <cdr:x>0.93383</cdr:x>
      <cdr:y>1</cdr:y>
    </cdr:to>
    <cdr:sp macro="" textlink="">
      <cdr:nvSpPr>
        <cdr:cNvPr id="5" name="source" hidden="1"/>
        <cdr:cNvSpPr txBox="1"/>
      </cdr:nvSpPr>
      <cdr:spPr>
        <a:xfrm xmlns:a="http://schemas.openxmlformats.org/drawingml/2006/main">
          <a:off x="139700" y="5893686"/>
          <a:ext cx="8555084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100" b="0" i="0" u="none">
              <a:solidFill>
                <a:srgbClr val="000000"/>
              </a:solidFill>
              <a:latin typeface="Arial"/>
            </a:rPr>
            <a:t>Source: </a:t>
          </a:r>
        </a:p>
      </cdr:txBody>
    </cdr:sp>
  </cdr:relSizeAnchor>
  <cdr:relSizeAnchor xmlns:cdr="http://schemas.openxmlformats.org/drawingml/2006/chartDrawing">
    <cdr:from>
      <cdr:x>0.015</cdr:x>
      <cdr:y>0.00835</cdr:y>
    </cdr:from>
    <cdr:to>
      <cdr:x>0.93383</cdr:x>
      <cdr:y>0.05427</cdr:y>
    </cdr:to>
    <cdr:sp macro="" textlink="">
      <cdr:nvSpPr>
        <cdr:cNvPr id="6" name="subtitle" hidden="1"/>
        <cdr:cNvSpPr txBox="1"/>
      </cdr:nvSpPr>
      <cdr:spPr>
        <a:xfrm xmlns:a="http://schemas.openxmlformats.org/drawingml/2006/main">
          <a:off x="139700" y="50800"/>
          <a:ext cx="8555084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800" b="0" i="0" u="none">
              <a:solidFill>
                <a:srgbClr val="000000"/>
              </a:solidFill>
              <a:latin typeface="Arial"/>
            </a:rPr>
            <a:t>subtitle</a:t>
          </a:r>
        </a:p>
      </cdr:txBody>
    </cdr:sp>
  </cdr:relSizeAnchor>
  <cdr:relSizeAnchor xmlns:cdr="http://schemas.openxmlformats.org/drawingml/2006/chartDrawing">
    <cdr:from>
      <cdr:x>0.02244</cdr:x>
      <cdr:y>0.00834</cdr:y>
    </cdr:from>
    <cdr:to>
      <cdr:x>0.91071</cdr:x>
      <cdr:y>0.06679</cdr:y>
    </cdr:to>
    <cdr:sp macro="" textlink="">
      <cdr:nvSpPr>
        <cdr:cNvPr id="7" name="title" hidden="1"/>
        <cdr:cNvSpPr txBox="1"/>
      </cdr:nvSpPr>
      <cdr:spPr>
        <a:xfrm xmlns:a="http://schemas.openxmlformats.org/drawingml/2006/main">
          <a:off x="143913" y="50800"/>
          <a:ext cx="5696244" cy="356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2400" b="1" i="0" u="none">
              <a:solidFill>
                <a:srgbClr val="000000"/>
              </a:solidFill>
              <a:latin typeface="Arial"/>
            </a:rPr>
            <a:t>Title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0.89373</cdr:x>
      <cdr:y>0.0501</cdr:y>
    </cdr:to>
    <cdr:sp macro="" textlink="">
      <cdr:nvSpPr>
        <cdr:cNvPr id="8" name="xlabel" hidden="1"/>
        <cdr:cNvSpPr txBox="1"/>
      </cdr:nvSpPr>
      <cdr:spPr>
        <a:xfrm xmlns:a="http://schemas.openxmlformats.org/drawingml/2006/main">
          <a:off x="35014" y="50865"/>
          <a:ext cx="5696244" cy="2543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0" i="0" u="none">
              <a:solidFill>
                <a:srgbClr val="000000"/>
              </a:solidFill>
              <a:latin typeface="Arial"/>
            </a:rPr>
            <a:t>Xlabel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0.0501</cdr:y>
    </cdr:to>
    <cdr:sp macro="" textlink="">
      <cdr:nvSpPr>
        <cdr:cNvPr id="9" name="ylabelleft" hidden="1"/>
        <cdr:cNvSpPr txBox="1"/>
      </cdr:nvSpPr>
      <cdr:spPr>
        <a:xfrm xmlns:a="http://schemas.openxmlformats.org/drawingml/2006/main">
          <a:off x="50800" y="508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600" b="0" i="0" u="none">
              <a:solidFill>
                <a:srgbClr val="000000"/>
              </a:solidFill>
              <a:latin typeface="Arial"/>
            </a:rPr>
            <a:t>YlabelLeft</a:t>
          </a:r>
        </a:p>
      </cdr:txBody>
    </cdr:sp>
  </cdr:relSizeAnchor>
  <cdr:relSizeAnchor xmlns:cdr="http://schemas.openxmlformats.org/drawingml/2006/chartDrawing">
    <cdr:from>
      <cdr:x>0.52332</cdr:x>
      <cdr:y>0.00834</cdr:y>
    </cdr:from>
    <cdr:to>
      <cdr:x>1</cdr:x>
      <cdr:y>0.05091</cdr:y>
    </cdr:to>
    <cdr:sp macro="" textlink="">
      <cdr:nvSpPr>
        <cdr:cNvPr id="10" name="ylabelright"/>
        <cdr:cNvSpPr txBox="1"/>
      </cdr:nvSpPr>
      <cdr:spPr>
        <a:xfrm xmlns:a="http://schemas.openxmlformats.org/drawingml/2006/main">
          <a:off x="3355901" y="50800"/>
          <a:ext cx="3056861" cy="2593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r"/>
          <a:r>
            <a:rPr lang="en-GB" sz="1600" b="0" i="0" u="none">
              <a:solidFill>
                <a:srgbClr val="000000"/>
              </a:solidFill>
              <a:latin typeface="Arial"/>
            </a:rPr>
            <a:t>Percent of employment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5" name="FRBMDAxes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6" name="FRBPixelSiz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 i="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7" name="FRBMDRecession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r>
            <a:rPr lang="en-GB" sz="1100"/>
            <a:t>01/01/1994!*FRB*!01/07/2013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8" name="FRBMDH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0.02244</cdr:x>
      <cdr:y>0.06872</cdr:y>
    </cdr:from>
    <cdr:to>
      <cdr:x>0.91071</cdr:x>
      <cdr:y>0.06872</cdr:y>
    </cdr:to>
    <cdr:cxnSp macro="">
      <cdr:nvCxnSpPr>
        <cdr:cNvPr id="19" name="FRBMDHlineConnector" hidden="1"/>
        <cdr:cNvCxnSpPr/>
      </cdr:nvCxnSpPr>
      <cdr:spPr>
        <a:xfrm xmlns:a="http://schemas.openxmlformats.org/drawingml/2006/main">
          <a:off x="143913" y="418629"/>
          <a:ext cx="5696244" cy="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20" name="FRBMDV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0.02244</cdr:x>
      <cdr:y>0.06872</cdr:y>
    </cdr:from>
    <cdr:to>
      <cdr:x>0.02244</cdr:x>
      <cdr:y>0.93947</cdr:y>
    </cdr:to>
    <cdr:cxnSp macro="">
      <cdr:nvCxnSpPr>
        <cdr:cNvPr id="21" name="FRBMDVlineConnector" hidden="1"/>
        <cdr:cNvCxnSpPr/>
      </cdr:nvCxnSpPr>
      <cdr:spPr>
        <a:xfrm xmlns:a="http://schemas.openxmlformats.org/drawingml/2006/main">
          <a:off x="143913" y="418629"/>
          <a:ext cx="0" cy="5304238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22" name="FRBEvents" descr="!*FRB*!!*FRB*!!*FRB*!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23" name="FRBMDSeriesMarkers: Fallick and Fleischman EE rat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0.31274</cdr:x>
      <cdr:y>0.48468</cdr:y>
    </cdr:from>
    <cdr:to>
      <cdr:x>0.6361</cdr:x>
      <cdr:y>0.52347</cdr:y>
    </cdr:to>
    <cdr:sp macro="" textlink="">
      <cdr:nvSpPr>
        <cdr:cNvPr id="24" name="SeriesLabel: Fallick and Fleischman EE rate" hidden="1"/>
        <cdr:cNvSpPr txBox="1"/>
      </cdr:nvSpPr>
      <cdr:spPr>
        <a:xfrm xmlns:a="http://schemas.openxmlformats.org/drawingml/2006/main">
          <a:off x="2911862" y="2948913"/>
          <a:ext cx="3010761" cy="235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latin typeface="Arial"/>
            </a:rPr>
            <a:t>Fallick and Fleischman EE rate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6416453" cy="609895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2" name="FRBMDKey" descr="FRBChart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3" name="FRBMDTemplate" descr="Tru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0.00277</cdr:x>
      <cdr:y>0.10171</cdr:y>
    </cdr:from>
    <cdr:to>
      <cdr:x>0.05162</cdr:x>
      <cdr:y>0.12837</cdr:y>
    </cdr:to>
    <cdr:sp macro="" textlink="">
      <cdr:nvSpPr>
        <cdr:cNvPr id="4" name="contact" hidden="1"/>
        <cdr:cNvSpPr txBox="1"/>
      </cdr:nvSpPr>
      <cdr:spPr>
        <a:xfrm xmlns:a="http://schemas.openxmlformats.org/drawingml/2006/main">
          <a:off x="25793" y="618825"/>
          <a:ext cx="454868" cy="162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GB" sz="1100" b="0" i="0" u="none">
              <a:solidFill>
                <a:srgbClr val="000000"/>
              </a:solidFill>
              <a:latin typeface="Arial"/>
            </a:rPr>
            <a:t>contact</a:t>
          </a:r>
        </a:p>
      </cdr:txBody>
    </cdr:sp>
  </cdr:relSizeAnchor>
  <cdr:relSizeAnchor xmlns:cdr="http://schemas.openxmlformats.org/drawingml/2006/chartDrawing">
    <cdr:from>
      <cdr:x>0.015</cdr:x>
      <cdr:y>0.96869</cdr:y>
    </cdr:from>
    <cdr:to>
      <cdr:x>0.92169</cdr:x>
      <cdr:y>1</cdr:y>
    </cdr:to>
    <cdr:sp macro="" textlink="">
      <cdr:nvSpPr>
        <cdr:cNvPr id="5" name="source" hidden="1"/>
        <cdr:cNvSpPr txBox="1"/>
      </cdr:nvSpPr>
      <cdr:spPr>
        <a:xfrm xmlns:a="http://schemas.openxmlformats.org/drawingml/2006/main">
          <a:off x="139700" y="5893686"/>
          <a:ext cx="8442054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100" b="0" i="0" u="none">
              <a:solidFill>
                <a:srgbClr val="000000"/>
              </a:solidFill>
              <a:latin typeface="Arial"/>
            </a:rPr>
            <a:t>Source: </a:t>
          </a:r>
        </a:p>
      </cdr:txBody>
    </cdr:sp>
  </cdr:relSizeAnchor>
  <cdr:relSizeAnchor xmlns:cdr="http://schemas.openxmlformats.org/drawingml/2006/chartDrawing">
    <cdr:from>
      <cdr:x>0.015</cdr:x>
      <cdr:y>0.00835</cdr:y>
    </cdr:from>
    <cdr:to>
      <cdr:x>0.92169</cdr:x>
      <cdr:y>0.05427</cdr:y>
    </cdr:to>
    <cdr:sp macro="" textlink="">
      <cdr:nvSpPr>
        <cdr:cNvPr id="6" name="subtitle" hidden="1"/>
        <cdr:cNvSpPr txBox="1"/>
      </cdr:nvSpPr>
      <cdr:spPr>
        <a:xfrm xmlns:a="http://schemas.openxmlformats.org/drawingml/2006/main">
          <a:off x="139700" y="50800"/>
          <a:ext cx="8442054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800" b="0" i="0" u="none">
              <a:solidFill>
                <a:srgbClr val="000000"/>
              </a:solidFill>
              <a:latin typeface="Arial"/>
            </a:rPr>
            <a:t>subtitle</a:t>
          </a:r>
        </a:p>
      </cdr:txBody>
    </cdr:sp>
  </cdr:relSizeAnchor>
  <cdr:relSizeAnchor xmlns:cdr="http://schemas.openxmlformats.org/drawingml/2006/chartDrawing">
    <cdr:from>
      <cdr:x>0.02249</cdr:x>
      <cdr:y>0.00834</cdr:y>
    </cdr:from>
    <cdr:to>
      <cdr:x>0.893</cdr:x>
      <cdr:y>0.06679</cdr:y>
    </cdr:to>
    <cdr:sp macro="" textlink="">
      <cdr:nvSpPr>
        <cdr:cNvPr id="7" name="title" hidden="1"/>
        <cdr:cNvSpPr txBox="1"/>
      </cdr:nvSpPr>
      <cdr:spPr>
        <a:xfrm xmlns:a="http://schemas.openxmlformats.org/drawingml/2006/main">
          <a:off x="144116" y="50800"/>
          <a:ext cx="5577036" cy="3559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2400" b="1" i="0" u="none">
              <a:solidFill>
                <a:srgbClr val="000000"/>
              </a:solidFill>
              <a:latin typeface="Arial"/>
            </a:rPr>
            <a:t>Title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0.87596</cdr:x>
      <cdr:y>0.0501</cdr:y>
    </cdr:to>
    <cdr:sp macro="" textlink="">
      <cdr:nvSpPr>
        <cdr:cNvPr id="8" name="xlabel" hidden="1"/>
        <cdr:cNvSpPr txBox="1"/>
      </cdr:nvSpPr>
      <cdr:spPr>
        <a:xfrm xmlns:a="http://schemas.openxmlformats.org/drawingml/2006/main">
          <a:off x="34981" y="50845"/>
          <a:ext cx="5577036" cy="254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0" i="0" u="none">
              <a:solidFill>
                <a:srgbClr val="000000"/>
              </a:solidFill>
              <a:latin typeface="Arial"/>
            </a:rPr>
            <a:t>Xlabel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0.0501</cdr:y>
    </cdr:to>
    <cdr:sp macro="" textlink="">
      <cdr:nvSpPr>
        <cdr:cNvPr id="9" name="ylabelleft" hidden="1"/>
        <cdr:cNvSpPr txBox="1"/>
      </cdr:nvSpPr>
      <cdr:spPr>
        <a:xfrm xmlns:a="http://schemas.openxmlformats.org/drawingml/2006/main">
          <a:off x="50800" y="508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600" b="0" i="0" u="none">
              <a:solidFill>
                <a:srgbClr val="000000"/>
              </a:solidFill>
              <a:latin typeface="Arial"/>
            </a:rPr>
            <a:t>YlabelLeft</a:t>
          </a:r>
        </a:p>
      </cdr:txBody>
    </cdr:sp>
  </cdr:relSizeAnchor>
  <cdr:relSizeAnchor xmlns:cdr="http://schemas.openxmlformats.org/drawingml/2006/chartDrawing">
    <cdr:from>
      <cdr:x>0.5646</cdr:x>
      <cdr:y>0.00834</cdr:y>
    </cdr:from>
    <cdr:to>
      <cdr:x>1</cdr:x>
      <cdr:y>0.054</cdr:y>
    </cdr:to>
    <cdr:sp macro="" textlink="">
      <cdr:nvSpPr>
        <cdr:cNvPr id="10" name="ylabelright"/>
        <cdr:cNvSpPr txBox="1"/>
      </cdr:nvSpPr>
      <cdr:spPr>
        <a:xfrm xmlns:a="http://schemas.openxmlformats.org/drawingml/2006/main">
          <a:off x="3617232" y="50800"/>
          <a:ext cx="2789464" cy="2780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r"/>
          <a:r>
            <a:rPr lang="en-GB" sz="1600" b="0" i="0" u="none">
              <a:solidFill>
                <a:srgbClr val="000000"/>
              </a:solidFill>
              <a:latin typeface="Arial"/>
            </a:rPr>
            <a:t>Search</a:t>
          </a:r>
          <a:r>
            <a:rPr lang="en-GB" sz="1600" b="0" i="0" u="none" baseline="0">
              <a:solidFill>
                <a:srgbClr val="000000"/>
              </a:solidFill>
              <a:latin typeface="Arial"/>
            </a:rPr>
            <a:t> intensity of employed</a:t>
          </a:r>
          <a:endParaRPr lang="en-GB" sz="1600" b="0" i="0" u="none">
            <a:solidFill>
              <a:srgbClr val="000000"/>
            </a:solidFill>
            <a:latin typeface="Arial"/>
          </a:endParaRP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5" name="FRBMDAxes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6" name="FRBPixelSiz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 i="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7" name="FRBMDRecession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r>
            <a:rPr lang="en-GB" sz="1100"/>
            <a:t>01/01/1994!*FRB*!01/07/2013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8" name="FRBMDH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0.02249</cdr:x>
      <cdr:y>0.06874</cdr:y>
    </cdr:from>
    <cdr:to>
      <cdr:x>0.893</cdr:x>
      <cdr:y>0.06874</cdr:y>
    </cdr:to>
    <cdr:cxnSp macro="">
      <cdr:nvCxnSpPr>
        <cdr:cNvPr id="19" name="FRBMDHlineConnector" hidden="1"/>
        <cdr:cNvCxnSpPr/>
      </cdr:nvCxnSpPr>
      <cdr:spPr>
        <a:xfrm xmlns:a="http://schemas.openxmlformats.org/drawingml/2006/main">
          <a:off x="144116" y="418557"/>
          <a:ext cx="5577036" cy="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20" name="FRBMDV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0.02249</cdr:x>
      <cdr:y>0.06874</cdr:y>
    </cdr:from>
    <cdr:to>
      <cdr:x>0.02249</cdr:x>
      <cdr:y>0.93945</cdr:y>
    </cdr:to>
    <cdr:cxnSp macro="">
      <cdr:nvCxnSpPr>
        <cdr:cNvPr id="21" name="FRBMDVlineConnector" hidden="1"/>
        <cdr:cNvCxnSpPr/>
      </cdr:nvCxnSpPr>
      <cdr:spPr>
        <a:xfrm xmlns:a="http://schemas.openxmlformats.org/drawingml/2006/main">
          <a:off x="144116" y="418557"/>
          <a:ext cx="0" cy="5301936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22" name="FRBEvents" descr="!*FRB*!!*FRB*!!*FRB*!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23" name="FRBMDSeriesMarkers: Implied by Fallick and Fleischman estimates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0.23624</cdr:x>
      <cdr:y>0.48468</cdr:y>
    </cdr:from>
    <cdr:to>
      <cdr:x>0.70045</cdr:x>
      <cdr:y>0.52347</cdr:y>
    </cdr:to>
    <cdr:sp macro="" textlink="">
      <cdr:nvSpPr>
        <cdr:cNvPr id="24" name="SeriesLabel: Implied by Fallick and Fleischman estimates" hidden="1"/>
        <cdr:cNvSpPr txBox="1"/>
      </cdr:nvSpPr>
      <cdr:spPr>
        <a:xfrm xmlns:a="http://schemas.openxmlformats.org/drawingml/2006/main">
          <a:off x="2199623" y="2948913"/>
          <a:ext cx="4322209" cy="235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latin typeface="Arial"/>
            </a:rPr>
            <a:t>Implied by Fallick and Fleischman estimates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6416453" cy="609895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2" name="FRBMDKey" descr="FRBChart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3" name="FRBMDTemplate" descr="Tru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0.00277</cdr:x>
      <cdr:y>0.10171</cdr:y>
    </cdr:from>
    <cdr:to>
      <cdr:x>0.05162</cdr:x>
      <cdr:y>0.12837</cdr:y>
    </cdr:to>
    <cdr:sp macro="" textlink="">
      <cdr:nvSpPr>
        <cdr:cNvPr id="4" name="contact" hidden="1"/>
        <cdr:cNvSpPr txBox="1"/>
      </cdr:nvSpPr>
      <cdr:spPr>
        <a:xfrm xmlns:a="http://schemas.openxmlformats.org/drawingml/2006/main">
          <a:off x="25793" y="618825"/>
          <a:ext cx="454868" cy="162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GB" sz="1100" b="0" i="0" u="none">
              <a:solidFill>
                <a:srgbClr val="000000"/>
              </a:solidFill>
              <a:latin typeface="Arial"/>
            </a:rPr>
            <a:t>contact</a:t>
          </a:r>
        </a:p>
      </cdr:txBody>
    </cdr:sp>
  </cdr:relSizeAnchor>
  <cdr:relSizeAnchor xmlns:cdr="http://schemas.openxmlformats.org/drawingml/2006/chartDrawing">
    <cdr:from>
      <cdr:x>0.02926</cdr:x>
      <cdr:y>0.96869</cdr:y>
    </cdr:from>
    <cdr:to>
      <cdr:x>0.90955</cdr:x>
      <cdr:y>1</cdr:y>
    </cdr:to>
    <cdr:sp macro="" textlink="">
      <cdr:nvSpPr>
        <cdr:cNvPr id="5" name="source" hidden="1"/>
        <cdr:cNvSpPr txBox="1"/>
      </cdr:nvSpPr>
      <cdr:spPr>
        <a:xfrm xmlns:a="http://schemas.openxmlformats.org/drawingml/2006/main">
          <a:off x="272415" y="5893686"/>
          <a:ext cx="8196309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100" b="0" i="0" u="none">
              <a:solidFill>
                <a:srgbClr val="000000"/>
              </a:solidFill>
              <a:latin typeface="Arial"/>
            </a:rPr>
            <a:t>Source: </a:t>
          </a:r>
        </a:p>
      </cdr:txBody>
    </cdr:sp>
  </cdr:relSizeAnchor>
  <cdr:relSizeAnchor xmlns:cdr="http://schemas.openxmlformats.org/drawingml/2006/chartDrawing">
    <cdr:from>
      <cdr:x>0.02926</cdr:x>
      <cdr:y>0.00835</cdr:y>
    </cdr:from>
    <cdr:to>
      <cdr:x>0.90955</cdr:x>
      <cdr:y>0.05427</cdr:y>
    </cdr:to>
    <cdr:sp macro="" textlink="">
      <cdr:nvSpPr>
        <cdr:cNvPr id="6" name="subtitle" hidden="1"/>
        <cdr:cNvSpPr txBox="1"/>
      </cdr:nvSpPr>
      <cdr:spPr>
        <a:xfrm xmlns:a="http://schemas.openxmlformats.org/drawingml/2006/main">
          <a:off x="272415" y="50800"/>
          <a:ext cx="8196309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800" b="0" i="0" u="none">
              <a:solidFill>
                <a:srgbClr val="000000"/>
              </a:solidFill>
              <a:latin typeface="Arial"/>
            </a:rPr>
            <a:t>subtitle</a:t>
          </a:r>
        </a:p>
      </cdr:txBody>
    </cdr:sp>
  </cdr:relSizeAnchor>
  <cdr:relSizeAnchor xmlns:cdr="http://schemas.openxmlformats.org/drawingml/2006/chartDrawing">
    <cdr:from>
      <cdr:x>0.05777</cdr:x>
      <cdr:y>0.00834</cdr:y>
    </cdr:from>
    <cdr:to>
      <cdr:x>0.87535</cdr:x>
      <cdr:y>0.06679</cdr:y>
    </cdr:to>
    <cdr:sp macro="" textlink="">
      <cdr:nvSpPr>
        <cdr:cNvPr id="7" name="title" hidden="1"/>
        <cdr:cNvSpPr txBox="1"/>
      </cdr:nvSpPr>
      <cdr:spPr>
        <a:xfrm xmlns:a="http://schemas.openxmlformats.org/drawingml/2006/main">
          <a:off x="370098" y="50800"/>
          <a:ext cx="5238025" cy="3559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2400" b="1" i="0" u="none">
              <a:solidFill>
                <a:srgbClr val="000000"/>
              </a:solidFill>
              <a:latin typeface="Arial"/>
            </a:rPr>
            <a:t>Title</a:t>
          </a:r>
        </a:p>
      </cdr:txBody>
    </cdr:sp>
  </cdr:relSizeAnchor>
  <cdr:relSizeAnchor xmlns:cdr="http://schemas.openxmlformats.org/drawingml/2006/chartDrawing">
    <cdr:from>
      <cdr:x>0.05777</cdr:x>
      <cdr:y>0.95825</cdr:y>
    </cdr:from>
    <cdr:to>
      <cdr:x>0.87535</cdr:x>
      <cdr:y>1</cdr:y>
    </cdr:to>
    <cdr:sp macro="" textlink="">
      <cdr:nvSpPr>
        <cdr:cNvPr id="8" name="xlabel"/>
        <cdr:cNvSpPr txBox="1"/>
      </cdr:nvSpPr>
      <cdr:spPr>
        <a:xfrm xmlns:a="http://schemas.openxmlformats.org/drawingml/2006/main">
          <a:off x="370097" y="5885772"/>
          <a:ext cx="5238025" cy="254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0" i="0" u="none">
              <a:solidFill>
                <a:srgbClr val="000000"/>
              </a:solidFill>
              <a:latin typeface="Arial"/>
            </a:rPr>
            <a:t>Unemployment rate (U/L, CPS)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0.0501</cdr:y>
    </cdr:to>
    <cdr:sp macro="" textlink="">
      <cdr:nvSpPr>
        <cdr:cNvPr id="9" name="ylabelleft" hidden="1"/>
        <cdr:cNvSpPr txBox="1"/>
      </cdr:nvSpPr>
      <cdr:spPr>
        <a:xfrm xmlns:a="http://schemas.openxmlformats.org/drawingml/2006/main">
          <a:off x="50800" y="508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600" b="0" i="0" u="none">
              <a:solidFill>
                <a:srgbClr val="000000"/>
              </a:solidFill>
              <a:latin typeface="Arial"/>
            </a:rPr>
            <a:t>YlabelLeft</a:t>
          </a:r>
        </a:p>
      </cdr:txBody>
    </cdr:sp>
  </cdr:relSizeAnchor>
  <cdr:relSizeAnchor xmlns:cdr="http://schemas.openxmlformats.org/drawingml/2006/chartDrawing">
    <cdr:from>
      <cdr:x>0.41197</cdr:x>
      <cdr:y>0.00834</cdr:y>
    </cdr:from>
    <cdr:to>
      <cdr:x>1</cdr:x>
      <cdr:y>0.05085</cdr:y>
    </cdr:to>
    <cdr:sp macro="" textlink="">
      <cdr:nvSpPr>
        <cdr:cNvPr id="10" name="ylabelright"/>
        <cdr:cNvSpPr txBox="1"/>
      </cdr:nvSpPr>
      <cdr:spPr>
        <a:xfrm xmlns:a="http://schemas.openxmlformats.org/drawingml/2006/main">
          <a:off x="2643372" y="50864"/>
          <a:ext cx="3773081" cy="2592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r"/>
          <a:r>
            <a:rPr lang="en-GB" sz="1600" b="0" i="0" u="none">
              <a:solidFill>
                <a:srgbClr val="000000"/>
              </a:solidFill>
              <a:latin typeface="Arial"/>
            </a:rPr>
            <a:t>Vacancy rate (V/L, JOLTS, CPS)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5" name="FRBMDAxes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6" name="FRBPixelSiz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 i="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7" name="FRBMDRecession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8" name="FRBMDH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0.05777</cdr:x>
      <cdr:y>0.06839</cdr:y>
    </cdr:from>
    <cdr:to>
      <cdr:x>0.87535</cdr:x>
      <cdr:y>0.06839</cdr:y>
    </cdr:to>
    <cdr:cxnSp macro="">
      <cdr:nvCxnSpPr>
        <cdr:cNvPr id="19" name="FRBMDHlineConnector" hidden="1"/>
        <cdr:cNvCxnSpPr/>
      </cdr:nvCxnSpPr>
      <cdr:spPr>
        <a:xfrm xmlns:a="http://schemas.openxmlformats.org/drawingml/2006/main">
          <a:off x="370097" y="416459"/>
          <a:ext cx="5238025" cy="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20" name="FRBMDV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0.05777</cdr:x>
      <cdr:y>0.06839</cdr:y>
    </cdr:from>
    <cdr:to>
      <cdr:x>0.05777</cdr:x>
      <cdr:y>0.90604</cdr:y>
    </cdr:to>
    <cdr:cxnSp macro="">
      <cdr:nvCxnSpPr>
        <cdr:cNvPr id="21" name="FRBMDVlineConnector" hidden="1"/>
        <cdr:cNvCxnSpPr/>
      </cdr:nvCxnSpPr>
      <cdr:spPr>
        <a:xfrm xmlns:a="http://schemas.openxmlformats.org/drawingml/2006/main">
          <a:off x="370097" y="416459"/>
          <a:ext cx="0" cy="510061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22" name="FRBEvents" descr="!*FRB*!!*FRB*!!*FRB*!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23" name="FRBMDSeriesMarkers: Actual Beveridge curv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0.46957</cdr:x>
      <cdr:y>0.36719</cdr:y>
    </cdr:from>
    <cdr:to>
      <cdr:x>0.82561</cdr:x>
      <cdr:y>0.40594</cdr:y>
    </cdr:to>
    <cdr:sp macro="" textlink="">
      <cdr:nvSpPr>
        <cdr:cNvPr id="24" name="SeriesLabel: Actual Beveridge curve"/>
        <cdr:cNvSpPr txBox="1"/>
      </cdr:nvSpPr>
      <cdr:spPr>
        <a:xfrm xmlns:a="http://schemas.openxmlformats.org/drawingml/2006/main">
          <a:off x="3008419" y="2235893"/>
          <a:ext cx="2281010" cy="235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solidFill>
                <a:sysClr val="windowText" lastClr="000000"/>
              </a:solidFill>
              <a:latin typeface="Arial"/>
            </a:rPr>
            <a:t>Actual Beveridge curve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25" name="FRBMDSeriesMarkers: Implied by constant search intensity of employed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0.4214</cdr:x>
      <cdr:y>0.74223</cdr:y>
    </cdr:from>
    <cdr:to>
      <cdr:x>0.84325</cdr:x>
      <cdr:y>0.81973</cdr:y>
    </cdr:to>
    <cdr:sp macro="" textlink="">
      <cdr:nvSpPr>
        <cdr:cNvPr id="26" name="SeriesLabel: Implied by constant search intensity of employed"/>
        <cdr:cNvSpPr txBox="1"/>
      </cdr:nvSpPr>
      <cdr:spPr>
        <a:xfrm xmlns:a="http://schemas.openxmlformats.org/drawingml/2006/main">
          <a:off x="2699803" y="4519581"/>
          <a:ext cx="2702663" cy="4719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solidFill>
                <a:sysClr val="windowText" lastClr="000000"/>
              </a:solidFill>
              <a:latin typeface="Arial"/>
            </a:rPr>
            <a:t>Implied by constant search </a:t>
          </a:r>
        </a:p>
        <a:p xmlns:a="http://schemas.openxmlformats.org/drawingml/2006/main">
          <a:pPr algn="ctr"/>
          <a:r>
            <a:rPr lang="en-GB" sz="1600" b="1" i="0" u="none">
              <a:solidFill>
                <a:sysClr val="windowText" lastClr="000000"/>
              </a:solidFill>
              <a:latin typeface="Arial"/>
            </a:rPr>
            <a:t>intensity of employed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2.emf"/><Relationship Id="rId21" Type="http://schemas.openxmlformats.org/officeDocument/2006/relationships/control" Target="../activeX/activeX10.xml"/><Relationship Id="rId42" Type="http://schemas.openxmlformats.org/officeDocument/2006/relationships/control" Target="../activeX/activeX21.xml"/><Relationship Id="rId47" Type="http://schemas.openxmlformats.org/officeDocument/2006/relationships/image" Target="../media/image22.emf"/><Relationship Id="rId63" Type="http://schemas.openxmlformats.org/officeDocument/2006/relationships/control" Target="../activeX/activeX32.xml"/><Relationship Id="rId68" Type="http://schemas.openxmlformats.org/officeDocument/2006/relationships/image" Target="../media/image32.emf"/><Relationship Id="rId84" Type="http://schemas.openxmlformats.org/officeDocument/2006/relationships/image" Target="../media/image40.emf"/><Relationship Id="rId89" Type="http://schemas.openxmlformats.org/officeDocument/2006/relationships/image" Target="../media/image42.emf"/><Relationship Id="rId2" Type="http://schemas.openxmlformats.org/officeDocument/2006/relationships/vmlDrawing" Target="../drawings/vmlDrawing1.vml"/><Relationship Id="rId16" Type="http://schemas.openxmlformats.org/officeDocument/2006/relationships/image" Target="../media/image7.emf"/><Relationship Id="rId29" Type="http://schemas.openxmlformats.org/officeDocument/2006/relationships/control" Target="../activeX/activeX14.xml"/><Relationship Id="rId107" Type="http://schemas.openxmlformats.org/officeDocument/2006/relationships/image" Target="../media/image51.emf"/><Relationship Id="rId11" Type="http://schemas.openxmlformats.org/officeDocument/2006/relationships/control" Target="../activeX/activeX5.xml"/><Relationship Id="rId24" Type="http://schemas.openxmlformats.org/officeDocument/2006/relationships/image" Target="../media/image11.emf"/><Relationship Id="rId32" Type="http://schemas.openxmlformats.org/officeDocument/2006/relationships/control" Target="../activeX/activeX16.xml"/><Relationship Id="rId37" Type="http://schemas.openxmlformats.org/officeDocument/2006/relationships/image" Target="../media/image17.emf"/><Relationship Id="rId40" Type="http://schemas.openxmlformats.org/officeDocument/2006/relationships/control" Target="../activeX/activeX20.xml"/><Relationship Id="rId45" Type="http://schemas.openxmlformats.org/officeDocument/2006/relationships/image" Target="../media/image21.emf"/><Relationship Id="rId53" Type="http://schemas.openxmlformats.org/officeDocument/2006/relationships/image" Target="../media/image25.emf"/><Relationship Id="rId58" Type="http://schemas.openxmlformats.org/officeDocument/2006/relationships/control" Target="../activeX/activeX29.xml"/><Relationship Id="rId66" Type="http://schemas.openxmlformats.org/officeDocument/2006/relationships/image" Target="../media/image31.emf"/><Relationship Id="rId74" Type="http://schemas.openxmlformats.org/officeDocument/2006/relationships/image" Target="../media/image35.emf"/><Relationship Id="rId79" Type="http://schemas.openxmlformats.org/officeDocument/2006/relationships/control" Target="../activeX/activeX40.xml"/><Relationship Id="rId87" Type="http://schemas.openxmlformats.org/officeDocument/2006/relationships/image" Target="../media/image41.emf"/><Relationship Id="rId102" Type="http://schemas.openxmlformats.org/officeDocument/2006/relationships/control" Target="../activeX/activeX52.xml"/><Relationship Id="rId110" Type="http://schemas.openxmlformats.org/officeDocument/2006/relationships/control" Target="../activeX/activeX56.xml"/><Relationship Id="rId5" Type="http://schemas.openxmlformats.org/officeDocument/2006/relationships/control" Target="../activeX/activeX2.xml"/><Relationship Id="rId61" Type="http://schemas.openxmlformats.org/officeDocument/2006/relationships/control" Target="../activeX/activeX31.xml"/><Relationship Id="rId82" Type="http://schemas.openxmlformats.org/officeDocument/2006/relationships/image" Target="../media/image39.emf"/><Relationship Id="rId90" Type="http://schemas.openxmlformats.org/officeDocument/2006/relationships/control" Target="../activeX/activeX46.xml"/><Relationship Id="rId95" Type="http://schemas.openxmlformats.org/officeDocument/2006/relationships/image" Target="../media/image45.emf"/><Relationship Id="rId19" Type="http://schemas.openxmlformats.org/officeDocument/2006/relationships/control" Target="../activeX/activeX9.xml"/><Relationship Id="rId14" Type="http://schemas.openxmlformats.org/officeDocument/2006/relationships/image" Target="../media/image6.emf"/><Relationship Id="rId22" Type="http://schemas.openxmlformats.org/officeDocument/2006/relationships/image" Target="../media/image10.emf"/><Relationship Id="rId27" Type="http://schemas.openxmlformats.org/officeDocument/2006/relationships/control" Target="../activeX/activeX13.xml"/><Relationship Id="rId30" Type="http://schemas.openxmlformats.org/officeDocument/2006/relationships/image" Target="../media/image14.emf"/><Relationship Id="rId35" Type="http://schemas.openxmlformats.org/officeDocument/2006/relationships/image" Target="../media/image16.emf"/><Relationship Id="rId43" Type="http://schemas.openxmlformats.org/officeDocument/2006/relationships/image" Target="../media/image20.emf"/><Relationship Id="rId48" Type="http://schemas.openxmlformats.org/officeDocument/2006/relationships/control" Target="../activeX/activeX24.xml"/><Relationship Id="rId56" Type="http://schemas.openxmlformats.org/officeDocument/2006/relationships/control" Target="../activeX/activeX28.xml"/><Relationship Id="rId64" Type="http://schemas.openxmlformats.org/officeDocument/2006/relationships/image" Target="../media/image30.emf"/><Relationship Id="rId69" Type="http://schemas.openxmlformats.org/officeDocument/2006/relationships/control" Target="../activeX/activeX35.xml"/><Relationship Id="rId77" Type="http://schemas.openxmlformats.org/officeDocument/2006/relationships/control" Target="../activeX/activeX39.xml"/><Relationship Id="rId100" Type="http://schemas.openxmlformats.org/officeDocument/2006/relationships/control" Target="../activeX/activeX51.xml"/><Relationship Id="rId105" Type="http://schemas.openxmlformats.org/officeDocument/2006/relationships/image" Target="../media/image50.emf"/><Relationship Id="rId8" Type="http://schemas.openxmlformats.org/officeDocument/2006/relationships/image" Target="../media/image3.emf"/><Relationship Id="rId51" Type="http://schemas.openxmlformats.org/officeDocument/2006/relationships/image" Target="../media/image24.emf"/><Relationship Id="rId72" Type="http://schemas.openxmlformats.org/officeDocument/2006/relationships/image" Target="../media/image34.emf"/><Relationship Id="rId80" Type="http://schemas.openxmlformats.org/officeDocument/2006/relationships/image" Target="../media/image38.emf"/><Relationship Id="rId85" Type="http://schemas.openxmlformats.org/officeDocument/2006/relationships/control" Target="../activeX/activeX43.xml"/><Relationship Id="rId93" Type="http://schemas.openxmlformats.org/officeDocument/2006/relationships/image" Target="../media/image44.emf"/><Relationship Id="rId98" Type="http://schemas.openxmlformats.org/officeDocument/2006/relationships/control" Target="../activeX/activeX50.xml"/><Relationship Id="rId3" Type="http://schemas.openxmlformats.org/officeDocument/2006/relationships/control" Target="../activeX/activeX1.xml"/><Relationship Id="rId12" Type="http://schemas.openxmlformats.org/officeDocument/2006/relationships/image" Target="../media/image5.emf"/><Relationship Id="rId17" Type="http://schemas.openxmlformats.org/officeDocument/2006/relationships/control" Target="../activeX/activeX8.xml"/><Relationship Id="rId25" Type="http://schemas.openxmlformats.org/officeDocument/2006/relationships/control" Target="../activeX/activeX12.xml"/><Relationship Id="rId33" Type="http://schemas.openxmlformats.org/officeDocument/2006/relationships/image" Target="../media/image15.emf"/><Relationship Id="rId38" Type="http://schemas.openxmlformats.org/officeDocument/2006/relationships/control" Target="../activeX/activeX19.xml"/><Relationship Id="rId46" Type="http://schemas.openxmlformats.org/officeDocument/2006/relationships/control" Target="../activeX/activeX23.xml"/><Relationship Id="rId59" Type="http://schemas.openxmlformats.org/officeDocument/2006/relationships/control" Target="../activeX/activeX30.xml"/><Relationship Id="rId67" Type="http://schemas.openxmlformats.org/officeDocument/2006/relationships/control" Target="../activeX/activeX34.xml"/><Relationship Id="rId103" Type="http://schemas.openxmlformats.org/officeDocument/2006/relationships/image" Target="../media/image49.emf"/><Relationship Id="rId108" Type="http://schemas.openxmlformats.org/officeDocument/2006/relationships/control" Target="../activeX/activeX55.xml"/><Relationship Id="rId20" Type="http://schemas.openxmlformats.org/officeDocument/2006/relationships/image" Target="../media/image9.emf"/><Relationship Id="rId41" Type="http://schemas.openxmlformats.org/officeDocument/2006/relationships/image" Target="../media/image19.emf"/><Relationship Id="rId54" Type="http://schemas.openxmlformats.org/officeDocument/2006/relationships/control" Target="../activeX/activeX27.xml"/><Relationship Id="rId62" Type="http://schemas.openxmlformats.org/officeDocument/2006/relationships/image" Target="../media/image29.emf"/><Relationship Id="rId70" Type="http://schemas.openxmlformats.org/officeDocument/2006/relationships/image" Target="../media/image33.emf"/><Relationship Id="rId75" Type="http://schemas.openxmlformats.org/officeDocument/2006/relationships/control" Target="../activeX/activeX38.xml"/><Relationship Id="rId83" Type="http://schemas.openxmlformats.org/officeDocument/2006/relationships/control" Target="../activeX/activeX42.xml"/><Relationship Id="rId88" Type="http://schemas.openxmlformats.org/officeDocument/2006/relationships/control" Target="../activeX/activeX45.xml"/><Relationship Id="rId91" Type="http://schemas.openxmlformats.org/officeDocument/2006/relationships/image" Target="../media/image43.emf"/><Relationship Id="rId96" Type="http://schemas.openxmlformats.org/officeDocument/2006/relationships/control" Target="../activeX/activeX49.xml"/><Relationship Id="rId111" Type="http://schemas.openxmlformats.org/officeDocument/2006/relationships/image" Target="../media/image53.emf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5" Type="http://schemas.openxmlformats.org/officeDocument/2006/relationships/control" Target="../activeX/activeX7.xml"/><Relationship Id="rId23" Type="http://schemas.openxmlformats.org/officeDocument/2006/relationships/control" Target="../activeX/activeX11.xml"/><Relationship Id="rId28" Type="http://schemas.openxmlformats.org/officeDocument/2006/relationships/image" Target="../media/image13.emf"/><Relationship Id="rId36" Type="http://schemas.openxmlformats.org/officeDocument/2006/relationships/control" Target="../activeX/activeX18.xml"/><Relationship Id="rId49" Type="http://schemas.openxmlformats.org/officeDocument/2006/relationships/image" Target="../media/image23.emf"/><Relationship Id="rId57" Type="http://schemas.openxmlformats.org/officeDocument/2006/relationships/image" Target="../media/image27.emf"/><Relationship Id="rId106" Type="http://schemas.openxmlformats.org/officeDocument/2006/relationships/control" Target="../activeX/activeX54.xml"/><Relationship Id="rId10" Type="http://schemas.openxmlformats.org/officeDocument/2006/relationships/image" Target="../media/image4.emf"/><Relationship Id="rId31" Type="http://schemas.openxmlformats.org/officeDocument/2006/relationships/control" Target="../activeX/activeX15.xml"/><Relationship Id="rId44" Type="http://schemas.openxmlformats.org/officeDocument/2006/relationships/control" Target="../activeX/activeX22.xml"/><Relationship Id="rId52" Type="http://schemas.openxmlformats.org/officeDocument/2006/relationships/control" Target="../activeX/activeX26.xml"/><Relationship Id="rId60" Type="http://schemas.openxmlformats.org/officeDocument/2006/relationships/image" Target="../media/image28.emf"/><Relationship Id="rId65" Type="http://schemas.openxmlformats.org/officeDocument/2006/relationships/control" Target="../activeX/activeX33.xml"/><Relationship Id="rId73" Type="http://schemas.openxmlformats.org/officeDocument/2006/relationships/control" Target="../activeX/activeX37.xml"/><Relationship Id="rId78" Type="http://schemas.openxmlformats.org/officeDocument/2006/relationships/image" Target="../media/image37.emf"/><Relationship Id="rId81" Type="http://schemas.openxmlformats.org/officeDocument/2006/relationships/control" Target="../activeX/activeX41.xml"/><Relationship Id="rId86" Type="http://schemas.openxmlformats.org/officeDocument/2006/relationships/control" Target="../activeX/activeX44.xml"/><Relationship Id="rId94" Type="http://schemas.openxmlformats.org/officeDocument/2006/relationships/control" Target="../activeX/activeX48.xml"/><Relationship Id="rId99" Type="http://schemas.openxmlformats.org/officeDocument/2006/relationships/image" Target="../media/image47.emf"/><Relationship Id="rId101" Type="http://schemas.openxmlformats.org/officeDocument/2006/relationships/image" Target="../media/image48.emf"/><Relationship Id="rId4" Type="http://schemas.openxmlformats.org/officeDocument/2006/relationships/image" Target="../media/image1.emf"/><Relationship Id="rId9" Type="http://schemas.openxmlformats.org/officeDocument/2006/relationships/control" Target="../activeX/activeX4.xml"/><Relationship Id="rId13" Type="http://schemas.openxmlformats.org/officeDocument/2006/relationships/control" Target="../activeX/activeX6.xml"/><Relationship Id="rId18" Type="http://schemas.openxmlformats.org/officeDocument/2006/relationships/image" Target="../media/image8.emf"/><Relationship Id="rId39" Type="http://schemas.openxmlformats.org/officeDocument/2006/relationships/image" Target="../media/image18.emf"/><Relationship Id="rId109" Type="http://schemas.openxmlformats.org/officeDocument/2006/relationships/image" Target="../media/image52.emf"/><Relationship Id="rId34" Type="http://schemas.openxmlformats.org/officeDocument/2006/relationships/control" Target="../activeX/activeX17.xml"/><Relationship Id="rId50" Type="http://schemas.openxmlformats.org/officeDocument/2006/relationships/control" Target="../activeX/activeX25.xml"/><Relationship Id="rId55" Type="http://schemas.openxmlformats.org/officeDocument/2006/relationships/image" Target="../media/image26.emf"/><Relationship Id="rId76" Type="http://schemas.openxmlformats.org/officeDocument/2006/relationships/image" Target="../media/image36.emf"/><Relationship Id="rId97" Type="http://schemas.openxmlformats.org/officeDocument/2006/relationships/image" Target="../media/image46.emf"/><Relationship Id="rId104" Type="http://schemas.openxmlformats.org/officeDocument/2006/relationships/control" Target="../activeX/activeX53.xml"/><Relationship Id="rId7" Type="http://schemas.openxmlformats.org/officeDocument/2006/relationships/control" Target="../activeX/activeX3.xml"/><Relationship Id="rId71" Type="http://schemas.openxmlformats.org/officeDocument/2006/relationships/control" Target="../activeX/activeX36.xml"/><Relationship Id="rId92" Type="http://schemas.openxmlformats.org/officeDocument/2006/relationships/control" Target="../activeX/activeX4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6"/>
  <sheetViews>
    <sheetView workbookViewId="0">
      <pane activePane="bottomRight" state="frozen"/>
    </sheetView>
  </sheetViews>
  <sheetFormatPr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6" spans="1:1" x14ac:dyDescent="0.2">
      <c r="A16" t="s">
        <v>12</v>
      </c>
    </row>
    <row r="17" spans="1:21" x14ac:dyDescent="0.2">
      <c r="A17" t="s">
        <v>13</v>
      </c>
    </row>
    <row r="18" spans="1:21" x14ac:dyDescent="0.2">
      <c r="A18" t="s">
        <v>14</v>
      </c>
    </row>
    <row r="19" spans="1:21" x14ac:dyDescent="0.2">
      <c r="A19" t="s">
        <v>15</v>
      </c>
    </row>
    <row r="20" spans="1:21" x14ac:dyDescent="0.2">
      <c r="A20" t="s">
        <v>16</v>
      </c>
    </row>
    <row r="21" spans="1:21" x14ac:dyDescent="0.2">
      <c r="A21" t="s">
        <v>17</v>
      </c>
    </row>
    <row r="22" spans="1:21" x14ac:dyDescent="0.2">
      <c r="A22" t="s">
        <v>18</v>
      </c>
    </row>
    <row r="23" spans="1:21" x14ac:dyDescent="0.2">
      <c r="A23" t="s">
        <v>19</v>
      </c>
    </row>
    <row r="24" spans="1:21" x14ac:dyDescent="0.2">
      <c r="A24" t="s">
        <v>20</v>
      </c>
    </row>
    <row r="27" spans="1:21" x14ac:dyDescent="0.2">
      <c r="A27" t="s">
        <v>21</v>
      </c>
    </row>
    <row r="29" spans="1:21" x14ac:dyDescent="0.2">
      <c r="A29" t="s">
        <v>22</v>
      </c>
      <c r="B29" t="s">
        <v>23</v>
      </c>
      <c r="C29" t="s">
        <v>24</v>
      </c>
      <c r="D29" t="s">
        <v>25</v>
      </c>
      <c r="E29" t="s">
        <v>26</v>
      </c>
      <c r="F29" t="s">
        <v>27</v>
      </c>
      <c r="G29" t="s">
        <v>28</v>
      </c>
      <c r="H29" t="s">
        <v>29</v>
      </c>
      <c r="I29" t="s">
        <v>30</v>
      </c>
      <c r="J29" t="s">
        <v>31</v>
      </c>
      <c r="K29" t="s">
        <v>32</v>
      </c>
      <c r="L29" t="s">
        <v>33</v>
      </c>
      <c r="M29" t="s">
        <v>34</v>
      </c>
      <c r="N29" t="s">
        <v>35</v>
      </c>
      <c r="O29" t="s">
        <v>36</v>
      </c>
      <c r="P29" t="s">
        <v>37</v>
      </c>
      <c r="Q29" t="s">
        <v>38</v>
      </c>
      <c r="R29" t="s">
        <v>39</v>
      </c>
      <c r="S29" t="s">
        <v>40</v>
      </c>
      <c r="T29" t="s">
        <v>41</v>
      </c>
    </row>
    <row r="30" spans="1:21" x14ac:dyDescent="0.2">
      <c r="A30">
        <v>1.4</v>
      </c>
      <c r="B30">
        <v>58.4</v>
      </c>
      <c r="C30">
        <v>0.8</v>
      </c>
      <c r="D30">
        <v>1.6</v>
      </c>
      <c r="E30">
        <v>0.9</v>
      </c>
      <c r="F30">
        <v>2.1</v>
      </c>
      <c r="G30">
        <v>0.9</v>
      </c>
      <c r="H30">
        <v>1.5</v>
      </c>
      <c r="I30">
        <v>0.9</v>
      </c>
      <c r="J30">
        <v>31.5</v>
      </c>
      <c r="K30">
        <v>2.2000000000000002</v>
      </c>
      <c r="L30">
        <v>93.8</v>
      </c>
      <c r="M30">
        <v>1.3</v>
      </c>
      <c r="N30">
        <v>2.6</v>
      </c>
      <c r="O30">
        <v>25.5</v>
      </c>
      <c r="P30">
        <v>51.7</v>
      </c>
      <c r="Q30">
        <v>22.8</v>
      </c>
      <c r="R30">
        <v>4.5</v>
      </c>
      <c r="S30">
        <v>2.5</v>
      </c>
      <c r="T30">
        <v>92.9</v>
      </c>
    </row>
    <row r="32" spans="1:21" x14ac:dyDescent="0.2">
      <c r="A32" t="s">
        <v>42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 t="s">
        <v>28</v>
      </c>
      <c r="I32" t="s">
        <v>29</v>
      </c>
      <c r="J32" t="s">
        <v>30</v>
      </c>
      <c r="K32" t="s">
        <v>31</v>
      </c>
      <c r="L32" t="s">
        <v>32</v>
      </c>
      <c r="M32" t="s">
        <v>33</v>
      </c>
      <c r="N32" t="s">
        <v>34</v>
      </c>
      <c r="O32" t="s">
        <v>35</v>
      </c>
      <c r="P32" t="s">
        <v>36</v>
      </c>
      <c r="Q32" t="s">
        <v>37</v>
      </c>
      <c r="R32" t="s">
        <v>38</v>
      </c>
      <c r="S32" t="s">
        <v>39</v>
      </c>
      <c r="T32" t="s">
        <v>40</v>
      </c>
      <c r="U32" t="s">
        <v>41</v>
      </c>
    </row>
    <row r="33" spans="1:21" x14ac:dyDescent="0.2">
      <c r="A33" t="s">
        <v>43</v>
      </c>
      <c r="B33">
        <v>2.1</v>
      </c>
      <c r="C33">
        <v>57</v>
      </c>
      <c r="D33">
        <v>0.9</v>
      </c>
      <c r="E33">
        <v>1.5</v>
      </c>
      <c r="F33">
        <v>1.2</v>
      </c>
      <c r="G33">
        <v>2.6</v>
      </c>
      <c r="H33">
        <v>0.9</v>
      </c>
      <c r="I33">
        <v>1.6</v>
      </c>
      <c r="J33">
        <v>1</v>
      </c>
      <c r="K33">
        <v>31.1</v>
      </c>
      <c r="L33">
        <v>3.4</v>
      </c>
      <c r="M33">
        <v>92.8</v>
      </c>
      <c r="N33">
        <v>1.4</v>
      </c>
      <c r="O33">
        <v>2.4</v>
      </c>
      <c r="P33">
        <v>25.1</v>
      </c>
      <c r="Q33">
        <v>55.1</v>
      </c>
      <c r="R33">
        <v>19.8</v>
      </c>
      <c r="S33">
        <v>4.7</v>
      </c>
      <c r="T33">
        <v>3.1</v>
      </c>
      <c r="U33">
        <v>92.2</v>
      </c>
    </row>
    <row r="34" spans="1:21" x14ac:dyDescent="0.2">
      <c r="A34" t="s">
        <v>44</v>
      </c>
      <c r="B34">
        <v>1.7</v>
      </c>
      <c r="C34">
        <v>57.5</v>
      </c>
      <c r="D34">
        <v>0.8</v>
      </c>
      <c r="E34">
        <v>1.4</v>
      </c>
      <c r="F34">
        <v>1.1000000000000001</v>
      </c>
      <c r="G34">
        <v>2.2999999999999998</v>
      </c>
      <c r="H34">
        <v>0.9</v>
      </c>
      <c r="I34">
        <v>1.5</v>
      </c>
      <c r="J34">
        <v>1</v>
      </c>
      <c r="K34">
        <v>31.8</v>
      </c>
      <c r="L34">
        <v>2.7</v>
      </c>
      <c r="M34">
        <v>93.8</v>
      </c>
      <c r="N34">
        <v>1.2</v>
      </c>
      <c r="O34">
        <v>2.2000000000000002</v>
      </c>
      <c r="P34">
        <v>24.8</v>
      </c>
      <c r="Q34">
        <v>53.7</v>
      </c>
      <c r="R34">
        <v>21.5</v>
      </c>
      <c r="S34">
        <v>4.4000000000000004</v>
      </c>
      <c r="T34">
        <v>3</v>
      </c>
      <c r="U34">
        <v>92.7</v>
      </c>
    </row>
    <row r="35" spans="1:21" x14ac:dyDescent="0.2">
      <c r="A35" t="s">
        <v>45</v>
      </c>
      <c r="B35">
        <v>1.8</v>
      </c>
      <c r="C35">
        <v>57.4</v>
      </c>
      <c r="D35">
        <v>0.9</v>
      </c>
      <c r="E35">
        <v>1.4</v>
      </c>
      <c r="F35">
        <v>1.2</v>
      </c>
      <c r="G35">
        <v>2.1</v>
      </c>
      <c r="H35">
        <v>0.9</v>
      </c>
      <c r="I35">
        <v>1.4</v>
      </c>
      <c r="J35">
        <v>0.9</v>
      </c>
      <c r="K35">
        <v>31.9</v>
      </c>
      <c r="L35">
        <v>2.9</v>
      </c>
      <c r="M35">
        <v>93.4</v>
      </c>
      <c r="N35">
        <v>1.4</v>
      </c>
      <c r="O35">
        <v>2.2999999999999998</v>
      </c>
      <c r="P35">
        <v>28.4</v>
      </c>
      <c r="Q35">
        <v>49.4</v>
      </c>
      <c r="R35">
        <v>22.1</v>
      </c>
      <c r="S35">
        <v>4.0999999999999996</v>
      </c>
      <c r="T35">
        <v>2.7</v>
      </c>
      <c r="U35">
        <v>93.2</v>
      </c>
    </row>
    <row r="36" spans="1:21" x14ac:dyDescent="0.2">
      <c r="A36" t="s">
        <v>46</v>
      </c>
      <c r="B36">
        <v>1.7</v>
      </c>
      <c r="C36">
        <v>57.8</v>
      </c>
      <c r="D36">
        <v>0.7</v>
      </c>
      <c r="E36">
        <v>1.5</v>
      </c>
      <c r="F36">
        <v>1.2</v>
      </c>
      <c r="G36">
        <v>2</v>
      </c>
      <c r="H36">
        <v>0.9</v>
      </c>
      <c r="I36">
        <v>1.6</v>
      </c>
      <c r="J36">
        <v>0.9</v>
      </c>
      <c r="K36">
        <v>31.6</v>
      </c>
      <c r="L36">
        <v>2.8</v>
      </c>
      <c r="M36">
        <v>93.6</v>
      </c>
      <c r="N36">
        <v>1.2</v>
      </c>
      <c r="O36">
        <v>2.4</v>
      </c>
      <c r="P36">
        <v>29.5</v>
      </c>
      <c r="Q36">
        <v>47.9</v>
      </c>
      <c r="R36">
        <v>22.6</v>
      </c>
      <c r="S36">
        <v>4.5999999999999996</v>
      </c>
      <c r="T36">
        <v>2.8</v>
      </c>
      <c r="U36">
        <v>92.7</v>
      </c>
    </row>
    <row r="37" spans="1:21" x14ac:dyDescent="0.2">
      <c r="A37" t="s">
        <v>47</v>
      </c>
      <c r="B37">
        <v>2.2000000000000002</v>
      </c>
      <c r="C37">
        <v>57.5</v>
      </c>
      <c r="D37">
        <v>1.1000000000000001</v>
      </c>
      <c r="E37">
        <v>1.7</v>
      </c>
      <c r="F37">
        <v>1</v>
      </c>
      <c r="G37">
        <v>1.7</v>
      </c>
      <c r="H37">
        <v>0.9</v>
      </c>
      <c r="I37">
        <v>2.1</v>
      </c>
      <c r="J37">
        <v>1.3</v>
      </c>
      <c r="K37">
        <v>30.6</v>
      </c>
      <c r="L37">
        <v>3.5</v>
      </c>
      <c r="M37">
        <v>92.1</v>
      </c>
      <c r="N37">
        <v>1.7</v>
      </c>
      <c r="O37">
        <v>2.7</v>
      </c>
      <c r="P37">
        <v>27.4</v>
      </c>
      <c r="Q37">
        <v>47.4</v>
      </c>
      <c r="R37">
        <v>25.2</v>
      </c>
      <c r="S37">
        <v>6.3</v>
      </c>
      <c r="T37">
        <v>3.7</v>
      </c>
      <c r="U37">
        <v>90</v>
      </c>
    </row>
    <row r="38" spans="1:21" x14ac:dyDescent="0.2">
      <c r="A38" t="s">
        <v>48</v>
      </c>
      <c r="B38">
        <v>1.9</v>
      </c>
      <c r="C38">
        <v>58.8</v>
      </c>
      <c r="D38">
        <v>1</v>
      </c>
      <c r="E38">
        <v>1.6</v>
      </c>
      <c r="F38">
        <v>1.2</v>
      </c>
      <c r="G38">
        <v>1.9</v>
      </c>
      <c r="H38">
        <v>0.9</v>
      </c>
      <c r="I38">
        <v>1.6</v>
      </c>
      <c r="J38">
        <v>1</v>
      </c>
      <c r="K38">
        <v>30</v>
      </c>
      <c r="L38">
        <v>3</v>
      </c>
      <c r="M38">
        <v>92.8</v>
      </c>
      <c r="N38">
        <v>1.6</v>
      </c>
      <c r="O38">
        <v>2.6</v>
      </c>
      <c r="P38">
        <v>29.3</v>
      </c>
      <c r="Q38">
        <v>48.4</v>
      </c>
      <c r="R38">
        <v>22.3</v>
      </c>
      <c r="S38">
        <v>4.8</v>
      </c>
      <c r="T38">
        <v>3.2</v>
      </c>
      <c r="U38">
        <v>92</v>
      </c>
    </row>
    <row r="39" spans="1:21" x14ac:dyDescent="0.2">
      <c r="A39" t="s">
        <v>49</v>
      </c>
      <c r="B39">
        <v>1.9</v>
      </c>
      <c r="C39">
        <v>58.6</v>
      </c>
      <c r="D39">
        <v>0.9</v>
      </c>
      <c r="E39">
        <v>1.9</v>
      </c>
      <c r="F39">
        <v>1.1000000000000001</v>
      </c>
      <c r="G39">
        <v>2</v>
      </c>
      <c r="H39">
        <v>1</v>
      </c>
      <c r="I39">
        <v>1.5</v>
      </c>
      <c r="J39">
        <v>1</v>
      </c>
      <c r="K39">
        <v>30.2</v>
      </c>
      <c r="L39">
        <v>2.9</v>
      </c>
      <c r="M39">
        <v>92.7</v>
      </c>
      <c r="N39">
        <v>1.5</v>
      </c>
      <c r="O39">
        <v>2.9</v>
      </c>
      <c r="P39">
        <v>26.3</v>
      </c>
      <c r="Q39">
        <v>49.6</v>
      </c>
      <c r="R39">
        <v>24.2</v>
      </c>
      <c r="S39">
        <v>4.5</v>
      </c>
      <c r="T39">
        <v>3</v>
      </c>
      <c r="U39">
        <v>92.5</v>
      </c>
    </row>
    <row r="40" spans="1:21" x14ac:dyDescent="0.2">
      <c r="A40" t="s">
        <v>50</v>
      </c>
      <c r="B40">
        <v>2.6</v>
      </c>
      <c r="C40">
        <v>57.1</v>
      </c>
      <c r="D40">
        <v>1</v>
      </c>
      <c r="E40">
        <v>2.5</v>
      </c>
      <c r="F40">
        <v>1.2</v>
      </c>
      <c r="G40">
        <v>1.7</v>
      </c>
      <c r="H40">
        <v>0.9</v>
      </c>
      <c r="I40">
        <v>1.7</v>
      </c>
      <c r="J40">
        <v>0.9</v>
      </c>
      <c r="K40">
        <v>30.4</v>
      </c>
      <c r="L40">
        <v>4.2</v>
      </c>
      <c r="M40">
        <v>90.3</v>
      </c>
      <c r="N40">
        <v>1.6</v>
      </c>
      <c r="O40">
        <v>4</v>
      </c>
      <c r="P40">
        <v>31.6</v>
      </c>
      <c r="Q40">
        <v>44.3</v>
      </c>
      <c r="R40">
        <v>24.1</v>
      </c>
      <c r="S40">
        <v>5.2</v>
      </c>
      <c r="T40">
        <v>2.7</v>
      </c>
      <c r="U40">
        <v>92.1</v>
      </c>
    </row>
    <row r="41" spans="1:21" x14ac:dyDescent="0.2">
      <c r="A41" t="s">
        <v>51</v>
      </c>
      <c r="B41">
        <v>1.7</v>
      </c>
      <c r="C41">
        <v>59.2</v>
      </c>
      <c r="D41">
        <v>0.7</v>
      </c>
      <c r="E41">
        <v>1.4</v>
      </c>
      <c r="F41">
        <v>1</v>
      </c>
      <c r="G41">
        <v>1.8</v>
      </c>
      <c r="H41">
        <v>0.8</v>
      </c>
      <c r="I41">
        <v>1.5</v>
      </c>
      <c r="J41">
        <v>0.9</v>
      </c>
      <c r="K41">
        <v>31</v>
      </c>
      <c r="L41">
        <v>2.8</v>
      </c>
      <c r="M41">
        <v>93.9</v>
      </c>
      <c r="N41">
        <v>1</v>
      </c>
      <c r="O41">
        <v>2.2999999999999998</v>
      </c>
      <c r="P41">
        <v>27.5</v>
      </c>
      <c r="Q41">
        <v>49.8</v>
      </c>
      <c r="R41">
        <v>22.8</v>
      </c>
      <c r="S41">
        <v>4.5</v>
      </c>
      <c r="T41">
        <v>2.7</v>
      </c>
      <c r="U41">
        <v>92.9</v>
      </c>
    </row>
    <row r="42" spans="1:21" x14ac:dyDescent="0.2">
      <c r="A42" t="s">
        <v>52</v>
      </c>
      <c r="B42">
        <v>1.5</v>
      </c>
      <c r="C42">
        <v>59.6</v>
      </c>
      <c r="D42">
        <v>0.9</v>
      </c>
      <c r="E42">
        <v>1.4</v>
      </c>
      <c r="F42">
        <v>0.9</v>
      </c>
      <c r="G42">
        <v>1.7</v>
      </c>
      <c r="H42">
        <v>0.9</v>
      </c>
      <c r="I42">
        <v>1.4</v>
      </c>
      <c r="J42">
        <v>0.8</v>
      </c>
      <c r="K42">
        <v>31</v>
      </c>
      <c r="L42">
        <v>2.4</v>
      </c>
      <c r="M42">
        <v>94</v>
      </c>
      <c r="N42">
        <v>1.4</v>
      </c>
      <c r="O42">
        <v>2.2999999999999998</v>
      </c>
      <c r="P42">
        <v>26.4</v>
      </c>
      <c r="Q42">
        <v>48.4</v>
      </c>
      <c r="R42">
        <v>25.1</v>
      </c>
      <c r="S42">
        <v>4.0999999999999996</v>
      </c>
      <c r="T42">
        <v>2.4</v>
      </c>
      <c r="U42">
        <v>93.5</v>
      </c>
    </row>
    <row r="43" spans="1:21" x14ac:dyDescent="0.2">
      <c r="A43" t="s">
        <v>53</v>
      </c>
      <c r="B43">
        <v>1.4</v>
      </c>
      <c r="C43">
        <v>59.4</v>
      </c>
      <c r="D43">
        <v>0.9</v>
      </c>
      <c r="E43">
        <v>1.5</v>
      </c>
      <c r="F43">
        <v>0.9</v>
      </c>
      <c r="G43">
        <v>1.7</v>
      </c>
      <c r="H43">
        <v>0.9</v>
      </c>
      <c r="I43">
        <v>1.3</v>
      </c>
      <c r="J43">
        <v>0.7</v>
      </c>
      <c r="K43">
        <v>31.2</v>
      </c>
      <c r="L43">
        <v>2.2999999999999998</v>
      </c>
      <c r="M43">
        <v>94</v>
      </c>
      <c r="N43">
        <v>1.4</v>
      </c>
      <c r="O43">
        <v>2.2999999999999998</v>
      </c>
      <c r="P43">
        <v>26.4</v>
      </c>
      <c r="Q43">
        <v>49</v>
      </c>
      <c r="R43">
        <v>24.7</v>
      </c>
      <c r="S43">
        <v>3.9</v>
      </c>
      <c r="T43">
        <v>2.2000000000000002</v>
      </c>
      <c r="U43">
        <v>93.9</v>
      </c>
    </row>
    <row r="44" spans="1:21" x14ac:dyDescent="0.2">
      <c r="A44" t="s">
        <v>54</v>
      </c>
      <c r="B44">
        <v>1.6</v>
      </c>
      <c r="C44">
        <v>58.5</v>
      </c>
      <c r="D44">
        <v>1.3</v>
      </c>
      <c r="E44">
        <v>1.8</v>
      </c>
      <c r="F44">
        <v>0.7</v>
      </c>
      <c r="G44">
        <v>1.7</v>
      </c>
      <c r="H44">
        <v>0.8</v>
      </c>
      <c r="I44">
        <v>1.4</v>
      </c>
      <c r="J44">
        <v>0.9</v>
      </c>
      <c r="K44">
        <v>31.2</v>
      </c>
      <c r="L44">
        <v>2.5</v>
      </c>
      <c r="M44">
        <v>92.6</v>
      </c>
      <c r="N44">
        <v>2</v>
      </c>
      <c r="O44">
        <v>2.8</v>
      </c>
      <c r="P44">
        <v>22.2</v>
      </c>
      <c r="Q44">
        <v>52.3</v>
      </c>
      <c r="R44">
        <v>25.5</v>
      </c>
      <c r="S44">
        <v>4.2</v>
      </c>
      <c r="T44">
        <v>2.7</v>
      </c>
      <c r="U44">
        <v>93.1</v>
      </c>
    </row>
    <row r="45" spans="1:21" x14ac:dyDescent="0.2">
      <c r="A45" t="s">
        <v>55</v>
      </c>
      <c r="B45">
        <v>1.8</v>
      </c>
      <c r="C45">
        <v>58.2</v>
      </c>
      <c r="D45">
        <v>0.9</v>
      </c>
      <c r="E45">
        <v>1.5</v>
      </c>
      <c r="F45">
        <v>1.2</v>
      </c>
      <c r="G45">
        <v>1.8</v>
      </c>
      <c r="H45">
        <v>0.8</v>
      </c>
      <c r="I45">
        <v>1.3</v>
      </c>
      <c r="J45">
        <v>0.8</v>
      </c>
      <c r="K45">
        <v>31.6</v>
      </c>
      <c r="L45">
        <v>2.9</v>
      </c>
      <c r="M45">
        <v>93.3</v>
      </c>
      <c r="N45">
        <v>1.4</v>
      </c>
      <c r="O45">
        <v>2.4</v>
      </c>
      <c r="P45">
        <v>30.5</v>
      </c>
      <c r="Q45">
        <v>47.7</v>
      </c>
      <c r="R45">
        <v>21.8</v>
      </c>
      <c r="S45">
        <v>3.9</v>
      </c>
      <c r="T45">
        <v>2.5</v>
      </c>
      <c r="U45">
        <v>93.6</v>
      </c>
    </row>
    <row r="46" spans="1:21" x14ac:dyDescent="0.2">
      <c r="A46" t="s">
        <v>56</v>
      </c>
      <c r="B46">
        <v>1.5</v>
      </c>
      <c r="C46">
        <v>58.7</v>
      </c>
      <c r="D46">
        <v>0.7</v>
      </c>
      <c r="E46">
        <v>1.3</v>
      </c>
      <c r="F46">
        <v>1</v>
      </c>
      <c r="G46">
        <v>2</v>
      </c>
      <c r="H46">
        <v>0.7</v>
      </c>
      <c r="I46">
        <v>1.4</v>
      </c>
      <c r="J46">
        <v>0.8</v>
      </c>
      <c r="K46">
        <v>31.8</v>
      </c>
      <c r="L46">
        <v>2.5</v>
      </c>
      <c r="M46">
        <v>94.3</v>
      </c>
      <c r="N46">
        <v>1.2</v>
      </c>
      <c r="O46">
        <v>2</v>
      </c>
      <c r="P46">
        <v>27.1</v>
      </c>
      <c r="Q46">
        <v>53</v>
      </c>
      <c r="R46">
        <v>19.899999999999999</v>
      </c>
      <c r="S46">
        <v>4.0999999999999996</v>
      </c>
      <c r="T46">
        <v>2.4</v>
      </c>
      <c r="U46">
        <v>93.5</v>
      </c>
    </row>
    <row r="47" spans="1:21" x14ac:dyDescent="0.2">
      <c r="A47" t="s">
        <v>57</v>
      </c>
      <c r="B47">
        <v>1.5</v>
      </c>
      <c r="C47">
        <v>58.9</v>
      </c>
      <c r="D47">
        <v>0.8</v>
      </c>
      <c r="E47">
        <v>1.4</v>
      </c>
      <c r="F47">
        <v>1</v>
      </c>
      <c r="G47">
        <v>1.8</v>
      </c>
      <c r="H47">
        <v>0.8</v>
      </c>
      <c r="I47">
        <v>1.3</v>
      </c>
      <c r="J47">
        <v>0.9</v>
      </c>
      <c r="K47">
        <v>31.5</v>
      </c>
      <c r="L47">
        <v>2.2999999999999998</v>
      </c>
      <c r="M47">
        <v>94.1</v>
      </c>
      <c r="N47">
        <v>1.3</v>
      </c>
      <c r="O47">
        <v>2.2999999999999998</v>
      </c>
      <c r="P47">
        <v>27.9</v>
      </c>
      <c r="Q47">
        <v>49.5</v>
      </c>
      <c r="R47">
        <v>22.6</v>
      </c>
      <c r="S47">
        <v>3.9</v>
      </c>
      <c r="T47">
        <v>2.6</v>
      </c>
      <c r="U47">
        <v>93.5</v>
      </c>
    </row>
    <row r="48" spans="1:21" x14ac:dyDescent="0.2">
      <c r="A48" t="s">
        <v>58</v>
      </c>
      <c r="B48">
        <v>1.6</v>
      </c>
      <c r="C48">
        <v>58.9</v>
      </c>
      <c r="D48">
        <v>0.7</v>
      </c>
      <c r="E48">
        <v>1.6</v>
      </c>
      <c r="F48">
        <v>1</v>
      </c>
      <c r="G48">
        <v>1.8</v>
      </c>
      <c r="H48">
        <v>0.8</v>
      </c>
      <c r="I48">
        <v>1.3</v>
      </c>
      <c r="J48">
        <v>0.9</v>
      </c>
      <c r="K48">
        <v>31.4</v>
      </c>
      <c r="L48">
        <v>2.5</v>
      </c>
      <c r="M48">
        <v>93.8</v>
      </c>
      <c r="N48">
        <v>1.2</v>
      </c>
      <c r="O48">
        <v>2.5</v>
      </c>
      <c r="P48">
        <v>28.1</v>
      </c>
      <c r="Q48">
        <v>48.8</v>
      </c>
      <c r="R48">
        <v>23.1</v>
      </c>
      <c r="S48">
        <v>3.8</v>
      </c>
      <c r="T48">
        <v>2.8</v>
      </c>
      <c r="U48">
        <v>93.4</v>
      </c>
    </row>
    <row r="49" spans="1:21" x14ac:dyDescent="0.2">
      <c r="A49" t="s">
        <v>59</v>
      </c>
      <c r="B49" t="s">
        <v>60</v>
      </c>
      <c r="C49" t="s">
        <v>60</v>
      </c>
      <c r="D49" t="s">
        <v>60</v>
      </c>
      <c r="E49" t="s">
        <v>60</v>
      </c>
      <c r="F49" t="s">
        <v>60</v>
      </c>
      <c r="G49" t="s">
        <v>60</v>
      </c>
      <c r="H49" t="s">
        <v>60</v>
      </c>
      <c r="I49" t="s">
        <v>60</v>
      </c>
      <c r="J49" t="s">
        <v>60</v>
      </c>
      <c r="K49" t="s">
        <v>60</v>
      </c>
      <c r="L49" t="s">
        <v>60</v>
      </c>
      <c r="M49" t="s">
        <v>60</v>
      </c>
      <c r="N49" t="s">
        <v>60</v>
      </c>
      <c r="O49" t="s">
        <v>60</v>
      </c>
      <c r="P49" t="s">
        <v>60</v>
      </c>
      <c r="Q49" t="s">
        <v>60</v>
      </c>
      <c r="R49" t="s">
        <v>60</v>
      </c>
      <c r="S49" t="s">
        <v>60</v>
      </c>
      <c r="T49" t="s">
        <v>60</v>
      </c>
      <c r="U49" t="s">
        <v>60</v>
      </c>
    </row>
    <row r="50" spans="1:21" x14ac:dyDescent="0.2">
      <c r="A50" t="s">
        <v>61</v>
      </c>
      <c r="B50" t="s">
        <v>60</v>
      </c>
      <c r="C50" t="s">
        <v>60</v>
      </c>
      <c r="D50" t="s">
        <v>60</v>
      </c>
      <c r="E50" t="s">
        <v>60</v>
      </c>
      <c r="F50" t="s">
        <v>60</v>
      </c>
      <c r="G50" t="s">
        <v>60</v>
      </c>
      <c r="H50" t="s">
        <v>60</v>
      </c>
      <c r="I50" t="s">
        <v>60</v>
      </c>
      <c r="J50" t="s">
        <v>60</v>
      </c>
      <c r="K50" t="s">
        <v>60</v>
      </c>
      <c r="L50" t="s">
        <v>60</v>
      </c>
      <c r="M50" t="s">
        <v>60</v>
      </c>
      <c r="N50" t="s">
        <v>60</v>
      </c>
      <c r="O50" t="s">
        <v>60</v>
      </c>
      <c r="P50" t="s">
        <v>60</v>
      </c>
      <c r="Q50" t="s">
        <v>60</v>
      </c>
      <c r="R50" t="s">
        <v>60</v>
      </c>
      <c r="S50" t="s">
        <v>60</v>
      </c>
      <c r="T50" t="s">
        <v>60</v>
      </c>
      <c r="U50" t="s">
        <v>60</v>
      </c>
    </row>
    <row r="51" spans="1:21" x14ac:dyDescent="0.2">
      <c r="A51" t="s">
        <v>62</v>
      </c>
      <c r="B51" t="s">
        <v>60</v>
      </c>
      <c r="C51" t="s">
        <v>60</v>
      </c>
      <c r="D51" t="s">
        <v>60</v>
      </c>
      <c r="E51" t="s">
        <v>60</v>
      </c>
      <c r="F51" t="s">
        <v>60</v>
      </c>
      <c r="G51" t="s">
        <v>60</v>
      </c>
      <c r="H51" t="s">
        <v>60</v>
      </c>
      <c r="I51" t="s">
        <v>60</v>
      </c>
      <c r="J51" t="s">
        <v>60</v>
      </c>
      <c r="K51" t="s">
        <v>60</v>
      </c>
      <c r="L51" t="s">
        <v>60</v>
      </c>
      <c r="M51" t="s">
        <v>60</v>
      </c>
      <c r="N51" t="s">
        <v>60</v>
      </c>
      <c r="O51" t="s">
        <v>60</v>
      </c>
      <c r="P51" t="s">
        <v>60</v>
      </c>
      <c r="Q51" t="s">
        <v>60</v>
      </c>
      <c r="R51" t="s">
        <v>60</v>
      </c>
      <c r="S51" t="s">
        <v>60</v>
      </c>
      <c r="T51" t="s">
        <v>60</v>
      </c>
      <c r="U51" t="s">
        <v>60</v>
      </c>
    </row>
    <row r="52" spans="1:21" x14ac:dyDescent="0.2">
      <c r="A52" t="s">
        <v>63</v>
      </c>
      <c r="B52" t="s">
        <v>60</v>
      </c>
      <c r="C52" t="s">
        <v>60</v>
      </c>
      <c r="D52" t="s">
        <v>60</v>
      </c>
      <c r="E52" t="s">
        <v>60</v>
      </c>
      <c r="F52" t="s">
        <v>60</v>
      </c>
      <c r="G52" t="s">
        <v>60</v>
      </c>
      <c r="H52" t="s">
        <v>60</v>
      </c>
      <c r="I52" t="s">
        <v>60</v>
      </c>
      <c r="J52" t="s">
        <v>60</v>
      </c>
      <c r="K52" t="s">
        <v>60</v>
      </c>
      <c r="L52" t="s">
        <v>60</v>
      </c>
      <c r="M52" t="s">
        <v>60</v>
      </c>
      <c r="N52" t="s">
        <v>60</v>
      </c>
      <c r="O52" t="s">
        <v>60</v>
      </c>
      <c r="P52" t="s">
        <v>60</v>
      </c>
      <c r="Q52" t="s">
        <v>60</v>
      </c>
      <c r="R52" t="s">
        <v>60</v>
      </c>
      <c r="S52" t="s">
        <v>60</v>
      </c>
      <c r="T52" t="s">
        <v>60</v>
      </c>
      <c r="U52" t="s">
        <v>60</v>
      </c>
    </row>
    <row r="53" spans="1:21" x14ac:dyDescent="0.2">
      <c r="A53" t="s">
        <v>64</v>
      </c>
      <c r="B53">
        <v>1.8</v>
      </c>
      <c r="C53">
        <v>59</v>
      </c>
      <c r="D53">
        <v>0.8</v>
      </c>
      <c r="E53">
        <v>1.5</v>
      </c>
      <c r="F53">
        <v>1</v>
      </c>
      <c r="G53">
        <v>1.6</v>
      </c>
      <c r="H53">
        <v>0.8</v>
      </c>
      <c r="I53">
        <v>1.7</v>
      </c>
      <c r="J53">
        <v>0.9</v>
      </c>
      <c r="K53">
        <v>31</v>
      </c>
      <c r="L53">
        <v>2.8</v>
      </c>
      <c r="M53">
        <v>93.6</v>
      </c>
      <c r="N53">
        <v>1.3</v>
      </c>
      <c r="O53">
        <v>2.2999999999999998</v>
      </c>
      <c r="P53">
        <v>29.7</v>
      </c>
      <c r="Q53">
        <v>46.1</v>
      </c>
      <c r="R53">
        <v>24.3</v>
      </c>
      <c r="S53">
        <v>4.9000000000000004</v>
      </c>
      <c r="T53">
        <v>2.6</v>
      </c>
      <c r="U53">
        <v>92.4</v>
      </c>
    </row>
    <row r="54" spans="1:21" x14ac:dyDescent="0.2">
      <c r="A54" t="s">
        <v>65</v>
      </c>
      <c r="B54">
        <v>1.9</v>
      </c>
      <c r="C54">
        <v>58.8</v>
      </c>
      <c r="D54">
        <v>0.9</v>
      </c>
      <c r="E54">
        <v>1.6</v>
      </c>
      <c r="F54">
        <v>1</v>
      </c>
      <c r="G54">
        <v>1.6</v>
      </c>
      <c r="H54">
        <v>0.8</v>
      </c>
      <c r="I54">
        <v>1.4</v>
      </c>
      <c r="J54">
        <v>0.8</v>
      </c>
      <c r="K54">
        <v>31.2</v>
      </c>
      <c r="L54">
        <v>3.1</v>
      </c>
      <c r="M54">
        <v>93</v>
      </c>
      <c r="N54">
        <v>1.4</v>
      </c>
      <c r="O54">
        <v>2.5</v>
      </c>
      <c r="P54">
        <v>28.9</v>
      </c>
      <c r="Q54">
        <v>47.8</v>
      </c>
      <c r="R54">
        <v>23.3</v>
      </c>
      <c r="S54">
        <v>4.3</v>
      </c>
      <c r="T54">
        <v>2.4</v>
      </c>
      <c r="U54">
        <v>93.3</v>
      </c>
    </row>
    <row r="55" spans="1:21" x14ac:dyDescent="0.2">
      <c r="A55" t="s">
        <v>66</v>
      </c>
      <c r="B55">
        <v>1.3</v>
      </c>
      <c r="C55">
        <v>59.6</v>
      </c>
      <c r="D55">
        <v>0.7</v>
      </c>
      <c r="E55">
        <v>1.3</v>
      </c>
      <c r="F55">
        <v>0.8</v>
      </c>
      <c r="G55">
        <v>1.9</v>
      </c>
      <c r="H55">
        <v>0.9</v>
      </c>
      <c r="I55">
        <v>1.1000000000000001</v>
      </c>
      <c r="J55">
        <v>0.8</v>
      </c>
      <c r="K55">
        <v>31.7</v>
      </c>
      <c r="L55">
        <v>2</v>
      </c>
      <c r="M55">
        <v>94.8</v>
      </c>
      <c r="N55">
        <v>1.1000000000000001</v>
      </c>
      <c r="O55">
        <v>2.1</v>
      </c>
      <c r="P55">
        <v>22.2</v>
      </c>
      <c r="Q55">
        <v>53.2</v>
      </c>
      <c r="R55">
        <v>24.6</v>
      </c>
      <c r="S55">
        <v>3.4</v>
      </c>
      <c r="T55">
        <v>2.2999999999999998</v>
      </c>
      <c r="U55">
        <v>94.3</v>
      </c>
    </row>
    <row r="56" spans="1:21" x14ac:dyDescent="0.2">
      <c r="A56" t="s">
        <v>67</v>
      </c>
      <c r="B56">
        <v>1.6</v>
      </c>
      <c r="C56">
        <v>58.3</v>
      </c>
      <c r="D56">
        <v>1.2</v>
      </c>
      <c r="E56">
        <v>1.7</v>
      </c>
      <c r="F56">
        <v>0.7</v>
      </c>
      <c r="G56">
        <v>1.8</v>
      </c>
      <c r="H56">
        <v>0.8</v>
      </c>
      <c r="I56">
        <v>1.2</v>
      </c>
      <c r="J56">
        <v>0.9</v>
      </c>
      <c r="K56">
        <v>31.8</v>
      </c>
      <c r="L56">
        <v>2.5</v>
      </c>
      <c r="M56">
        <v>92.8</v>
      </c>
      <c r="N56">
        <v>1.9</v>
      </c>
      <c r="O56">
        <v>2.8</v>
      </c>
      <c r="P56">
        <v>22.7</v>
      </c>
      <c r="Q56">
        <v>54.1</v>
      </c>
      <c r="R56">
        <v>23.2</v>
      </c>
      <c r="S56">
        <v>3.5</v>
      </c>
      <c r="T56">
        <v>2.6</v>
      </c>
      <c r="U56">
        <v>93.8</v>
      </c>
    </row>
    <row r="57" spans="1:21" x14ac:dyDescent="0.2">
      <c r="A57" t="s">
        <v>68</v>
      </c>
      <c r="B57">
        <v>1.6</v>
      </c>
      <c r="C57">
        <v>57.9</v>
      </c>
      <c r="D57">
        <v>0.9</v>
      </c>
      <c r="E57">
        <v>1.5</v>
      </c>
      <c r="F57">
        <v>1.2</v>
      </c>
      <c r="G57">
        <v>2</v>
      </c>
      <c r="H57">
        <v>0.9</v>
      </c>
      <c r="I57">
        <v>1.5</v>
      </c>
      <c r="J57">
        <v>0.9</v>
      </c>
      <c r="K57">
        <v>31.7</v>
      </c>
      <c r="L57">
        <v>2.5</v>
      </c>
      <c r="M57">
        <v>93.6</v>
      </c>
      <c r="N57">
        <v>1.4</v>
      </c>
      <c r="O57">
        <v>2.4</v>
      </c>
      <c r="P57">
        <v>29.1</v>
      </c>
      <c r="Q57">
        <v>49</v>
      </c>
      <c r="R57">
        <v>21.9</v>
      </c>
      <c r="S57">
        <v>4.4000000000000004</v>
      </c>
      <c r="T57">
        <v>2.6</v>
      </c>
      <c r="U57">
        <v>93</v>
      </c>
    </row>
    <row r="58" spans="1:21" x14ac:dyDescent="0.2">
      <c r="A58" t="s">
        <v>69</v>
      </c>
      <c r="B58">
        <v>1.6</v>
      </c>
      <c r="C58">
        <v>58.6</v>
      </c>
      <c r="D58">
        <v>0.8</v>
      </c>
      <c r="E58">
        <v>1.3</v>
      </c>
      <c r="F58">
        <v>1</v>
      </c>
      <c r="G58">
        <v>2</v>
      </c>
      <c r="H58">
        <v>0.9</v>
      </c>
      <c r="I58">
        <v>1.4</v>
      </c>
      <c r="J58">
        <v>1</v>
      </c>
      <c r="K58">
        <v>31.5</v>
      </c>
      <c r="L58">
        <v>2.5</v>
      </c>
      <c r="M58">
        <v>94.1</v>
      </c>
      <c r="N58">
        <v>1.3</v>
      </c>
      <c r="O58">
        <v>2.1</v>
      </c>
      <c r="P58">
        <v>25.5</v>
      </c>
      <c r="Q58">
        <v>51.8</v>
      </c>
      <c r="R58">
        <v>22.7</v>
      </c>
      <c r="S58">
        <v>4.0999999999999996</v>
      </c>
      <c r="T58">
        <v>2.8</v>
      </c>
      <c r="U58">
        <v>93.1</v>
      </c>
    </row>
    <row r="59" spans="1:21" x14ac:dyDescent="0.2">
      <c r="A59" t="s">
        <v>70</v>
      </c>
      <c r="B59">
        <v>1.4</v>
      </c>
      <c r="C59">
        <v>59</v>
      </c>
      <c r="D59">
        <v>0.8</v>
      </c>
      <c r="E59">
        <v>1.3</v>
      </c>
      <c r="F59">
        <v>1</v>
      </c>
      <c r="G59">
        <v>2</v>
      </c>
      <c r="H59">
        <v>0.8</v>
      </c>
      <c r="I59">
        <v>1.2</v>
      </c>
      <c r="J59">
        <v>0.8</v>
      </c>
      <c r="K59">
        <v>31.8</v>
      </c>
      <c r="L59">
        <v>2.2000000000000002</v>
      </c>
      <c r="M59">
        <v>94.5</v>
      </c>
      <c r="N59">
        <v>1.2</v>
      </c>
      <c r="O59">
        <v>2.1</v>
      </c>
      <c r="P59">
        <v>25.2</v>
      </c>
      <c r="Q59">
        <v>52.8</v>
      </c>
      <c r="R59">
        <v>22</v>
      </c>
      <c r="S59">
        <v>3.6</v>
      </c>
      <c r="T59">
        <v>2.2999999999999998</v>
      </c>
      <c r="U59">
        <v>94.2</v>
      </c>
    </row>
    <row r="60" spans="1:21" x14ac:dyDescent="0.2">
      <c r="A60" t="s">
        <v>71</v>
      </c>
      <c r="B60">
        <v>1.7</v>
      </c>
      <c r="C60">
        <v>58.6</v>
      </c>
      <c r="D60">
        <v>0.9</v>
      </c>
      <c r="E60">
        <v>1.4</v>
      </c>
      <c r="F60">
        <v>1.1000000000000001</v>
      </c>
      <c r="G60">
        <v>1.5</v>
      </c>
      <c r="H60">
        <v>0.8</v>
      </c>
      <c r="I60">
        <v>1.6</v>
      </c>
      <c r="J60">
        <v>0.9</v>
      </c>
      <c r="K60">
        <v>31.5</v>
      </c>
      <c r="L60">
        <v>2.7</v>
      </c>
      <c r="M60">
        <v>93.7</v>
      </c>
      <c r="N60">
        <v>1.4</v>
      </c>
      <c r="O60">
        <v>2.2000000000000002</v>
      </c>
      <c r="P60">
        <v>31.7</v>
      </c>
      <c r="Q60">
        <v>44</v>
      </c>
      <c r="R60">
        <v>24.2</v>
      </c>
      <c r="S60">
        <v>4.7</v>
      </c>
      <c r="T60">
        <v>2.7</v>
      </c>
      <c r="U60">
        <v>92.6</v>
      </c>
    </row>
    <row r="61" spans="1:21" x14ac:dyDescent="0.2">
      <c r="A61" t="s">
        <v>72</v>
      </c>
      <c r="B61">
        <v>1.8</v>
      </c>
      <c r="C61">
        <v>59.3</v>
      </c>
      <c r="D61">
        <v>0.9</v>
      </c>
      <c r="E61">
        <v>1.5</v>
      </c>
      <c r="F61">
        <v>1</v>
      </c>
      <c r="G61">
        <v>1.6</v>
      </c>
      <c r="H61">
        <v>0.9</v>
      </c>
      <c r="I61">
        <v>1.9</v>
      </c>
      <c r="J61">
        <v>1</v>
      </c>
      <c r="K61">
        <v>30.1</v>
      </c>
      <c r="L61">
        <v>2.8</v>
      </c>
      <c r="M61">
        <v>93.4</v>
      </c>
      <c r="N61">
        <v>1.4</v>
      </c>
      <c r="O61">
        <v>2.4</v>
      </c>
      <c r="P61">
        <v>27.8</v>
      </c>
      <c r="Q61">
        <v>46.5</v>
      </c>
      <c r="R61">
        <v>25.7</v>
      </c>
      <c r="S61">
        <v>5.6</v>
      </c>
      <c r="T61">
        <v>3</v>
      </c>
      <c r="U61">
        <v>91.4</v>
      </c>
    </row>
    <row r="62" spans="1:21" x14ac:dyDescent="0.2">
      <c r="A62" t="s">
        <v>73</v>
      </c>
      <c r="B62">
        <v>1.9</v>
      </c>
      <c r="C62">
        <v>59.4</v>
      </c>
      <c r="D62">
        <v>0.9</v>
      </c>
      <c r="E62">
        <v>1.7</v>
      </c>
      <c r="F62">
        <v>1.1000000000000001</v>
      </c>
      <c r="G62">
        <v>1.8</v>
      </c>
      <c r="H62">
        <v>0.8</v>
      </c>
      <c r="I62">
        <v>1.8</v>
      </c>
      <c r="J62">
        <v>1.1000000000000001</v>
      </c>
      <c r="K62">
        <v>29.7</v>
      </c>
      <c r="L62">
        <v>2.9</v>
      </c>
      <c r="M62">
        <v>93.1</v>
      </c>
      <c r="N62">
        <v>1.4</v>
      </c>
      <c r="O62">
        <v>2.6</v>
      </c>
      <c r="P62">
        <v>29.1</v>
      </c>
      <c r="Q62">
        <v>48.6</v>
      </c>
      <c r="R62">
        <v>22.3</v>
      </c>
      <c r="S62">
        <v>5.4</v>
      </c>
      <c r="T62">
        <v>3.3</v>
      </c>
      <c r="U62">
        <v>91.3</v>
      </c>
    </row>
    <row r="63" spans="1:21" x14ac:dyDescent="0.2">
      <c r="A63" t="s">
        <v>74</v>
      </c>
      <c r="B63">
        <v>2</v>
      </c>
      <c r="C63">
        <v>59</v>
      </c>
      <c r="D63">
        <v>0.7</v>
      </c>
      <c r="E63">
        <v>2.2000000000000002</v>
      </c>
      <c r="F63">
        <v>1.2</v>
      </c>
      <c r="G63">
        <v>1.7</v>
      </c>
      <c r="H63">
        <v>0.9</v>
      </c>
      <c r="I63">
        <v>1.5</v>
      </c>
      <c r="J63">
        <v>0.8</v>
      </c>
      <c r="K63">
        <v>30.1</v>
      </c>
      <c r="L63">
        <v>3.1</v>
      </c>
      <c r="M63">
        <v>92.3</v>
      </c>
      <c r="N63">
        <v>1.1000000000000001</v>
      </c>
      <c r="O63">
        <v>3.4</v>
      </c>
      <c r="P63">
        <v>31.5</v>
      </c>
      <c r="Q63">
        <v>45.5</v>
      </c>
      <c r="R63">
        <v>22.9</v>
      </c>
      <c r="S63">
        <v>4.7</v>
      </c>
      <c r="T63">
        <v>2.5</v>
      </c>
      <c r="U63">
        <v>92.8</v>
      </c>
    </row>
    <row r="64" spans="1:21" x14ac:dyDescent="0.2">
      <c r="A64" t="s">
        <v>75</v>
      </c>
      <c r="B64">
        <v>1.9</v>
      </c>
      <c r="C64">
        <v>59.1</v>
      </c>
      <c r="D64">
        <v>0.8</v>
      </c>
      <c r="E64">
        <v>2.2000000000000002</v>
      </c>
      <c r="F64">
        <v>1</v>
      </c>
      <c r="G64">
        <v>1.5</v>
      </c>
      <c r="H64">
        <v>0.8</v>
      </c>
      <c r="I64">
        <v>1.6</v>
      </c>
      <c r="J64">
        <v>0.7</v>
      </c>
      <c r="K64">
        <v>30.4</v>
      </c>
      <c r="L64">
        <v>2.9</v>
      </c>
      <c r="M64">
        <v>92.5</v>
      </c>
      <c r="N64">
        <v>1.2</v>
      </c>
      <c r="O64">
        <v>3.4</v>
      </c>
      <c r="P64">
        <v>30.7</v>
      </c>
      <c r="Q64">
        <v>43.9</v>
      </c>
      <c r="R64">
        <v>25.5</v>
      </c>
      <c r="S64">
        <v>4.8</v>
      </c>
      <c r="T64">
        <v>2.2999999999999998</v>
      </c>
      <c r="U64">
        <v>92.9</v>
      </c>
    </row>
    <row r="65" spans="1:21" x14ac:dyDescent="0.2">
      <c r="A65" t="s">
        <v>76</v>
      </c>
      <c r="B65">
        <v>1.7</v>
      </c>
      <c r="C65">
        <v>59.9</v>
      </c>
      <c r="D65">
        <v>0.7</v>
      </c>
      <c r="E65">
        <v>1.4</v>
      </c>
      <c r="F65">
        <v>1</v>
      </c>
      <c r="G65">
        <v>1.5</v>
      </c>
      <c r="H65">
        <v>0.7</v>
      </c>
      <c r="I65">
        <v>1.4</v>
      </c>
      <c r="J65">
        <v>0.9</v>
      </c>
      <c r="K65">
        <v>30.8</v>
      </c>
      <c r="L65">
        <v>2.6</v>
      </c>
      <c r="M65">
        <v>94</v>
      </c>
      <c r="N65">
        <v>1.2</v>
      </c>
      <c r="O65">
        <v>2.2000000000000002</v>
      </c>
      <c r="P65">
        <v>30.4</v>
      </c>
      <c r="Q65">
        <v>48.3</v>
      </c>
      <c r="R65">
        <v>21.2</v>
      </c>
      <c r="S65">
        <v>4.2</v>
      </c>
      <c r="T65">
        <v>2.8</v>
      </c>
      <c r="U65">
        <v>93</v>
      </c>
    </row>
    <row r="66" spans="1:21" x14ac:dyDescent="0.2">
      <c r="A66" t="s">
        <v>77</v>
      </c>
      <c r="B66">
        <v>1.7</v>
      </c>
      <c r="C66">
        <v>59.9</v>
      </c>
      <c r="D66">
        <v>0.9</v>
      </c>
      <c r="E66">
        <v>1.5</v>
      </c>
      <c r="F66">
        <v>0.9</v>
      </c>
      <c r="G66">
        <v>1.4</v>
      </c>
      <c r="H66">
        <v>0.8</v>
      </c>
      <c r="I66">
        <v>1.3</v>
      </c>
      <c r="J66">
        <v>0.8</v>
      </c>
      <c r="K66">
        <v>30.8</v>
      </c>
      <c r="L66">
        <v>2.6</v>
      </c>
      <c r="M66">
        <v>93.5</v>
      </c>
      <c r="N66">
        <v>1.4</v>
      </c>
      <c r="O66">
        <v>2.4</v>
      </c>
      <c r="P66">
        <v>28.7</v>
      </c>
      <c r="Q66">
        <v>45.6</v>
      </c>
      <c r="R66">
        <v>25.7</v>
      </c>
      <c r="S66">
        <v>3.9</v>
      </c>
      <c r="T66">
        <v>2.2999999999999998</v>
      </c>
      <c r="U66">
        <v>93.8</v>
      </c>
    </row>
    <row r="67" spans="1:21" x14ac:dyDescent="0.2">
      <c r="A67" t="s">
        <v>78</v>
      </c>
      <c r="B67">
        <v>1.2</v>
      </c>
      <c r="C67">
        <v>60.5</v>
      </c>
      <c r="D67">
        <v>0.7</v>
      </c>
      <c r="E67">
        <v>1.2</v>
      </c>
      <c r="F67">
        <v>0.8</v>
      </c>
      <c r="G67">
        <v>1.8</v>
      </c>
      <c r="H67">
        <v>0.8</v>
      </c>
      <c r="I67">
        <v>1.1000000000000001</v>
      </c>
      <c r="J67">
        <v>0.7</v>
      </c>
      <c r="K67">
        <v>31.3</v>
      </c>
      <c r="L67">
        <v>1.9</v>
      </c>
      <c r="M67">
        <v>95.2</v>
      </c>
      <c r="N67">
        <v>1.1000000000000001</v>
      </c>
      <c r="O67">
        <v>1.8</v>
      </c>
      <c r="P67">
        <v>22.7</v>
      </c>
      <c r="Q67">
        <v>53.5</v>
      </c>
      <c r="R67">
        <v>23.8</v>
      </c>
      <c r="S67">
        <v>3.3</v>
      </c>
      <c r="T67">
        <v>2.2000000000000002</v>
      </c>
      <c r="U67">
        <v>94.5</v>
      </c>
    </row>
    <row r="68" spans="1:21" x14ac:dyDescent="0.2">
      <c r="A68" t="s">
        <v>79</v>
      </c>
      <c r="B68">
        <v>1.6</v>
      </c>
      <c r="C68">
        <v>59</v>
      </c>
      <c r="D68">
        <v>1.2</v>
      </c>
      <c r="E68">
        <v>1.7</v>
      </c>
      <c r="F68">
        <v>0.8</v>
      </c>
      <c r="G68">
        <v>1.6</v>
      </c>
      <c r="H68">
        <v>0.8</v>
      </c>
      <c r="I68">
        <v>1.3</v>
      </c>
      <c r="J68">
        <v>0.9</v>
      </c>
      <c r="K68">
        <v>31.1</v>
      </c>
      <c r="L68">
        <v>2.6</v>
      </c>
      <c r="M68">
        <v>92.8</v>
      </c>
      <c r="N68">
        <v>1.9</v>
      </c>
      <c r="O68">
        <v>2.7</v>
      </c>
      <c r="P68">
        <v>25.1</v>
      </c>
      <c r="Q68">
        <v>50.4</v>
      </c>
      <c r="R68">
        <v>24.5</v>
      </c>
      <c r="S68">
        <v>3.8</v>
      </c>
      <c r="T68">
        <v>2.6</v>
      </c>
      <c r="U68">
        <v>93.5</v>
      </c>
    </row>
    <row r="69" spans="1:21" x14ac:dyDescent="0.2">
      <c r="A69" t="s">
        <v>80</v>
      </c>
      <c r="B69">
        <v>1.6</v>
      </c>
      <c r="C69">
        <v>58.8</v>
      </c>
      <c r="D69">
        <v>0.8</v>
      </c>
      <c r="E69">
        <v>1.4</v>
      </c>
      <c r="F69">
        <v>1</v>
      </c>
      <c r="G69">
        <v>1.9</v>
      </c>
      <c r="H69">
        <v>0.8</v>
      </c>
      <c r="I69">
        <v>1.4</v>
      </c>
      <c r="J69">
        <v>0.9</v>
      </c>
      <c r="K69">
        <v>31.4</v>
      </c>
      <c r="L69">
        <v>2.5</v>
      </c>
      <c r="M69">
        <v>94</v>
      </c>
      <c r="N69">
        <v>1.3</v>
      </c>
      <c r="O69">
        <v>2.2000000000000002</v>
      </c>
      <c r="P69">
        <v>27.1</v>
      </c>
      <c r="Q69">
        <v>52.1</v>
      </c>
      <c r="R69">
        <v>20.8</v>
      </c>
      <c r="S69">
        <v>4.0999999999999996</v>
      </c>
      <c r="T69">
        <v>2.8</v>
      </c>
      <c r="U69">
        <v>93.1</v>
      </c>
    </row>
    <row r="70" spans="1:21" x14ac:dyDescent="0.2">
      <c r="A70" t="s">
        <v>81</v>
      </c>
      <c r="B70">
        <v>1.6</v>
      </c>
      <c r="C70">
        <v>59</v>
      </c>
      <c r="D70">
        <v>0.8</v>
      </c>
      <c r="E70">
        <v>1.4</v>
      </c>
      <c r="F70">
        <v>1</v>
      </c>
      <c r="G70">
        <v>1.9</v>
      </c>
      <c r="H70">
        <v>0.8</v>
      </c>
      <c r="I70">
        <v>1.5</v>
      </c>
      <c r="J70">
        <v>0.9</v>
      </c>
      <c r="K70">
        <v>31.2</v>
      </c>
      <c r="L70">
        <v>2.5</v>
      </c>
      <c r="M70">
        <v>94.1</v>
      </c>
      <c r="N70">
        <v>1.2</v>
      </c>
      <c r="O70">
        <v>2.2000000000000002</v>
      </c>
      <c r="P70">
        <v>26.7</v>
      </c>
      <c r="Q70">
        <v>51.7</v>
      </c>
      <c r="R70">
        <v>21.6</v>
      </c>
      <c r="S70">
        <v>4.4000000000000004</v>
      </c>
      <c r="T70">
        <v>2.7</v>
      </c>
      <c r="U70">
        <v>92.9</v>
      </c>
    </row>
    <row r="71" spans="1:21" x14ac:dyDescent="0.2">
      <c r="A71" t="s">
        <v>82</v>
      </c>
      <c r="B71">
        <v>1.4</v>
      </c>
      <c r="C71">
        <v>59.8</v>
      </c>
      <c r="D71">
        <v>0.7</v>
      </c>
      <c r="E71">
        <v>1.4</v>
      </c>
      <c r="F71">
        <v>0.9</v>
      </c>
      <c r="G71">
        <v>1.6</v>
      </c>
      <c r="H71">
        <v>0.9</v>
      </c>
      <c r="I71">
        <v>1.3</v>
      </c>
      <c r="J71">
        <v>0.7</v>
      </c>
      <c r="K71">
        <v>31.4</v>
      </c>
      <c r="L71">
        <v>2.2000000000000002</v>
      </c>
      <c r="M71">
        <v>94.6</v>
      </c>
      <c r="N71">
        <v>1.1000000000000001</v>
      </c>
      <c r="O71">
        <v>2.2000000000000002</v>
      </c>
      <c r="P71">
        <v>27.1</v>
      </c>
      <c r="Q71">
        <v>47.3</v>
      </c>
      <c r="R71">
        <v>25.6</v>
      </c>
      <c r="S71">
        <v>3.9</v>
      </c>
      <c r="T71">
        <v>2</v>
      </c>
      <c r="U71">
        <v>94.1</v>
      </c>
    </row>
    <row r="72" spans="1:21" x14ac:dyDescent="0.2">
      <c r="A72" t="s">
        <v>83</v>
      </c>
      <c r="B72">
        <v>1.6</v>
      </c>
      <c r="C72">
        <v>59.8</v>
      </c>
      <c r="D72">
        <v>0.8</v>
      </c>
      <c r="E72">
        <v>1.5</v>
      </c>
      <c r="F72">
        <v>1.1000000000000001</v>
      </c>
      <c r="G72">
        <v>1.4</v>
      </c>
      <c r="H72">
        <v>0.7</v>
      </c>
      <c r="I72">
        <v>1.6</v>
      </c>
      <c r="J72">
        <v>0.8</v>
      </c>
      <c r="K72">
        <v>30.7</v>
      </c>
      <c r="L72">
        <v>2.6</v>
      </c>
      <c r="M72">
        <v>93.8</v>
      </c>
      <c r="N72">
        <v>1.2</v>
      </c>
      <c r="O72">
        <v>2.4</v>
      </c>
      <c r="P72">
        <v>34.700000000000003</v>
      </c>
      <c r="Q72">
        <v>43.8</v>
      </c>
      <c r="R72">
        <v>21.5</v>
      </c>
      <c r="S72">
        <v>4.8</v>
      </c>
      <c r="T72">
        <v>2.5</v>
      </c>
      <c r="U72">
        <v>92.7</v>
      </c>
    </row>
    <row r="73" spans="1:21" x14ac:dyDescent="0.2">
      <c r="A73" t="s">
        <v>84</v>
      </c>
      <c r="B73">
        <v>1.8</v>
      </c>
      <c r="C73">
        <v>59.8</v>
      </c>
      <c r="D73">
        <v>0.9</v>
      </c>
      <c r="E73">
        <v>1.6</v>
      </c>
      <c r="F73">
        <v>0.9</v>
      </c>
      <c r="G73">
        <v>1.5</v>
      </c>
      <c r="H73">
        <v>0.7</v>
      </c>
      <c r="I73">
        <v>1.8</v>
      </c>
      <c r="J73">
        <v>1.1000000000000001</v>
      </c>
      <c r="K73">
        <v>30</v>
      </c>
      <c r="L73">
        <v>2.8</v>
      </c>
      <c r="M73">
        <v>93.3</v>
      </c>
      <c r="N73">
        <v>1.4</v>
      </c>
      <c r="O73">
        <v>2.5</v>
      </c>
      <c r="P73">
        <v>28.9</v>
      </c>
      <c r="Q73">
        <v>48</v>
      </c>
      <c r="R73">
        <v>23</v>
      </c>
      <c r="S73">
        <v>5.5</v>
      </c>
      <c r="T73">
        <v>3.3</v>
      </c>
      <c r="U73">
        <v>91.2</v>
      </c>
    </row>
    <row r="74" spans="1:21" x14ac:dyDescent="0.2">
      <c r="A74" t="s">
        <v>85</v>
      </c>
      <c r="B74">
        <v>1.8</v>
      </c>
      <c r="C74">
        <v>60.2</v>
      </c>
      <c r="D74">
        <v>0.8</v>
      </c>
      <c r="E74">
        <v>1.6</v>
      </c>
      <c r="F74">
        <v>1</v>
      </c>
      <c r="G74">
        <v>1.6</v>
      </c>
      <c r="H74">
        <v>0.8</v>
      </c>
      <c r="I74">
        <v>1.6</v>
      </c>
      <c r="J74">
        <v>0.9</v>
      </c>
      <c r="K74">
        <v>29.8</v>
      </c>
      <c r="L74">
        <v>2.8</v>
      </c>
      <c r="M74">
        <v>93.4</v>
      </c>
      <c r="N74">
        <v>1.3</v>
      </c>
      <c r="O74">
        <v>2.5</v>
      </c>
      <c r="P74">
        <v>29.5</v>
      </c>
      <c r="Q74">
        <v>47.9</v>
      </c>
      <c r="R74">
        <v>22.5</v>
      </c>
      <c r="S74">
        <v>4.8</v>
      </c>
      <c r="T74">
        <v>2.8</v>
      </c>
      <c r="U74">
        <v>92.4</v>
      </c>
    </row>
    <row r="75" spans="1:21" x14ac:dyDescent="0.2">
      <c r="A75" t="s">
        <v>86</v>
      </c>
      <c r="B75">
        <v>1.9</v>
      </c>
      <c r="C75">
        <v>59.9</v>
      </c>
      <c r="D75">
        <v>0.8</v>
      </c>
      <c r="E75">
        <v>2</v>
      </c>
      <c r="F75">
        <v>1</v>
      </c>
      <c r="G75">
        <v>1.3</v>
      </c>
      <c r="H75">
        <v>0.8</v>
      </c>
      <c r="I75">
        <v>1.6</v>
      </c>
      <c r="J75">
        <v>0.9</v>
      </c>
      <c r="K75">
        <v>29.8</v>
      </c>
      <c r="L75">
        <v>3</v>
      </c>
      <c r="M75">
        <v>92.6</v>
      </c>
      <c r="N75">
        <v>1.2</v>
      </c>
      <c r="O75">
        <v>3.1</v>
      </c>
      <c r="P75">
        <v>30.9</v>
      </c>
      <c r="Q75">
        <v>42.3</v>
      </c>
      <c r="R75">
        <v>26.9</v>
      </c>
      <c r="S75">
        <v>4.8</v>
      </c>
      <c r="T75">
        <v>2.7</v>
      </c>
      <c r="U75">
        <v>92.5</v>
      </c>
    </row>
    <row r="76" spans="1:21" x14ac:dyDescent="0.2">
      <c r="A76" t="s">
        <v>87</v>
      </c>
      <c r="B76">
        <v>1.9</v>
      </c>
      <c r="C76">
        <v>59.3</v>
      </c>
      <c r="D76">
        <v>0.7</v>
      </c>
      <c r="E76">
        <v>2.2000000000000002</v>
      </c>
      <c r="F76">
        <v>0.9</v>
      </c>
      <c r="G76">
        <v>1.4</v>
      </c>
      <c r="H76">
        <v>0.8</v>
      </c>
      <c r="I76">
        <v>1.6</v>
      </c>
      <c r="J76">
        <v>0.8</v>
      </c>
      <c r="K76">
        <v>30.4</v>
      </c>
      <c r="L76">
        <v>3</v>
      </c>
      <c r="M76">
        <v>92.4</v>
      </c>
      <c r="N76">
        <v>1.1000000000000001</v>
      </c>
      <c r="O76">
        <v>3.4</v>
      </c>
      <c r="P76">
        <v>29.9</v>
      </c>
      <c r="Q76">
        <v>45.5</v>
      </c>
      <c r="R76">
        <v>24.6</v>
      </c>
      <c r="S76">
        <v>4.8</v>
      </c>
      <c r="T76">
        <v>2.2999999999999998</v>
      </c>
      <c r="U76">
        <v>92.9</v>
      </c>
    </row>
    <row r="77" spans="1:21" x14ac:dyDescent="0.2">
      <c r="A77" t="s">
        <v>88</v>
      </c>
      <c r="B77">
        <v>2</v>
      </c>
      <c r="C77">
        <v>59.7</v>
      </c>
      <c r="D77">
        <v>0.8</v>
      </c>
      <c r="E77">
        <v>1.5</v>
      </c>
      <c r="F77">
        <v>1</v>
      </c>
      <c r="G77">
        <v>1.2</v>
      </c>
      <c r="H77">
        <v>0.7</v>
      </c>
      <c r="I77">
        <v>1.5</v>
      </c>
      <c r="J77">
        <v>0.7</v>
      </c>
      <c r="K77">
        <v>30.8</v>
      </c>
      <c r="L77">
        <v>3.2</v>
      </c>
      <c r="M77">
        <v>93.3</v>
      </c>
      <c r="N77">
        <v>1.2</v>
      </c>
      <c r="O77">
        <v>2.4</v>
      </c>
      <c r="P77">
        <v>35.1</v>
      </c>
      <c r="Q77">
        <v>42.1</v>
      </c>
      <c r="R77">
        <v>22.8</v>
      </c>
      <c r="S77">
        <v>4.7</v>
      </c>
      <c r="T77">
        <v>2.2000000000000002</v>
      </c>
      <c r="U77">
        <v>93.1</v>
      </c>
    </row>
    <row r="78" spans="1:21" x14ac:dyDescent="0.2">
      <c r="A78" t="s">
        <v>89</v>
      </c>
      <c r="B78">
        <v>1.6</v>
      </c>
      <c r="C78">
        <v>60.5</v>
      </c>
      <c r="D78">
        <v>0.7</v>
      </c>
      <c r="E78">
        <v>1.5</v>
      </c>
      <c r="F78">
        <v>0.8</v>
      </c>
      <c r="G78">
        <v>1.3</v>
      </c>
      <c r="H78">
        <v>0.7</v>
      </c>
      <c r="I78">
        <v>1.4</v>
      </c>
      <c r="J78">
        <v>0.6</v>
      </c>
      <c r="K78">
        <v>30.9</v>
      </c>
      <c r="L78">
        <v>2.5</v>
      </c>
      <c r="M78">
        <v>94.2</v>
      </c>
      <c r="N78">
        <v>1.1000000000000001</v>
      </c>
      <c r="O78">
        <v>2.2999999999999998</v>
      </c>
      <c r="P78">
        <v>28.3</v>
      </c>
      <c r="Q78">
        <v>46.7</v>
      </c>
      <c r="R78">
        <v>24.9</v>
      </c>
      <c r="S78">
        <v>4.2</v>
      </c>
      <c r="T78">
        <v>1.9</v>
      </c>
      <c r="U78">
        <v>93.9</v>
      </c>
    </row>
    <row r="79" spans="1:21" x14ac:dyDescent="0.2">
      <c r="A79" t="s">
        <v>90</v>
      </c>
      <c r="B79">
        <v>1.4</v>
      </c>
      <c r="C79">
        <v>60.6</v>
      </c>
      <c r="D79">
        <v>0.8</v>
      </c>
      <c r="E79">
        <v>1.4</v>
      </c>
      <c r="F79">
        <v>0.8</v>
      </c>
      <c r="G79">
        <v>1.3</v>
      </c>
      <c r="H79">
        <v>0.7</v>
      </c>
      <c r="I79">
        <v>1.4</v>
      </c>
      <c r="J79">
        <v>0.6</v>
      </c>
      <c r="K79">
        <v>31</v>
      </c>
      <c r="L79">
        <v>2.2000000000000002</v>
      </c>
      <c r="M79">
        <v>94.4</v>
      </c>
      <c r="N79">
        <v>1.2</v>
      </c>
      <c r="O79">
        <v>2.2000000000000002</v>
      </c>
      <c r="P79">
        <v>27.9</v>
      </c>
      <c r="Q79">
        <v>46.8</v>
      </c>
      <c r="R79">
        <v>25.4</v>
      </c>
      <c r="S79">
        <v>4.0999999999999996</v>
      </c>
      <c r="T79">
        <v>1.8</v>
      </c>
      <c r="U79">
        <v>94</v>
      </c>
    </row>
    <row r="80" spans="1:21" x14ac:dyDescent="0.2">
      <c r="A80" t="s">
        <v>91</v>
      </c>
      <c r="B80">
        <v>1.6</v>
      </c>
      <c r="C80">
        <v>59.7</v>
      </c>
      <c r="D80">
        <v>1.1000000000000001</v>
      </c>
      <c r="E80">
        <v>1.7</v>
      </c>
      <c r="F80">
        <v>0.7</v>
      </c>
      <c r="G80">
        <v>1.3</v>
      </c>
      <c r="H80">
        <v>0.7</v>
      </c>
      <c r="I80">
        <v>1.4</v>
      </c>
      <c r="J80">
        <v>0.7</v>
      </c>
      <c r="K80">
        <v>31.1</v>
      </c>
      <c r="L80">
        <v>2.5</v>
      </c>
      <c r="M80">
        <v>93.2</v>
      </c>
      <c r="N80">
        <v>1.7</v>
      </c>
      <c r="O80">
        <v>2.7</v>
      </c>
      <c r="P80">
        <v>24.8</v>
      </c>
      <c r="Q80">
        <v>49.6</v>
      </c>
      <c r="R80">
        <v>25.6</v>
      </c>
      <c r="S80">
        <v>4.2</v>
      </c>
      <c r="T80">
        <v>2.2000000000000002</v>
      </c>
      <c r="U80">
        <v>93.6</v>
      </c>
    </row>
    <row r="81" spans="1:21" x14ac:dyDescent="0.2">
      <c r="A81" t="s">
        <v>92</v>
      </c>
      <c r="B81">
        <v>1.6</v>
      </c>
      <c r="C81">
        <v>59.7</v>
      </c>
      <c r="D81">
        <v>0.8</v>
      </c>
      <c r="E81">
        <v>1.5</v>
      </c>
      <c r="F81">
        <v>1</v>
      </c>
      <c r="G81">
        <v>1.5</v>
      </c>
      <c r="H81">
        <v>0.8</v>
      </c>
      <c r="I81">
        <v>1.4</v>
      </c>
      <c r="J81">
        <v>0.8</v>
      </c>
      <c r="K81">
        <v>31</v>
      </c>
      <c r="L81">
        <v>2.5</v>
      </c>
      <c r="M81">
        <v>94</v>
      </c>
      <c r="N81">
        <v>1.2</v>
      </c>
      <c r="O81">
        <v>2.2999999999999998</v>
      </c>
      <c r="P81">
        <v>29.2</v>
      </c>
      <c r="Q81">
        <v>47.5</v>
      </c>
      <c r="R81">
        <v>23.3</v>
      </c>
      <c r="S81">
        <v>4.2</v>
      </c>
      <c r="T81">
        <v>2.5</v>
      </c>
      <c r="U81">
        <v>93.3</v>
      </c>
    </row>
    <row r="82" spans="1:21" x14ac:dyDescent="0.2">
      <c r="A82" t="s">
        <v>93</v>
      </c>
      <c r="B82">
        <v>1.5</v>
      </c>
      <c r="C82">
        <v>60</v>
      </c>
      <c r="D82">
        <v>0.8</v>
      </c>
      <c r="E82">
        <v>1.3</v>
      </c>
      <c r="F82">
        <v>0.9</v>
      </c>
      <c r="G82">
        <v>1.6</v>
      </c>
      <c r="H82">
        <v>0.8</v>
      </c>
      <c r="I82">
        <v>1.5</v>
      </c>
      <c r="J82">
        <v>0.8</v>
      </c>
      <c r="K82">
        <v>30.9</v>
      </c>
      <c r="L82">
        <v>2.4</v>
      </c>
      <c r="M82">
        <v>94.4</v>
      </c>
      <c r="N82">
        <v>1.2</v>
      </c>
      <c r="O82">
        <v>2</v>
      </c>
      <c r="P82">
        <v>28.5</v>
      </c>
      <c r="Q82">
        <v>47.3</v>
      </c>
      <c r="R82">
        <v>24.2</v>
      </c>
      <c r="S82">
        <v>4.4000000000000004</v>
      </c>
      <c r="T82">
        <v>2.4</v>
      </c>
      <c r="U82">
        <v>93.2</v>
      </c>
    </row>
    <row r="83" spans="1:21" x14ac:dyDescent="0.2">
      <c r="A83" t="s">
        <v>94</v>
      </c>
      <c r="B83">
        <v>1.7</v>
      </c>
      <c r="C83">
        <v>59.7</v>
      </c>
      <c r="D83">
        <v>0.7</v>
      </c>
      <c r="E83">
        <v>1.6</v>
      </c>
      <c r="F83">
        <v>1.1000000000000001</v>
      </c>
      <c r="G83">
        <v>1.3</v>
      </c>
      <c r="H83">
        <v>0.8</v>
      </c>
      <c r="I83">
        <v>1.4</v>
      </c>
      <c r="J83">
        <v>0.6</v>
      </c>
      <c r="K83">
        <v>31.1</v>
      </c>
      <c r="L83">
        <v>2.7</v>
      </c>
      <c r="M83">
        <v>93.7</v>
      </c>
      <c r="N83">
        <v>1.1000000000000001</v>
      </c>
      <c r="O83">
        <v>2.4</v>
      </c>
      <c r="P83">
        <v>34.299999999999997</v>
      </c>
      <c r="Q83">
        <v>40.200000000000003</v>
      </c>
      <c r="R83">
        <v>25.5</v>
      </c>
      <c r="S83">
        <v>4.2</v>
      </c>
      <c r="T83">
        <v>1.8</v>
      </c>
      <c r="U83">
        <v>93.9</v>
      </c>
    </row>
    <row r="84" spans="1:21" x14ac:dyDescent="0.2">
      <c r="A84" t="s">
        <v>95</v>
      </c>
      <c r="B84">
        <v>1.6</v>
      </c>
      <c r="C84">
        <v>60.4</v>
      </c>
      <c r="D84">
        <v>0.7</v>
      </c>
      <c r="E84">
        <v>1.4</v>
      </c>
      <c r="F84">
        <v>0.8</v>
      </c>
      <c r="G84">
        <v>1.2</v>
      </c>
      <c r="H84">
        <v>0.6</v>
      </c>
      <c r="I84">
        <v>1.6</v>
      </c>
      <c r="J84">
        <v>0.8</v>
      </c>
      <c r="K84">
        <v>30.9</v>
      </c>
      <c r="L84">
        <v>2.4</v>
      </c>
      <c r="M84">
        <v>94.3</v>
      </c>
      <c r="N84">
        <v>1.1000000000000001</v>
      </c>
      <c r="O84">
        <v>2.2000000000000002</v>
      </c>
      <c r="P84">
        <v>31.4</v>
      </c>
      <c r="Q84">
        <v>45.6</v>
      </c>
      <c r="R84">
        <v>23</v>
      </c>
      <c r="S84">
        <v>4.8</v>
      </c>
      <c r="T84">
        <v>2.5</v>
      </c>
      <c r="U84">
        <v>92.7</v>
      </c>
    </row>
    <row r="85" spans="1:21" x14ac:dyDescent="0.2">
      <c r="A85" t="s">
        <v>96</v>
      </c>
      <c r="B85">
        <v>1.8</v>
      </c>
      <c r="C85">
        <v>60.3</v>
      </c>
      <c r="D85">
        <v>0.7</v>
      </c>
      <c r="E85">
        <v>1.7</v>
      </c>
      <c r="F85">
        <v>0.8</v>
      </c>
      <c r="G85">
        <v>1.2</v>
      </c>
      <c r="H85">
        <v>0.6</v>
      </c>
      <c r="I85">
        <v>1.8</v>
      </c>
      <c r="J85">
        <v>1</v>
      </c>
      <c r="K85">
        <v>30.1</v>
      </c>
      <c r="L85">
        <v>2.8</v>
      </c>
      <c r="M85">
        <v>93.5</v>
      </c>
      <c r="N85">
        <v>1.1000000000000001</v>
      </c>
      <c r="O85">
        <v>2.6</v>
      </c>
      <c r="P85">
        <v>32.5</v>
      </c>
      <c r="Q85">
        <v>45.3</v>
      </c>
      <c r="R85">
        <v>22.1</v>
      </c>
      <c r="S85">
        <v>5.5</v>
      </c>
      <c r="T85">
        <v>3</v>
      </c>
      <c r="U85">
        <v>91.5</v>
      </c>
    </row>
    <row r="86" spans="1:21" x14ac:dyDescent="0.2">
      <c r="A86" t="s">
        <v>97</v>
      </c>
      <c r="B86">
        <v>2</v>
      </c>
      <c r="C86">
        <v>60</v>
      </c>
      <c r="D86">
        <v>1</v>
      </c>
      <c r="E86">
        <v>1.8</v>
      </c>
      <c r="F86">
        <v>1.1000000000000001</v>
      </c>
      <c r="G86">
        <v>1.3</v>
      </c>
      <c r="H86">
        <v>0.8</v>
      </c>
      <c r="I86">
        <v>1.7</v>
      </c>
      <c r="J86">
        <v>0.8</v>
      </c>
      <c r="K86">
        <v>29.5</v>
      </c>
      <c r="L86">
        <v>3.1</v>
      </c>
      <c r="M86">
        <v>92.7</v>
      </c>
      <c r="N86">
        <v>1.5</v>
      </c>
      <c r="O86">
        <v>2.8</v>
      </c>
      <c r="P86">
        <v>33.700000000000003</v>
      </c>
      <c r="Q86">
        <v>41.6</v>
      </c>
      <c r="R86">
        <v>24.7</v>
      </c>
      <c r="S86">
        <v>5.4</v>
      </c>
      <c r="T86">
        <v>2.6</v>
      </c>
      <c r="U86">
        <v>92</v>
      </c>
    </row>
    <row r="87" spans="1:21" x14ac:dyDescent="0.2">
      <c r="A87" t="s">
        <v>98</v>
      </c>
      <c r="B87">
        <v>1.8</v>
      </c>
      <c r="C87">
        <v>59.7</v>
      </c>
      <c r="D87">
        <v>0.8</v>
      </c>
      <c r="E87">
        <v>2.1</v>
      </c>
      <c r="F87">
        <v>1</v>
      </c>
      <c r="G87">
        <v>1.4</v>
      </c>
      <c r="H87">
        <v>0.8</v>
      </c>
      <c r="I87">
        <v>1.6</v>
      </c>
      <c r="J87">
        <v>0.8</v>
      </c>
      <c r="K87">
        <v>29.9</v>
      </c>
      <c r="L87">
        <v>2.9</v>
      </c>
      <c r="M87">
        <v>92.6</v>
      </c>
      <c r="N87">
        <v>1.2</v>
      </c>
      <c r="O87">
        <v>3.3</v>
      </c>
      <c r="P87">
        <v>30.9</v>
      </c>
      <c r="Q87">
        <v>45.1</v>
      </c>
      <c r="R87">
        <v>24</v>
      </c>
      <c r="S87">
        <v>4.9000000000000004</v>
      </c>
      <c r="T87">
        <v>2.2999999999999998</v>
      </c>
      <c r="U87">
        <v>92.8</v>
      </c>
    </row>
    <row r="88" spans="1:21" x14ac:dyDescent="0.2">
      <c r="A88" t="s">
        <v>99</v>
      </c>
      <c r="B88">
        <v>1.9</v>
      </c>
      <c r="C88">
        <v>59.6</v>
      </c>
      <c r="D88">
        <v>0.8</v>
      </c>
      <c r="E88">
        <v>2.2999999999999998</v>
      </c>
      <c r="F88">
        <v>1</v>
      </c>
      <c r="G88">
        <v>1.3</v>
      </c>
      <c r="H88">
        <v>0.7</v>
      </c>
      <c r="I88">
        <v>1.9</v>
      </c>
      <c r="J88">
        <v>0.8</v>
      </c>
      <c r="K88">
        <v>29.8</v>
      </c>
      <c r="L88">
        <v>3</v>
      </c>
      <c r="M88">
        <v>92.3</v>
      </c>
      <c r="N88">
        <v>1.2</v>
      </c>
      <c r="O88">
        <v>3.6</v>
      </c>
      <c r="P88">
        <v>33.200000000000003</v>
      </c>
      <c r="Q88">
        <v>43.2</v>
      </c>
      <c r="R88">
        <v>23.6</v>
      </c>
      <c r="S88">
        <v>5.9</v>
      </c>
      <c r="T88">
        <v>2.4</v>
      </c>
      <c r="U88">
        <v>91.8</v>
      </c>
    </row>
    <row r="89" spans="1:21" x14ac:dyDescent="0.2">
      <c r="A89" t="s">
        <v>100</v>
      </c>
      <c r="B89">
        <v>1.9</v>
      </c>
      <c r="C89">
        <v>60.5</v>
      </c>
      <c r="D89">
        <v>0.8</v>
      </c>
      <c r="E89">
        <v>1.8</v>
      </c>
      <c r="F89">
        <v>1</v>
      </c>
      <c r="G89">
        <v>1.1000000000000001</v>
      </c>
      <c r="H89">
        <v>0.6</v>
      </c>
      <c r="I89">
        <v>1.7</v>
      </c>
      <c r="J89">
        <v>0.7</v>
      </c>
      <c r="K89">
        <v>29.9</v>
      </c>
      <c r="L89">
        <v>2.9</v>
      </c>
      <c r="M89">
        <v>93.2</v>
      </c>
      <c r="N89">
        <v>1.2</v>
      </c>
      <c r="O89">
        <v>2.7</v>
      </c>
      <c r="P89">
        <v>36.799999999999997</v>
      </c>
      <c r="Q89">
        <v>39.700000000000003</v>
      </c>
      <c r="R89">
        <v>23.5</v>
      </c>
      <c r="S89">
        <v>5.3</v>
      </c>
      <c r="T89">
        <v>2.2000000000000002</v>
      </c>
      <c r="U89">
        <v>92.5</v>
      </c>
    </row>
    <row r="90" spans="1:21" x14ac:dyDescent="0.2">
      <c r="A90" t="s">
        <v>101</v>
      </c>
      <c r="B90">
        <v>1.5</v>
      </c>
      <c r="C90">
        <v>61.1</v>
      </c>
      <c r="D90">
        <v>0.7</v>
      </c>
      <c r="E90">
        <v>1.6</v>
      </c>
      <c r="F90">
        <v>0.8</v>
      </c>
      <c r="G90">
        <v>1.2</v>
      </c>
      <c r="H90">
        <v>0.7</v>
      </c>
      <c r="I90">
        <v>1.4</v>
      </c>
      <c r="J90">
        <v>0.7</v>
      </c>
      <c r="K90">
        <v>30.3</v>
      </c>
      <c r="L90">
        <v>2.2999999999999998</v>
      </c>
      <c r="M90">
        <v>94.1</v>
      </c>
      <c r="N90">
        <v>1.2</v>
      </c>
      <c r="O90">
        <v>2.5</v>
      </c>
      <c r="P90">
        <v>28.9</v>
      </c>
      <c r="Q90">
        <v>45.6</v>
      </c>
      <c r="R90">
        <v>25.5</v>
      </c>
      <c r="S90">
        <v>4.4000000000000004</v>
      </c>
      <c r="T90">
        <v>2.1</v>
      </c>
      <c r="U90">
        <v>93.4</v>
      </c>
    </row>
    <row r="91" spans="1:21" x14ac:dyDescent="0.2">
      <c r="A91" t="s">
        <v>102</v>
      </c>
      <c r="B91">
        <v>1.4</v>
      </c>
      <c r="C91">
        <v>60.7</v>
      </c>
      <c r="D91">
        <v>0.8</v>
      </c>
      <c r="E91">
        <v>1.4</v>
      </c>
      <c r="F91">
        <v>0.7</v>
      </c>
      <c r="G91">
        <v>1.3</v>
      </c>
      <c r="H91">
        <v>0.8</v>
      </c>
      <c r="I91">
        <v>1.5</v>
      </c>
      <c r="J91">
        <v>0.6</v>
      </c>
      <c r="K91">
        <v>30.8</v>
      </c>
      <c r="L91">
        <v>2.1</v>
      </c>
      <c r="M91">
        <v>94.4</v>
      </c>
      <c r="N91">
        <v>1.2</v>
      </c>
      <c r="O91">
        <v>2.2000000000000002</v>
      </c>
      <c r="P91">
        <v>25.9</v>
      </c>
      <c r="Q91">
        <v>44.5</v>
      </c>
      <c r="R91">
        <v>29.6</v>
      </c>
      <c r="S91">
        <v>4.5</v>
      </c>
      <c r="T91">
        <v>1.8</v>
      </c>
      <c r="U91">
        <v>93.7</v>
      </c>
    </row>
    <row r="92" spans="1:21" x14ac:dyDescent="0.2">
      <c r="A92" t="s">
        <v>103</v>
      </c>
      <c r="B92">
        <v>1.6</v>
      </c>
      <c r="C92">
        <v>59.7</v>
      </c>
      <c r="D92">
        <v>1</v>
      </c>
      <c r="E92">
        <v>1.9</v>
      </c>
      <c r="F92">
        <v>0.7</v>
      </c>
      <c r="G92">
        <v>1.2</v>
      </c>
      <c r="H92">
        <v>0.7</v>
      </c>
      <c r="I92">
        <v>1.6</v>
      </c>
      <c r="J92">
        <v>0.8</v>
      </c>
      <c r="K92">
        <v>30.9</v>
      </c>
      <c r="L92">
        <v>2.4</v>
      </c>
      <c r="M92">
        <v>93.1</v>
      </c>
      <c r="N92">
        <v>1.5</v>
      </c>
      <c r="O92">
        <v>2.9</v>
      </c>
      <c r="P92">
        <v>27.1</v>
      </c>
      <c r="Q92">
        <v>46</v>
      </c>
      <c r="R92">
        <v>26.8</v>
      </c>
      <c r="S92">
        <v>4.8</v>
      </c>
      <c r="T92">
        <v>2.2999999999999998</v>
      </c>
      <c r="U92">
        <v>92.8</v>
      </c>
    </row>
    <row r="93" spans="1:21" x14ac:dyDescent="0.2">
      <c r="A93" t="s">
        <v>104</v>
      </c>
      <c r="B93">
        <v>1.5</v>
      </c>
      <c r="C93">
        <v>60.1</v>
      </c>
      <c r="D93">
        <v>0.8</v>
      </c>
      <c r="E93">
        <v>1.6</v>
      </c>
      <c r="F93">
        <v>0.9</v>
      </c>
      <c r="G93">
        <v>1.5</v>
      </c>
      <c r="H93">
        <v>0.7</v>
      </c>
      <c r="I93">
        <v>1.5</v>
      </c>
      <c r="J93">
        <v>0.8</v>
      </c>
      <c r="K93">
        <v>30.7</v>
      </c>
      <c r="L93">
        <v>2.4</v>
      </c>
      <c r="M93">
        <v>94</v>
      </c>
      <c r="N93">
        <v>1.2</v>
      </c>
      <c r="O93">
        <v>2.5</v>
      </c>
      <c r="P93">
        <v>30.3</v>
      </c>
      <c r="Q93">
        <v>47.9</v>
      </c>
      <c r="R93">
        <v>21.8</v>
      </c>
      <c r="S93">
        <v>4.5</v>
      </c>
      <c r="T93">
        <v>2.2999999999999998</v>
      </c>
      <c r="U93">
        <v>93.2</v>
      </c>
    </row>
    <row r="94" spans="1:21" x14ac:dyDescent="0.2">
      <c r="A94" t="s">
        <v>105</v>
      </c>
      <c r="B94">
        <v>1.5</v>
      </c>
      <c r="C94">
        <v>60.2</v>
      </c>
      <c r="D94">
        <v>0.6</v>
      </c>
      <c r="E94">
        <v>1.4</v>
      </c>
      <c r="F94">
        <v>1</v>
      </c>
      <c r="G94">
        <v>1.4</v>
      </c>
      <c r="H94">
        <v>0.7</v>
      </c>
      <c r="I94">
        <v>1.5</v>
      </c>
      <c r="J94">
        <v>0.7</v>
      </c>
      <c r="K94">
        <v>31</v>
      </c>
      <c r="L94">
        <v>2.4</v>
      </c>
      <c r="M94">
        <v>94.5</v>
      </c>
      <c r="N94">
        <v>0.9</v>
      </c>
      <c r="O94">
        <v>2.2000000000000002</v>
      </c>
      <c r="P94">
        <v>31.4</v>
      </c>
      <c r="Q94">
        <v>45.4</v>
      </c>
      <c r="R94">
        <v>23.3</v>
      </c>
      <c r="S94">
        <v>4.5999999999999996</v>
      </c>
      <c r="T94">
        <v>2.1</v>
      </c>
      <c r="U94">
        <v>93.3</v>
      </c>
    </row>
    <row r="95" spans="1:21" x14ac:dyDescent="0.2">
      <c r="A95" t="s">
        <v>106</v>
      </c>
      <c r="B95">
        <v>1.8</v>
      </c>
      <c r="C95">
        <v>59.7</v>
      </c>
      <c r="D95">
        <v>0.7</v>
      </c>
      <c r="E95">
        <v>1.7</v>
      </c>
      <c r="F95">
        <v>0.9</v>
      </c>
      <c r="G95">
        <v>1.2</v>
      </c>
      <c r="H95">
        <v>0.8</v>
      </c>
      <c r="I95">
        <v>1.6</v>
      </c>
      <c r="J95">
        <v>0.7</v>
      </c>
      <c r="K95">
        <v>30.8</v>
      </c>
      <c r="L95">
        <v>2.8</v>
      </c>
      <c r="M95">
        <v>93.3</v>
      </c>
      <c r="N95">
        <v>1.1000000000000001</v>
      </c>
      <c r="O95">
        <v>2.7</v>
      </c>
      <c r="P95">
        <v>31.2</v>
      </c>
      <c r="Q95">
        <v>42.2</v>
      </c>
      <c r="R95">
        <v>26.6</v>
      </c>
      <c r="S95">
        <v>4.9000000000000004</v>
      </c>
      <c r="T95">
        <v>2</v>
      </c>
      <c r="U95">
        <v>93.2</v>
      </c>
    </row>
    <row r="96" spans="1:21" x14ac:dyDescent="0.2">
      <c r="A96" t="s">
        <v>107</v>
      </c>
      <c r="B96">
        <v>1.5</v>
      </c>
      <c r="C96">
        <v>60.2</v>
      </c>
      <c r="D96">
        <v>0.8</v>
      </c>
      <c r="E96">
        <v>1.6</v>
      </c>
      <c r="F96">
        <v>0.9</v>
      </c>
      <c r="G96">
        <v>1.2</v>
      </c>
      <c r="H96">
        <v>0.7</v>
      </c>
      <c r="I96">
        <v>1.8</v>
      </c>
      <c r="J96">
        <v>0.7</v>
      </c>
      <c r="K96">
        <v>30.7</v>
      </c>
      <c r="L96">
        <v>2.2999999999999998</v>
      </c>
      <c r="M96">
        <v>94.1</v>
      </c>
      <c r="N96">
        <v>1.2</v>
      </c>
      <c r="O96">
        <v>2.4</v>
      </c>
      <c r="P96">
        <v>32.5</v>
      </c>
      <c r="Q96">
        <v>42.1</v>
      </c>
      <c r="R96">
        <v>25.4</v>
      </c>
      <c r="S96">
        <v>5.4</v>
      </c>
      <c r="T96">
        <v>2.1</v>
      </c>
      <c r="U96">
        <v>92.5</v>
      </c>
    </row>
    <row r="97" spans="1:21" x14ac:dyDescent="0.2">
      <c r="A97" t="s">
        <v>108</v>
      </c>
      <c r="B97">
        <v>1.7</v>
      </c>
      <c r="C97">
        <v>59.9</v>
      </c>
      <c r="D97">
        <v>0.8</v>
      </c>
      <c r="E97">
        <v>1.8</v>
      </c>
      <c r="F97">
        <v>0.8</v>
      </c>
      <c r="G97">
        <v>1.2</v>
      </c>
      <c r="H97">
        <v>0.6</v>
      </c>
      <c r="I97">
        <v>2</v>
      </c>
      <c r="J97">
        <v>0.9</v>
      </c>
      <c r="K97">
        <v>30.3</v>
      </c>
      <c r="L97">
        <v>2.6</v>
      </c>
      <c r="M97">
        <v>93.4</v>
      </c>
      <c r="N97">
        <v>1.2</v>
      </c>
      <c r="O97">
        <v>2.8</v>
      </c>
      <c r="P97">
        <v>31.1</v>
      </c>
      <c r="Q97">
        <v>46.4</v>
      </c>
      <c r="R97">
        <v>22.5</v>
      </c>
      <c r="S97">
        <v>6</v>
      </c>
      <c r="T97">
        <v>2.7</v>
      </c>
      <c r="U97">
        <v>91.3</v>
      </c>
    </row>
    <row r="98" spans="1:21" x14ac:dyDescent="0.2">
      <c r="A98" t="s">
        <v>109</v>
      </c>
      <c r="B98">
        <v>1.9</v>
      </c>
      <c r="C98">
        <v>59.9</v>
      </c>
      <c r="D98">
        <v>0.8</v>
      </c>
      <c r="E98">
        <v>1.9</v>
      </c>
      <c r="F98">
        <v>1.1000000000000001</v>
      </c>
      <c r="G98">
        <v>1.2</v>
      </c>
      <c r="H98">
        <v>0.6</v>
      </c>
      <c r="I98">
        <v>2</v>
      </c>
      <c r="J98">
        <v>0.8</v>
      </c>
      <c r="K98">
        <v>29.6</v>
      </c>
      <c r="L98">
        <v>3</v>
      </c>
      <c r="M98">
        <v>92.8</v>
      </c>
      <c r="N98">
        <v>1.3</v>
      </c>
      <c r="O98">
        <v>2.9</v>
      </c>
      <c r="P98">
        <v>35.9</v>
      </c>
      <c r="Q98">
        <v>42.2</v>
      </c>
      <c r="R98">
        <v>21.9</v>
      </c>
      <c r="S98">
        <v>6.1</v>
      </c>
      <c r="T98">
        <v>2.5</v>
      </c>
      <c r="U98">
        <v>91.3</v>
      </c>
    </row>
    <row r="99" spans="1:21" x14ac:dyDescent="0.2">
      <c r="A99" t="s">
        <v>110</v>
      </c>
      <c r="B99">
        <v>1.8</v>
      </c>
      <c r="C99">
        <v>59.9</v>
      </c>
      <c r="D99">
        <v>0.8</v>
      </c>
      <c r="E99">
        <v>2.2000000000000002</v>
      </c>
      <c r="F99">
        <v>1</v>
      </c>
      <c r="G99">
        <v>1.3</v>
      </c>
      <c r="H99">
        <v>0.7</v>
      </c>
      <c r="I99">
        <v>1.5</v>
      </c>
      <c r="J99">
        <v>0.6</v>
      </c>
      <c r="K99">
        <v>30.3</v>
      </c>
      <c r="L99">
        <v>2.8</v>
      </c>
      <c r="M99">
        <v>92.7</v>
      </c>
      <c r="N99">
        <v>1.2</v>
      </c>
      <c r="O99">
        <v>3.4</v>
      </c>
      <c r="P99">
        <v>32.299999999999997</v>
      </c>
      <c r="Q99">
        <v>42.9</v>
      </c>
      <c r="R99">
        <v>24.8</v>
      </c>
      <c r="S99">
        <v>4.5999999999999996</v>
      </c>
      <c r="T99">
        <v>1.8</v>
      </c>
      <c r="U99">
        <v>93.6</v>
      </c>
    </row>
    <row r="100" spans="1:21" x14ac:dyDescent="0.2">
      <c r="A100" t="s">
        <v>111</v>
      </c>
      <c r="B100">
        <v>2.2999999999999998</v>
      </c>
      <c r="C100">
        <v>59</v>
      </c>
      <c r="D100">
        <v>0.7</v>
      </c>
      <c r="E100">
        <v>2.6</v>
      </c>
      <c r="F100">
        <v>1.1000000000000001</v>
      </c>
      <c r="G100">
        <v>1.1000000000000001</v>
      </c>
      <c r="H100">
        <v>0.6</v>
      </c>
      <c r="I100">
        <v>1.8</v>
      </c>
      <c r="J100">
        <v>0.7</v>
      </c>
      <c r="K100">
        <v>30.1</v>
      </c>
      <c r="L100">
        <v>3.6</v>
      </c>
      <c r="M100">
        <v>91.4</v>
      </c>
      <c r="N100">
        <v>1.1000000000000001</v>
      </c>
      <c r="O100">
        <v>4</v>
      </c>
      <c r="P100">
        <v>38.799999999999997</v>
      </c>
      <c r="Q100">
        <v>39.700000000000003</v>
      </c>
      <c r="R100">
        <v>21.6</v>
      </c>
      <c r="S100">
        <v>5.6</v>
      </c>
      <c r="T100">
        <v>2.2999999999999998</v>
      </c>
      <c r="U100">
        <v>92.2</v>
      </c>
    </row>
    <row r="101" spans="1:21" x14ac:dyDescent="0.2">
      <c r="A101" t="s">
        <v>112</v>
      </c>
      <c r="B101">
        <v>1.8</v>
      </c>
      <c r="C101">
        <v>60.5</v>
      </c>
      <c r="D101">
        <v>0.7</v>
      </c>
      <c r="E101">
        <v>1.5</v>
      </c>
      <c r="F101">
        <v>0.8</v>
      </c>
      <c r="G101">
        <v>1.2</v>
      </c>
      <c r="H101">
        <v>0.7</v>
      </c>
      <c r="I101">
        <v>1.8</v>
      </c>
      <c r="J101">
        <v>0.6</v>
      </c>
      <c r="K101">
        <v>30.5</v>
      </c>
      <c r="L101">
        <v>2.8</v>
      </c>
      <c r="M101">
        <v>93.9</v>
      </c>
      <c r="N101">
        <v>1.1000000000000001</v>
      </c>
      <c r="O101">
        <v>2.2999999999999998</v>
      </c>
      <c r="P101">
        <v>31.4</v>
      </c>
      <c r="Q101">
        <v>43.7</v>
      </c>
      <c r="R101">
        <v>24.9</v>
      </c>
      <c r="S101">
        <v>5.4</v>
      </c>
      <c r="T101">
        <v>1.9</v>
      </c>
      <c r="U101">
        <v>92.7</v>
      </c>
    </row>
    <row r="102" spans="1:21" x14ac:dyDescent="0.2">
      <c r="A102" t="s">
        <v>113</v>
      </c>
      <c r="B102">
        <v>1.6</v>
      </c>
      <c r="C102">
        <v>61</v>
      </c>
      <c r="D102">
        <v>0.7</v>
      </c>
      <c r="E102">
        <v>1.6</v>
      </c>
      <c r="F102">
        <v>0.8</v>
      </c>
      <c r="G102">
        <v>1.1000000000000001</v>
      </c>
      <c r="H102">
        <v>0.6</v>
      </c>
      <c r="I102">
        <v>1.5</v>
      </c>
      <c r="J102">
        <v>0.7</v>
      </c>
      <c r="K102">
        <v>30.5</v>
      </c>
      <c r="L102">
        <v>2.5</v>
      </c>
      <c r="M102">
        <v>94</v>
      </c>
      <c r="N102">
        <v>1</v>
      </c>
      <c r="O102">
        <v>2.5</v>
      </c>
      <c r="P102">
        <v>32</v>
      </c>
      <c r="Q102">
        <v>42.3</v>
      </c>
      <c r="R102">
        <v>25.6</v>
      </c>
      <c r="S102">
        <v>4.5</v>
      </c>
      <c r="T102">
        <v>2.1</v>
      </c>
      <c r="U102">
        <v>93.4</v>
      </c>
    </row>
    <row r="103" spans="1:21" x14ac:dyDescent="0.2">
      <c r="A103" t="s">
        <v>114</v>
      </c>
      <c r="B103">
        <v>1.6</v>
      </c>
      <c r="C103">
        <v>60.8</v>
      </c>
      <c r="D103">
        <v>0.7</v>
      </c>
      <c r="E103">
        <v>1.5</v>
      </c>
      <c r="F103">
        <v>0.7</v>
      </c>
      <c r="G103">
        <v>1.1000000000000001</v>
      </c>
      <c r="H103">
        <v>0.7</v>
      </c>
      <c r="I103">
        <v>1.4</v>
      </c>
      <c r="J103">
        <v>0.6</v>
      </c>
      <c r="K103">
        <v>31</v>
      </c>
      <c r="L103">
        <v>2.5</v>
      </c>
      <c r="M103">
        <v>94.2</v>
      </c>
      <c r="N103">
        <v>1</v>
      </c>
      <c r="O103">
        <v>2.2999999999999998</v>
      </c>
      <c r="P103">
        <v>28.9</v>
      </c>
      <c r="Q103">
        <v>44.9</v>
      </c>
      <c r="R103">
        <v>26.2</v>
      </c>
      <c r="S103">
        <v>4.3</v>
      </c>
      <c r="T103">
        <v>1.7</v>
      </c>
      <c r="U103">
        <v>94</v>
      </c>
    </row>
    <row r="104" spans="1:21" x14ac:dyDescent="0.2">
      <c r="A104" t="s">
        <v>115</v>
      </c>
      <c r="B104">
        <v>1.6</v>
      </c>
      <c r="C104">
        <v>60</v>
      </c>
      <c r="D104">
        <v>1</v>
      </c>
      <c r="E104">
        <v>1.9</v>
      </c>
      <c r="F104">
        <v>0.8</v>
      </c>
      <c r="G104">
        <v>1.1000000000000001</v>
      </c>
      <c r="H104">
        <v>0.6</v>
      </c>
      <c r="I104">
        <v>1.5</v>
      </c>
      <c r="J104">
        <v>0.7</v>
      </c>
      <c r="K104">
        <v>30.8</v>
      </c>
      <c r="L104">
        <v>2.5</v>
      </c>
      <c r="M104">
        <v>93</v>
      </c>
      <c r="N104">
        <v>1.6</v>
      </c>
      <c r="O104">
        <v>3</v>
      </c>
      <c r="P104">
        <v>31.2</v>
      </c>
      <c r="Q104">
        <v>45.1</v>
      </c>
      <c r="R104">
        <v>23.7</v>
      </c>
      <c r="S104">
        <v>4.5</v>
      </c>
      <c r="T104">
        <v>2.1</v>
      </c>
      <c r="U104">
        <v>93.5</v>
      </c>
    </row>
    <row r="105" spans="1:21" x14ac:dyDescent="0.2">
      <c r="A105" t="s">
        <v>116</v>
      </c>
      <c r="B105">
        <v>1.6</v>
      </c>
      <c r="C105">
        <v>60.3</v>
      </c>
      <c r="D105">
        <v>0.7</v>
      </c>
      <c r="E105">
        <v>1.5</v>
      </c>
      <c r="F105">
        <v>0.9</v>
      </c>
      <c r="G105">
        <v>1.3</v>
      </c>
      <c r="H105">
        <v>0.7</v>
      </c>
      <c r="I105">
        <v>1.7</v>
      </c>
      <c r="J105">
        <v>0.7</v>
      </c>
      <c r="K105">
        <v>30.6</v>
      </c>
      <c r="L105">
        <v>2.5</v>
      </c>
      <c r="M105">
        <v>94.1</v>
      </c>
      <c r="N105">
        <v>1.1000000000000001</v>
      </c>
      <c r="O105">
        <v>2.2999999999999998</v>
      </c>
      <c r="P105">
        <v>30.6</v>
      </c>
      <c r="Q105">
        <v>46.6</v>
      </c>
      <c r="R105">
        <v>22.8</v>
      </c>
      <c r="S105">
        <v>5.0999999999999996</v>
      </c>
      <c r="T105">
        <v>2.2000000000000002</v>
      </c>
      <c r="U105">
        <v>92.7</v>
      </c>
    </row>
    <row r="106" spans="1:21" x14ac:dyDescent="0.2">
      <c r="A106" t="s">
        <v>117</v>
      </c>
      <c r="B106">
        <v>1.8</v>
      </c>
      <c r="C106">
        <v>60.5</v>
      </c>
      <c r="D106">
        <v>0.6</v>
      </c>
      <c r="E106">
        <v>1.6</v>
      </c>
      <c r="F106">
        <v>0.9</v>
      </c>
      <c r="G106">
        <v>1.2</v>
      </c>
      <c r="H106">
        <v>0.7</v>
      </c>
      <c r="I106">
        <v>1.6</v>
      </c>
      <c r="J106">
        <v>0.7</v>
      </c>
      <c r="K106">
        <v>30.5</v>
      </c>
      <c r="L106">
        <v>2.7</v>
      </c>
      <c r="M106">
        <v>93.8</v>
      </c>
      <c r="N106">
        <v>1</v>
      </c>
      <c r="O106">
        <v>2.5</v>
      </c>
      <c r="P106">
        <v>32.299999999999997</v>
      </c>
      <c r="Q106">
        <v>43.6</v>
      </c>
      <c r="R106">
        <v>24.1</v>
      </c>
      <c r="S106">
        <v>4.8</v>
      </c>
      <c r="T106">
        <v>2</v>
      </c>
      <c r="U106">
        <v>93.1</v>
      </c>
    </row>
    <row r="107" spans="1:21" x14ac:dyDescent="0.2">
      <c r="A107" t="s">
        <v>118</v>
      </c>
      <c r="B107">
        <v>1.6</v>
      </c>
      <c r="C107">
        <v>60.8</v>
      </c>
      <c r="D107">
        <v>0.6</v>
      </c>
      <c r="E107">
        <v>1.5</v>
      </c>
      <c r="F107">
        <v>1</v>
      </c>
      <c r="G107">
        <v>1.1000000000000001</v>
      </c>
      <c r="H107">
        <v>0.7</v>
      </c>
      <c r="I107">
        <v>1.4</v>
      </c>
      <c r="J107">
        <v>0.6</v>
      </c>
      <c r="K107">
        <v>30.7</v>
      </c>
      <c r="L107">
        <v>2.5</v>
      </c>
      <c r="M107">
        <v>94.2</v>
      </c>
      <c r="N107">
        <v>0.9</v>
      </c>
      <c r="O107">
        <v>2.2999999999999998</v>
      </c>
      <c r="P107">
        <v>35.200000000000003</v>
      </c>
      <c r="Q107">
        <v>39.6</v>
      </c>
      <c r="R107">
        <v>25.2</v>
      </c>
      <c r="S107">
        <v>4.3</v>
      </c>
      <c r="T107">
        <v>1.8</v>
      </c>
      <c r="U107">
        <v>94</v>
      </c>
    </row>
    <row r="108" spans="1:21" x14ac:dyDescent="0.2">
      <c r="A108" t="s">
        <v>119</v>
      </c>
      <c r="B108">
        <v>1.7</v>
      </c>
      <c r="C108">
        <v>60.6</v>
      </c>
      <c r="D108">
        <v>0.6</v>
      </c>
      <c r="E108">
        <v>1.6</v>
      </c>
      <c r="F108">
        <v>0.8</v>
      </c>
      <c r="G108">
        <v>1.1000000000000001</v>
      </c>
      <c r="H108">
        <v>0.6</v>
      </c>
      <c r="I108">
        <v>1.4</v>
      </c>
      <c r="J108">
        <v>0.8</v>
      </c>
      <c r="K108">
        <v>30.7</v>
      </c>
      <c r="L108">
        <v>2.6</v>
      </c>
      <c r="M108">
        <v>93.9</v>
      </c>
      <c r="N108">
        <v>1</v>
      </c>
      <c r="O108">
        <v>2.5</v>
      </c>
      <c r="P108">
        <v>32</v>
      </c>
      <c r="Q108">
        <v>43.3</v>
      </c>
      <c r="R108">
        <v>24.7</v>
      </c>
      <c r="S108">
        <v>4.4000000000000004</v>
      </c>
      <c r="T108">
        <v>2.4</v>
      </c>
      <c r="U108">
        <v>93.3</v>
      </c>
    </row>
    <row r="109" spans="1:21" x14ac:dyDescent="0.2">
      <c r="A109" t="s">
        <v>120</v>
      </c>
      <c r="B109">
        <v>2</v>
      </c>
      <c r="C109">
        <v>59.5</v>
      </c>
      <c r="D109">
        <v>0.8</v>
      </c>
      <c r="E109">
        <v>1.8</v>
      </c>
      <c r="F109">
        <v>0.9</v>
      </c>
      <c r="G109">
        <v>1</v>
      </c>
      <c r="H109">
        <v>0.7</v>
      </c>
      <c r="I109">
        <v>2.2000000000000002</v>
      </c>
      <c r="J109">
        <v>0.9</v>
      </c>
      <c r="K109">
        <v>30.2</v>
      </c>
      <c r="L109">
        <v>3.2</v>
      </c>
      <c r="M109">
        <v>92.8</v>
      </c>
      <c r="N109">
        <v>1.3</v>
      </c>
      <c r="O109">
        <v>2.7</v>
      </c>
      <c r="P109">
        <v>35.4</v>
      </c>
      <c r="Q109">
        <v>39.1</v>
      </c>
      <c r="R109">
        <v>25.5</v>
      </c>
      <c r="S109">
        <v>6.6</v>
      </c>
      <c r="T109">
        <v>2.8</v>
      </c>
      <c r="U109">
        <v>90.6</v>
      </c>
    </row>
    <row r="110" spans="1:21" x14ac:dyDescent="0.2">
      <c r="A110" t="s">
        <v>121</v>
      </c>
      <c r="B110">
        <v>2</v>
      </c>
      <c r="C110">
        <v>60.1</v>
      </c>
      <c r="D110">
        <v>0.8</v>
      </c>
      <c r="E110">
        <v>1.9</v>
      </c>
      <c r="F110">
        <v>0.9</v>
      </c>
      <c r="G110">
        <v>1.1000000000000001</v>
      </c>
      <c r="H110">
        <v>0.6</v>
      </c>
      <c r="I110">
        <v>1.6</v>
      </c>
      <c r="J110">
        <v>0.7</v>
      </c>
      <c r="K110">
        <v>30.3</v>
      </c>
      <c r="L110">
        <v>3</v>
      </c>
      <c r="M110">
        <v>92.8</v>
      </c>
      <c r="N110">
        <v>1.3</v>
      </c>
      <c r="O110">
        <v>2.9</v>
      </c>
      <c r="P110">
        <v>33.700000000000003</v>
      </c>
      <c r="Q110">
        <v>41.6</v>
      </c>
      <c r="R110">
        <v>24.7</v>
      </c>
      <c r="S110">
        <v>4.9000000000000004</v>
      </c>
      <c r="T110">
        <v>2</v>
      </c>
      <c r="U110">
        <v>93.1</v>
      </c>
    </row>
    <row r="111" spans="1:21" x14ac:dyDescent="0.2">
      <c r="A111" t="s">
        <v>122</v>
      </c>
      <c r="B111">
        <v>1.8</v>
      </c>
      <c r="C111">
        <v>60.2</v>
      </c>
      <c r="D111">
        <v>0.8</v>
      </c>
      <c r="E111">
        <v>2</v>
      </c>
      <c r="F111">
        <v>0.9</v>
      </c>
      <c r="G111">
        <v>1.1000000000000001</v>
      </c>
      <c r="H111">
        <v>0.7</v>
      </c>
      <c r="I111">
        <v>1.6</v>
      </c>
      <c r="J111">
        <v>0.6</v>
      </c>
      <c r="K111">
        <v>30.3</v>
      </c>
      <c r="L111">
        <v>2.7</v>
      </c>
      <c r="M111">
        <v>92.9</v>
      </c>
      <c r="N111">
        <v>1.3</v>
      </c>
      <c r="O111">
        <v>3.1</v>
      </c>
      <c r="P111">
        <v>32.4</v>
      </c>
      <c r="Q111">
        <v>40.4</v>
      </c>
      <c r="R111">
        <v>27.2</v>
      </c>
      <c r="S111">
        <v>4.9000000000000004</v>
      </c>
      <c r="T111">
        <v>2</v>
      </c>
      <c r="U111">
        <v>93.1</v>
      </c>
    </row>
    <row r="112" spans="1:21" x14ac:dyDescent="0.2">
      <c r="A112" t="s">
        <v>123</v>
      </c>
      <c r="B112">
        <v>2.2999999999999998</v>
      </c>
      <c r="C112">
        <v>59.3</v>
      </c>
      <c r="D112">
        <v>0.7</v>
      </c>
      <c r="E112">
        <v>2.5</v>
      </c>
      <c r="F112">
        <v>1</v>
      </c>
      <c r="G112">
        <v>0.9</v>
      </c>
      <c r="H112">
        <v>0.7</v>
      </c>
      <c r="I112">
        <v>1.9</v>
      </c>
      <c r="J112">
        <v>0.6</v>
      </c>
      <c r="K112">
        <v>30.1</v>
      </c>
      <c r="L112">
        <v>3.5</v>
      </c>
      <c r="M112">
        <v>91.6</v>
      </c>
      <c r="N112">
        <v>1.1000000000000001</v>
      </c>
      <c r="O112">
        <v>3.8</v>
      </c>
      <c r="P112">
        <v>39.1</v>
      </c>
      <c r="Q112">
        <v>36</v>
      </c>
      <c r="R112">
        <v>24.9</v>
      </c>
      <c r="S112">
        <v>5.7</v>
      </c>
      <c r="T112">
        <v>1.9</v>
      </c>
      <c r="U112">
        <v>92.4</v>
      </c>
    </row>
    <row r="113" spans="1:21" x14ac:dyDescent="0.2">
      <c r="A113" t="s">
        <v>124</v>
      </c>
      <c r="B113">
        <v>1.8</v>
      </c>
      <c r="C113">
        <v>60.8</v>
      </c>
      <c r="D113">
        <v>0.6</v>
      </c>
      <c r="E113">
        <v>1.6</v>
      </c>
      <c r="F113">
        <v>0.9</v>
      </c>
      <c r="G113">
        <v>1</v>
      </c>
      <c r="H113">
        <v>0.6</v>
      </c>
      <c r="I113">
        <v>1.6</v>
      </c>
      <c r="J113">
        <v>0.6</v>
      </c>
      <c r="K113">
        <v>30.4</v>
      </c>
      <c r="L113">
        <v>2.7</v>
      </c>
      <c r="M113">
        <v>93.8</v>
      </c>
      <c r="N113">
        <v>1</v>
      </c>
      <c r="O113">
        <v>2.5</v>
      </c>
      <c r="P113">
        <v>34.4</v>
      </c>
      <c r="Q113">
        <v>39.700000000000003</v>
      </c>
      <c r="R113">
        <v>26</v>
      </c>
      <c r="S113">
        <v>5.0999999999999996</v>
      </c>
      <c r="T113">
        <v>1.8</v>
      </c>
      <c r="U113">
        <v>93.2</v>
      </c>
    </row>
    <row r="114" spans="1:21" x14ac:dyDescent="0.2">
      <c r="A114" t="s">
        <v>125</v>
      </c>
      <c r="B114">
        <v>1.8</v>
      </c>
      <c r="C114">
        <v>60.3</v>
      </c>
      <c r="D114">
        <v>0.8</v>
      </c>
      <c r="E114">
        <v>1.9</v>
      </c>
      <c r="F114">
        <v>0.8</v>
      </c>
      <c r="G114">
        <v>1.1000000000000001</v>
      </c>
      <c r="H114">
        <v>0.6</v>
      </c>
      <c r="I114">
        <v>1.6</v>
      </c>
      <c r="J114">
        <v>0.6</v>
      </c>
      <c r="K114">
        <v>30.7</v>
      </c>
      <c r="L114">
        <v>2.7</v>
      </c>
      <c r="M114">
        <v>93.2</v>
      </c>
      <c r="N114">
        <v>1.2</v>
      </c>
      <c r="O114">
        <v>2.9</v>
      </c>
      <c r="P114">
        <v>32.4</v>
      </c>
      <c r="Q114">
        <v>43.7</v>
      </c>
      <c r="R114">
        <v>23.8</v>
      </c>
      <c r="S114">
        <v>4.8</v>
      </c>
      <c r="T114">
        <v>1.8</v>
      </c>
      <c r="U114">
        <v>93.4</v>
      </c>
    </row>
    <row r="115" spans="1:21" x14ac:dyDescent="0.2">
      <c r="A115" t="s">
        <v>126</v>
      </c>
      <c r="B115">
        <v>1.2</v>
      </c>
      <c r="C115">
        <v>61</v>
      </c>
      <c r="D115">
        <v>0.6</v>
      </c>
      <c r="E115">
        <v>1.5</v>
      </c>
      <c r="F115">
        <v>0.6</v>
      </c>
      <c r="G115">
        <v>1.3</v>
      </c>
      <c r="H115">
        <v>0.6</v>
      </c>
      <c r="I115">
        <v>1.4</v>
      </c>
      <c r="J115">
        <v>0.5</v>
      </c>
      <c r="K115">
        <v>31.2</v>
      </c>
      <c r="L115">
        <v>1.9</v>
      </c>
      <c r="M115">
        <v>94.9</v>
      </c>
      <c r="N115">
        <v>0.9</v>
      </c>
      <c r="O115">
        <v>2.2999999999999998</v>
      </c>
      <c r="P115">
        <v>25.2</v>
      </c>
      <c r="Q115">
        <v>51.8</v>
      </c>
      <c r="R115">
        <v>23.1</v>
      </c>
      <c r="S115">
        <v>4.3</v>
      </c>
      <c r="T115">
        <v>1.5</v>
      </c>
      <c r="U115">
        <v>94.2</v>
      </c>
    </row>
    <row r="116" spans="1:21" x14ac:dyDescent="0.2">
      <c r="A116" t="s">
        <v>127</v>
      </c>
      <c r="B116">
        <v>1.7</v>
      </c>
      <c r="C116">
        <v>60</v>
      </c>
      <c r="D116">
        <v>1</v>
      </c>
      <c r="E116">
        <v>1.9</v>
      </c>
      <c r="F116">
        <v>0.7</v>
      </c>
      <c r="G116">
        <v>1.2</v>
      </c>
      <c r="H116">
        <v>0.6</v>
      </c>
      <c r="I116">
        <v>1.6</v>
      </c>
      <c r="J116">
        <v>0.7</v>
      </c>
      <c r="K116">
        <v>30.6</v>
      </c>
      <c r="L116">
        <v>2.6</v>
      </c>
      <c r="M116">
        <v>92.9</v>
      </c>
      <c r="N116">
        <v>1.6</v>
      </c>
      <c r="O116">
        <v>3</v>
      </c>
      <c r="P116">
        <v>26.9</v>
      </c>
      <c r="Q116">
        <v>48.6</v>
      </c>
      <c r="R116">
        <v>24.5</v>
      </c>
      <c r="S116">
        <v>4.9000000000000004</v>
      </c>
      <c r="T116">
        <v>2.2000000000000002</v>
      </c>
      <c r="U116">
        <v>93</v>
      </c>
    </row>
    <row r="117" spans="1:21" x14ac:dyDescent="0.2">
      <c r="A117" t="s">
        <v>128</v>
      </c>
      <c r="B117">
        <v>1.8</v>
      </c>
      <c r="C117">
        <v>59.6</v>
      </c>
      <c r="D117">
        <v>0.8</v>
      </c>
      <c r="E117">
        <v>1.8</v>
      </c>
      <c r="F117">
        <v>1</v>
      </c>
      <c r="G117">
        <v>1.4</v>
      </c>
      <c r="H117">
        <v>0.7</v>
      </c>
      <c r="I117">
        <v>1.8</v>
      </c>
      <c r="J117">
        <v>0.7</v>
      </c>
      <c r="K117">
        <v>30.3</v>
      </c>
      <c r="L117">
        <v>2.8</v>
      </c>
      <c r="M117">
        <v>93.1</v>
      </c>
      <c r="N117">
        <v>1.3</v>
      </c>
      <c r="O117">
        <v>2.8</v>
      </c>
      <c r="P117">
        <v>32.9</v>
      </c>
      <c r="Q117">
        <v>45.7</v>
      </c>
      <c r="R117">
        <v>21.4</v>
      </c>
      <c r="S117">
        <v>5.5</v>
      </c>
      <c r="T117">
        <v>2.2000000000000002</v>
      </c>
      <c r="U117">
        <v>92.3</v>
      </c>
    </row>
    <row r="118" spans="1:21" x14ac:dyDescent="0.2">
      <c r="A118" t="s">
        <v>129</v>
      </c>
      <c r="B118">
        <v>1.5</v>
      </c>
      <c r="C118">
        <v>60.2</v>
      </c>
      <c r="D118">
        <v>0.7</v>
      </c>
      <c r="E118">
        <v>1.4</v>
      </c>
      <c r="F118">
        <v>0.9</v>
      </c>
      <c r="G118">
        <v>1.5</v>
      </c>
      <c r="H118">
        <v>0.7</v>
      </c>
      <c r="I118">
        <v>1.6</v>
      </c>
      <c r="J118">
        <v>0.7</v>
      </c>
      <c r="K118">
        <v>30.8</v>
      </c>
      <c r="L118">
        <v>2.4</v>
      </c>
      <c r="M118">
        <v>94.3</v>
      </c>
      <c r="N118">
        <v>1</v>
      </c>
      <c r="O118">
        <v>2.2999999999999998</v>
      </c>
      <c r="P118">
        <v>28.5</v>
      </c>
      <c r="Q118">
        <v>47.7</v>
      </c>
      <c r="R118">
        <v>23.9</v>
      </c>
      <c r="S118">
        <v>4.8</v>
      </c>
      <c r="T118">
        <v>2</v>
      </c>
      <c r="U118">
        <v>93.2</v>
      </c>
    </row>
    <row r="119" spans="1:21" x14ac:dyDescent="0.2">
      <c r="A119" t="s">
        <v>130</v>
      </c>
      <c r="B119">
        <v>1.4</v>
      </c>
      <c r="C119">
        <v>60.5</v>
      </c>
      <c r="D119">
        <v>0.7</v>
      </c>
      <c r="E119">
        <v>1.7</v>
      </c>
      <c r="F119">
        <v>0.9</v>
      </c>
      <c r="G119">
        <v>1.3</v>
      </c>
      <c r="H119">
        <v>0.7</v>
      </c>
      <c r="I119">
        <v>1.4</v>
      </c>
      <c r="J119">
        <v>0.7</v>
      </c>
      <c r="K119">
        <v>30.8</v>
      </c>
      <c r="L119">
        <v>2.1</v>
      </c>
      <c r="M119">
        <v>94.1</v>
      </c>
      <c r="N119">
        <v>1.1000000000000001</v>
      </c>
      <c r="O119">
        <v>2.7</v>
      </c>
      <c r="P119">
        <v>30.4</v>
      </c>
      <c r="Q119">
        <v>45.4</v>
      </c>
      <c r="R119">
        <v>24.2</v>
      </c>
      <c r="S119">
        <v>4.0999999999999996</v>
      </c>
      <c r="T119">
        <v>2</v>
      </c>
      <c r="U119">
        <v>93.8</v>
      </c>
    </row>
    <row r="120" spans="1:21" x14ac:dyDescent="0.2">
      <c r="A120" t="s">
        <v>131</v>
      </c>
      <c r="B120">
        <v>1.4</v>
      </c>
      <c r="C120">
        <v>60.2</v>
      </c>
      <c r="D120">
        <v>0.7</v>
      </c>
      <c r="E120">
        <v>1.7</v>
      </c>
      <c r="F120">
        <v>0.9</v>
      </c>
      <c r="G120">
        <v>1.2</v>
      </c>
      <c r="H120">
        <v>0.6</v>
      </c>
      <c r="I120">
        <v>1.5</v>
      </c>
      <c r="J120">
        <v>0.7</v>
      </c>
      <c r="K120">
        <v>31.1</v>
      </c>
      <c r="L120">
        <v>2.2000000000000002</v>
      </c>
      <c r="M120">
        <v>94.1</v>
      </c>
      <c r="N120">
        <v>1</v>
      </c>
      <c r="O120">
        <v>2.7</v>
      </c>
      <c r="P120">
        <v>34.299999999999997</v>
      </c>
      <c r="Q120">
        <v>42.8</v>
      </c>
      <c r="R120">
        <v>22.9</v>
      </c>
      <c r="S120">
        <v>4.5</v>
      </c>
      <c r="T120">
        <v>2.1</v>
      </c>
      <c r="U120">
        <v>93.4</v>
      </c>
    </row>
    <row r="121" spans="1:21" x14ac:dyDescent="0.2">
      <c r="A121" t="s">
        <v>132</v>
      </c>
      <c r="B121">
        <v>1.7</v>
      </c>
      <c r="C121">
        <v>59.4</v>
      </c>
      <c r="D121">
        <v>0.9</v>
      </c>
      <c r="E121">
        <v>1.9</v>
      </c>
      <c r="F121">
        <v>0.9</v>
      </c>
      <c r="G121">
        <v>1.2</v>
      </c>
      <c r="H121">
        <v>0.6</v>
      </c>
      <c r="I121">
        <v>2.2999999999999998</v>
      </c>
      <c r="J121">
        <v>0.9</v>
      </c>
      <c r="K121">
        <v>30.4</v>
      </c>
      <c r="L121">
        <v>2.7</v>
      </c>
      <c r="M121">
        <v>93</v>
      </c>
      <c r="N121">
        <v>1.4</v>
      </c>
      <c r="O121">
        <v>2.9</v>
      </c>
      <c r="P121">
        <v>33.299999999999997</v>
      </c>
      <c r="Q121">
        <v>43.9</v>
      </c>
      <c r="R121">
        <v>22.8</v>
      </c>
      <c r="S121">
        <v>6.8</v>
      </c>
      <c r="T121">
        <v>2.7</v>
      </c>
      <c r="U121">
        <v>90.5</v>
      </c>
    </row>
    <row r="122" spans="1:21" x14ac:dyDescent="0.2">
      <c r="A122" t="s">
        <v>133</v>
      </c>
      <c r="B122">
        <v>1.8</v>
      </c>
      <c r="C122">
        <v>59.6</v>
      </c>
      <c r="D122">
        <v>0.8</v>
      </c>
      <c r="E122">
        <v>1.8</v>
      </c>
      <c r="F122">
        <v>0.8</v>
      </c>
      <c r="G122">
        <v>1.5</v>
      </c>
      <c r="H122">
        <v>0.8</v>
      </c>
      <c r="I122">
        <v>1.9</v>
      </c>
      <c r="J122">
        <v>0.7</v>
      </c>
      <c r="K122">
        <v>30.2</v>
      </c>
      <c r="L122">
        <v>2.8</v>
      </c>
      <c r="M122">
        <v>93.1</v>
      </c>
      <c r="N122">
        <v>1.3</v>
      </c>
      <c r="O122">
        <v>2.8</v>
      </c>
      <c r="P122">
        <v>27</v>
      </c>
      <c r="Q122">
        <v>47.9</v>
      </c>
      <c r="R122">
        <v>25.1</v>
      </c>
      <c r="S122">
        <v>5.7</v>
      </c>
      <c r="T122">
        <v>2.2000000000000002</v>
      </c>
      <c r="U122">
        <v>92.1</v>
      </c>
    </row>
    <row r="123" spans="1:21" x14ac:dyDescent="0.2">
      <c r="A123" t="s">
        <v>134</v>
      </c>
      <c r="B123">
        <v>2.1</v>
      </c>
      <c r="C123">
        <v>58.9</v>
      </c>
      <c r="D123">
        <v>0.9</v>
      </c>
      <c r="E123">
        <v>2.6</v>
      </c>
      <c r="F123">
        <v>1</v>
      </c>
      <c r="G123">
        <v>1.3</v>
      </c>
      <c r="H123">
        <v>0.8</v>
      </c>
      <c r="I123">
        <v>1.7</v>
      </c>
      <c r="J123">
        <v>0.8</v>
      </c>
      <c r="K123">
        <v>30</v>
      </c>
      <c r="L123">
        <v>3.2</v>
      </c>
      <c r="M123">
        <v>91.3</v>
      </c>
      <c r="N123">
        <v>1.4</v>
      </c>
      <c r="O123">
        <v>4</v>
      </c>
      <c r="P123">
        <v>33.4</v>
      </c>
      <c r="Q123">
        <v>42.6</v>
      </c>
      <c r="R123">
        <v>24</v>
      </c>
      <c r="S123">
        <v>5.0999999999999996</v>
      </c>
      <c r="T123">
        <v>2.4</v>
      </c>
      <c r="U123">
        <v>92.5</v>
      </c>
    </row>
    <row r="124" spans="1:21" x14ac:dyDescent="0.2">
      <c r="A124" t="s">
        <v>135</v>
      </c>
      <c r="B124">
        <v>1.8</v>
      </c>
      <c r="C124">
        <v>58.7</v>
      </c>
      <c r="D124">
        <v>0.7</v>
      </c>
      <c r="E124">
        <v>2.2999999999999998</v>
      </c>
      <c r="F124">
        <v>1</v>
      </c>
      <c r="G124">
        <v>1.4</v>
      </c>
      <c r="H124">
        <v>0.7</v>
      </c>
      <c r="I124">
        <v>1.9</v>
      </c>
      <c r="J124">
        <v>0.7</v>
      </c>
      <c r="K124">
        <v>30.7</v>
      </c>
      <c r="L124">
        <v>2.9</v>
      </c>
      <c r="M124">
        <v>92.3</v>
      </c>
      <c r="N124">
        <v>1.1000000000000001</v>
      </c>
      <c r="O124">
        <v>3.7</v>
      </c>
      <c r="P124">
        <v>31.3</v>
      </c>
      <c r="Q124">
        <v>46</v>
      </c>
      <c r="R124">
        <v>22.6</v>
      </c>
      <c r="S124">
        <v>5.8</v>
      </c>
      <c r="T124">
        <v>2.2000000000000002</v>
      </c>
      <c r="U124">
        <v>92.1</v>
      </c>
    </row>
    <row r="125" spans="1:21" x14ac:dyDescent="0.2">
      <c r="A125" t="s">
        <v>136</v>
      </c>
      <c r="B125">
        <v>1.5</v>
      </c>
      <c r="C125">
        <v>59.4</v>
      </c>
      <c r="D125">
        <v>0.8</v>
      </c>
      <c r="E125">
        <v>1.7</v>
      </c>
      <c r="F125">
        <v>0.9</v>
      </c>
      <c r="G125">
        <v>1.5</v>
      </c>
      <c r="H125">
        <v>0.7</v>
      </c>
      <c r="I125">
        <v>1.6</v>
      </c>
      <c r="J125">
        <v>0.8</v>
      </c>
      <c r="K125">
        <v>31.1</v>
      </c>
      <c r="L125">
        <v>2.4</v>
      </c>
      <c r="M125">
        <v>93.6</v>
      </c>
      <c r="N125">
        <v>1.3</v>
      </c>
      <c r="O125">
        <v>2.6</v>
      </c>
      <c r="P125">
        <v>28.3</v>
      </c>
      <c r="Q125">
        <v>47.6</v>
      </c>
      <c r="R125">
        <v>24</v>
      </c>
      <c r="S125">
        <v>4.9000000000000004</v>
      </c>
      <c r="T125">
        <v>2.4</v>
      </c>
      <c r="U125">
        <v>92.8</v>
      </c>
    </row>
    <row r="126" spans="1:21" x14ac:dyDescent="0.2">
      <c r="A126" t="s">
        <v>137</v>
      </c>
      <c r="B126">
        <v>1.5</v>
      </c>
      <c r="C126">
        <v>59.7</v>
      </c>
      <c r="D126">
        <v>1</v>
      </c>
      <c r="E126">
        <v>1.7</v>
      </c>
      <c r="F126">
        <v>1</v>
      </c>
      <c r="G126">
        <v>1.6</v>
      </c>
      <c r="H126">
        <v>0.7</v>
      </c>
      <c r="I126">
        <v>1.6</v>
      </c>
      <c r="J126">
        <v>0.7</v>
      </c>
      <c r="K126">
        <v>30.5</v>
      </c>
      <c r="L126">
        <v>2.2999999999999998</v>
      </c>
      <c r="M126">
        <v>93.4</v>
      </c>
      <c r="N126">
        <v>1.6</v>
      </c>
      <c r="O126">
        <v>2.7</v>
      </c>
      <c r="P126">
        <v>29.3</v>
      </c>
      <c r="Q126">
        <v>48.6</v>
      </c>
      <c r="R126">
        <v>22.1</v>
      </c>
      <c r="S126">
        <v>4.9000000000000004</v>
      </c>
      <c r="T126">
        <v>2.2000000000000002</v>
      </c>
      <c r="U126">
        <v>92.9</v>
      </c>
    </row>
    <row r="127" spans="1:21" x14ac:dyDescent="0.2">
      <c r="A127" t="s">
        <v>138</v>
      </c>
      <c r="B127">
        <v>1.2</v>
      </c>
      <c r="C127">
        <v>59.8</v>
      </c>
      <c r="D127">
        <v>0.8</v>
      </c>
      <c r="E127">
        <v>1.5</v>
      </c>
      <c r="F127">
        <v>0.9</v>
      </c>
      <c r="G127">
        <v>1.9</v>
      </c>
      <c r="H127">
        <v>0.8</v>
      </c>
      <c r="I127">
        <v>1.3</v>
      </c>
      <c r="J127">
        <v>0.7</v>
      </c>
      <c r="K127">
        <v>31.2</v>
      </c>
      <c r="L127">
        <v>1.8</v>
      </c>
      <c r="M127">
        <v>94.6</v>
      </c>
      <c r="N127">
        <v>1.2</v>
      </c>
      <c r="O127">
        <v>2.4</v>
      </c>
      <c r="P127">
        <v>24.3</v>
      </c>
      <c r="Q127">
        <v>53.9</v>
      </c>
      <c r="R127">
        <v>21.8</v>
      </c>
      <c r="S127">
        <v>4.0999999999999996</v>
      </c>
      <c r="T127">
        <v>2.1</v>
      </c>
      <c r="U127">
        <v>93.9</v>
      </c>
    </row>
    <row r="128" spans="1:21" x14ac:dyDescent="0.2">
      <c r="A128" t="s">
        <v>139</v>
      </c>
      <c r="B128">
        <v>1.4</v>
      </c>
      <c r="C128">
        <v>58.1</v>
      </c>
      <c r="D128">
        <v>1.2</v>
      </c>
      <c r="E128">
        <v>1.9</v>
      </c>
      <c r="F128">
        <v>0.8</v>
      </c>
      <c r="G128">
        <v>1.9</v>
      </c>
      <c r="H128">
        <v>0.8</v>
      </c>
      <c r="I128">
        <v>1.5</v>
      </c>
      <c r="J128">
        <v>0.8</v>
      </c>
      <c r="K128">
        <v>31.7</v>
      </c>
      <c r="L128">
        <v>2.2000000000000002</v>
      </c>
      <c r="M128">
        <v>92.9</v>
      </c>
      <c r="N128">
        <v>1.9</v>
      </c>
      <c r="O128">
        <v>3</v>
      </c>
      <c r="P128">
        <v>22.2</v>
      </c>
      <c r="Q128">
        <v>54.1</v>
      </c>
      <c r="R128">
        <v>23.7</v>
      </c>
      <c r="S128">
        <v>4.3</v>
      </c>
      <c r="T128">
        <v>2.2999999999999998</v>
      </c>
      <c r="U128">
        <v>93.4</v>
      </c>
    </row>
    <row r="129" spans="1:21" x14ac:dyDescent="0.2">
      <c r="A129" t="s">
        <v>140</v>
      </c>
      <c r="B129">
        <v>1.5</v>
      </c>
      <c r="C129">
        <v>59.3</v>
      </c>
      <c r="D129">
        <v>1</v>
      </c>
      <c r="E129">
        <v>1.5</v>
      </c>
      <c r="F129">
        <v>1.2</v>
      </c>
      <c r="G129">
        <v>2.2000000000000002</v>
      </c>
      <c r="H129">
        <v>0.8</v>
      </c>
      <c r="I129">
        <v>1.6</v>
      </c>
      <c r="J129">
        <v>0.9</v>
      </c>
      <c r="K129">
        <v>29.9</v>
      </c>
      <c r="L129">
        <v>2.4</v>
      </c>
      <c r="M129">
        <v>93.7</v>
      </c>
      <c r="N129">
        <v>1.5</v>
      </c>
      <c r="O129">
        <v>2.4</v>
      </c>
      <c r="P129">
        <v>29.6</v>
      </c>
      <c r="Q129">
        <v>51.7</v>
      </c>
      <c r="R129">
        <v>18.7</v>
      </c>
      <c r="S129">
        <v>5</v>
      </c>
      <c r="T129">
        <v>2.8</v>
      </c>
      <c r="U129">
        <v>92.1</v>
      </c>
    </row>
    <row r="130" spans="1:21" x14ac:dyDescent="0.2">
      <c r="A130" t="s">
        <v>141</v>
      </c>
      <c r="B130">
        <v>1.4</v>
      </c>
      <c r="C130">
        <v>60.1</v>
      </c>
      <c r="D130">
        <v>0.8</v>
      </c>
      <c r="E130">
        <v>1.6</v>
      </c>
      <c r="F130">
        <v>1</v>
      </c>
      <c r="G130">
        <v>2.2000000000000002</v>
      </c>
      <c r="H130">
        <v>0.8</v>
      </c>
      <c r="I130">
        <v>1.3</v>
      </c>
      <c r="J130">
        <v>0.9</v>
      </c>
      <c r="K130">
        <v>29.9</v>
      </c>
      <c r="L130">
        <v>2.2000000000000002</v>
      </c>
      <c r="M130">
        <v>94.1</v>
      </c>
      <c r="N130">
        <v>1.2</v>
      </c>
      <c r="O130">
        <v>2.5</v>
      </c>
      <c r="P130">
        <v>25.7</v>
      </c>
      <c r="Q130">
        <v>54.6</v>
      </c>
      <c r="R130">
        <v>19.7</v>
      </c>
      <c r="S130">
        <v>3.9</v>
      </c>
      <c r="T130">
        <v>2.7</v>
      </c>
      <c r="U130">
        <v>93.3</v>
      </c>
    </row>
    <row r="131" spans="1:21" x14ac:dyDescent="0.2">
      <c r="A131" t="s">
        <v>142</v>
      </c>
      <c r="B131">
        <v>1.2</v>
      </c>
      <c r="C131">
        <v>59.8</v>
      </c>
      <c r="D131">
        <v>0.7</v>
      </c>
      <c r="E131">
        <v>1.5</v>
      </c>
      <c r="F131">
        <v>1</v>
      </c>
      <c r="G131">
        <v>2.1</v>
      </c>
      <c r="H131">
        <v>0.9</v>
      </c>
      <c r="I131">
        <v>1.4</v>
      </c>
      <c r="J131">
        <v>0.8</v>
      </c>
      <c r="K131">
        <v>30.7</v>
      </c>
      <c r="L131">
        <v>1.9</v>
      </c>
      <c r="M131">
        <v>94.6</v>
      </c>
      <c r="N131">
        <v>1.2</v>
      </c>
      <c r="O131">
        <v>2.2999999999999998</v>
      </c>
      <c r="P131">
        <v>25.1</v>
      </c>
      <c r="Q131">
        <v>52.9</v>
      </c>
      <c r="R131">
        <v>22</v>
      </c>
      <c r="S131">
        <v>4.4000000000000004</v>
      </c>
      <c r="T131">
        <v>2.2999999999999998</v>
      </c>
      <c r="U131">
        <v>93.3</v>
      </c>
    </row>
    <row r="132" spans="1:21" x14ac:dyDescent="0.2">
      <c r="A132" t="s">
        <v>143</v>
      </c>
      <c r="B132">
        <v>1.5</v>
      </c>
      <c r="C132">
        <v>58.8</v>
      </c>
      <c r="D132">
        <v>0.8</v>
      </c>
      <c r="E132">
        <v>1.7</v>
      </c>
      <c r="F132">
        <v>1</v>
      </c>
      <c r="G132">
        <v>2</v>
      </c>
      <c r="H132">
        <v>0.8</v>
      </c>
      <c r="I132">
        <v>1.7</v>
      </c>
      <c r="J132">
        <v>0.8</v>
      </c>
      <c r="K132">
        <v>30.9</v>
      </c>
      <c r="L132">
        <v>2.4</v>
      </c>
      <c r="M132">
        <v>93.6</v>
      </c>
      <c r="N132">
        <v>1.3</v>
      </c>
      <c r="O132">
        <v>2.8</v>
      </c>
      <c r="P132">
        <v>26.8</v>
      </c>
      <c r="Q132">
        <v>51.9</v>
      </c>
      <c r="R132">
        <v>21.3</v>
      </c>
      <c r="S132">
        <v>5</v>
      </c>
      <c r="T132">
        <v>2.4</v>
      </c>
      <c r="U132">
        <v>92.6</v>
      </c>
    </row>
    <row r="133" spans="1:21" x14ac:dyDescent="0.2">
      <c r="A133" t="s">
        <v>144</v>
      </c>
      <c r="B133">
        <v>1.6</v>
      </c>
      <c r="C133">
        <v>58.6</v>
      </c>
      <c r="D133">
        <v>0.9</v>
      </c>
      <c r="E133">
        <v>1.8</v>
      </c>
      <c r="F133">
        <v>0.9</v>
      </c>
      <c r="G133">
        <v>2.2000000000000002</v>
      </c>
      <c r="H133">
        <v>0.7</v>
      </c>
      <c r="I133">
        <v>2</v>
      </c>
      <c r="J133">
        <v>1.1000000000000001</v>
      </c>
      <c r="K133">
        <v>30.3</v>
      </c>
      <c r="L133">
        <v>2.5</v>
      </c>
      <c r="M133">
        <v>93.3</v>
      </c>
      <c r="N133">
        <v>1.4</v>
      </c>
      <c r="O133">
        <v>2.8</v>
      </c>
      <c r="P133">
        <v>23.2</v>
      </c>
      <c r="Q133">
        <v>57.6</v>
      </c>
      <c r="R133">
        <v>19.2</v>
      </c>
      <c r="S133">
        <v>6</v>
      </c>
      <c r="T133">
        <v>3.2</v>
      </c>
      <c r="U133">
        <v>90.8</v>
      </c>
    </row>
    <row r="134" spans="1:21" x14ac:dyDescent="0.2">
      <c r="A134" t="s">
        <v>145</v>
      </c>
      <c r="B134">
        <v>1.6</v>
      </c>
      <c r="C134">
        <v>59.4</v>
      </c>
      <c r="D134">
        <v>0.8</v>
      </c>
      <c r="E134">
        <v>1.6</v>
      </c>
      <c r="F134">
        <v>0.9</v>
      </c>
      <c r="G134">
        <v>2</v>
      </c>
      <c r="H134">
        <v>0.9</v>
      </c>
      <c r="I134">
        <v>1.7</v>
      </c>
      <c r="J134">
        <v>0.9</v>
      </c>
      <c r="K134">
        <v>30</v>
      </c>
      <c r="L134">
        <v>2.6</v>
      </c>
      <c r="M134">
        <v>93.6</v>
      </c>
      <c r="N134">
        <v>1.3</v>
      </c>
      <c r="O134">
        <v>2.6</v>
      </c>
      <c r="P134">
        <v>23.7</v>
      </c>
      <c r="Q134">
        <v>52.3</v>
      </c>
      <c r="R134">
        <v>24</v>
      </c>
      <c r="S134">
        <v>5.3</v>
      </c>
      <c r="T134">
        <v>2.6</v>
      </c>
      <c r="U134">
        <v>92</v>
      </c>
    </row>
    <row r="135" spans="1:21" x14ac:dyDescent="0.2">
      <c r="A135" t="s">
        <v>146</v>
      </c>
      <c r="B135">
        <v>1.7</v>
      </c>
      <c r="C135">
        <v>58.7</v>
      </c>
      <c r="D135">
        <v>0.9</v>
      </c>
      <c r="E135">
        <v>2.2000000000000002</v>
      </c>
      <c r="F135">
        <v>1.1000000000000001</v>
      </c>
      <c r="G135">
        <v>1.9</v>
      </c>
      <c r="H135">
        <v>0.9</v>
      </c>
      <c r="I135">
        <v>1.7</v>
      </c>
      <c r="J135">
        <v>0.8</v>
      </c>
      <c r="K135">
        <v>30.2</v>
      </c>
      <c r="L135">
        <v>2.7</v>
      </c>
      <c r="M135">
        <v>92.5</v>
      </c>
      <c r="N135">
        <v>1.5</v>
      </c>
      <c r="O135">
        <v>3.4</v>
      </c>
      <c r="P135">
        <v>29.3</v>
      </c>
      <c r="Q135">
        <v>48.4</v>
      </c>
      <c r="R135">
        <v>22.3</v>
      </c>
      <c r="S135">
        <v>5.0999999999999996</v>
      </c>
      <c r="T135">
        <v>2.5</v>
      </c>
      <c r="U135">
        <v>92.4</v>
      </c>
    </row>
    <row r="136" spans="1:21" x14ac:dyDescent="0.2">
      <c r="A136" t="s">
        <v>147</v>
      </c>
      <c r="B136">
        <v>1.7</v>
      </c>
      <c r="C136">
        <v>58.2</v>
      </c>
      <c r="D136">
        <v>0.8</v>
      </c>
      <c r="E136">
        <v>2.1</v>
      </c>
      <c r="F136">
        <v>1.1000000000000001</v>
      </c>
      <c r="G136">
        <v>1.9</v>
      </c>
      <c r="H136">
        <v>0.8</v>
      </c>
      <c r="I136">
        <v>1.7</v>
      </c>
      <c r="J136">
        <v>0.8</v>
      </c>
      <c r="K136">
        <v>31</v>
      </c>
      <c r="L136">
        <v>2.7</v>
      </c>
      <c r="M136">
        <v>92.8</v>
      </c>
      <c r="N136">
        <v>1.2</v>
      </c>
      <c r="O136">
        <v>3.3</v>
      </c>
      <c r="P136">
        <v>30</v>
      </c>
      <c r="Q136">
        <v>49.4</v>
      </c>
      <c r="R136">
        <v>20.5</v>
      </c>
      <c r="S136">
        <v>5</v>
      </c>
      <c r="T136">
        <v>2.2999999999999998</v>
      </c>
      <c r="U136">
        <v>92.7</v>
      </c>
    </row>
    <row r="137" spans="1:21" x14ac:dyDescent="0.2">
      <c r="A137" t="s">
        <v>148</v>
      </c>
      <c r="B137">
        <v>1.4</v>
      </c>
      <c r="C137">
        <v>59.1</v>
      </c>
      <c r="D137">
        <v>0.8</v>
      </c>
      <c r="E137">
        <v>1.7</v>
      </c>
      <c r="F137">
        <v>0.8</v>
      </c>
      <c r="G137">
        <v>1.8</v>
      </c>
      <c r="H137">
        <v>0.8</v>
      </c>
      <c r="I137">
        <v>1.7</v>
      </c>
      <c r="J137">
        <v>0.8</v>
      </c>
      <c r="K137">
        <v>31.2</v>
      </c>
      <c r="L137">
        <v>2.2000000000000002</v>
      </c>
      <c r="M137">
        <v>93.9</v>
      </c>
      <c r="N137">
        <v>1.2</v>
      </c>
      <c r="O137">
        <v>2.7</v>
      </c>
      <c r="P137">
        <v>24.4</v>
      </c>
      <c r="Q137">
        <v>53.4</v>
      </c>
      <c r="R137">
        <v>22.2</v>
      </c>
      <c r="S137">
        <v>5</v>
      </c>
      <c r="T137">
        <v>2.2999999999999998</v>
      </c>
      <c r="U137">
        <v>92.8</v>
      </c>
    </row>
    <row r="138" spans="1:21" x14ac:dyDescent="0.2">
      <c r="A138" t="s">
        <v>149</v>
      </c>
      <c r="B138">
        <v>1.4</v>
      </c>
      <c r="C138">
        <v>59</v>
      </c>
      <c r="D138">
        <v>1</v>
      </c>
      <c r="E138">
        <v>1.7</v>
      </c>
      <c r="F138">
        <v>0.8</v>
      </c>
      <c r="G138">
        <v>1.8</v>
      </c>
      <c r="H138">
        <v>0.8</v>
      </c>
      <c r="I138">
        <v>1.7</v>
      </c>
      <c r="J138">
        <v>0.8</v>
      </c>
      <c r="K138">
        <v>30.9</v>
      </c>
      <c r="L138">
        <v>2.2999999999999998</v>
      </c>
      <c r="M138">
        <v>93.4</v>
      </c>
      <c r="N138">
        <v>1.6</v>
      </c>
      <c r="O138">
        <v>2.8</v>
      </c>
      <c r="P138">
        <v>24.3</v>
      </c>
      <c r="Q138">
        <v>52.7</v>
      </c>
      <c r="R138">
        <v>23</v>
      </c>
      <c r="S138">
        <v>5</v>
      </c>
      <c r="T138">
        <v>2.4</v>
      </c>
      <c r="U138">
        <v>92.7</v>
      </c>
    </row>
    <row r="139" spans="1:21" x14ac:dyDescent="0.2">
      <c r="A139" t="s">
        <v>150</v>
      </c>
      <c r="B139">
        <v>1</v>
      </c>
      <c r="C139">
        <v>60</v>
      </c>
      <c r="D139">
        <v>0.7</v>
      </c>
      <c r="E139">
        <v>1.4</v>
      </c>
      <c r="F139">
        <v>0.7</v>
      </c>
      <c r="G139">
        <v>2.2000000000000002</v>
      </c>
      <c r="H139">
        <v>0.7</v>
      </c>
      <c r="I139">
        <v>1.3</v>
      </c>
      <c r="J139">
        <v>0.8</v>
      </c>
      <c r="K139">
        <v>31.3</v>
      </c>
      <c r="L139">
        <v>1.5</v>
      </c>
      <c r="M139">
        <v>95.2</v>
      </c>
      <c r="N139">
        <v>1.1000000000000001</v>
      </c>
      <c r="O139">
        <v>2.2000000000000002</v>
      </c>
      <c r="P139">
        <v>20.2</v>
      </c>
      <c r="Q139">
        <v>60.2</v>
      </c>
      <c r="R139">
        <v>19.600000000000001</v>
      </c>
      <c r="S139">
        <v>3.9</v>
      </c>
      <c r="T139">
        <v>2.2999999999999998</v>
      </c>
      <c r="U139">
        <v>93.8</v>
      </c>
    </row>
    <row r="140" spans="1:21" x14ac:dyDescent="0.2">
      <c r="A140" t="s">
        <v>151</v>
      </c>
      <c r="B140">
        <v>1.4</v>
      </c>
      <c r="C140">
        <v>58.4</v>
      </c>
      <c r="D140">
        <v>1.2</v>
      </c>
      <c r="E140">
        <v>1.7</v>
      </c>
      <c r="F140">
        <v>0.7</v>
      </c>
      <c r="G140">
        <v>1.9</v>
      </c>
      <c r="H140">
        <v>0.9</v>
      </c>
      <c r="I140">
        <v>1.4</v>
      </c>
      <c r="J140">
        <v>0.9</v>
      </c>
      <c r="K140">
        <v>31.5</v>
      </c>
      <c r="L140">
        <v>2.2999999999999998</v>
      </c>
      <c r="M140">
        <v>93.2</v>
      </c>
      <c r="N140">
        <v>1.8</v>
      </c>
      <c r="O140">
        <v>2.7</v>
      </c>
      <c r="P140">
        <v>20</v>
      </c>
      <c r="Q140">
        <v>54.9</v>
      </c>
      <c r="R140">
        <v>25</v>
      </c>
      <c r="S140">
        <v>4.2</v>
      </c>
      <c r="T140">
        <v>2.6</v>
      </c>
      <c r="U140">
        <v>93.2</v>
      </c>
    </row>
    <row r="141" spans="1:21" x14ac:dyDescent="0.2">
      <c r="A141" t="s">
        <v>152</v>
      </c>
      <c r="B141">
        <v>1.3</v>
      </c>
      <c r="C141">
        <v>58.5</v>
      </c>
      <c r="D141">
        <v>0.8</v>
      </c>
      <c r="E141">
        <v>1.5</v>
      </c>
      <c r="F141">
        <v>1</v>
      </c>
      <c r="G141">
        <v>2.2999999999999998</v>
      </c>
      <c r="H141">
        <v>0.8</v>
      </c>
      <c r="I141">
        <v>1.4</v>
      </c>
      <c r="J141">
        <v>0.8</v>
      </c>
      <c r="K141">
        <v>31.7</v>
      </c>
      <c r="L141">
        <v>2</v>
      </c>
      <c r="M141">
        <v>94.4</v>
      </c>
      <c r="N141">
        <v>1.2</v>
      </c>
      <c r="O141">
        <v>2.2999999999999998</v>
      </c>
      <c r="P141">
        <v>23.8</v>
      </c>
      <c r="Q141">
        <v>56.6</v>
      </c>
      <c r="R141">
        <v>19.7</v>
      </c>
      <c r="S141">
        <v>4.0999999999999996</v>
      </c>
      <c r="T141">
        <v>2.4</v>
      </c>
      <c r="U141">
        <v>93.4</v>
      </c>
    </row>
    <row r="142" spans="1:21" x14ac:dyDescent="0.2">
      <c r="A142" t="s">
        <v>153</v>
      </c>
      <c r="B142">
        <v>1.2</v>
      </c>
      <c r="C142">
        <v>58.5</v>
      </c>
      <c r="D142">
        <v>0.8</v>
      </c>
      <c r="E142">
        <v>1.4</v>
      </c>
      <c r="F142">
        <v>0.9</v>
      </c>
      <c r="G142">
        <v>2.4</v>
      </c>
      <c r="H142">
        <v>0.9</v>
      </c>
      <c r="I142">
        <v>1.4</v>
      </c>
      <c r="J142">
        <v>0.9</v>
      </c>
      <c r="K142">
        <v>31.7</v>
      </c>
      <c r="L142">
        <v>2</v>
      </c>
      <c r="M142">
        <v>94.5</v>
      </c>
      <c r="N142">
        <v>1.3</v>
      </c>
      <c r="O142">
        <v>2.2000000000000002</v>
      </c>
      <c r="P142">
        <v>21.7</v>
      </c>
      <c r="Q142">
        <v>56.4</v>
      </c>
      <c r="R142">
        <v>21.9</v>
      </c>
      <c r="S142">
        <v>4</v>
      </c>
      <c r="T142">
        <v>2.5</v>
      </c>
      <c r="U142">
        <v>93.5</v>
      </c>
    </row>
    <row r="143" spans="1:21" x14ac:dyDescent="0.2">
      <c r="A143" t="s">
        <v>154</v>
      </c>
      <c r="B143">
        <v>1.1000000000000001</v>
      </c>
      <c r="C143">
        <v>58.8</v>
      </c>
      <c r="D143">
        <v>0.7</v>
      </c>
      <c r="E143">
        <v>1.4</v>
      </c>
      <c r="F143">
        <v>1</v>
      </c>
      <c r="G143">
        <v>2.2000000000000002</v>
      </c>
      <c r="H143">
        <v>0.9</v>
      </c>
      <c r="I143">
        <v>1.4</v>
      </c>
      <c r="J143">
        <v>0.8</v>
      </c>
      <c r="K143">
        <v>31.7</v>
      </c>
      <c r="L143">
        <v>1.7</v>
      </c>
      <c r="M143">
        <v>94.9</v>
      </c>
      <c r="N143">
        <v>1.1000000000000001</v>
      </c>
      <c r="O143">
        <v>2.2999999999999998</v>
      </c>
      <c r="P143">
        <v>25.5</v>
      </c>
      <c r="Q143">
        <v>53.5</v>
      </c>
      <c r="R143">
        <v>21</v>
      </c>
      <c r="S143">
        <v>4</v>
      </c>
      <c r="T143">
        <v>2.4</v>
      </c>
      <c r="U143">
        <v>93.6</v>
      </c>
    </row>
    <row r="144" spans="1:21" x14ac:dyDescent="0.2">
      <c r="A144" t="s">
        <v>155</v>
      </c>
      <c r="B144">
        <v>1.4</v>
      </c>
      <c r="C144">
        <v>58.6</v>
      </c>
      <c r="D144">
        <v>0.9</v>
      </c>
      <c r="E144">
        <v>1.6</v>
      </c>
      <c r="F144">
        <v>0.9</v>
      </c>
      <c r="G144">
        <v>2</v>
      </c>
      <c r="H144">
        <v>0.9</v>
      </c>
      <c r="I144">
        <v>1.5</v>
      </c>
      <c r="J144">
        <v>0.9</v>
      </c>
      <c r="K144">
        <v>31.4</v>
      </c>
      <c r="L144">
        <v>2.2999999999999998</v>
      </c>
      <c r="M144">
        <v>93.7</v>
      </c>
      <c r="N144">
        <v>1.4</v>
      </c>
      <c r="O144">
        <v>2.6</v>
      </c>
      <c r="P144">
        <v>24.1</v>
      </c>
      <c r="Q144">
        <v>52.8</v>
      </c>
      <c r="R144">
        <v>23</v>
      </c>
      <c r="S144">
        <v>4.3</v>
      </c>
      <c r="T144">
        <v>2.7</v>
      </c>
      <c r="U144">
        <v>93</v>
      </c>
    </row>
    <row r="145" spans="1:21" x14ac:dyDescent="0.2">
      <c r="A145" t="s">
        <v>156</v>
      </c>
      <c r="B145">
        <v>1.5</v>
      </c>
      <c r="C145">
        <v>58.6</v>
      </c>
      <c r="D145">
        <v>0.9</v>
      </c>
      <c r="E145">
        <v>1.6</v>
      </c>
      <c r="F145">
        <v>0.8</v>
      </c>
      <c r="G145">
        <v>2.1</v>
      </c>
      <c r="H145">
        <v>0.8</v>
      </c>
      <c r="I145">
        <v>2</v>
      </c>
      <c r="J145">
        <v>1.1000000000000001</v>
      </c>
      <c r="K145">
        <v>30.7</v>
      </c>
      <c r="L145">
        <v>2.2999999999999998</v>
      </c>
      <c r="M145">
        <v>93.8</v>
      </c>
      <c r="N145">
        <v>1.4</v>
      </c>
      <c r="O145">
        <v>2.5</v>
      </c>
      <c r="P145">
        <v>22.8</v>
      </c>
      <c r="Q145">
        <v>56.5</v>
      </c>
      <c r="R145">
        <v>20.7</v>
      </c>
      <c r="S145">
        <v>6</v>
      </c>
      <c r="T145">
        <v>3.4</v>
      </c>
      <c r="U145">
        <v>90.6</v>
      </c>
    </row>
    <row r="146" spans="1:21" x14ac:dyDescent="0.2">
      <c r="A146" t="s">
        <v>157</v>
      </c>
      <c r="B146">
        <v>1.4</v>
      </c>
      <c r="C146">
        <v>58.7</v>
      </c>
      <c r="D146">
        <v>0.9</v>
      </c>
      <c r="E146">
        <v>1.7</v>
      </c>
      <c r="F146">
        <v>1</v>
      </c>
      <c r="G146">
        <v>2.2999999999999998</v>
      </c>
      <c r="H146">
        <v>1</v>
      </c>
      <c r="I146">
        <v>1.7</v>
      </c>
      <c r="J146">
        <v>0.9</v>
      </c>
      <c r="K146">
        <v>30.6</v>
      </c>
      <c r="L146">
        <v>2.2999999999999998</v>
      </c>
      <c r="M146">
        <v>93.6</v>
      </c>
      <c r="N146">
        <v>1.4</v>
      </c>
      <c r="O146">
        <v>2.7</v>
      </c>
      <c r="P146">
        <v>23</v>
      </c>
      <c r="Q146">
        <v>54.2</v>
      </c>
      <c r="R146">
        <v>22.8</v>
      </c>
      <c r="S146">
        <v>5</v>
      </c>
      <c r="T146">
        <v>2.6</v>
      </c>
      <c r="U146">
        <v>92.4</v>
      </c>
    </row>
    <row r="147" spans="1:21" x14ac:dyDescent="0.2">
      <c r="A147" t="s">
        <v>158</v>
      </c>
      <c r="B147">
        <v>1.5</v>
      </c>
      <c r="C147">
        <v>58.1</v>
      </c>
      <c r="D147">
        <v>0.8</v>
      </c>
      <c r="E147">
        <v>2</v>
      </c>
      <c r="F147">
        <v>1.1000000000000001</v>
      </c>
      <c r="G147">
        <v>2</v>
      </c>
      <c r="H147">
        <v>1</v>
      </c>
      <c r="I147">
        <v>1.8</v>
      </c>
      <c r="J147">
        <v>0.8</v>
      </c>
      <c r="K147">
        <v>30.9</v>
      </c>
      <c r="L147">
        <v>2.4</v>
      </c>
      <c r="M147">
        <v>93.1</v>
      </c>
      <c r="N147">
        <v>1.3</v>
      </c>
      <c r="O147">
        <v>3.1</v>
      </c>
      <c r="P147">
        <v>26.8</v>
      </c>
      <c r="Q147">
        <v>49.5</v>
      </c>
      <c r="R147">
        <v>23.7</v>
      </c>
      <c r="S147">
        <v>5.3</v>
      </c>
      <c r="T147">
        <v>2.4</v>
      </c>
      <c r="U147">
        <v>92.4</v>
      </c>
    </row>
    <row r="148" spans="1:21" x14ac:dyDescent="0.2">
      <c r="A148" t="s">
        <v>159</v>
      </c>
      <c r="B148">
        <v>1.6</v>
      </c>
      <c r="C148">
        <v>58</v>
      </c>
      <c r="D148">
        <v>0.7</v>
      </c>
      <c r="E148">
        <v>2</v>
      </c>
      <c r="F148">
        <v>1.1000000000000001</v>
      </c>
      <c r="G148">
        <v>1.9</v>
      </c>
      <c r="H148">
        <v>0.9</v>
      </c>
      <c r="I148">
        <v>1.7</v>
      </c>
      <c r="J148">
        <v>0.8</v>
      </c>
      <c r="K148">
        <v>31.3</v>
      </c>
      <c r="L148">
        <v>2.6</v>
      </c>
      <c r="M148">
        <v>93</v>
      </c>
      <c r="N148">
        <v>1.1000000000000001</v>
      </c>
      <c r="O148">
        <v>3.2</v>
      </c>
      <c r="P148">
        <v>27.7</v>
      </c>
      <c r="Q148">
        <v>49.9</v>
      </c>
      <c r="R148">
        <v>22.4</v>
      </c>
      <c r="S148">
        <v>5.0999999999999996</v>
      </c>
      <c r="T148">
        <v>2.2999999999999998</v>
      </c>
      <c r="U148">
        <v>92.6</v>
      </c>
    </row>
    <row r="149" spans="1:21" x14ac:dyDescent="0.2">
      <c r="A149" t="s">
        <v>160</v>
      </c>
      <c r="B149">
        <v>1.4</v>
      </c>
      <c r="C149">
        <v>58.4</v>
      </c>
      <c r="D149">
        <v>0.7</v>
      </c>
      <c r="E149">
        <v>1.8</v>
      </c>
      <c r="F149">
        <v>1</v>
      </c>
      <c r="G149">
        <v>1.9</v>
      </c>
      <c r="H149">
        <v>0.9</v>
      </c>
      <c r="I149">
        <v>1.7</v>
      </c>
      <c r="J149">
        <v>0.8</v>
      </c>
      <c r="K149">
        <v>31.4</v>
      </c>
      <c r="L149">
        <v>2.2000000000000002</v>
      </c>
      <c r="M149">
        <v>93.7</v>
      </c>
      <c r="N149">
        <v>1.2</v>
      </c>
      <c r="O149">
        <v>2.9</v>
      </c>
      <c r="P149">
        <v>26.1</v>
      </c>
      <c r="Q149">
        <v>50.4</v>
      </c>
      <c r="R149">
        <v>23.5</v>
      </c>
      <c r="S149">
        <v>5.0999999999999996</v>
      </c>
      <c r="T149">
        <v>2.4</v>
      </c>
      <c r="U149">
        <v>92.4</v>
      </c>
    </row>
    <row r="150" spans="1:21" x14ac:dyDescent="0.2">
      <c r="A150" t="s">
        <v>161</v>
      </c>
      <c r="B150">
        <v>1.2</v>
      </c>
      <c r="C150">
        <v>58.9</v>
      </c>
      <c r="D150">
        <v>0.7</v>
      </c>
      <c r="E150">
        <v>1.6</v>
      </c>
      <c r="F150">
        <v>0.8</v>
      </c>
      <c r="G150">
        <v>2</v>
      </c>
      <c r="H150">
        <v>0.8</v>
      </c>
      <c r="I150">
        <v>1.6</v>
      </c>
      <c r="J150">
        <v>0.8</v>
      </c>
      <c r="K150">
        <v>31.6</v>
      </c>
      <c r="L150">
        <v>1.9</v>
      </c>
      <c r="M150">
        <v>94.4</v>
      </c>
      <c r="N150">
        <v>1.1000000000000001</v>
      </c>
      <c r="O150">
        <v>2.6</v>
      </c>
      <c r="P150">
        <v>22.5</v>
      </c>
      <c r="Q150">
        <v>54</v>
      </c>
      <c r="R150">
        <v>23.5</v>
      </c>
      <c r="S150">
        <v>4.5999999999999996</v>
      </c>
      <c r="T150">
        <v>2.2000000000000002</v>
      </c>
      <c r="U150">
        <v>93.1</v>
      </c>
    </row>
    <row r="151" spans="1:21" x14ac:dyDescent="0.2">
      <c r="A151" t="s">
        <v>162</v>
      </c>
      <c r="B151">
        <v>1</v>
      </c>
      <c r="C151">
        <v>59.2</v>
      </c>
      <c r="D151">
        <v>0.8</v>
      </c>
      <c r="E151">
        <v>1.6</v>
      </c>
      <c r="F151">
        <v>0.8</v>
      </c>
      <c r="G151">
        <v>2</v>
      </c>
      <c r="H151">
        <v>0.8</v>
      </c>
      <c r="I151">
        <v>1.3</v>
      </c>
      <c r="J151">
        <v>0.7</v>
      </c>
      <c r="K151">
        <v>31.7</v>
      </c>
      <c r="L151">
        <v>1.6</v>
      </c>
      <c r="M151">
        <v>94.6</v>
      </c>
      <c r="N151">
        <v>1.3</v>
      </c>
      <c r="O151">
        <v>2.5</v>
      </c>
      <c r="P151">
        <v>22.6</v>
      </c>
      <c r="Q151">
        <v>54.5</v>
      </c>
      <c r="R151">
        <v>22.9</v>
      </c>
      <c r="S151">
        <v>3.8</v>
      </c>
      <c r="T151">
        <v>2.2000000000000002</v>
      </c>
      <c r="U151">
        <v>94</v>
      </c>
    </row>
    <row r="152" spans="1:21" x14ac:dyDescent="0.2">
      <c r="A152" t="s">
        <v>163</v>
      </c>
      <c r="B152">
        <v>1.2</v>
      </c>
      <c r="C152">
        <v>58.6</v>
      </c>
      <c r="D152">
        <v>1.1000000000000001</v>
      </c>
      <c r="E152">
        <v>1.6</v>
      </c>
      <c r="F152">
        <v>0.7</v>
      </c>
      <c r="G152">
        <v>2</v>
      </c>
      <c r="H152">
        <v>0.7</v>
      </c>
      <c r="I152">
        <v>1.4</v>
      </c>
      <c r="J152">
        <v>0.8</v>
      </c>
      <c r="K152">
        <v>31.8</v>
      </c>
      <c r="L152">
        <v>1.9</v>
      </c>
      <c r="M152">
        <v>93.8</v>
      </c>
      <c r="N152">
        <v>1.7</v>
      </c>
      <c r="O152">
        <v>2.6</v>
      </c>
      <c r="P152">
        <v>20.7</v>
      </c>
      <c r="Q152">
        <v>58.2</v>
      </c>
      <c r="R152">
        <v>21.1</v>
      </c>
      <c r="S152">
        <v>4.2</v>
      </c>
      <c r="T152">
        <v>2.5</v>
      </c>
      <c r="U152">
        <v>93.4</v>
      </c>
    </row>
    <row r="153" spans="1:21" x14ac:dyDescent="0.2">
      <c r="A153" t="s">
        <v>164</v>
      </c>
      <c r="B153">
        <v>1.3</v>
      </c>
      <c r="C153">
        <v>58.3</v>
      </c>
      <c r="D153">
        <v>0.8</v>
      </c>
      <c r="E153">
        <v>1.4</v>
      </c>
      <c r="F153">
        <v>1</v>
      </c>
      <c r="G153">
        <v>2.2000000000000002</v>
      </c>
      <c r="H153">
        <v>0.9</v>
      </c>
      <c r="I153">
        <v>1.3</v>
      </c>
      <c r="J153">
        <v>0.8</v>
      </c>
      <c r="K153">
        <v>31.9</v>
      </c>
      <c r="L153">
        <v>2</v>
      </c>
      <c r="M153">
        <v>94.3</v>
      </c>
      <c r="N153">
        <v>1.3</v>
      </c>
      <c r="O153">
        <v>2.2999999999999998</v>
      </c>
      <c r="P153">
        <v>23.2</v>
      </c>
      <c r="Q153">
        <v>54</v>
      </c>
      <c r="R153">
        <v>22.8</v>
      </c>
      <c r="S153">
        <v>3.9</v>
      </c>
      <c r="T153">
        <v>2.4</v>
      </c>
      <c r="U153">
        <v>93.6</v>
      </c>
    </row>
    <row r="154" spans="1:21" x14ac:dyDescent="0.2">
      <c r="A154" t="s">
        <v>165</v>
      </c>
      <c r="B154">
        <v>1.3</v>
      </c>
      <c r="C154">
        <v>58.1</v>
      </c>
      <c r="D154">
        <v>0.7</v>
      </c>
      <c r="E154">
        <v>1.5</v>
      </c>
      <c r="F154">
        <v>0.8</v>
      </c>
      <c r="G154">
        <v>2.2999999999999998</v>
      </c>
      <c r="H154">
        <v>0.8</v>
      </c>
      <c r="I154">
        <v>1.5</v>
      </c>
      <c r="J154">
        <v>1</v>
      </c>
      <c r="K154">
        <v>32</v>
      </c>
      <c r="L154">
        <v>2.1</v>
      </c>
      <c r="M154">
        <v>94.4</v>
      </c>
      <c r="N154">
        <v>1.1000000000000001</v>
      </c>
      <c r="O154">
        <v>2.4</v>
      </c>
      <c r="P154">
        <v>20.5</v>
      </c>
      <c r="Q154">
        <v>58</v>
      </c>
      <c r="R154">
        <v>21.5</v>
      </c>
      <c r="S154">
        <v>4.3</v>
      </c>
      <c r="T154">
        <v>2.8</v>
      </c>
      <c r="U154">
        <v>92.9</v>
      </c>
    </row>
    <row r="155" spans="1:21" x14ac:dyDescent="0.2">
      <c r="A155" t="s">
        <v>166</v>
      </c>
      <c r="B155">
        <v>1.4</v>
      </c>
      <c r="C155">
        <v>58.2</v>
      </c>
      <c r="D155">
        <v>0.6</v>
      </c>
      <c r="E155">
        <v>1.7</v>
      </c>
      <c r="F155">
        <v>1</v>
      </c>
      <c r="G155">
        <v>1.9</v>
      </c>
      <c r="H155">
        <v>0.9</v>
      </c>
      <c r="I155">
        <v>1.5</v>
      </c>
      <c r="J155">
        <v>0.7</v>
      </c>
      <c r="K155">
        <v>32.1</v>
      </c>
      <c r="L155">
        <v>2.2000000000000002</v>
      </c>
      <c r="M155">
        <v>94</v>
      </c>
      <c r="N155">
        <v>1</v>
      </c>
      <c r="O155">
        <v>2.7</v>
      </c>
      <c r="P155">
        <v>26.6</v>
      </c>
      <c r="Q155">
        <v>50.4</v>
      </c>
      <c r="R155">
        <v>23</v>
      </c>
      <c r="S155">
        <v>4.3</v>
      </c>
      <c r="T155">
        <v>2.1</v>
      </c>
      <c r="U155">
        <v>93.6</v>
      </c>
    </row>
    <row r="156" spans="1:21" x14ac:dyDescent="0.2">
      <c r="A156" t="s">
        <v>167</v>
      </c>
      <c r="B156">
        <v>1.3</v>
      </c>
      <c r="C156">
        <v>58.7</v>
      </c>
      <c r="D156">
        <v>0.7</v>
      </c>
      <c r="E156">
        <v>1.5</v>
      </c>
      <c r="F156">
        <v>0.9</v>
      </c>
      <c r="G156">
        <v>1.7</v>
      </c>
      <c r="H156">
        <v>0.7</v>
      </c>
      <c r="I156">
        <v>1.5</v>
      </c>
      <c r="J156">
        <v>0.8</v>
      </c>
      <c r="K156">
        <v>32</v>
      </c>
      <c r="L156">
        <v>2.2000000000000002</v>
      </c>
      <c r="M156">
        <v>94.2</v>
      </c>
      <c r="N156">
        <v>1.1000000000000001</v>
      </c>
      <c r="O156">
        <v>2.5</v>
      </c>
      <c r="P156">
        <v>27</v>
      </c>
      <c r="Q156">
        <v>51</v>
      </c>
      <c r="R156">
        <v>22</v>
      </c>
      <c r="S156">
        <v>4.3</v>
      </c>
      <c r="T156">
        <v>2.4</v>
      </c>
      <c r="U156">
        <v>93.2</v>
      </c>
    </row>
    <row r="157" spans="1:21" x14ac:dyDescent="0.2">
      <c r="A157" t="s">
        <v>168</v>
      </c>
      <c r="B157">
        <v>1.4</v>
      </c>
      <c r="C157">
        <v>58.5</v>
      </c>
      <c r="D157">
        <v>0.8</v>
      </c>
      <c r="E157">
        <v>1.6</v>
      </c>
      <c r="F157">
        <v>0.8</v>
      </c>
      <c r="G157">
        <v>1.9</v>
      </c>
      <c r="H157">
        <v>0.7</v>
      </c>
      <c r="I157">
        <v>1.9</v>
      </c>
      <c r="J157">
        <v>1</v>
      </c>
      <c r="K157">
        <v>31.4</v>
      </c>
      <c r="L157">
        <v>2.2000000000000002</v>
      </c>
      <c r="M157">
        <v>94</v>
      </c>
      <c r="N157">
        <v>1.2</v>
      </c>
      <c r="O157">
        <v>2.5</v>
      </c>
      <c r="P157">
        <v>24.3</v>
      </c>
      <c r="Q157">
        <v>54.8</v>
      </c>
      <c r="R157">
        <v>20.9</v>
      </c>
      <c r="S157">
        <v>5.6</v>
      </c>
      <c r="T157">
        <v>3</v>
      </c>
      <c r="U157">
        <v>91.4</v>
      </c>
    </row>
    <row r="158" spans="1:21" x14ac:dyDescent="0.2">
      <c r="A158" t="s">
        <v>169</v>
      </c>
      <c r="B158">
        <v>1.6</v>
      </c>
      <c r="C158">
        <v>58.3</v>
      </c>
      <c r="D158">
        <v>1</v>
      </c>
      <c r="E158">
        <v>1.8</v>
      </c>
      <c r="F158">
        <v>1.1000000000000001</v>
      </c>
      <c r="G158">
        <v>1.9</v>
      </c>
      <c r="H158">
        <v>0.9</v>
      </c>
      <c r="I158">
        <v>1.7</v>
      </c>
      <c r="J158">
        <v>0.9</v>
      </c>
      <c r="K158">
        <v>30.8</v>
      </c>
      <c r="L158">
        <v>2.6</v>
      </c>
      <c r="M158">
        <v>93</v>
      </c>
      <c r="N158">
        <v>1.5</v>
      </c>
      <c r="O158">
        <v>2.9</v>
      </c>
      <c r="P158">
        <v>27.8</v>
      </c>
      <c r="Q158">
        <v>48.7</v>
      </c>
      <c r="R158">
        <v>23.5</v>
      </c>
      <c r="S158">
        <v>5.2</v>
      </c>
      <c r="T158">
        <v>2.6</v>
      </c>
      <c r="U158">
        <v>92.1</v>
      </c>
    </row>
    <row r="159" spans="1:21" x14ac:dyDescent="0.2">
      <c r="A159" t="s">
        <v>170</v>
      </c>
      <c r="B159">
        <v>1.5</v>
      </c>
      <c r="C159">
        <v>58.6</v>
      </c>
      <c r="D159">
        <v>0.8</v>
      </c>
      <c r="E159">
        <v>2</v>
      </c>
      <c r="F159">
        <v>0.9</v>
      </c>
      <c r="G159">
        <v>1.8</v>
      </c>
      <c r="H159">
        <v>0.9</v>
      </c>
      <c r="I159">
        <v>1.5</v>
      </c>
      <c r="J159">
        <v>0.8</v>
      </c>
      <c r="K159">
        <v>31.2</v>
      </c>
      <c r="L159">
        <v>2.5</v>
      </c>
      <c r="M159">
        <v>93.2</v>
      </c>
      <c r="N159">
        <v>1.3</v>
      </c>
      <c r="O159">
        <v>3.1</v>
      </c>
      <c r="P159">
        <v>25.8</v>
      </c>
      <c r="Q159">
        <v>48.8</v>
      </c>
      <c r="R159">
        <v>25.4</v>
      </c>
      <c r="S159">
        <v>4.5</v>
      </c>
      <c r="T159">
        <v>2.2999999999999998</v>
      </c>
      <c r="U159">
        <v>93.3</v>
      </c>
    </row>
    <row r="160" spans="1:21" x14ac:dyDescent="0.2">
      <c r="A160" t="s">
        <v>171</v>
      </c>
      <c r="B160">
        <v>1.7</v>
      </c>
      <c r="C160">
        <v>57.9</v>
      </c>
      <c r="D160">
        <v>0.8</v>
      </c>
      <c r="E160">
        <v>2.2999999999999998</v>
      </c>
      <c r="F160">
        <v>1.1000000000000001</v>
      </c>
      <c r="G160">
        <v>1.5</v>
      </c>
      <c r="H160">
        <v>0.8</v>
      </c>
      <c r="I160">
        <v>1.7</v>
      </c>
      <c r="J160">
        <v>0.8</v>
      </c>
      <c r="K160">
        <v>31.4</v>
      </c>
      <c r="L160">
        <v>2.7</v>
      </c>
      <c r="M160">
        <v>92.4</v>
      </c>
      <c r="N160">
        <v>1.2</v>
      </c>
      <c r="O160">
        <v>3.7</v>
      </c>
      <c r="P160">
        <v>32.4</v>
      </c>
      <c r="Q160">
        <v>43</v>
      </c>
      <c r="R160">
        <v>24.6</v>
      </c>
      <c r="S160">
        <v>5</v>
      </c>
      <c r="T160">
        <v>2.4</v>
      </c>
      <c r="U160">
        <v>92.6</v>
      </c>
    </row>
    <row r="161" spans="1:21" x14ac:dyDescent="0.2">
      <c r="A161" t="s">
        <v>172</v>
      </c>
      <c r="B161">
        <v>1.5</v>
      </c>
      <c r="C161">
        <v>58.9</v>
      </c>
      <c r="D161">
        <v>0.7</v>
      </c>
      <c r="E161">
        <v>1.7</v>
      </c>
      <c r="F161">
        <v>1</v>
      </c>
      <c r="G161">
        <v>1.6</v>
      </c>
      <c r="H161">
        <v>0.8</v>
      </c>
      <c r="I161">
        <v>1.8</v>
      </c>
      <c r="J161">
        <v>0.8</v>
      </c>
      <c r="K161">
        <v>31.3</v>
      </c>
      <c r="L161">
        <v>2.4</v>
      </c>
      <c r="M161">
        <v>93.8</v>
      </c>
      <c r="N161">
        <v>1.1000000000000001</v>
      </c>
      <c r="O161">
        <v>2.7</v>
      </c>
      <c r="P161">
        <v>29.1</v>
      </c>
      <c r="Q161">
        <v>47.9</v>
      </c>
      <c r="R161">
        <v>23</v>
      </c>
      <c r="S161">
        <v>5.2</v>
      </c>
      <c r="T161">
        <v>2.4</v>
      </c>
      <c r="U161">
        <v>92.4</v>
      </c>
    </row>
    <row r="162" spans="1:21" x14ac:dyDescent="0.2">
      <c r="A162" t="s">
        <v>173</v>
      </c>
      <c r="B162">
        <v>1.3</v>
      </c>
      <c r="C162">
        <v>59.3</v>
      </c>
      <c r="D162">
        <v>0.8</v>
      </c>
      <c r="E162">
        <v>1.6</v>
      </c>
      <c r="F162">
        <v>0.8</v>
      </c>
      <c r="G162">
        <v>1.7</v>
      </c>
      <c r="H162">
        <v>0.8</v>
      </c>
      <c r="I162">
        <v>1.5</v>
      </c>
      <c r="J162">
        <v>0.8</v>
      </c>
      <c r="K162">
        <v>31.5</v>
      </c>
      <c r="L162">
        <v>2</v>
      </c>
      <c r="M162">
        <v>94.2</v>
      </c>
      <c r="N162">
        <v>1.3</v>
      </c>
      <c r="O162">
        <v>2.5</v>
      </c>
      <c r="P162">
        <v>25.7</v>
      </c>
      <c r="Q162">
        <v>50.6</v>
      </c>
      <c r="R162">
        <v>23.7</v>
      </c>
      <c r="S162">
        <v>4.4000000000000004</v>
      </c>
      <c r="T162">
        <v>2.2999999999999998</v>
      </c>
      <c r="U162">
        <v>93.2</v>
      </c>
    </row>
    <row r="163" spans="1:21" x14ac:dyDescent="0.2">
      <c r="A163" t="s">
        <v>174</v>
      </c>
      <c r="B163">
        <v>1.3</v>
      </c>
      <c r="C163">
        <v>59.3</v>
      </c>
      <c r="D163">
        <v>0.7</v>
      </c>
      <c r="E163">
        <v>1.6</v>
      </c>
      <c r="F163">
        <v>0.8</v>
      </c>
      <c r="G163">
        <v>1.7</v>
      </c>
      <c r="H163">
        <v>0.8</v>
      </c>
      <c r="I163">
        <v>1.4</v>
      </c>
      <c r="J163">
        <v>0.7</v>
      </c>
      <c r="K163">
        <v>31.8</v>
      </c>
      <c r="L163">
        <v>2</v>
      </c>
      <c r="M163">
        <v>94.4</v>
      </c>
      <c r="N163">
        <v>1.1000000000000001</v>
      </c>
      <c r="O163">
        <v>2.5</v>
      </c>
      <c r="P163">
        <v>23.2</v>
      </c>
      <c r="Q163">
        <v>52.6</v>
      </c>
      <c r="R163">
        <v>24.2</v>
      </c>
      <c r="S163">
        <v>4.0999999999999996</v>
      </c>
      <c r="T163">
        <v>2.2000000000000002</v>
      </c>
      <c r="U163">
        <v>93.7</v>
      </c>
    </row>
    <row r="164" spans="1:21" x14ac:dyDescent="0.2">
      <c r="A164" t="s">
        <v>175</v>
      </c>
      <c r="B164">
        <v>1.3</v>
      </c>
      <c r="C164">
        <v>58.4</v>
      </c>
      <c r="D164">
        <v>1.1000000000000001</v>
      </c>
      <c r="E164">
        <v>1.8</v>
      </c>
      <c r="F164">
        <v>0.7</v>
      </c>
      <c r="G164">
        <v>1.8</v>
      </c>
      <c r="H164">
        <v>0.8</v>
      </c>
      <c r="I164">
        <v>1.4</v>
      </c>
      <c r="J164">
        <v>0.7</v>
      </c>
      <c r="K164">
        <v>31.9</v>
      </c>
      <c r="L164">
        <v>2.2000000000000002</v>
      </c>
      <c r="M164">
        <v>93.3</v>
      </c>
      <c r="N164">
        <v>1.7</v>
      </c>
      <c r="O164">
        <v>2.9</v>
      </c>
      <c r="P164">
        <v>20.8</v>
      </c>
      <c r="Q164">
        <v>55.8</v>
      </c>
      <c r="R164">
        <v>23.4</v>
      </c>
      <c r="S164">
        <v>4.2</v>
      </c>
      <c r="T164">
        <v>2.2000000000000002</v>
      </c>
      <c r="U164">
        <v>93.6</v>
      </c>
    </row>
    <row r="165" spans="1:21" x14ac:dyDescent="0.2">
      <c r="A165" t="s">
        <v>176</v>
      </c>
      <c r="B165">
        <v>1.4</v>
      </c>
      <c r="C165">
        <v>58.2</v>
      </c>
      <c r="D165">
        <v>0.8</v>
      </c>
      <c r="E165">
        <v>1.5</v>
      </c>
      <c r="F165">
        <v>0.9</v>
      </c>
      <c r="G165">
        <v>2</v>
      </c>
      <c r="H165">
        <v>0.7</v>
      </c>
      <c r="I165">
        <v>1.5</v>
      </c>
      <c r="J165">
        <v>0.9</v>
      </c>
      <c r="K165">
        <v>32.1</v>
      </c>
      <c r="L165">
        <v>2.2000000000000002</v>
      </c>
      <c r="M165">
        <v>94.2</v>
      </c>
      <c r="N165">
        <v>1.2</v>
      </c>
      <c r="O165">
        <v>2.4</v>
      </c>
      <c r="P165">
        <v>25.2</v>
      </c>
      <c r="Q165">
        <v>55.3</v>
      </c>
      <c r="R165">
        <v>19.5</v>
      </c>
      <c r="S165">
        <v>4.5</v>
      </c>
      <c r="T165">
        <v>2.6</v>
      </c>
      <c r="U165">
        <v>93</v>
      </c>
    </row>
    <row r="166" spans="1:21" x14ac:dyDescent="0.2">
      <c r="A166" t="s">
        <v>177</v>
      </c>
      <c r="B166">
        <v>1.3</v>
      </c>
      <c r="C166">
        <v>58.3</v>
      </c>
      <c r="D166">
        <v>0.7</v>
      </c>
      <c r="E166">
        <v>1.5</v>
      </c>
      <c r="F166">
        <v>0.8</v>
      </c>
      <c r="G166">
        <v>2</v>
      </c>
      <c r="H166">
        <v>0.8</v>
      </c>
      <c r="I166">
        <v>1.4</v>
      </c>
      <c r="J166">
        <v>0.7</v>
      </c>
      <c r="K166">
        <v>32.4</v>
      </c>
      <c r="L166">
        <v>2.1</v>
      </c>
      <c r="M166">
        <v>94.4</v>
      </c>
      <c r="N166">
        <v>1.1000000000000001</v>
      </c>
      <c r="O166">
        <v>2.4</v>
      </c>
      <c r="P166">
        <v>23.2</v>
      </c>
      <c r="Q166">
        <v>53.8</v>
      </c>
      <c r="R166">
        <v>23</v>
      </c>
      <c r="S166">
        <v>4.0999999999999996</v>
      </c>
      <c r="T166">
        <v>2.2000000000000002</v>
      </c>
      <c r="U166">
        <v>93.7</v>
      </c>
    </row>
    <row r="167" spans="1:21" x14ac:dyDescent="0.2">
      <c r="A167" t="s">
        <v>178</v>
      </c>
      <c r="B167">
        <v>1.4</v>
      </c>
      <c r="C167">
        <v>58.5</v>
      </c>
      <c r="D167">
        <v>0.6</v>
      </c>
      <c r="E167">
        <v>1.6</v>
      </c>
      <c r="F167">
        <v>1</v>
      </c>
      <c r="G167">
        <v>1.6</v>
      </c>
      <c r="H167">
        <v>0.7</v>
      </c>
      <c r="I167">
        <v>1.6</v>
      </c>
      <c r="J167">
        <v>0.7</v>
      </c>
      <c r="K167">
        <v>32.1</v>
      </c>
      <c r="L167">
        <v>2.2000000000000002</v>
      </c>
      <c r="M167">
        <v>94.2</v>
      </c>
      <c r="N167">
        <v>1</v>
      </c>
      <c r="O167">
        <v>2.6</v>
      </c>
      <c r="P167">
        <v>29.6</v>
      </c>
      <c r="Q167">
        <v>48.5</v>
      </c>
      <c r="R167">
        <v>21.9</v>
      </c>
      <c r="S167">
        <v>4.7</v>
      </c>
      <c r="T167">
        <v>2.1</v>
      </c>
      <c r="U167">
        <v>93.1</v>
      </c>
    </row>
    <row r="168" spans="1:21" x14ac:dyDescent="0.2">
      <c r="A168" t="s">
        <v>179</v>
      </c>
      <c r="B168">
        <v>1.3</v>
      </c>
      <c r="C168">
        <v>59.1</v>
      </c>
      <c r="D168">
        <v>0.6</v>
      </c>
      <c r="E168">
        <v>1.6</v>
      </c>
      <c r="F168">
        <v>0.8</v>
      </c>
      <c r="G168">
        <v>1.6</v>
      </c>
      <c r="H168">
        <v>0.7</v>
      </c>
      <c r="I168">
        <v>1.5</v>
      </c>
      <c r="J168">
        <v>0.8</v>
      </c>
      <c r="K168">
        <v>32.1</v>
      </c>
      <c r="L168">
        <v>2</v>
      </c>
      <c r="M168">
        <v>94.5</v>
      </c>
      <c r="N168">
        <v>1</v>
      </c>
      <c r="O168">
        <v>2.5</v>
      </c>
      <c r="P168">
        <v>25.4</v>
      </c>
      <c r="Q168">
        <v>51.7</v>
      </c>
      <c r="R168">
        <v>22.9</v>
      </c>
      <c r="S168">
        <v>4.4000000000000004</v>
      </c>
      <c r="T168">
        <v>2.4</v>
      </c>
      <c r="U168">
        <v>93.2</v>
      </c>
    </row>
    <row r="169" spans="1:21" x14ac:dyDescent="0.2">
      <c r="A169" t="s">
        <v>180</v>
      </c>
      <c r="B169">
        <v>1.6</v>
      </c>
      <c r="C169">
        <v>58.6</v>
      </c>
      <c r="D169">
        <v>0.9</v>
      </c>
      <c r="E169">
        <v>1.8</v>
      </c>
      <c r="F169">
        <v>0.9</v>
      </c>
      <c r="G169">
        <v>1.5</v>
      </c>
      <c r="H169">
        <v>0.8</v>
      </c>
      <c r="I169">
        <v>2</v>
      </c>
      <c r="J169">
        <v>0.8</v>
      </c>
      <c r="K169">
        <v>31.1</v>
      </c>
      <c r="L169">
        <v>2.6</v>
      </c>
      <c r="M169">
        <v>93.2</v>
      </c>
      <c r="N169">
        <v>1.4</v>
      </c>
      <c r="O169">
        <v>2.8</v>
      </c>
      <c r="P169">
        <v>28</v>
      </c>
      <c r="Q169">
        <v>47.7</v>
      </c>
      <c r="R169">
        <v>24.3</v>
      </c>
      <c r="S169">
        <v>5.8</v>
      </c>
      <c r="T169">
        <v>2.5</v>
      </c>
      <c r="U169">
        <v>91.7</v>
      </c>
    </row>
    <row r="170" spans="1:21" x14ac:dyDescent="0.2">
      <c r="A170" t="s">
        <v>181</v>
      </c>
      <c r="B170">
        <v>1.5</v>
      </c>
      <c r="C170">
        <v>59.5</v>
      </c>
      <c r="D170">
        <v>0.8</v>
      </c>
      <c r="E170">
        <v>1.7</v>
      </c>
      <c r="F170">
        <v>0.9</v>
      </c>
      <c r="G170">
        <v>1.7</v>
      </c>
      <c r="H170">
        <v>0.9</v>
      </c>
      <c r="I170">
        <v>1.8</v>
      </c>
      <c r="J170">
        <v>0.8</v>
      </c>
      <c r="K170">
        <v>30.6</v>
      </c>
      <c r="L170">
        <v>2.2999999999999998</v>
      </c>
      <c r="M170">
        <v>93.8</v>
      </c>
      <c r="N170">
        <v>1.3</v>
      </c>
      <c r="O170">
        <v>2.6</v>
      </c>
      <c r="P170">
        <v>25.6</v>
      </c>
      <c r="Q170">
        <v>48.5</v>
      </c>
      <c r="R170">
        <v>25.9</v>
      </c>
      <c r="S170">
        <v>5.4</v>
      </c>
      <c r="T170">
        <v>2.2999999999999998</v>
      </c>
      <c r="U170">
        <v>92.3</v>
      </c>
    </row>
    <row r="171" spans="1:21" x14ac:dyDescent="0.2">
      <c r="A171" t="s">
        <v>182</v>
      </c>
      <c r="B171">
        <v>1.5</v>
      </c>
      <c r="C171">
        <v>59.2</v>
      </c>
      <c r="D171">
        <v>0.8</v>
      </c>
      <c r="E171">
        <v>2</v>
      </c>
      <c r="F171">
        <v>1</v>
      </c>
      <c r="G171">
        <v>1.6</v>
      </c>
      <c r="H171">
        <v>0.8</v>
      </c>
      <c r="I171">
        <v>1.5</v>
      </c>
      <c r="J171">
        <v>0.8</v>
      </c>
      <c r="K171">
        <v>30.9</v>
      </c>
      <c r="L171">
        <v>2.2999999999999998</v>
      </c>
      <c r="M171">
        <v>93.4</v>
      </c>
      <c r="N171">
        <v>1.2</v>
      </c>
      <c r="O171">
        <v>3.1</v>
      </c>
      <c r="P171">
        <v>29.3</v>
      </c>
      <c r="Q171">
        <v>46.2</v>
      </c>
      <c r="R171">
        <v>24.5</v>
      </c>
      <c r="S171">
        <v>4.4000000000000004</v>
      </c>
      <c r="T171">
        <v>2.4</v>
      </c>
      <c r="U171">
        <v>93.2</v>
      </c>
    </row>
    <row r="172" spans="1:21" x14ac:dyDescent="0.2">
      <c r="A172" t="s">
        <v>183</v>
      </c>
      <c r="B172">
        <v>1.8</v>
      </c>
      <c r="C172">
        <v>58.4</v>
      </c>
      <c r="D172">
        <v>0.8</v>
      </c>
      <c r="E172">
        <v>2.2999999999999998</v>
      </c>
      <c r="F172">
        <v>1</v>
      </c>
      <c r="G172">
        <v>1.4</v>
      </c>
      <c r="H172">
        <v>0.8</v>
      </c>
      <c r="I172">
        <v>1.7</v>
      </c>
      <c r="J172">
        <v>0.8</v>
      </c>
      <c r="K172">
        <v>31.1</v>
      </c>
      <c r="L172">
        <v>2.8</v>
      </c>
      <c r="M172">
        <v>92.4</v>
      </c>
      <c r="N172">
        <v>1.2</v>
      </c>
      <c r="O172">
        <v>3.7</v>
      </c>
      <c r="P172">
        <v>31.7</v>
      </c>
      <c r="Q172">
        <v>42.9</v>
      </c>
      <c r="R172">
        <v>25.5</v>
      </c>
      <c r="S172">
        <v>5.0999999999999996</v>
      </c>
      <c r="T172">
        <v>2.2999999999999998</v>
      </c>
      <c r="U172">
        <v>92.6</v>
      </c>
    </row>
    <row r="173" spans="1:21" x14ac:dyDescent="0.2">
      <c r="A173" t="s">
        <v>184</v>
      </c>
      <c r="B173">
        <v>1.5</v>
      </c>
      <c r="C173">
        <v>59.7</v>
      </c>
      <c r="D173">
        <v>0.6</v>
      </c>
      <c r="E173">
        <v>1.6</v>
      </c>
      <c r="F173">
        <v>0.9</v>
      </c>
      <c r="G173">
        <v>1.5</v>
      </c>
      <c r="H173">
        <v>0.8</v>
      </c>
      <c r="I173">
        <v>1.6</v>
      </c>
      <c r="J173">
        <v>0.7</v>
      </c>
      <c r="K173">
        <v>31.1</v>
      </c>
      <c r="L173">
        <v>2.2999999999999998</v>
      </c>
      <c r="M173">
        <v>94.1</v>
      </c>
      <c r="N173">
        <v>1</v>
      </c>
      <c r="O173">
        <v>2.6</v>
      </c>
      <c r="P173">
        <v>28</v>
      </c>
      <c r="Q173">
        <v>47</v>
      </c>
      <c r="R173">
        <v>25</v>
      </c>
      <c r="S173">
        <v>4.9000000000000004</v>
      </c>
      <c r="T173">
        <v>2.1</v>
      </c>
      <c r="U173">
        <v>93</v>
      </c>
    </row>
    <row r="174" spans="1:21" x14ac:dyDescent="0.2">
      <c r="A174" t="s">
        <v>185</v>
      </c>
      <c r="B174">
        <v>1.3</v>
      </c>
      <c r="C174">
        <v>59.8</v>
      </c>
      <c r="D174">
        <v>0.6</v>
      </c>
      <c r="E174">
        <v>1.6</v>
      </c>
      <c r="F174">
        <v>0.8</v>
      </c>
      <c r="G174">
        <v>1.6</v>
      </c>
      <c r="H174">
        <v>0.7</v>
      </c>
      <c r="I174">
        <v>1.4</v>
      </c>
      <c r="J174">
        <v>0.8</v>
      </c>
      <c r="K174">
        <v>31.3</v>
      </c>
      <c r="L174">
        <v>2.1</v>
      </c>
      <c r="M174">
        <v>94.3</v>
      </c>
      <c r="N174">
        <v>1</v>
      </c>
      <c r="O174">
        <v>2.5</v>
      </c>
      <c r="P174">
        <v>26.7</v>
      </c>
      <c r="Q174">
        <v>50.4</v>
      </c>
      <c r="R174">
        <v>22.9</v>
      </c>
      <c r="S174">
        <v>4.0999999999999996</v>
      </c>
      <c r="T174">
        <v>2.2999999999999998</v>
      </c>
      <c r="U174">
        <v>93.6</v>
      </c>
    </row>
    <row r="175" spans="1:21" x14ac:dyDescent="0.2">
      <c r="A175" t="s">
        <v>186</v>
      </c>
      <c r="B175">
        <v>1.1000000000000001</v>
      </c>
      <c r="C175">
        <v>59.6</v>
      </c>
      <c r="D175">
        <v>0.7</v>
      </c>
      <c r="E175">
        <v>1.5</v>
      </c>
      <c r="F175">
        <v>0.7</v>
      </c>
      <c r="G175">
        <v>1.5</v>
      </c>
      <c r="H175">
        <v>0.9</v>
      </c>
      <c r="I175">
        <v>1.6</v>
      </c>
      <c r="J175">
        <v>0.6</v>
      </c>
      <c r="K175">
        <v>31.8</v>
      </c>
      <c r="L175">
        <v>1.8</v>
      </c>
      <c r="M175">
        <v>94.7</v>
      </c>
      <c r="N175">
        <v>1.1000000000000001</v>
      </c>
      <c r="O175">
        <v>2.4</v>
      </c>
      <c r="P175">
        <v>21.8</v>
      </c>
      <c r="Q175">
        <v>49.7</v>
      </c>
      <c r="R175">
        <v>28.5</v>
      </c>
      <c r="S175">
        <v>4.5999999999999996</v>
      </c>
      <c r="T175">
        <v>1.9</v>
      </c>
      <c r="U175">
        <v>93.5</v>
      </c>
    </row>
    <row r="176" spans="1:21" x14ac:dyDescent="0.2">
      <c r="A176" t="s">
        <v>187</v>
      </c>
      <c r="B176">
        <v>1.3</v>
      </c>
      <c r="C176">
        <v>58.7</v>
      </c>
      <c r="D176">
        <v>0.9</v>
      </c>
      <c r="E176">
        <v>1.7</v>
      </c>
      <c r="F176">
        <v>0.7</v>
      </c>
      <c r="G176">
        <v>1.5</v>
      </c>
      <c r="H176">
        <v>0.8</v>
      </c>
      <c r="I176">
        <v>1.5</v>
      </c>
      <c r="J176">
        <v>0.8</v>
      </c>
      <c r="K176">
        <v>32.1</v>
      </c>
      <c r="L176">
        <v>2</v>
      </c>
      <c r="M176">
        <v>93.7</v>
      </c>
      <c r="N176">
        <v>1.5</v>
      </c>
      <c r="O176">
        <v>2.8</v>
      </c>
      <c r="P176">
        <v>23.4</v>
      </c>
      <c r="Q176">
        <v>50.5</v>
      </c>
      <c r="R176">
        <v>26.1</v>
      </c>
      <c r="S176">
        <v>4.3</v>
      </c>
      <c r="T176">
        <v>2.2999999999999998</v>
      </c>
      <c r="U176">
        <v>93.4</v>
      </c>
    </row>
    <row r="177" spans="1:21" x14ac:dyDescent="0.2">
      <c r="A177" t="s">
        <v>188</v>
      </c>
      <c r="B177">
        <v>1.4</v>
      </c>
      <c r="C177">
        <v>58.3</v>
      </c>
      <c r="D177">
        <v>0.7</v>
      </c>
      <c r="E177">
        <v>1.5</v>
      </c>
      <c r="F177">
        <v>0.9</v>
      </c>
      <c r="G177">
        <v>1.7</v>
      </c>
      <c r="H177">
        <v>0.8</v>
      </c>
      <c r="I177">
        <v>1.6</v>
      </c>
      <c r="J177">
        <v>0.9</v>
      </c>
      <c r="K177">
        <v>32.200000000000003</v>
      </c>
      <c r="L177">
        <v>2.2999999999999998</v>
      </c>
      <c r="M177">
        <v>94.1</v>
      </c>
      <c r="N177">
        <v>1.1000000000000001</v>
      </c>
      <c r="O177">
        <v>2.4</v>
      </c>
      <c r="P177">
        <v>26.6</v>
      </c>
      <c r="Q177">
        <v>49.7</v>
      </c>
      <c r="R177">
        <v>23.7</v>
      </c>
      <c r="S177">
        <v>4.7</v>
      </c>
      <c r="T177">
        <v>2.5</v>
      </c>
      <c r="U177">
        <v>92.8</v>
      </c>
    </row>
    <row r="178" spans="1:21" x14ac:dyDescent="0.2">
      <c r="A178" t="s">
        <v>189</v>
      </c>
      <c r="B178">
        <v>1.4</v>
      </c>
      <c r="C178">
        <v>58.7</v>
      </c>
      <c r="D178">
        <v>0.7</v>
      </c>
      <c r="E178">
        <v>1.5</v>
      </c>
      <c r="F178">
        <v>0.8</v>
      </c>
      <c r="G178">
        <v>1.7</v>
      </c>
      <c r="H178">
        <v>0.8</v>
      </c>
      <c r="I178">
        <v>1.4</v>
      </c>
      <c r="J178">
        <v>0.7</v>
      </c>
      <c r="K178">
        <v>32.4</v>
      </c>
      <c r="L178">
        <v>2.2000000000000002</v>
      </c>
      <c r="M178">
        <v>94.3</v>
      </c>
      <c r="N178">
        <v>1.1000000000000001</v>
      </c>
      <c r="O178">
        <v>2.4</v>
      </c>
      <c r="P178">
        <v>25.5</v>
      </c>
      <c r="Q178">
        <v>51.3</v>
      </c>
      <c r="R178">
        <v>23.2</v>
      </c>
      <c r="S178">
        <v>4</v>
      </c>
      <c r="T178">
        <v>2</v>
      </c>
      <c r="U178">
        <v>94</v>
      </c>
    </row>
    <row r="179" spans="1:21" x14ac:dyDescent="0.2">
      <c r="A179" t="s">
        <v>190</v>
      </c>
      <c r="B179">
        <v>1.2</v>
      </c>
      <c r="C179">
        <v>59</v>
      </c>
      <c r="D179">
        <v>0.6</v>
      </c>
      <c r="E179">
        <v>1.5</v>
      </c>
      <c r="F179">
        <v>0.9</v>
      </c>
      <c r="G179">
        <v>1.5</v>
      </c>
      <c r="H179">
        <v>0.8</v>
      </c>
      <c r="I179">
        <v>1.5</v>
      </c>
      <c r="J179">
        <v>0.7</v>
      </c>
      <c r="K179">
        <v>32.299999999999997</v>
      </c>
      <c r="L179">
        <v>1.9</v>
      </c>
      <c r="M179">
        <v>94.6</v>
      </c>
      <c r="N179">
        <v>1</v>
      </c>
      <c r="O179">
        <v>2.5</v>
      </c>
      <c r="P179">
        <v>27.8</v>
      </c>
      <c r="Q179">
        <v>47.1</v>
      </c>
      <c r="R179">
        <v>25.1</v>
      </c>
      <c r="S179">
        <v>4.5</v>
      </c>
      <c r="T179">
        <v>1.9</v>
      </c>
      <c r="U179">
        <v>93.6</v>
      </c>
    </row>
    <row r="180" spans="1:21" x14ac:dyDescent="0.2">
      <c r="A180" t="s">
        <v>191</v>
      </c>
      <c r="B180">
        <v>1.3</v>
      </c>
      <c r="C180">
        <v>59.3</v>
      </c>
      <c r="D180">
        <v>0.6</v>
      </c>
      <c r="E180">
        <v>1.6</v>
      </c>
      <c r="F180">
        <v>0.8</v>
      </c>
      <c r="G180">
        <v>1.4</v>
      </c>
      <c r="H180">
        <v>0.7</v>
      </c>
      <c r="I180">
        <v>1.6</v>
      </c>
      <c r="J180">
        <v>0.8</v>
      </c>
      <c r="K180">
        <v>31.9</v>
      </c>
      <c r="L180">
        <v>2.1</v>
      </c>
      <c r="M180">
        <v>94.3</v>
      </c>
      <c r="N180">
        <v>1</v>
      </c>
      <c r="O180">
        <v>2.6</v>
      </c>
      <c r="P180">
        <v>28.2</v>
      </c>
      <c r="Q180">
        <v>47.9</v>
      </c>
      <c r="R180">
        <v>23.8</v>
      </c>
      <c r="S180">
        <v>4.5999999999999996</v>
      </c>
      <c r="T180">
        <v>2.2000000000000002</v>
      </c>
      <c r="U180">
        <v>93.2</v>
      </c>
    </row>
    <row r="181" spans="1:21" x14ac:dyDescent="0.2">
      <c r="A181" t="s">
        <v>192</v>
      </c>
      <c r="B181">
        <v>1.7</v>
      </c>
      <c r="C181">
        <v>58.9</v>
      </c>
      <c r="D181">
        <v>0.8</v>
      </c>
      <c r="E181">
        <v>1.9</v>
      </c>
      <c r="F181">
        <v>0.8</v>
      </c>
      <c r="G181">
        <v>1.2</v>
      </c>
      <c r="H181">
        <v>0.7</v>
      </c>
      <c r="I181">
        <v>2.1</v>
      </c>
      <c r="J181">
        <v>0.9</v>
      </c>
      <c r="K181">
        <v>30.9</v>
      </c>
      <c r="L181">
        <v>2.6</v>
      </c>
      <c r="M181">
        <v>93.1</v>
      </c>
      <c r="N181">
        <v>1.2</v>
      </c>
      <c r="O181">
        <v>3</v>
      </c>
      <c r="P181">
        <v>30.1</v>
      </c>
      <c r="Q181">
        <v>43.8</v>
      </c>
      <c r="R181">
        <v>26.2</v>
      </c>
      <c r="S181">
        <v>6.1</v>
      </c>
      <c r="T181">
        <v>2.7</v>
      </c>
      <c r="U181">
        <v>91.2</v>
      </c>
    </row>
    <row r="182" spans="1:21" x14ac:dyDescent="0.2">
      <c r="A182" t="s">
        <v>193</v>
      </c>
      <c r="B182">
        <v>1.6</v>
      </c>
      <c r="C182">
        <v>59.6</v>
      </c>
      <c r="D182">
        <v>0.8</v>
      </c>
      <c r="E182">
        <v>1.6</v>
      </c>
      <c r="F182">
        <v>0.9</v>
      </c>
      <c r="G182">
        <v>1.5</v>
      </c>
      <c r="H182">
        <v>0.8</v>
      </c>
      <c r="I182">
        <v>1.8</v>
      </c>
      <c r="J182">
        <v>0.9</v>
      </c>
      <c r="K182">
        <v>30.4</v>
      </c>
      <c r="L182">
        <v>2.5</v>
      </c>
      <c r="M182">
        <v>93.7</v>
      </c>
      <c r="N182">
        <v>1.3</v>
      </c>
      <c r="O182">
        <v>2.6</v>
      </c>
      <c r="P182">
        <v>28.7</v>
      </c>
      <c r="Q182">
        <v>46.4</v>
      </c>
      <c r="R182">
        <v>24.9</v>
      </c>
      <c r="S182">
        <v>5.6</v>
      </c>
      <c r="T182">
        <v>2.6</v>
      </c>
      <c r="U182">
        <v>91.8</v>
      </c>
    </row>
    <row r="183" spans="1:21" x14ac:dyDescent="0.2">
      <c r="A183" t="s">
        <v>194</v>
      </c>
      <c r="B183">
        <v>1.5</v>
      </c>
      <c r="C183">
        <v>59.4</v>
      </c>
      <c r="D183">
        <v>0.7</v>
      </c>
      <c r="E183">
        <v>2</v>
      </c>
      <c r="F183">
        <v>0.9</v>
      </c>
      <c r="G183">
        <v>1.5</v>
      </c>
      <c r="H183">
        <v>0.9</v>
      </c>
      <c r="I183">
        <v>1.6</v>
      </c>
      <c r="J183">
        <v>0.7</v>
      </c>
      <c r="K183">
        <v>30.8</v>
      </c>
      <c r="L183">
        <v>2.4</v>
      </c>
      <c r="M183">
        <v>93.4</v>
      </c>
      <c r="N183">
        <v>1.1000000000000001</v>
      </c>
      <c r="O183">
        <v>3.1</v>
      </c>
      <c r="P183">
        <v>28</v>
      </c>
      <c r="Q183">
        <v>45.1</v>
      </c>
      <c r="R183">
        <v>26.9</v>
      </c>
      <c r="S183">
        <v>4.8</v>
      </c>
      <c r="T183">
        <v>2.2000000000000002</v>
      </c>
      <c r="U183">
        <v>93.1</v>
      </c>
    </row>
    <row r="184" spans="1:21" x14ac:dyDescent="0.2">
      <c r="A184" t="s">
        <v>195</v>
      </c>
      <c r="B184">
        <v>1.8</v>
      </c>
      <c r="C184">
        <v>58.5</v>
      </c>
      <c r="D184">
        <v>0.7</v>
      </c>
      <c r="E184">
        <v>2.2999999999999998</v>
      </c>
      <c r="F184">
        <v>1.1000000000000001</v>
      </c>
      <c r="G184">
        <v>1.3</v>
      </c>
      <c r="H184">
        <v>0.7</v>
      </c>
      <c r="I184">
        <v>1.9</v>
      </c>
      <c r="J184">
        <v>0.7</v>
      </c>
      <c r="K184">
        <v>31.1</v>
      </c>
      <c r="L184">
        <v>2.8</v>
      </c>
      <c r="M184">
        <v>92.5</v>
      </c>
      <c r="N184">
        <v>1.1000000000000001</v>
      </c>
      <c r="O184">
        <v>3.7</v>
      </c>
      <c r="P184">
        <v>36.200000000000003</v>
      </c>
      <c r="Q184">
        <v>41.1</v>
      </c>
      <c r="R184">
        <v>22.8</v>
      </c>
      <c r="S184">
        <v>5.6</v>
      </c>
      <c r="T184">
        <v>2</v>
      </c>
      <c r="U184">
        <v>92.4</v>
      </c>
    </row>
    <row r="185" spans="1:21" x14ac:dyDescent="0.2">
      <c r="A185" t="s">
        <v>196</v>
      </c>
      <c r="B185">
        <v>1.4</v>
      </c>
      <c r="C185">
        <v>60</v>
      </c>
      <c r="D185">
        <v>0.6</v>
      </c>
      <c r="E185">
        <v>1.5</v>
      </c>
      <c r="F185">
        <v>0.8</v>
      </c>
      <c r="G185">
        <v>1.3</v>
      </c>
      <c r="H185">
        <v>0.8</v>
      </c>
      <c r="I185">
        <v>1.7</v>
      </c>
      <c r="J185">
        <v>0.6</v>
      </c>
      <c r="K185">
        <v>31.3</v>
      </c>
      <c r="L185">
        <v>2.2000000000000002</v>
      </c>
      <c r="M185">
        <v>94.4</v>
      </c>
      <c r="N185">
        <v>1</v>
      </c>
      <c r="O185">
        <v>2.4</v>
      </c>
      <c r="P185">
        <v>27.3</v>
      </c>
      <c r="Q185">
        <v>45.8</v>
      </c>
      <c r="R185">
        <v>26.9</v>
      </c>
      <c r="S185">
        <v>4.9000000000000004</v>
      </c>
      <c r="T185">
        <v>1.8</v>
      </c>
      <c r="U185">
        <v>93.2</v>
      </c>
    </row>
    <row r="186" spans="1:21" x14ac:dyDescent="0.2">
      <c r="A186" t="s">
        <v>197</v>
      </c>
      <c r="B186">
        <v>1.3</v>
      </c>
      <c r="C186">
        <v>60.4</v>
      </c>
      <c r="D186">
        <v>0.6</v>
      </c>
      <c r="E186">
        <v>1.7</v>
      </c>
      <c r="F186">
        <v>0.8</v>
      </c>
      <c r="G186">
        <v>1.3</v>
      </c>
      <c r="H186">
        <v>0.7</v>
      </c>
      <c r="I186">
        <v>1.6</v>
      </c>
      <c r="J186">
        <v>0.6</v>
      </c>
      <c r="K186">
        <v>31</v>
      </c>
      <c r="L186">
        <v>2.1</v>
      </c>
      <c r="M186">
        <v>94.3</v>
      </c>
      <c r="N186">
        <v>1</v>
      </c>
      <c r="O186">
        <v>2.6</v>
      </c>
      <c r="P186">
        <v>28.5</v>
      </c>
      <c r="Q186">
        <v>48</v>
      </c>
      <c r="R186">
        <v>23.5</v>
      </c>
      <c r="S186">
        <v>4.7</v>
      </c>
      <c r="T186">
        <v>1.9</v>
      </c>
      <c r="U186">
        <v>93.5</v>
      </c>
    </row>
    <row r="187" spans="1:21" x14ac:dyDescent="0.2">
      <c r="A187" t="s">
        <v>198</v>
      </c>
      <c r="B187">
        <v>1.2</v>
      </c>
      <c r="C187">
        <v>60.2</v>
      </c>
      <c r="D187">
        <v>0.8</v>
      </c>
      <c r="E187">
        <v>1.6</v>
      </c>
      <c r="F187">
        <v>0.7</v>
      </c>
      <c r="G187">
        <v>1.4</v>
      </c>
      <c r="H187">
        <v>0.7</v>
      </c>
      <c r="I187">
        <v>1.6</v>
      </c>
      <c r="J187">
        <v>0.6</v>
      </c>
      <c r="K187">
        <v>31.2</v>
      </c>
      <c r="L187">
        <v>1.9</v>
      </c>
      <c r="M187">
        <v>94.4</v>
      </c>
      <c r="N187">
        <v>1.2</v>
      </c>
      <c r="O187">
        <v>2.5</v>
      </c>
      <c r="P187">
        <v>24.7</v>
      </c>
      <c r="Q187">
        <v>49.1</v>
      </c>
      <c r="R187">
        <v>26.2</v>
      </c>
      <c r="S187">
        <v>4.7</v>
      </c>
      <c r="T187">
        <v>1.7</v>
      </c>
      <c r="U187">
        <v>93.5</v>
      </c>
    </row>
    <row r="188" spans="1:21" x14ac:dyDescent="0.2">
      <c r="A188" t="s">
        <v>199</v>
      </c>
      <c r="B188">
        <v>1.3</v>
      </c>
      <c r="C188">
        <v>59.1</v>
      </c>
      <c r="D188">
        <v>1</v>
      </c>
      <c r="E188">
        <v>1.9</v>
      </c>
      <c r="F188">
        <v>0.7</v>
      </c>
      <c r="G188">
        <v>1.4</v>
      </c>
      <c r="H188">
        <v>0.7</v>
      </c>
      <c r="I188">
        <v>1.5</v>
      </c>
      <c r="J188">
        <v>0.8</v>
      </c>
      <c r="K188">
        <v>31.6</v>
      </c>
      <c r="L188">
        <v>2.1</v>
      </c>
      <c r="M188">
        <v>93.3</v>
      </c>
      <c r="N188">
        <v>1.5</v>
      </c>
      <c r="O188">
        <v>3.1</v>
      </c>
      <c r="P188">
        <v>23.6</v>
      </c>
      <c r="Q188">
        <v>51.5</v>
      </c>
      <c r="R188">
        <v>24.9</v>
      </c>
      <c r="S188">
        <v>4.5</v>
      </c>
      <c r="T188">
        <v>2.2000000000000002</v>
      </c>
      <c r="U188">
        <v>93.3</v>
      </c>
    </row>
    <row r="189" spans="1:21" x14ac:dyDescent="0.2">
      <c r="A189" t="s">
        <v>200</v>
      </c>
      <c r="B189">
        <v>1.2</v>
      </c>
      <c r="C189">
        <v>58.5</v>
      </c>
      <c r="D189">
        <v>0.8</v>
      </c>
      <c r="E189">
        <v>1.8</v>
      </c>
      <c r="F189">
        <v>0.9</v>
      </c>
      <c r="G189">
        <v>1.5</v>
      </c>
      <c r="H189">
        <v>0.8</v>
      </c>
      <c r="I189">
        <v>1.8</v>
      </c>
      <c r="J189">
        <v>0.8</v>
      </c>
      <c r="K189">
        <v>32</v>
      </c>
      <c r="L189">
        <v>1.9</v>
      </c>
      <c r="M189">
        <v>93.9</v>
      </c>
      <c r="N189">
        <v>1.4</v>
      </c>
      <c r="O189">
        <v>2.9</v>
      </c>
      <c r="P189">
        <v>28.9</v>
      </c>
      <c r="Q189">
        <v>46.4</v>
      </c>
      <c r="R189">
        <v>24.7</v>
      </c>
      <c r="S189">
        <v>5.0999999999999996</v>
      </c>
      <c r="T189">
        <v>2.2000000000000002</v>
      </c>
      <c r="U189">
        <v>92.6</v>
      </c>
    </row>
    <row r="190" spans="1:21" x14ac:dyDescent="0.2">
      <c r="A190" t="s">
        <v>201</v>
      </c>
      <c r="B190">
        <v>1.2</v>
      </c>
      <c r="C190">
        <v>59.2</v>
      </c>
      <c r="D190">
        <v>0.7</v>
      </c>
      <c r="E190">
        <v>1.5</v>
      </c>
      <c r="F190">
        <v>0.9</v>
      </c>
      <c r="G190">
        <v>1.4</v>
      </c>
      <c r="H190">
        <v>0.6</v>
      </c>
      <c r="I190">
        <v>1.6</v>
      </c>
      <c r="J190">
        <v>0.7</v>
      </c>
      <c r="K190">
        <v>32.299999999999997</v>
      </c>
      <c r="L190">
        <v>2</v>
      </c>
      <c r="M190">
        <v>94.6</v>
      </c>
      <c r="N190">
        <v>1.1000000000000001</v>
      </c>
      <c r="O190">
        <v>2.4</v>
      </c>
      <c r="P190">
        <v>29.8</v>
      </c>
      <c r="Q190">
        <v>48.3</v>
      </c>
      <c r="R190">
        <v>21.9</v>
      </c>
      <c r="S190">
        <v>4.5999999999999996</v>
      </c>
      <c r="T190">
        <v>2</v>
      </c>
      <c r="U190">
        <v>93.5</v>
      </c>
    </row>
    <row r="191" spans="1:21" x14ac:dyDescent="0.2">
      <c r="A191" t="s">
        <v>202</v>
      </c>
      <c r="B191">
        <v>1.1000000000000001</v>
      </c>
      <c r="C191">
        <v>59.5</v>
      </c>
      <c r="D191">
        <v>0.6</v>
      </c>
      <c r="E191">
        <v>1.7</v>
      </c>
      <c r="F191">
        <v>0.8</v>
      </c>
      <c r="G191">
        <v>1.4</v>
      </c>
      <c r="H191">
        <v>0.7</v>
      </c>
      <c r="I191">
        <v>1.4</v>
      </c>
      <c r="J191">
        <v>0.6</v>
      </c>
      <c r="K191">
        <v>32.299999999999997</v>
      </c>
      <c r="L191">
        <v>1.7</v>
      </c>
      <c r="M191">
        <v>94.6</v>
      </c>
      <c r="N191">
        <v>1</v>
      </c>
      <c r="O191">
        <v>2.6</v>
      </c>
      <c r="P191">
        <v>26.7</v>
      </c>
      <c r="Q191">
        <v>49.9</v>
      </c>
      <c r="R191">
        <v>23.4</v>
      </c>
      <c r="S191">
        <v>4</v>
      </c>
      <c r="T191">
        <v>1.8</v>
      </c>
      <c r="U191">
        <v>94.2</v>
      </c>
    </row>
    <row r="192" spans="1:21" x14ac:dyDescent="0.2">
      <c r="A192" t="s">
        <v>203</v>
      </c>
      <c r="B192">
        <v>1.1000000000000001</v>
      </c>
      <c r="C192">
        <v>59.5</v>
      </c>
      <c r="D192">
        <v>0.6</v>
      </c>
      <c r="E192">
        <v>1.6</v>
      </c>
      <c r="F192">
        <v>0.8</v>
      </c>
      <c r="G192">
        <v>1.3</v>
      </c>
      <c r="H192">
        <v>0.6</v>
      </c>
      <c r="I192">
        <v>1.5</v>
      </c>
      <c r="J192">
        <v>0.7</v>
      </c>
      <c r="K192">
        <v>32.200000000000003</v>
      </c>
      <c r="L192">
        <v>1.8</v>
      </c>
      <c r="M192">
        <v>94.7</v>
      </c>
      <c r="N192">
        <v>1</v>
      </c>
      <c r="O192">
        <v>2.5</v>
      </c>
      <c r="P192">
        <v>29.7</v>
      </c>
      <c r="Q192">
        <v>48.4</v>
      </c>
      <c r="R192">
        <v>22</v>
      </c>
      <c r="S192">
        <v>4.5</v>
      </c>
      <c r="T192">
        <v>2.1</v>
      </c>
      <c r="U192">
        <v>93.4</v>
      </c>
    </row>
    <row r="193" spans="1:21" x14ac:dyDescent="0.2">
      <c r="A193" t="s">
        <v>204</v>
      </c>
      <c r="B193">
        <v>1.5</v>
      </c>
      <c r="C193">
        <v>58.9</v>
      </c>
      <c r="D193">
        <v>0.8</v>
      </c>
      <c r="E193">
        <v>1.7</v>
      </c>
      <c r="F193">
        <v>0.7</v>
      </c>
      <c r="G193">
        <v>1.3</v>
      </c>
      <c r="H193">
        <v>0.6</v>
      </c>
      <c r="I193">
        <v>2.1</v>
      </c>
      <c r="J193">
        <v>0.9</v>
      </c>
      <c r="K193">
        <v>31.3</v>
      </c>
      <c r="L193">
        <v>2.4</v>
      </c>
      <c r="M193">
        <v>93.5</v>
      </c>
      <c r="N193">
        <v>1.3</v>
      </c>
      <c r="O193">
        <v>2.7</v>
      </c>
      <c r="P193">
        <v>26.9</v>
      </c>
      <c r="Q193">
        <v>49.4</v>
      </c>
      <c r="R193">
        <v>23.7</v>
      </c>
      <c r="S193">
        <v>6</v>
      </c>
      <c r="T193">
        <v>2.6</v>
      </c>
      <c r="U193">
        <v>91.3</v>
      </c>
    </row>
    <row r="194" spans="1:21" x14ac:dyDescent="0.2">
      <c r="A194" t="s">
        <v>205</v>
      </c>
      <c r="B194">
        <v>1.3</v>
      </c>
      <c r="C194">
        <v>59.7</v>
      </c>
      <c r="D194">
        <v>0.8</v>
      </c>
      <c r="E194">
        <v>1.5</v>
      </c>
      <c r="F194">
        <v>0.8</v>
      </c>
      <c r="G194">
        <v>1.6</v>
      </c>
      <c r="H194">
        <v>0.8</v>
      </c>
      <c r="I194">
        <v>1.6</v>
      </c>
      <c r="J194">
        <v>0.7</v>
      </c>
      <c r="K194">
        <v>31</v>
      </c>
      <c r="L194">
        <v>2.1</v>
      </c>
      <c r="M194">
        <v>94.2</v>
      </c>
      <c r="N194">
        <v>1.3</v>
      </c>
      <c r="O194">
        <v>2.4</v>
      </c>
      <c r="P194">
        <v>25.6</v>
      </c>
      <c r="Q194">
        <v>50.1</v>
      </c>
      <c r="R194">
        <v>24.3</v>
      </c>
      <c r="S194">
        <v>4.9000000000000004</v>
      </c>
      <c r="T194">
        <v>2.2000000000000002</v>
      </c>
      <c r="U194">
        <v>92.9</v>
      </c>
    </row>
    <row r="195" spans="1:21" x14ac:dyDescent="0.2">
      <c r="A195" t="s">
        <v>206</v>
      </c>
      <c r="B195">
        <v>1.3</v>
      </c>
      <c r="C195">
        <v>59.3</v>
      </c>
      <c r="D195">
        <v>0.7</v>
      </c>
      <c r="E195">
        <v>2.2999999999999998</v>
      </c>
      <c r="F195">
        <v>1</v>
      </c>
      <c r="G195">
        <v>1.4</v>
      </c>
      <c r="H195">
        <v>0.8</v>
      </c>
      <c r="I195">
        <v>1.6</v>
      </c>
      <c r="J195">
        <v>0.7</v>
      </c>
      <c r="K195">
        <v>30.9</v>
      </c>
      <c r="L195">
        <v>2.1</v>
      </c>
      <c r="M195">
        <v>93.1</v>
      </c>
      <c r="N195">
        <v>1.2</v>
      </c>
      <c r="O195">
        <v>3.6</v>
      </c>
      <c r="P195">
        <v>31.4</v>
      </c>
      <c r="Q195">
        <v>44.6</v>
      </c>
      <c r="R195">
        <v>24.1</v>
      </c>
      <c r="S195">
        <v>4.7</v>
      </c>
      <c r="T195">
        <v>2</v>
      </c>
      <c r="U195">
        <v>93.2</v>
      </c>
    </row>
    <row r="196" spans="1:21" x14ac:dyDescent="0.2">
      <c r="A196" t="s">
        <v>207</v>
      </c>
      <c r="B196">
        <v>1.4</v>
      </c>
      <c r="C196">
        <v>58.7</v>
      </c>
      <c r="D196">
        <v>0.7</v>
      </c>
      <c r="E196">
        <v>2.2000000000000002</v>
      </c>
      <c r="F196">
        <v>0.9</v>
      </c>
      <c r="G196">
        <v>1.4</v>
      </c>
      <c r="H196">
        <v>0.7</v>
      </c>
      <c r="I196">
        <v>1.7</v>
      </c>
      <c r="J196">
        <v>0.6</v>
      </c>
      <c r="K196">
        <v>31.8</v>
      </c>
      <c r="L196">
        <v>2.2000000000000002</v>
      </c>
      <c r="M196">
        <v>93.3</v>
      </c>
      <c r="N196">
        <v>1.1000000000000001</v>
      </c>
      <c r="O196">
        <v>3.4</v>
      </c>
      <c r="P196">
        <v>29.1</v>
      </c>
      <c r="Q196">
        <v>46.9</v>
      </c>
      <c r="R196">
        <v>23.9</v>
      </c>
      <c r="S196">
        <v>4.9000000000000004</v>
      </c>
      <c r="T196">
        <v>1.8</v>
      </c>
      <c r="U196">
        <v>93.2</v>
      </c>
    </row>
    <row r="197" spans="1:21" x14ac:dyDescent="0.2">
      <c r="A197" t="s">
        <v>208</v>
      </c>
      <c r="B197">
        <v>1.3</v>
      </c>
      <c r="C197">
        <v>59.6</v>
      </c>
      <c r="D197">
        <v>0.6</v>
      </c>
      <c r="E197">
        <v>1.6</v>
      </c>
      <c r="F197">
        <v>0.8</v>
      </c>
      <c r="G197">
        <v>1.4</v>
      </c>
      <c r="H197">
        <v>0.7</v>
      </c>
      <c r="I197">
        <v>1.6</v>
      </c>
      <c r="J197">
        <v>0.6</v>
      </c>
      <c r="K197">
        <v>31.8</v>
      </c>
      <c r="L197">
        <v>2</v>
      </c>
      <c r="M197">
        <v>94.5</v>
      </c>
      <c r="N197">
        <v>1</v>
      </c>
      <c r="O197">
        <v>2.5</v>
      </c>
      <c r="P197">
        <v>27.9</v>
      </c>
      <c r="Q197">
        <v>48.9</v>
      </c>
      <c r="R197">
        <v>23.3</v>
      </c>
      <c r="S197">
        <v>4.8</v>
      </c>
      <c r="T197">
        <v>1.9</v>
      </c>
      <c r="U197">
        <v>93.3</v>
      </c>
    </row>
    <row r="198" spans="1:21" x14ac:dyDescent="0.2">
      <c r="A198" t="s">
        <v>209</v>
      </c>
      <c r="B198">
        <v>1.1000000000000001</v>
      </c>
      <c r="C198">
        <v>60.5</v>
      </c>
      <c r="D198">
        <v>0.7</v>
      </c>
      <c r="E198">
        <v>1.5</v>
      </c>
      <c r="F198">
        <v>0.7</v>
      </c>
      <c r="G198">
        <v>1.5</v>
      </c>
      <c r="H198">
        <v>0.7</v>
      </c>
      <c r="I198">
        <v>1.4</v>
      </c>
      <c r="J198">
        <v>0.7</v>
      </c>
      <c r="K198">
        <v>31.2</v>
      </c>
      <c r="L198">
        <v>1.7</v>
      </c>
      <c r="M198">
        <v>94.9</v>
      </c>
      <c r="N198">
        <v>1.1000000000000001</v>
      </c>
      <c r="O198">
        <v>2.2999999999999998</v>
      </c>
      <c r="P198">
        <v>25.2</v>
      </c>
      <c r="Q198">
        <v>50.8</v>
      </c>
      <c r="R198">
        <v>24</v>
      </c>
      <c r="S198">
        <v>4.3</v>
      </c>
      <c r="T198">
        <v>2.1</v>
      </c>
      <c r="U198">
        <v>93.6</v>
      </c>
    </row>
    <row r="199" spans="1:21" x14ac:dyDescent="0.2">
      <c r="A199" t="s">
        <v>210</v>
      </c>
      <c r="B199">
        <v>1.1000000000000001</v>
      </c>
      <c r="C199">
        <v>60.1</v>
      </c>
      <c r="D199">
        <v>0.8</v>
      </c>
      <c r="E199">
        <v>1.5</v>
      </c>
      <c r="F199">
        <v>0.7</v>
      </c>
      <c r="G199">
        <v>1.5</v>
      </c>
      <c r="H199">
        <v>0.7</v>
      </c>
      <c r="I199">
        <v>1.4</v>
      </c>
      <c r="J199">
        <v>0.6</v>
      </c>
      <c r="K199">
        <v>31.7</v>
      </c>
      <c r="L199">
        <v>1.7</v>
      </c>
      <c r="M199">
        <v>94.8</v>
      </c>
      <c r="N199">
        <v>1.2</v>
      </c>
      <c r="O199">
        <v>2.4</v>
      </c>
      <c r="P199">
        <v>23.6</v>
      </c>
      <c r="Q199">
        <v>52.5</v>
      </c>
      <c r="R199">
        <v>23.9</v>
      </c>
      <c r="S199">
        <v>4.0999999999999996</v>
      </c>
      <c r="T199">
        <v>1.9</v>
      </c>
      <c r="U199">
        <v>94</v>
      </c>
    </row>
    <row r="200" spans="1:21" x14ac:dyDescent="0.2">
      <c r="A200" t="s">
        <v>211</v>
      </c>
      <c r="B200">
        <v>1.1000000000000001</v>
      </c>
      <c r="C200">
        <v>58.8</v>
      </c>
      <c r="D200">
        <v>1</v>
      </c>
      <c r="E200">
        <v>1.7</v>
      </c>
      <c r="F200">
        <v>0.7</v>
      </c>
      <c r="G200">
        <v>1.6</v>
      </c>
      <c r="H200">
        <v>0.8</v>
      </c>
      <c r="I200">
        <v>1.3</v>
      </c>
      <c r="J200">
        <v>0.7</v>
      </c>
      <c r="K200">
        <v>32.299999999999997</v>
      </c>
      <c r="L200">
        <v>1.8</v>
      </c>
      <c r="M200">
        <v>94</v>
      </c>
      <c r="N200">
        <v>1.5</v>
      </c>
      <c r="O200">
        <v>2.7</v>
      </c>
      <c r="P200">
        <v>22.3</v>
      </c>
      <c r="Q200">
        <v>53.1</v>
      </c>
      <c r="R200">
        <v>24.6</v>
      </c>
      <c r="S200">
        <v>3.9</v>
      </c>
      <c r="T200">
        <v>2</v>
      </c>
      <c r="U200">
        <v>94.1</v>
      </c>
    </row>
    <row r="201" spans="1:21" x14ac:dyDescent="0.2">
      <c r="A201" t="s">
        <v>212</v>
      </c>
      <c r="B201">
        <v>1.2</v>
      </c>
      <c r="C201">
        <v>58.7</v>
      </c>
      <c r="D201">
        <v>0.8</v>
      </c>
      <c r="E201">
        <v>1.6</v>
      </c>
      <c r="F201">
        <v>0.9</v>
      </c>
      <c r="G201">
        <v>1.8</v>
      </c>
      <c r="H201">
        <v>0.7</v>
      </c>
      <c r="I201">
        <v>1.5</v>
      </c>
      <c r="J201">
        <v>0.7</v>
      </c>
      <c r="K201">
        <v>32.1</v>
      </c>
      <c r="L201">
        <v>1.9</v>
      </c>
      <c r="M201">
        <v>94.3</v>
      </c>
      <c r="N201">
        <v>1.3</v>
      </c>
      <c r="O201">
        <v>2.5</v>
      </c>
      <c r="P201">
        <v>27.4</v>
      </c>
      <c r="Q201">
        <v>52.3</v>
      </c>
      <c r="R201">
        <v>20.3</v>
      </c>
      <c r="S201">
        <v>4.4000000000000004</v>
      </c>
      <c r="T201">
        <v>2</v>
      </c>
      <c r="U201">
        <v>93.6</v>
      </c>
    </row>
    <row r="202" spans="1:21" x14ac:dyDescent="0.2">
      <c r="A202" t="s">
        <v>213</v>
      </c>
      <c r="B202">
        <v>1.1000000000000001</v>
      </c>
      <c r="C202">
        <v>59.1</v>
      </c>
      <c r="D202">
        <v>0.8</v>
      </c>
      <c r="E202">
        <v>1.4</v>
      </c>
      <c r="F202">
        <v>0.8</v>
      </c>
      <c r="G202">
        <v>1.8</v>
      </c>
      <c r="H202">
        <v>0.7</v>
      </c>
      <c r="I202">
        <v>1.4</v>
      </c>
      <c r="J202">
        <v>0.8</v>
      </c>
      <c r="K202">
        <v>32</v>
      </c>
      <c r="L202">
        <v>1.8</v>
      </c>
      <c r="M202">
        <v>94.7</v>
      </c>
      <c r="N202">
        <v>1.3</v>
      </c>
      <c r="O202">
        <v>2.2000000000000002</v>
      </c>
      <c r="P202">
        <v>25.2</v>
      </c>
      <c r="Q202">
        <v>53.5</v>
      </c>
      <c r="R202">
        <v>21.3</v>
      </c>
      <c r="S202">
        <v>4.0999999999999996</v>
      </c>
      <c r="T202">
        <v>2.2999999999999998</v>
      </c>
      <c r="U202">
        <v>93.6</v>
      </c>
    </row>
    <row r="203" spans="1:21" x14ac:dyDescent="0.2">
      <c r="A203" t="s">
        <v>214</v>
      </c>
      <c r="B203">
        <v>1</v>
      </c>
      <c r="C203">
        <v>59</v>
      </c>
      <c r="D203">
        <v>0.7</v>
      </c>
      <c r="E203">
        <v>1.4</v>
      </c>
      <c r="F203">
        <v>0.9</v>
      </c>
      <c r="G203">
        <v>1.6</v>
      </c>
      <c r="H203">
        <v>0.9</v>
      </c>
      <c r="I203">
        <v>1.3</v>
      </c>
      <c r="J203">
        <v>0.7</v>
      </c>
      <c r="K203">
        <v>32.6</v>
      </c>
      <c r="L203">
        <v>1.6</v>
      </c>
      <c r="M203">
        <v>95.1</v>
      </c>
      <c r="N203">
        <v>1.1000000000000001</v>
      </c>
      <c r="O203">
        <v>2.2999999999999998</v>
      </c>
      <c r="P203">
        <v>26.5</v>
      </c>
      <c r="Q203">
        <v>46.6</v>
      </c>
      <c r="R203">
        <v>27</v>
      </c>
      <c r="S203">
        <v>3.8</v>
      </c>
      <c r="T203">
        <v>2</v>
      </c>
      <c r="U203">
        <v>94.3</v>
      </c>
    </row>
    <row r="204" spans="1:21" x14ac:dyDescent="0.2">
      <c r="A204" t="s">
        <v>215</v>
      </c>
      <c r="B204">
        <v>1.2</v>
      </c>
      <c r="C204">
        <v>59</v>
      </c>
      <c r="D204">
        <v>0.8</v>
      </c>
      <c r="E204">
        <v>1.6</v>
      </c>
      <c r="F204">
        <v>0.8</v>
      </c>
      <c r="G204">
        <v>1.5</v>
      </c>
      <c r="H204">
        <v>0.6</v>
      </c>
      <c r="I204">
        <v>1.6</v>
      </c>
      <c r="J204">
        <v>0.9</v>
      </c>
      <c r="K204">
        <v>32</v>
      </c>
      <c r="L204">
        <v>1.9</v>
      </c>
      <c r="M204">
        <v>94.4</v>
      </c>
      <c r="N204">
        <v>1.2</v>
      </c>
      <c r="O204">
        <v>2.5</v>
      </c>
      <c r="P204">
        <v>28.1</v>
      </c>
      <c r="Q204">
        <v>50.7</v>
      </c>
      <c r="R204">
        <v>21.2</v>
      </c>
      <c r="S204">
        <v>4.5999999999999996</v>
      </c>
      <c r="T204">
        <v>2.5</v>
      </c>
      <c r="U204">
        <v>92.9</v>
      </c>
    </row>
    <row r="205" spans="1:21" x14ac:dyDescent="0.2">
      <c r="A205" t="s">
        <v>216</v>
      </c>
      <c r="B205">
        <v>1.2</v>
      </c>
      <c r="C205">
        <v>59.3</v>
      </c>
      <c r="D205">
        <v>0.8</v>
      </c>
      <c r="E205">
        <v>1.6</v>
      </c>
      <c r="F205">
        <v>0.8</v>
      </c>
      <c r="G205">
        <v>1.9</v>
      </c>
      <c r="H205">
        <v>0.7</v>
      </c>
      <c r="I205">
        <v>1.7</v>
      </c>
      <c r="J205">
        <v>1</v>
      </c>
      <c r="K205">
        <v>31</v>
      </c>
      <c r="L205">
        <v>1.9</v>
      </c>
      <c r="M205">
        <v>94.3</v>
      </c>
      <c r="N205">
        <v>1.2</v>
      </c>
      <c r="O205">
        <v>2.6</v>
      </c>
      <c r="P205">
        <v>23.1</v>
      </c>
      <c r="Q205">
        <v>55.4</v>
      </c>
      <c r="R205">
        <v>21.6</v>
      </c>
      <c r="S205">
        <v>4.9000000000000004</v>
      </c>
      <c r="T205">
        <v>2.9</v>
      </c>
      <c r="U205">
        <v>92.2</v>
      </c>
    </row>
    <row r="206" spans="1:21" x14ac:dyDescent="0.2">
      <c r="A206" t="s">
        <v>217</v>
      </c>
      <c r="B206">
        <v>1.1000000000000001</v>
      </c>
      <c r="C206">
        <v>59.4</v>
      </c>
      <c r="D206">
        <v>0.8</v>
      </c>
      <c r="E206">
        <v>1.5</v>
      </c>
      <c r="F206">
        <v>0.9</v>
      </c>
      <c r="G206">
        <v>2.1</v>
      </c>
      <c r="H206">
        <v>0.8</v>
      </c>
      <c r="I206">
        <v>1.5</v>
      </c>
      <c r="J206">
        <v>0.9</v>
      </c>
      <c r="K206">
        <v>31</v>
      </c>
      <c r="L206">
        <v>1.8</v>
      </c>
      <c r="M206">
        <v>94.5</v>
      </c>
      <c r="N206">
        <v>1.3</v>
      </c>
      <c r="O206">
        <v>2.4</v>
      </c>
      <c r="P206">
        <v>23.2</v>
      </c>
      <c r="Q206">
        <v>55.3</v>
      </c>
      <c r="R206">
        <v>21.5</v>
      </c>
      <c r="S206">
        <v>4.5999999999999996</v>
      </c>
      <c r="T206">
        <v>2.7</v>
      </c>
      <c r="U206">
        <v>92.7</v>
      </c>
    </row>
    <row r="207" spans="1:21" x14ac:dyDescent="0.2">
      <c r="A207" t="s">
        <v>218</v>
      </c>
      <c r="B207">
        <v>1.3</v>
      </c>
      <c r="C207">
        <v>58.6</v>
      </c>
      <c r="D207">
        <v>1</v>
      </c>
      <c r="E207">
        <v>2</v>
      </c>
      <c r="F207">
        <v>1</v>
      </c>
      <c r="G207">
        <v>2</v>
      </c>
      <c r="H207">
        <v>0.9</v>
      </c>
      <c r="I207">
        <v>1.5</v>
      </c>
      <c r="J207">
        <v>0.9</v>
      </c>
      <c r="K207">
        <v>30.9</v>
      </c>
      <c r="L207">
        <v>2.1</v>
      </c>
      <c r="M207">
        <v>93.2</v>
      </c>
      <c r="N207">
        <v>1.5</v>
      </c>
      <c r="O207">
        <v>3.2</v>
      </c>
      <c r="P207">
        <v>25.8</v>
      </c>
      <c r="Q207">
        <v>51.6</v>
      </c>
      <c r="R207">
        <v>22.6</v>
      </c>
      <c r="S207">
        <v>4.5</v>
      </c>
      <c r="T207">
        <v>2.6</v>
      </c>
      <c r="U207">
        <v>92.9</v>
      </c>
    </row>
    <row r="208" spans="1:21" x14ac:dyDescent="0.2">
      <c r="A208" t="s">
        <v>219</v>
      </c>
      <c r="B208">
        <v>1.2</v>
      </c>
      <c r="C208">
        <v>58</v>
      </c>
      <c r="D208">
        <v>0.8</v>
      </c>
      <c r="E208">
        <v>2.1</v>
      </c>
      <c r="F208">
        <v>1.1000000000000001</v>
      </c>
      <c r="G208">
        <v>2</v>
      </c>
      <c r="H208">
        <v>0.9</v>
      </c>
      <c r="I208">
        <v>1.6</v>
      </c>
      <c r="J208">
        <v>0.9</v>
      </c>
      <c r="K208">
        <v>31.4</v>
      </c>
      <c r="L208">
        <v>2</v>
      </c>
      <c r="M208">
        <v>93.4</v>
      </c>
      <c r="N208">
        <v>1.3</v>
      </c>
      <c r="O208">
        <v>3.3</v>
      </c>
      <c r="P208">
        <v>26.9</v>
      </c>
      <c r="Q208">
        <v>50.6</v>
      </c>
      <c r="R208">
        <v>22.6</v>
      </c>
      <c r="S208">
        <v>4.8</v>
      </c>
      <c r="T208">
        <v>2.6</v>
      </c>
      <c r="U208">
        <v>92.7</v>
      </c>
    </row>
    <row r="209" spans="1:21" x14ac:dyDescent="0.2">
      <c r="A209" t="s">
        <v>220</v>
      </c>
      <c r="B209">
        <v>1.2</v>
      </c>
      <c r="C209">
        <v>58.5</v>
      </c>
      <c r="D209">
        <v>0.9</v>
      </c>
      <c r="E209">
        <v>1.5</v>
      </c>
      <c r="F209">
        <v>0.9</v>
      </c>
      <c r="G209">
        <v>2</v>
      </c>
      <c r="H209">
        <v>0.9</v>
      </c>
      <c r="I209">
        <v>1.4</v>
      </c>
      <c r="J209">
        <v>0.9</v>
      </c>
      <c r="K209">
        <v>31.7</v>
      </c>
      <c r="L209">
        <v>1.9</v>
      </c>
      <c r="M209">
        <v>94.2</v>
      </c>
      <c r="N209">
        <v>1.5</v>
      </c>
      <c r="O209">
        <v>2.4</v>
      </c>
      <c r="P209">
        <v>25</v>
      </c>
      <c r="Q209">
        <v>52.4</v>
      </c>
      <c r="R209">
        <v>22.6</v>
      </c>
      <c r="S209">
        <v>4.2</v>
      </c>
      <c r="T209">
        <v>2.8</v>
      </c>
      <c r="U209">
        <v>93</v>
      </c>
    </row>
    <row r="210" spans="1:21" x14ac:dyDescent="0.2">
      <c r="A210" t="s">
        <v>221</v>
      </c>
      <c r="B210">
        <v>0.9</v>
      </c>
      <c r="C210">
        <v>59</v>
      </c>
      <c r="D210">
        <v>0.9</v>
      </c>
      <c r="E210">
        <v>1.5</v>
      </c>
      <c r="F210">
        <v>0.8</v>
      </c>
      <c r="G210">
        <v>2.2000000000000002</v>
      </c>
      <c r="H210">
        <v>0.9</v>
      </c>
      <c r="I210">
        <v>1.2</v>
      </c>
      <c r="J210">
        <v>0.8</v>
      </c>
      <c r="K210">
        <v>31.8</v>
      </c>
      <c r="L210">
        <v>1.5</v>
      </c>
      <c r="M210">
        <v>94.7</v>
      </c>
      <c r="N210">
        <v>1.4</v>
      </c>
      <c r="O210">
        <v>2.4</v>
      </c>
      <c r="P210">
        <v>19.899999999999999</v>
      </c>
      <c r="Q210">
        <v>57.1</v>
      </c>
      <c r="R210">
        <v>23.1</v>
      </c>
      <c r="S210">
        <v>3.5</v>
      </c>
      <c r="T210">
        <v>2.2999999999999998</v>
      </c>
      <c r="U210">
        <v>94.2</v>
      </c>
    </row>
    <row r="211" spans="1:21" x14ac:dyDescent="0.2">
      <c r="A211" t="s">
        <v>222</v>
      </c>
      <c r="B211">
        <v>0.9</v>
      </c>
      <c r="C211">
        <v>58.4</v>
      </c>
      <c r="D211">
        <v>1</v>
      </c>
      <c r="E211">
        <v>1.4</v>
      </c>
      <c r="F211">
        <v>0.7</v>
      </c>
      <c r="G211">
        <v>2.5</v>
      </c>
      <c r="H211">
        <v>1</v>
      </c>
      <c r="I211">
        <v>1.3</v>
      </c>
      <c r="J211">
        <v>0.9</v>
      </c>
      <c r="K211">
        <v>32</v>
      </c>
      <c r="L211">
        <v>1.5</v>
      </c>
      <c r="M211">
        <v>94.6</v>
      </c>
      <c r="N211">
        <v>1.6</v>
      </c>
      <c r="O211">
        <v>2.2000000000000002</v>
      </c>
      <c r="P211">
        <v>17.399999999999999</v>
      </c>
      <c r="Q211">
        <v>59.3</v>
      </c>
      <c r="R211">
        <v>23.3</v>
      </c>
      <c r="S211">
        <v>3.9</v>
      </c>
      <c r="T211">
        <v>2.5</v>
      </c>
      <c r="U211">
        <v>93.6</v>
      </c>
    </row>
    <row r="212" spans="1:21" x14ac:dyDescent="0.2">
      <c r="A212" t="s">
        <v>223</v>
      </c>
      <c r="B212">
        <v>0.9</v>
      </c>
      <c r="C212">
        <v>56.8</v>
      </c>
      <c r="D212">
        <v>1.4</v>
      </c>
      <c r="E212">
        <v>1.7</v>
      </c>
      <c r="F212">
        <v>0.8</v>
      </c>
      <c r="G212">
        <v>2.9</v>
      </c>
      <c r="H212">
        <v>0.9</v>
      </c>
      <c r="I212">
        <v>1.3</v>
      </c>
      <c r="J212">
        <v>1</v>
      </c>
      <c r="K212">
        <v>32.200000000000003</v>
      </c>
      <c r="L212">
        <v>1.5</v>
      </c>
      <c r="M212">
        <v>93.4</v>
      </c>
      <c r="N212">
        <v>2.2999999999999998</v>
      </c>
      <c r="O212">
        <v>2.8</v>
      </c>
      <c r="P212">
        <v>16.7</v>
      </c>
      <c r="Q212">
        <v>63.5</v>
      </c>
      <c r="R212">
        <v>19.899999999999999</v>
      </c>
      <c r="S212">
        <v>3.8</v>
      </c>
      <c r="T212">
        <v>2.8</v>
      </c>
      <c r="U212">
        <v>93.3</v>
      </c>
    </row>
    <row r="213" spans="1:21" x14ac:dyDescent="0.2">
      <c r="A213" t="s">
        <v>224</v>
      </c>
      <c r="B213">
        <v>1</v>
      </c>
      <c r="C213">
        <v>56.1</v>
      </c>
      <c r="D213">
        <v>1.1000000000000001</v>
      </c>
      <c r="E213">
        <v>1.3</v>
      </c>
      <c r="F213">
        <v>1</v>
      </c>
      <c r="G213">
        <v>3.5</v>
      </c>
      <c r="H213">
        <v>1</v>
      </c>
      <c r="I213">
        <v>1.4</v>
      </c>
      <c r="J213">
        <v>1</v>
      </c>
      <c r="K213">
        <v>32.6</v>
      </c>
      <c r="L213">
        <v>1.7</v>
      </c>
      <c r="M213">
        <v>94.3</v>
      </c>
      <c r="N213">
        <v>1.9</v>
      </c>
      <c r="O213">
        <v>2.1</v>
      </c>
      <c r="P213">
        <v>17.899999999999999</v>
      </c>
      <c r="Q213">
        <v>64</v>
      </c>
      <c r="R213">
        <v>18.100000000000001</v>
      </c>
      <c r="S213">
        <v>4.0999999999999996</v>
      </c>
      <c r="T213">
        <v>2.8</v>
      </c>
      <c r="U213">
        <v>93.1</v>
      </c>
    </row>
    <row r="214" spans="1:21" x14ac:dyDescent="0.2">
      <c r="A214" t="s">
        <v>225</v>
      </c>
      <c r="B214">
        <v>0.9</v>
      </c>
      <c r="C214">
        <v>56.5</v>
      </c>
      <c r="D214">
        <v>1</v>
      </c>
      <c r="E214">
        <v>1.4</v>
      </c>
      <c r="F214">
        <v>1</v>
      </c>
      <c r="G214">
        <v>3.7</v>
      </c>
      <c r="H214">
        <v>1</v>
      </c>
      <c r="I214">
        <v>1.2</v>
      </c>
      <c r="J214">
        <v>1</v>
      </c>
      <c r="K214">
        <v>32.299999999999997</v>
      </c>
      <c r="L214">
        <v>1.5</v>
      </c>
      <c r="M214">
        <v>94.6</v>
      </c>
      <c r="N214">
        <v>1.7</v>
      </c>
      <c r="O214">
        <v>2.2999999999999998</v>
      </c>
      <c r="P214">
        <v>17.399999999999999</v>
      </c>
      <c r="Q214">
        <v>64.7</v>
      </c>
      <c r="R214">
        <v>17.899999999999999</v>
      </c>
      <c r="S214">
        <v>3.5</v>
      </c>
      <c r="T214">
        <v>3</v>
      </c>
      <c r="U214">
        <v>93.5</v>
      </c>
    </row>
    <row r="215" spans="1:21" x14ac:dyDescent="0.2">
      <c r="A215" t="s">
        <v>226</v>
      </c>
      <c r="B215">
        <v>0.9</v>
      </c>
      <c r="C215">
        <v>56.5</v>
      </c>
      <c r="D215">
        <v>0.9</v>
      </c>
      <c r="E215">
        <v>1.4</v>
      </c>
      <c r="F215">
        <v>1.2</v>
      </c>
      <c r="G215">
        <v>3.4</v>
      </c>
      <c r="H215">
        <v>1.1000000000000001</v>
      </c>
      <c r="I215">
        <v>1.3</v>
      </c>
      <c r="J215">
        <v>1.1000000000000001</v>
      </c>
      <c r="K215">
        <v>32.4</v>
      </c>
      <c r="L215">
        <v>1.4</v>
      </c>
      <c r="M215">
        <v>94.8</v>
      </c>
      <c r="N215">
        <v>1.5</v>
      </c>
      <c r="O215">
        <v>2.2999999999999998</v>
      </c>
      <c r="P215">
        <v>20.6</v>
      </c>
      <c r="Q215">
        <v>60.3</v>
      </c>
      <c r="R215">
        <v>19.100000000000001</v>
      </c>
      <c r="S215">
        <v>3.8</v>
      </c>
      <c r="T215">
        <v>3.1</v>
      </c>
      <c r="U215">
        <v>93.1</v>
      </c>
    </row>
    <row r="216" spans="1:21" x14ac:dyDescent="0.2">
      <c r="A216" t="s">
        <v>227</v>
      </c>
      <c r="B216">
        <v>1</v>
      </c>
      <c r="C216">
        <v>56.4</v>
      </c>
      <c r="D216">
        <v>0.9</v>
      </c>
      <c r="E216">
        <v>1.2</v>
      </c>
      <c r="F216">
        <v>0.9</v>
      </c>
      <c r="G216">
        <v>3.6</v>
      </c>
      <c r="H216">
        <v>1.1000000000000001</v>
      </c>
      <c r="I216">
        <v>1.3</v>
      </c>
      <c r="J216">
        <v>1.1000000000000001</v>
      </c>
      <c r="K216">
        <v>32.6</v>
      </c>
      <c r="L216">
        <v>1.6</v>
      </c>
      <c r="M216">
        <v>94.8</v>
      </c>
      <c r="N216">
        <v>1.5</v>
      </c>
      <c r="O216">
        <v>2.1</v>
      </c>
      <c r="P216">
        <v>15.9</v>
      </c>
      <c r="Q216">
        <v>64.900000000000006</v>
      </c>
      <c r="R216">
        <v>19.2</v>
      </c>
      <c r="S216">
        <v>3.7</v>
      </c>
      <c r="T216">
        <v>3.2</v>
      </c>
      <c r="U216">
        <v>93.2</v>
      </c>
    </row>
    <row r="217" spans="1:21" x14ac:dyDescent="0.2">
      <c r="A217" t="s">
        <v>228</v>
      </c>
      <c r="B217">
        <v>1</v>
      </c>
      <c r="C217">
        <v>56.2</v>
      </c>
      <c r="D217">
        <v>1.1000000000000001</v>
      </c>
      <c r="E217">
        <v>1.5</v>
      </c>
      <c r="F217">
        <v>0.9</v>
      </c>
      <c r="G217">
        <v>3.8</v>
      </c>
      <c r="H217">
        <v>1</v>
      </c>
      <c r="I217">
        <v>1.6</v>
      </c>
      <c r="J217">
        <v>1.4</v>
      </c>
      <c r="K217">
        <v>31.5</v>
      </c>
      <c r="L217">
        <v>1.6</v>
      </c>
      <c r="M217">
        <v>94.1</v>
      </c>
      <c r="N217">
        <v>1.8</v>
      </c>
      <c r="O217">
        <v>2.5</v>
      </c>
      <c r="P217">
        <v>16.3</v>
      </c>
      <c r="Q217">
        <v>66.5</v>
      </c>
      <c r="R217">
        <v>17.2</v>
      </c>
      <c r="S217">
        <v>4.5</v>
      </c>
      <c r="T217">
        <v>4</v>
      </c>
      <c r="U217">
        <v>91.5</v>
      </c>
    </row>
    <row r="218" spans="1:21" x14ac:dyDescent="0.2">
      <c r="A218" t="s">
        <v>229</v>
      </c>
      <c r="B218">
        <v>0.9</v>
      </c>
      <c r="C218">
        <v>56</v>
      </c>
      <c r="D218">
        <v>1.2</v>
      </c>
      <c r="E218">
        <v>1.5</v>
      </c>
      <c r="F218">
        <v>1.2</v>
      </c>
      <c r="G218">
        <v>3.9</v>
      </c>
      <c r="H218">
        <v>1.2</v>
      </c>
      <c r="I218">
        <v>1.5</v>
      </c>
      <c r="J218">
        <v>1.3</v>
      </c>
      <c r="K218">
        <v>31.3</v>
      </c>
      <c r="L218">
        <v>1.6</v>
      </c>
      <c r="M218">
        <v>93.9</v>
      </c>
      <c r="N218">
        <v>2</v>
      </c>
      <c r="O218">
        <v>2.5</v>
      </c>
      <c r="P218">
        <v>18.600000000000001</v>
      </c>
      <c r="Q218">
        <v>62.6</v>
      </c>
      <c r="R218">
        <v>18.8</v>
      </c>
      <c r="S218">
        <v>4.4000000000000004</v>
      </c>
      <c r="T218">
        <v>3.7</v>
      </c>
      <c r="U218">
        <v>91.9</v>
      </c>
    </row>
    <row r="219" spans="1:21" x14ac:dyDescent="0.2">
      <c r="A219" t="s">
        <v>230</v>
      </c>
      <c r="B219">
        <v>0.9</v>
      </c>
      <c r="C219">
        <v>56.2</v>
      </c>
      <c r="D219">
        <v>0.9</v>
      </c>
      <c r="E219">
        <v>1.7</v>
      </c>
      <c r="F219">
        <v>1.1000000000000001</v>
      </c>
      <c r="G219">
        <v>4</v>
      </c>
      <c r="H219">
        <v>1.3</v>
      </c>
      <c r="I219">
        <v>1.4</v>
      </c>
      <c r="J219">
        <v>1.1000000000000001</v>
      </c>
      <c r="K219">
        <v>31.3</v>
      </c>
      <c r="L219">
        <v>1.5</v>
      </c>
      <c r="M219">
        <v>94</v>
      </c>
      <c r="N219">
        <v>1.6</v>
      </c>
      <c r="O219">
        <v>2.9</v>
      </c>
      <c r="P219">
        <v>17</v>
      </c>
      <c r="Q219">
        <v>62.3</v>
      </c>
      <c r="R219">
        <v>20.7</v>
      </c>
      <c r="S219">
        <v>4</v>
      </c>
      <c r="T219">
        <v>3.4</v>
      </c>
      <c r="U219">
        <v>92.6</v>
      </c>
    </row>
    <row r="220" spans="1:21" x14ac:dyDescent="0.2">
      <c r="A220" t="s">
        <v>231</v>
      </c>
      <c r="B220">
        <v>1</v>
      </c>
      <c r="C220">
        <v>55.7</v>
      </c>
      <c r="D220">
        <v>1</v>
      </c>
      <c r="E220">
        <v>1.9</v>
      </c>
      <c r="F220">
        <v>1.3</v>
      </c>
      <c r="G220">
        <v>3.8</v>
      </c>
      <c r="H220">
        <v>1.1000000000000001</v>
      </c>
      <c r="I220">
        <v>1.5</v>
      </c>
      <c r="J220">
        <v>1</v>
      </c>
      <c r="K220">
        <v>31.7</v>
      </c>
      <c r="L220">
        <v>1.7</v>
      </c>
      <c r="M220">
        <v>93.5</v>
      </c>
      <c r="N220">
        <v>1.7</v>
      </c>
      <c r="O220">
        <v>3.2</v>
      </c>
      <c r="P220">
        <v>20.399999999999999</v>
      </c>
      <c r="Q220">
        <v>61.9</v>
      </c>
      <c r="R220">
        <v>17.7</v>
      </c>
      <c r="S220">
        <v>4.3</v>
      </c>
      <c r="T220">
        <v>3.1</v>
      </c>
      <c r="U220">
        <v>92.6</v>
      </c>
    </row>
    <row r="221" spans="1:21" x14ac:dyDescent="0.2">
      <c r="A221" t="s">
        <v>232</v>
      </c>
      <c r="B221">
        <v>0.9</v>
      </c>
      <c r="C221">
        <v>55.5</v>
      </c>
      <c r="D221">
        <v>0.9</v>
      </c>
      <c r="E221">
        <v>1.4</v>
      </c>
      <c r="F221">
        <v>1</v>
      </c>
      <c r="G221">
        <v>3.8</v>
      </c>
      <c r="H221">
        <v>1.1000000000000001</v>
      </c>
      <c r="I221">
        <v>1.4</v>
      </c>
      <c r="J221">
        <v>1.1000000000000001</v>
      </c>
      <c r="K221">
        <v>32.799999999999997</v>
      </c>
      <c r="L221">
        <v>1.5</v>
      </c>
      <c r="M221">
        <v>94.5</v>
      </c>
      <c r="N221">
        <v>1.6</v>
      </c>
      <c r="O221">
        <v>2.4</v>
      </c>
      <c r="P221">
        <v>16.600000000000001</v>
      </c>
      <c r="Q221">
        <v>64.2</v>
      </c>
      <c r="R221">
        <v>19.2</v>
      </c>
      <c r="S221">
        <v>4</v>
      </c>
      <c r="T221">
        <v>3</v>
      </c>
      <c r="U221">
        <v>93.1</v>
      </c>
    </row>
    <row r="222" spans="1:21" x14ac:dyDescent="0.2">
      <c r="A222" t="s">
        <v>233</v>
      </c>
      <c r="B222">
        <v>0.8</v>
      </c>
      <c r="C222">
        <v>55.8</v>
      </c>
      <c r="D222">
        <v>0.9</v>
      </c>
      <c r="E222">
        <v>1.3</v>
      </c>
      <c r="F222">
        <v>1</v>
      </c>
      <c r="G222">
        <v>4</v>
      </c>
      <c r="H222">
        <v>1</v>
      </c>
      <c r="I222">
        <v>1.2</v>
      </c>
      <c r="J222">
        <v>1.1000000000000001</v>
      </c>
      <c r="K222">
        <v>33</v>
      </c>
      <c r="L222">
        <v>1.3</v>
      </c>
      <c r="M222">
        <v>95</v>
      </c>
      <c r="N222">
        <v>1.5</v>
      </c>
      <c r="O222">
        <v>2.2000000000000002</v>
      </c>
      <c r="P222">
        <v>16.2</v>
      </c>
      <c r="Q222">
        <v>66.599999999999994</v>
      </c>
      <c r="R222">
        <v>17.2</v>
      </c>
      <c r="S222">
        <v>3.3</v>
      </c>
      <c r="T222">
        <v>3</v>
      </c>
      <c r="U222">
        <v>93.7</v>
      </c>
    </row>
    <row r="223" spans="1:21" x14ac:dyDescent="0.2">
      <c r="A223" t="s">
        <v>234</v>
      </c>
      <c r="B223">
        <v>0.8</v>
      </c>
      <c r="C223">
        <v>55.4</v>
      </c>
      <c r="D223">
        <v>1</v>
      </c>
      <c r="E223">
        <v>1.4</v>
      </c>
      <c r="F223">
        <v>0.8</v>
      </c>
      <c r="G223">
        <v>4.2</v>
      </c>
      <c r="H223">
        <v>1.2</v>
      </c>
      <c r="I223">
        <v>1.2</v>
      </c>
      <c r="J223">
        <v>1</v>
      </c>
      <c r="K223">
        <v>33.1</v>
      </c>
      <c r="L223">
        <v>1.3</v>
      </c>
      <c r="M223">
        <v>94.6</v>
      </c>
      <c r="N223">
        <v>1.8</v>
      </c>
      <c r="O223">
        <v>2.2999999999999998</v>
      </c>
      <c r="P223">
        <v>13</v>
      </c>
      <c r="Q223">
        <v>68.2</v>
      </c>
      <c r="R223">
        <v>18.899999999999999</v>
      </c>
      <c r="S223">
        <v>3.5</v>
      </c>
      <c r="T223">
        <v>2.9</v>
      </c>
      <c r="U223">
        <v>93.6</v>
      </c>
    </row>
    <row r="224" spans="1:21" x14ac:dyDescent="0.2">
      <c r="A224" t="s">
        <v>235</v>
      </c>
      <c r="B224">
        <v>0.9</v>
      </c>
      <c r="C224">
        <v>54.7</v>
      </c>
      <c r="D224">
        <v>1.2</v>
      </c>
      <c r="E224">
        <v>1.4</v>
      </c>
      <c r="F224">
        <v>0.8</v>
      </c>
      <c r="G224">
        <v>4.2</v>
      </c>
      <c r="H224">
        <v>1.1000000000000001</v>
      </c>
      <c r="I224">
        <v>1.3</v>
      </c>
      <c r="J224">
        <v>1.3</v>
      </c>
      <c r="K224">
        <v>33.1</v>
      </c>
      <c r="L224">
        <v>1.5</v>
      </c>
      <c r="M224">
        <v>94</v>
      </c>
      <c r="N224">
        <v>2</v>
      </c>
      <c r="O224">
        <v>2.5</v>
      </c>
      <c r="P224">
        <v>13.2</v>
      </c>
      <c r="Q224">
        <v>68.5</v>
      </c>
      <c r="R224">
        <v>18.3</v>
      </c>
      <c r="S224">
        <v>3.7</v>
      </c>
      <c r="T224">
        <v>3.6</v>
      </c>
      <c r="U224">
        <v>92.7</v>
      </c>
    </row>
    <row r="225" spans="1:21" x14ac:dyDescent="0.2">
      <c r="A225" t="s">
        <v>236</v>
      </c>
      <c r="B225">
        <v>0.9</v>
      </c>
      <c r="C225">
        <v>54.5</v>
      </c>
      <c r="D225">
        <v>0.9</v>
      </c>
      <c r="E225">
        <v>1.3</v>
      </c>
      <c r="F225">
        <v>1.1000000000000001</v>
      </c>
      <c r="G225">
        <v>4.3</v>
      </c>
      <c r="H225">
        <v>1.2</v>
      </c>
      <c r="I225">
        <v>1.4</v>
      </c>
      <c r="J225">
        <v>1.1000000000000001</v>
      </c>
      <c r="K225">
        <v>33.299999999999997</v>
      </c>
      <c r="L225">
        <v>1.5</v>
      </c>
      <c r="M225">
        <v>94.6</v>
      </c>
      <c r="N225">
        <v>1.6</v>
      </c>
      <c r="O225">
        <v>2.2000000000000002</v>
      </c>
      <c r="P225">
        <v>16.3</v>
      </c>
      <c r="Q225">
        <v>65.5</v>
      </c>
      <c r="R225">
        <v>18.2</v>
      </c>
      <c r="S225">
        <v>3.9</v>
      </c>
      <c r="T225">
        <v>3.1</v>
      </c>
      <c r="U225">
        <v>93</v>
      </c>
    </row>
    <row r="226" spans="1:21" x14ac:dyDescent="0.2">
      <c r="A226" t="s">
        <v>237</v>
      </c>
      <c r="B226">
        <v>0.9</v>
      </c>
      <c r="C226">
        <v>55</v>
      </c>
      <c r="D226">
        <v>0.9</v>
      </c>
      <c r="E226">
        <v>1.3</v>
      </c>
      <c r="F226">
        <v>1.2</v>
      </c>
      <c r="G226">
        <v>4.3</v>
      </c>
      <c r="H226">
        <v>1.2</v>
      </c>
      <c r="I226">
        <v>1.3</v>
      </c>
      <c r="J226">
        <v>1.2</v>
      </c>
      <c r="K226">
        <v>32.700000000000003</v>
      </c>
      <c r="L226">
        <v>1.6</v>
      </c>
      <c r="M226">
        <v>94.7</v>
      </c>
      <c r="N226">
        <v>1.5</v>
      </c>
      <c r="O226">
        <v>2.2000000000000002</v>
      </c>
      <c r="P226">
        <v>17.600000000000001</v>
      </c>
      <c r="Q226">
        <v>64.5</v>
      </c>
      <c r="R226">
        <v>18</v>
      </c>
      <c r="S226">
        <v>3.7</v>
      </c>
      <c r="T226">
        <v>3.5</v>
      </c>
      <c r="U226">
        <v>92.8</v>
      </c>
    </row>
    <row r="227" spans="1:21" x14ac:dyDescent="0.2">
      <c r="A227" t="s">
        <v>238</v>
      </c>
      <c r="B227">
        <v>0.9</v>
      </c>
      <c r="C227">
        <v>55.3</v>
      </c>
      <c r="D227">
        <v>0.8</v>
      </c>
      <c r="E227">
        <v>1.3</v>
      </c>
      <c r="F227">
        <v>1.3</v>
      </c>
      <c r="G227">
        <v>4</v>
      </c>
      <c r="H227">
        <v>1.2</v>
      </c>
      <c r="I227">
        <v>1.3</v>
      </c>
      <c r="J227">
        <v>1.2</v>
      </c>
      <c r="K227">
        <v>32.799999999999997</v>
      </c>
      <c r="L227">
        <v>1.5</v>
      </c>
      <c r="M227">
        <v>95</v>
      </c>
      <c r="N227">
        <v>1.3</v>
      </c>
      <c r="O227">
        <v>2.2000000000000002</v>
      </c>
      <c r="P227">
        <v>20</v>
      </c>
      <c r="Q227">
        <v>61.4</v>
      </c>
      <c r="R227">
        <v>18.600000000000001</v>
      </c>
      <c r="S227">
        <v>3.6</v>
      </c>
      <c r="T227">
        <v>3.4</v>
      </c>
      <c r="U227">
        <v>93</v>
      </c>
    </row>
    <row r="228" spans="1:21" x14ac:dyDescent="0.2">
      <c r="A228" t="s">
        <v>239</v>
      </c>
      <c r="B228">
        <v>0.8</v>
      </c>
      <c r="C228">
        <v>55.3</v>
      </c>
      <c r="D228">
        <v>0.8</v>
      </c>
      <c r="E228">
        <v>1.4</v>
      </c>
      <c r="F228">
        <v>1</v>
      </c>
      <c r="G228">
        <v>3.9</v>
      </c>
      <c r="H228">
        <v>1.2</v>
      </c>
      <c r="I228">
        <v>1.3</v>
      </c>
      <c r="J228">
        <v>1.2</v>
      </c>
      <c r="K228">
        <v>33.1</v>
      </c>
      <c r="L228">
        <v>1.4</v>
      </c>
      <c r="M228">
        <v>94.7</v>
      </c>
      <c r="N228">
        <v>1.4</v>
      </c>
      <c r="O228">
        <v>2.4</v>
      </c>
      <c r="P228">
        <v>16.399999999999999</v>
      </c>
      <c r="Q228">
        <v>64.099999999999994</v>
      </c>
      <c r="R228">
        <v>19.600000000000001</v>
      </c>
      <c r="S228">
        <v>3.6</v>
      </c>
      <c r="T228">
        <v>3.3</v>
      </c>
      <c r="U228">
        <v>93.2</v>
      </c>
    </row>
    <row r="229" spans="1:21" x14ac:dyDescent="0.2">
      <c r="A229" t="s">
        <v>240</v>
      </c>
      <c r="B229">
        <v>0.8</v>
      </c>
      <c r="C229">
        <v>55.5</v>
      </c>
      <c r="D229">
        <v>0.9</v>
      </c>
      <c r="E229">
        <v>1.5</v>
      </c>
      <c r="F229">
        <v>0.9</v>
      </c>
      <c r="G229">
        <v>3.9</v>
      </c>
      <c r="H229">
        <v>1.2</v>
      </c>
      <c r="I229">
        <v>1.6</v>
      </c>
      <c r="J229">
        <v>1.3</v>
      </c>
      <c r="K229">
        <v>32.4</v>
      </c>
      <c r="L229">
        <v>1.4</v>
      </c>
      <c r="M229">
        <v>94.6</v>
      </c>
      <c r="N229">
        <v>1.5</v>
      </c>
      <c r="O229">
        <v>2.5</v>
      </c>
      <c r="P229">
        <v>14.7</v>
      </c>
      <c r="Q229">
        <v>65</v>
      </c>
      <c r="R229">
        <v>20.3</v>
      </c>
      <c r="S229">
        <v>4.4000000000000004</v>
      </c>
      <c r="T229">
        <v>3.8</v>
      </c>
      <c r="U229">
        <v>91.8</v>
      </c>
    </row>
    <row r="230" spans="1:21" x14ac:dyDescent="0.2">
      <c r="A230" t="s">
        <v>241</v>
      </c>
      <c r="B230">
        <v>1.1000000000000001</v>
      </c>
      <c r="C230">
        <v>55.3</v>
      </c>
      <c r="D230">
        <v>1</v>
      </c>
      <c r="E230">
        <v>1.6</v>
      </c>
      <c r="F230">
        <v>1.1000000000000001</v>
      </c>
      <c r="G230">
        <v>3.7</v>
      </c>
      <c r="H230">
        <v>1.2</v>
      </c>
      <c r="I230">
        <v>1.5</v>
      </c>
      <c r="J230">
        <v>1.3</v>
      </c>
      <c r="K230">
        <v>32.1</v>
      </c>
      <c r="L230">
        <v>1.8</v>
      </c>
      <c r="M230">
        <v>93.7</v>
      </c>
      <c r="N230">
        <v>1.7</v>
      </c>
      <c r="O230">
        <v>2.7</v>
      </c>
      <c r="P230">
        <v>18.399999999999999</v>
      </c>
      <c r="Q230">
        <v>61</v>
      </c>
      <c r="R230">
        <v>20.6</v>
      </c>
      <c r="S230">
        <v>4.3</v>
      </c>
      <c r="T230">
        <v>3.7</v>
      </c>
      <c r="U230">
        <v>92</v>
      </c>
    </row>
    <row r="231" spans="1:21" x14ac:dyDescent="0.2">
      <c r="A231" t="s">
        <v>242</v>
      </c>
      <c r="B231">
        <v>1</v>
      </c>
      <c r="C231">
        <v>55.3</v>
      </c>
      <c r="D231">
        <v>1</v>
      </c>
      <c r="E231">
        <v>1.8</v>
      </c>
      <c r="F231">
        <v>1.1000000000000001</v>
      </c>
      <c r="G231">
        <v>3.9</v>
      </c>
      <c r="H231">
        <v>1.3</v>
      </c>
      <c r="I231">
        <v>1.5</v>
      </c>
      <c r="J231">
        <v>1.2</v>
      </c>
      <c r="K231">
        <v>32.1</v>
      </c>
      <c r="L231">
        <v>1.6</v>
      </c>
      <c r="M231">
        <v>93.7</v>
      </c>
      <c r="N231">
        <v>1.7</v>
      </c>
      <c r="O231">
        <v>3</v>
      </c>
      <c r="P231">
        <v>17.3</v>
      </c>
      <c r="Q231">
        <v>61.6</v>
      </c>
      <c r="R231">
        <v>21.1</v>
      </c>
      <c r="S231">
        <v>4.2</v>
      </c>
      <c r="T231">
        <v>3.4</v>
      </c>
      <c r="U231">
        <v>92.4</v>
      </c>
    </row>
    <row r="232" spans="1:21" x14ac:dyDescent="0.2">
      <c r="A232" t="s">
        <v>243</v>
      </c>
      <c r="B232">
        <v>1.1000000000000001</v>
      </c>
      <c r="C232">
        <v>55</v>
      </c>
      <c r="D232">
        <v>0.8</v>
      </c>
      <c r="E232">
        <v>1.9</v>
      </c>
      <c r="F232">
        <v>1.2</v>
      </c>
      <c r="G232">
        <v>3.8</v>
      </c>
      <c r="H232">
        <v>1.3</v>
      </c>
      <c r="I232">
        <v>1.6</v>
      </c>
      <c r="J232">
        <v>1.1000000000000001</v>
      </c>
      <c r="K232">
        <v>32.200000000000003</v>
      </c>
      <c r="L232">
        <v>1.8</v>
      </c>
      <c r="M232">
        <v>93.5</v>
      </c>
      <c r="N232">
        <v>1.4</v>
      </c>
      <c r="O232">
        <v>3.2</v>
      </c>
      <c r="P232">
        <v>19.100000000000001</v>
      </c>
      <c r="Q232">
        <v>60.8</v>
      </c>
      <c r="R232">
        <v>20.100000000000001</v>
      </c>
      <c r="S232">
        <v>4.7</v>
      </c>
      <c r="T232">
        <v>3.1</v>
      </c>
      <c r="U232">
        <v>92.2</v>
      </c>
    </row>
    <row r="233" spans="1:21" x14ac:dyDescent="0.2">
      <c r="A233" t="s">
        <v>244</v>
      </c>
      <c r="B233">
        <v>0.9</v>
      </c>
      <c r="C233">
        <v>55.6</v>
      </c>
      <c r="D233">
        <v>0.8</v>
      </c>
      <c r="E233">
        <v>1.5</v>
      </c>
      <c r="F233">
        <v>1</v>
      </c>
      <c r="G233">
        <v>3.6</v>
      </c>
      <c r="H233">
        <v>1.1000000000000001</v>
      </c>
      <c r="I233">
        <v>1.4</v>
      </c>
      <c r="J233">
        <v>1.2</v>
      </c>
      <c r="K233">
        <v>32.9</v>
      </c>
      <c r="L233">
        <v>1.5</v>
      </c>
      <c r="M233">
        <v>94.5</v>
      </c>
      <c r="N233">
        <v>1.4</v>
      </c>
      <c r="O233">
        <v>2.6</v>
      </c>
      <c r="P233">
        <v>17</v>
      </c>
      <c r="Q233">
        <v>63.4</v>
      </c>
      <c r="R233">
        <v>19.5</v>
      </c>
      <c r="S233">
        <v>3.8</v>
      </c>
      <c r="T233">
        <v>3.3</v>
      </c>
      <c r="U233">
        <v>92.9</v>
      </c>
    </row>
    <row r="234" spans="1:21" x14ac:dyDescent="0.2">
      <c r="A234" t="s">
        <v>245</v>
      </c>
      <c r="B234">
        <v>0.8</v>
      </c>
      <c r="C234">
        <v>55.4</v>
      </c>
      <c r="D234">
        <v>1</v>
      </c>
      <c r="E234">
        <v>1.3</v>
      </c>
      <c r="F234">
        <v>0.9</v>
      </c>
      <c r="G234">
        <v>3.6</v>
      </c>
      <c r="H234">
        <v>1.2</v>
      </c>
      <c r="I234">
        <v>1.3</v>
      </c>
      <c r="J234">
        <v>1.1000000000000001</v>
      </c>
      <c r="K234">
        <v>33.299999999999997</v>
      </c>
      <c r="L234">
        <v>1.4</v>
      </c>
      <c r="M234">
        <v>94.6</v>
      </c>
      <c r="N234">
        <v>1.7</v>
      </c>
      <c r="O234">
        <v>2.2999999999999998</v>
      </c>
      <c r="P234">
        <v>15.8</v>
      </c>
      <c r="Q234">
        <v>63.5</v>
      </c>
      <c r="R234">
        <v>20.7</v>
      </c>
      <c r="S234">
        <v>3.8</v>
      </c>
      <c r="T234">
        <v>3.1</v>
      </c>
      <c r="U234">
        <v>93.1</v>
      </c>
    </row>
    <row r="235" spans="1:21" x14ac:dyDescent="0.2">
      <c r="A235" t="s">
        <v>246</v>
      </c>
      <c r="B235">
        <v>0.8</v>
      </c>
      <c r="C235">
        <v>55.4</v>
      </c>
      <c r="D235">
        <v>0.9</v>
      </c>
      <c r="E235">
        <v>1.3</v>
      </c>
      <c r="F235">
        <v>0.9</v>
      </c>
      <c r="G235">
        <v>3.8</v>
      </c>
      <c r="H235">
        <v>1.2</v>
      </c>
      <c r="I235">
        <v>1.3</v>
      </c>
      <c r="J235">
        <v>1</v>
      </c>
      <c r="K235">
        <v>33.299999999999997</v>
      </c>
      <c r="L235">
        <v>1.3</v>
      </c>
      <c r="M235">
        <v>94.8</v>
      </c>
      <c r="N235">
        <v>1.6</v>
      </c>
      <c r="O235">
        <v>2.2999999999999998</v>
      </c>
      <c r="P235">
        <v>15.4</v>
      </c>
      <c r="Q235">
        <v>64</v>
      </c>
      <c r="R235">
        <v>20.6</v>
      </c>
      <c r="S235">
        <v>3.7</v>
      </c>
      <c r="T235">
        <v>2.8</v>
      </c>
      <c r="U235">
        <v>93.6</v>
      </c>
    </row>
    <row r="236" spans="1:21" x14ac:dyDescent="0.2">
      <c r="A236" t="s">
        <v>247</v>
      </c>
      <c r="B236">
        <v>0.9</v>
      </c>
      <c r="C236">
        <v>55.2</v>
      </c>
      <c r="D236">
        <v>1.2</v>
      </c>
      <c r="E236">
        <v>1.6</v>
      </c>
      <c r="F236">
        <v>0.8</v>
      </c>
      <c r="G236">
        <v>3.8</v>
      </c>
      <c r="H236">
        <v>1.2</v>
      </c>
      <c r="I236">
        <v>1.3</v>
      </c>
      <c r="J236">
        <v>1.2</v>
      </c>
      <c r="K236">
        <v>32.9</v>
      </c>
      <c r="L236">
        <v>1.5</v>
      </c>
      <c r="M236">
        <v>93.8</v>
      </c>
      <c r="N236">
        <v>2</v>
      </c>
      <c r="O236">
        <v>2.7</v>
      </c>
      <c r="P236">
        <v>13.4</v>
      </c>
      <c r="Q236">
        <v>65.099999999999994</v>
      </c>
      <c r="R236">
        <v>21.5</v>
      </c>
      <c r="S236">
        <v>3.6</v>
      </c>
      <c r="T236">
        <v>3.3</v>
      </c>
      <c r="U236">
        <v>93.1</v>
      </c>
    </row>
    <row r="237" spans="1:21" x14ac:dyDescent="0.2">
      <c r="A237" t="s">
        <v>248</v>
      </c>
      <c r="B237">
        <v>0.8</v>
      </c>
      <c r="C237">
        <v>54.9</v>
      </c>
      <c r="D237">
        <v>0.8</v>
      </c>
      <c r="E237">
        <v>1.3</v>
      </c>
      <c r="F237">
        <v>1</v>
      </c>
      <c r="G237">
        <v>4.0999999999999996</v>
      </c>
      <c r="H237">
        <v>1.3</v>
      </c>
      <c r="I237">
        <v>1.4</v>
      </c>
      <c r="J237">
        <v>1.2</v>
      </c>
      <c r="K237">
        <v>33.299999999999997</v>
      </c>
      <c r="L237">
        <v>1.3</v>
      </c>
      <c r="M237">
        <v>95.1</v>
      </c>
      <c r="N237">
        <v>1.3</v>
      </c>
      <c r="O237">
        <v>2.2999999999999998</v>
      </c>
      <c r="P237">
        <v>15.4</v>
      </c>
      <c r="Q237">
        <v>64.400000000000006</v>
      </c>
      <c r="R237">
        <v>20.2</v>
      </c>
      <c r="S237">
        <v>3.9</v>
      </c>
      <c r="T237">
        <v>3.3</v>
      </c>
      <c r="U237">
        <v>92.8</v>
      </c>
    </row>
    <row r="238" spans="1:21" x14ac:dyDescent="0.2">
      <c r="A238" t="s">
        <v>249</v>
      </c>
      <c r="B238">
        <v>0.9</v>
      </c>
      <c r="C238">
        <v>55.1</v>
      </c>
      <c r="D238">
        <v>0.8</v>
      </c>
      <c r="E238">
        <v>1.2</v>
      </c>
      <c r="F238">
        <v>1</v>
      </c>
      <c r="G238">
        <v>3.9</v>
      </c>
      <c r="H238">
        <v>1.1000000000000001</v>
      </c>
      <c r="I238">
        <v>1.3</v>
      </c>
      <c r="J238">
        <v>1.1000000000000001</v>
      </c>
      <c r="K238">
        <v>33.6</v>
      </c>
      <c r="L238">
        <v>1.6</v>
      </c>
      <c r="M238">
        <v>95</v>
      </c>
      <c r="N238">
        <v>1.4</v>
      </c>
      <c r="O238">
        <v>2</v>
      </c>
      <c r="P238">
        <v>16.600000000000001</v>
      </c>
      <c r="Q238">
        <v>65.099999999999994</v>
      </c>
      <c r="R238">
        <v>18.3</v>
      </c>
      <c r="S238">
        <v>3.5</v>
      </c>
      <c r="T238">
        <v>3.2</v>
      </c>
      <c r="U238">
        <v>93.3</v>
      </c>
    </row>
    <row r="239" spans="1:21" x14ac:dyDescent="0.2">
      <c r="A239" t="s">
        <v>250</v>
      </c>
      <c r="B239">
        <v>0.9</v>
      </c>
      <c r="C239">
        <v>55.3</v>
      </c>
      <c r="D239">
        <v>0.8</v>
      </c>
      <c r="E239">
        <v>1.3</v>
      </c>
      <c r="F239">
        <v>1.1000000000000001</v>
      </c>
      <c r="G239">
        <v>3.5</v>
      </c>
      <c r="H239">
        <v>1.2</v>
      </c>
      <c r="I239">
        <v>1.4</v>
      </c>
      <c r="J239">
        <v>1.1000000000000001</v>
      </c>
      <c r="K239">
        <v>33.4</v>
      </c>
      <c r="L239">
        <v>1.5</v>
      </c>
      <c r="M239">
        <v>94.8</v>
      </c>
      <c r="N239">
        <v>1.4</v>
      </c>
      <c r="O239">
        <v>2.2999999999999998</v>
      </c>
      <c r="P239">
        <v>19</v>
      </c>
      <c r="Q239">
        <v>60</v>
      </c>
      <c r="R239">
        <v>21.1</v>
      </c>
      <c r="S239">
        <v>3.8</v>
      </c>
      <c r="T239">
        <v>3.2</v>
      </c>
      <c r="U239">
        <v>93</v>
      </c>
    </row>
    <row r="240" spans="1:21" x14ac:dyDescent="0.2">
      <c r="A240" t="s">
        <v>251</v>
      </c>
      <c r="B240">
        <v>0.8</v>
      </c>
      <c r="C240">
        <v>55.6</v>
      </c>
      <c r="D240">
        <v>0.8</v>
      </c>
      <c r="E240">
        <v>1.3</v>
      </c>
      <c r="F240">
        <v>0.8</v>
      </c>
      <c r="G240">
        <v>3.5</v>
      </c>
      <c r="H240">
        <v>1.1000000000000001</v>
      </c>
      <c r="I240">
        <v>1.4</v>
      </c>
      <c r="J240">
        <v>1.1000000000000001</v>
      </c>
      <c r="K240">
        <v>33.5</v>
      </c>
      <c r="L240">
        <v>1.4</v>
      </c>
      <c r="M240">
        <v>95</v>
      </c>
      <c r="N240">
        <v>1.3</v>
      </c>
      <c r="O240">
        <v>2.2999999999999998</v>
      </c>
      <c r="P240">
        <v>15.5</v>
      </c>
      <c r="Q240">
        <v>64.8</v>
      </c>
      <c r="R240">
        <v>19.7</v>
      </c>
      <c r="S240">
        <v>3.8</v>
      </c>
      <c r="T240">
        <v>3.1</v>
      </c>
      <c r="U240">
        <v>93.1</v>
      </c>
    </row>
    <row r="241" spans="1:21" x14ac:dyDescent="0.2">
      <c r="A241" t="s">
        <v>252</v>
      </c>
      <c r="B241">
        <v>1.1000000000000001</v>
      </c>
      <c r="C241">
        <v>54.9</v>
      </c>
      <c r="D241">
        <v>0.9</v>
      </c>
      <c r="E241">
        <v>1.7</v>
      </c>
      <c r="F241">
        <v>1</v>
      </c>
      <c r="G241">
        <v>3.3</v>
      </c>
      <c r="H241">
        <v>1.1000000000000001</v>
      </c>
      <c r="I241">
        <v>1.7</v>
      </c>
      <c r="J241">
        <v>1.4</v>
      </c>
      <c r="K241">
        <v>33</v>
      </c>
      <c r="L241">
        <v>1.8</v>
      </c>
      <c r="M241">
        <v>93.8</v>
      </c>
      <c r="N241">
        <v>1.5</v>
      </c>
      <c r="O241">
        <v>2.9</v>
      </c>
      <c r="P241">
        <v>19</v>
      </c>
      <c r="Q241">
        <v>60.9</v>
      </c>
      <c r="R241">
        <v>20.100000000000001</v>
      </c>
      <c r="S241">
        <v>4.5999999999999996</v>
      </c>
      <c r="T241">
        <v>3.9</v>
      </c>
      <c r="U241">
        <v>91.5</v>
      </c>
    </row>
    <row r="242" spans="1:21" x14ac:dyDescent="0.2">
      <c r="A242" t="s">
        <v>253</v>
      </c>
      <c r="B242">
        <v>0.9</v>
      </c>
      <c r="C242">
        <v>54.9</v>
      </c>
      <c r="D242">
        <v>0.9</v>
      </c>
      <c r="E242">
        <v>1.7</v>
      </c>
      <c r="F242">
        <v>1</v>
      </c>
      <c r="G242">
        <v>3.5</v>
      </c>
      <c r="H242">
        <v>1.3</v>
      </c>
      <c r="I242">
        <v>1.5</v>
      </c>
      <c r="J242">
        <v>1.3</v>
      </c>
      <c r="K242">
        <v>32.9</v>
      </c>
      <c r="L242">
        <v>1.6</v>
      </c>
      <c r="M242">
        <v>94</v>
      </c>
      <c r="N242">
        <v>1.5</v>
      </c>
      <c r="O242">
        <v>2.9</v>
      </c>
      <c r="P242">
        <v>17.399999999999999</v>
      </c>
      <c r="Q242">
        <v>60.1</v>
      </c>
      <c r="R242">
        <v>22.5</v>
      </c>
      <c r="S242">
        <v>4.3</v>
      </c>
      <c r="T242">
        <v>3.6</v>
      </c>
      <c r="U242">
        <v>92.1</v>
      </c>
    </row>
    <row r="243" spans="1:21" x14ac:dyDescent="0.2">
      <c r="A243" t="s">
        <v>254</v>
      </c>
      <c r="B243">
        <v>0.9</v>
      </c>
      <c r="C243">
        <v>55.1</v>
      </c>
      <c r="D243">
        <v>0.8</v>
      </c>
      <c r="E243">
        <v>1.7</v>
      </c>
      <c r="F243">
        <v>1.1000000000000001</v>
      </c>
      <c r="G243">
        <v>3.6</v>
      </c>
      <c r="H243">
        <v>1.2</v>
      </c>
      <c r="I243">
        <v>1.4</v>
      </c>
      <c r="J243">
        <v>1.2</v>
      </c>
      <c r="K243">
        <v>33</v>
      </c>
      <c r="L243">
        <v>1.6</v>
      </c>
      <c r="M243">
        <v>94.2</v>
      </c>
      <c r="N243">
        <v>1.4</v>
      </c>
      <c r="O243">
        <v>2.9</v>
      </c>
      <c r="P243">
        <v>17.8</v>
      </c>
      <c r="Q243">
        <v>61.6</v>
      </c>
      <c r="R243">
        <v>20.6</v>
      </c>
      <c r="S243">
        <v>3.9</v>
      </c>
      <c r="T243">
        <v>3.3</v>
      </c>
      <c r="U243">
        <v>92.8</v>
      </c>
    </row>
    <row r="244" spans="1:21" x14ac:dyDescent="0.2">
      <c r="A244" t="s">
        <v>255</v>
      </c>
      <c r="B244">
        <v>1.1000000000000001</v>
      </c>
      <c r="C244">
        <v>54.5</v>
      </c>
      <c r="D244">
        <v>1</v>
      </c>
      <c r="E244">
        <v>1.9</v>
      </c>
      <c r="F244">
        <v>1.1000000000000001</v>
      </c>
      <c r="G244">
        <v>3.4</v>
      </c>
      <c r="H244">
        <v>1.4</v>
      </c>
      <c r="I244">
        <v>1.7</v>
      </c>
      <c r="J244">
        <v>1.1000000000000001</v>
      </c>
      <c r="K244">
        <v>32.9</v>
      </c>
      <c r="L244">
        <v>1.9</v>
      </c>
      <c r="M244">
        <v>93.2</v>
      </c>
      <c r="N244">
        <v>1.7</v>
      </c>
      <c r="O244">
        <v>3.2</v>
      </c>
      <c r="P244">
        <v>19.3</v>
      </c>
      <c r="Q244">
        <v>57.4</v>
      </c>
      <c r="R244">
        <v>23.2</v>
      </c>
      <c r="S244">
        <v>4.8</v>
      </c>
      <c r="T244">
        <v>3.2</v>
      </c>
      <c r="U244">
        <v>92</v>
      </c>
    </row>
    <row r="245" spans="1:21" x14ac:dyDescent="0.2">
      <c r="A245" t="s">
        <v>256</v>
      </c>
      <c r="B245">
        <v>0.9</v>
      </c>
      <c r="C245">
        <v>55.5</v>
      </c>
      <c r="D245">
        <v>0.7</v>
      </c>
      <c r="E245">
        <v>1.4</v>
      </c>
      <c r="F245">
        <v>1.1000000000000001</v>
      </c>
      <c r="G245">
        <v>3.4</v>
      </c>
      <c r="H245">
        <v>1.1000000000000001</v>
      </c>
      <c r="I245">
        <v>1.5</v>
      </c>
      <c r="J245">
        <v>1.1000000000000001</v>
      </c>
      <c r="K245">
        <v>33.4</v>
      </c>
      <c r="L245">
        <v>1.6</v>
      </c>
      <c r="M245">
        <v>94.7</v>
      </c>
      <c r="N245">
        <v>1.3</v>
      </c>
      <c r="O245">
        <v>2.4</v>
      </c>
      <c r="P245">
        <v>19.2</v>
      </c>
      <c r="Q245">
        <v>61</v>
      </c>
      <c r="R245">
        <v>19.899999999999999</v>
      </c>
      <c r="S245">
        <v>4</v>
      </c>
      <c r="T245">
        <v>2.9</v>
      </c>
      <c r="U245">
        <v>93</v>
      </c>
    </row>
    <row r="246" spans="1:21" x14ac:dyDescent="0.2">
      <c r="A246" t="s">
        <v>257</v>
      </c>
      <c r="B246">
        <v>0.9</v>
      </c>
      <c r="C246">
        <v>55.9</v>
      </c>
      <c r="D246">
        <v>0.8</v>
      </c>
      <c r="E246">
        <v>1.4</v>
      </c>
      <c r="F246">
        <v>0.9</v>
      </c>
      <c r="G246">
        <v>3.4</v>
      </c>
      <c r="H246">
        <v>1.1000000000000001</v>
      </c>
      <c r="I246">
        <v>1.2</v>
      </c>
      <c r="J246">
        <v>0.9</v>
      </c>
      <c r="K246">
        <v>33.5</v>
      </c>
      <c r="L246">
        <v>1.5</v>
      </c>
      <c r="M246">
        <v>94.8</v>
      </c>
      <c r="N246">
        <v>1.3</v>
      </c>
      <c r="O246">
        <v>2.5</v>
      </c>
      <c r="P246">
        <v>17.100000000000001</v>
      </c>
      <c r="Q246">
        <v>62.3</v>
      </c>
      <c r="R246">
        <v>20.5</v>
      </c>
      <c r="S246">
        <v>3.5</v>
      </c>
      <c r="T246">
        <v>2.6</v>
      </c>
      <c r="U246">
        <v>93.9</v>
      </c>
    </row>
    <row r="247" spans="1:21" x14ac:dyDescent="0.2">
      <c r="A247" t="s">
        <v>258</v>
      </c>
      <c r="B247">
        <v>0.7</v>
      </c>
      <c r="C247">
        <v>55.6</v>
      </c>
      <c r="D247">
        <v>0.9</v>
      </c>
      <c r="E247">
        <v>1.4</v>
      </c>
      <c r="F247">
        <v>0.8</v>
      </c>
      <c r="G247">
        <v>3.3</v>
      </c>
      <c r="H247">
        <v>1.1000000000000001</v>
      </c>
      <c r="I247">
        <v>1.2</v>
      </c>
      <c r="J247">
        <v>0.9</v>
      </c>
      <c r="K247">
        <v>33.9</v>
      </c>
      <c r="L247">
        <v>1.3</v>
      </c>
      <c r="M247">
        <v>94.8</v>
      </c>
      <c r="N247">
        <v>1.5</v>
      </c>
      <c r="O247">
        <v>2.4</v>
      </c>
      <c r="P247">
        <v>16</v>
      </c>
      <c r="Q247">
        <v>62.8</v>
      </c>
      <c r="R247">
        <v>21.2</v>
      </c>
      <c r="S247">
        <v>3.4</v>
      </c>
      <c r="T247">
        <v>2.6</v>
      </c>
      <c r="U247">
        <v>94</v>
      </c>
    </row>
    <row r="248" spans="1:21" x14ac:dyDescent="0.2">
      <c r="A248" t="s">
        <v>259</v>
      </c>
      <c r="B248">
        <v>1</v>
      </c>
      <c r="C248">
        <v>54.4</v>
      </c>
      <c r="D248">
        <v>1</v>
      </c>
      <c r="E248">
        <v>1.6</v>
      </c>
      <c r="F248">
        <v>0.8</v>
      </c>
      <c r="G248">
        <v>3.2</v>
      </c>
      <c r="H248">
        <v>1.1000000000000001</v>
      </c>
      <c r="I248">
        <v>1.4</v>
      </c>
      <c r="J248">
        <v>1.2</v>
      </c>
      <c r="K248">
        <v>34.299999999999997</v>
      </c>
      <c r="L248">
        <v>1.7</v>
      </c>
      <c r="M248">
        <v>93.9</v>
      </c>
      <c r="N248">
        <v>1.7</v>
      </c>
      <c r="O248">
        <v>2.7</v>
      </c>
      <c r="P248">
        <v>15.7</v>
      </c>
      <c r="Q248">
        <v>62.1</v>
      </c>
      <c r="R248">
        <v>22.2</v>
      </c>
      <c r="S248">
        <v>3.8</v>
      </c>
      <c r="T248">
        <v>3.3</v>
      </c>
      <c r="U248">
        <v>92.9</v>
      </c>
    </row>
    <row r="249" spans="1:21" x14ac:dyDescent="0.2">
      <c r="A249" t="s">
        <v>260</v>
      </c>
      <c r="B249">
        <v>0.9</v>
      </c>
      <c r="C249">
        <v>54.9</v>
      </c>
      <c r="D249">
        <v>0.8</v>
      </c>
      <c r="E249">
        <v>1.2</v>
      </c>
      <c r="F249">
        <v>1</v>
      </c>
      <c r="G249">
        <v>3.4</v>
      </c>
      <c r="H249">
        <v>1.1000000000000001</v>
      </c>
      <c r="I249">
        <v>1.3</v>
      </c>
      <c r="J249">
        <v>1.1000000000000001</v>
      </c>
      <c r="K249">
        <v>34.200000000000003</v>
      </c>
      <c r="L249">
        <v>1.6</v>
      </c>
      <c r="M249">
        <v>94.9</v>
      </c>
      <c r="N249">
        <v>1.4</v>
      </c>
      <c r="O249">
        <v>2.1</v>
      </c>
      <c r="P249">
        <v>18.7</v>
      </c>
      <c r="Q249">
        <v>61.4</v>
      </c>
      <c r="R249">
        <v>20</v>
      </c>
      <c r="S249">
        <v>3.5</v>
      </c>
      <c r="T249">
        <v>3.1</v>
      </c>
      <c r="U249">
        <v>93.4</v>
      </c>
    </row>
    <row r="250" spans="1:21" x14ac:dyDescent="0.2">
      <c r="A250" t="s">
        <v>261</v>
      </c>
      <c r="B250">
        <v>0.9</v>
      </c>
      <c r="C250">
        <v>55</v>
      </c>
      <c r="D250">
        <v>0.8</v>
      </c>
      <c r="E250">
        <v>1.2</v>
      </c>
      <c r="F250">
        <v>1</v>
      </c>
      <c r="G250">
        <v>3.4</v>
      </c>
      <c r="H250">
        <v>1.1000000000000001</v>
      </c>
      <c r="I250">
        <v>1.3</v>
      </c>
      <c r="J250">
        <v>1</v>
      </c>
      <c r="K250">
        <v>34.200000000000003</v>
      </c>
      <c r="L250">
        <v>1.6</v>
      </c>
      <c r="M250">
        <v>95</v>
      </c>
      <c r="N250">
        <v>1.3</v>
      </c>
      <c r="O250">
        <v>2.1</v>
      </c>
      <c r="P250">
        <v>18.7</v>
      </c>
      <c r="Q250">
        <v>61.3</v>
      </c>
      <c r="R250">
        <v>20</v>
      </c>
      <c r="S250">
        <v>3.5</v>
      </c>
      <c r="T250">
        <v>2.8</v>
      </c>
      <c r="U250">
        <v>93.7</v>
      </c>
    </row>
    <row r="251" spans="1:21" x14ac:dyDescent="0.2">
      <c r="A251" t="s">
        <v>262</v>
      </c>
      <c r="B251">
        <v>0.8</v>
      </c>
      <c r="C251">
        <v>55.4</v>
      </c>
      <c r="D251">
        <v>0.6</v>
      </c>
      <c r="E251">
        <v>1.4</v>
      </c>
      <c r="F251">
        <v>1</v>
      </c>
      <c r="G251">
        <v>3.1</v>
      </c>
      <c r="H251">
        <v>1.1000000000000001</v>
      </c>
      <c r="I251">
        <v>1.2</v>
      </c>
      <c r="J251">
        <v>1</v>
      </c>
      <c r="K251">
        <v>34.299999999999997</v>
      </c>
      <c r="L251">
        <v>1.4</v>
      </c>
      <c r="M251">
        <v>95.1</v>
      </c>
      <c r="N251">
        <v>1.1000000000000001</v>
      </c>
      <c r="O251">
        <v>2.4</v>
      </c>
      <c r="P251">
        <v>18.399999999999999</v>
      </c>
      <c r="Q251">
        <v>60.6</v>
      </c>
      <c r="R251">
        <v>20.9</v>
      </c>
      <c r="S251">
        <v>3.3</v>
      </c>
      <c r="T251">
        <v>2.8</v>
      </c>
      <c r="U251">
        <v>93.8</v>
      </c>
    </row>
    <row r="252" spans="1:21" x14ac:dyDescent="0.2">
      <c r="A252" t="s">
        <v>263</v>
      </c>
      <c r="B252">
        <v>0.8</v>
      </c>
      <c r="C252">
        <v>55.5</v>
      </c>
      <c r="D252">
        <v>0.7</v>
      </c>
      <c r="E252">
        <v>1.3</v>
      </c>
      <c r="F252">
        <v>0.9</v>
      </c>
      <c r="G252">
        <v>2.9</v>
      </c>
      <c r="H252">
        <v>1</v>
      </c>
      <c r="I252">
        <v>1.4</v>
      </c>
      <c r="J252">
        <v>1.2</v>
      </c>
      <c r="K252">
        <v>34.5</v>
      </c>
      <c r="L252">
        <v>1.3</v>
      </c>
      <c r="M252">
        <v>95.4</v>
      </c>
      <c r="N252">
        <v>1.2</v>
      </c>
      <c r="O252">
        <v>2.1</v>
      </c>
      <c r="P252">
        <v>17.8</v>
      </c>
      <c r="Q252">
        <v>61.5</v>
      </c>
      <c r="R252">
        <v>20.7</v>
      </c>
      <c r="S252">
        <v>3.7</v>
      </c>
      <c r="T252">
        <v>3.1</v>
      </c>
      <c r="U252">
        <v>93.2</v>
      </c>
    </row>
    <row r="253" spans="1:21" x14ac:dyDescent="0.2">
      <c r="A253" t="s">
        <v>264</v>
      </c>
      <c r="B253">
        <v>1.1000000000000001</v>
      </c>
      <c r="C253">
        <v>55.2</v>
      </c>
      <c r="D253">
        <v>0.9</v>
      </c>
      <c r="E253">
        <v>1.7</v>
      </c>
      <c r="F253">
        <v>0.9</v>
      </c>
      <c r="G253">
        <v>2.9</v>
      </c>
      <c r="H253">
        <v>1.1000000000000001</v>
      </c>
      <c r="I253">
        <v>1.7</v>
      </c>
      <c r="J253">
        <v>1.3</v>
      </c>
      <c r="K253">
        <v>33.4</v>
      </c>
      <c r="L253">
        <v>1.9</v>
      </c>
      <c r="M253">
        <v>93.8</v>
      </c>
      <c r="N253">
        <v>1.5</v>
      </c>
      <c r="O253">
        <v>2.8</v>
      </c>
      <c r="P253">
        <v>18.5</v>
      </c>
      <c r="Q253">
        <v>59.6</v>
      </c>
      <c r="R253">
        <v>22</v>
      </c>
      <c r="S253">
        <v>4.5999999999999996</v>
      </c>
      <c r="T253">
        <v>3.5</v>
      </c>
      <c r="U253">
        <v>91.9</v>
      </c>
    </row>
    <row r="254" spans="1:21" x14ac:dyDescent="0.2">
      <c r="A254" t="s">
        <v>265</v>
      </c>
      <c r="B254">
        <v>0.9</v>
      </c>
      <c r="C254">
        <v>55.7</v>
      </c>
      <c r="D254">
        <v>0.9</v>
      </c>
      <c r="E254">
        <v>1.5</v>
      </c>
      <c r="F254">
        <v>1</v>
      </c>
      <c r="G254">
        <v>3.3</v>
      </c>
      <c r="H254">
        <v>1.2</v>
      </c>
      <c r="I254">
        <v>1.5</v>
      </c>
      <c r="J254">
        <v>1.2</v>
      </c>
      <c r="K254">
        <v>32.799999999999997</v>
      </c>
      <c r="L254">
        <v>1.6</v>
      </c>
      <c r="M254">
        <v>94.3</v>
      </c>
      <c r="N254">
        <v>1.5</v>
      </c>
      <c r="O254">
        <v>2.6</v>
      </c>
      <c r="P254">
        <v>17.5</v>
      </c>
      <c r="Q254">
        <v>60.4</v>
      </c>
      <c r="R254">
        <v>22.1</v>
      </c>
      <c r="S254">
        <v>4.2</v>
      </c>
      <c r="T254">
        <v>3.3</v>
      </c>
      <c r="U254">
        <v>92.6</v>
      </c>
    </row>
    <row r="255" spans="1:21" x14ac:dyDescent="0.2">
      <c r="A255" t="s">
        <v>266</v>
      </c>
      <c r="B255">
        <v>1.1000000000000001</v>
      </c>
      <c r="C255">
        <v>54.9</v>
      </c>
      <c r="D255">
        <v>0.9</v>
      </c>
      <c r="E255">
        <v>2.1</v>
      </c>
      <c r="F255">
        <v>1.1000000000000001</v>
      </c>
      <c r="G255">
        <v>3.1</v>
      </c>
      <c r="H255">
        <v>1.3</v>
      </c>
      <c r="I255">
        <v>1.5</v>
      </c>
      <c r="J255">
        <v>1.1000000000000001</v>
      </c>
      <c r="K255">
        <v>32.9</v>
      </c>
      <c r="L255">
        <v>1.8</v>
      </c>
      <c r="M255">
        <v>93.1</v>
      </c>
      <c r="N255">
        <v>1.6</v>
      </c>
      <c r="O255">
        <v>3.5</v>
      </c>
      <c r="P255">
        <v>19.600000000000001</v>
      </c>
      <c r="Q255">
        <v>56.4</v>
      </c>
      <c r="R255">
        <v>24.1</v>
      </c>
      <c r="S255">
        <v>4.2</v>
      </c>
      <c r="T255">
        <v>3</v>
      </c>
      <c r="U255">
        <v>92.8</v>
      </c>
    </row>
    <row r="256" spans="1:21" x14ac:dyDescent="0.2">
      <c r="A256" t="s">
        <v>267</v>
      </c>
      <c r="B256">
        <v>1</v>
      </c>
      <c r="C256">
        <v>55</v>
      </c>
      <c r="D256">
        <v>0.7</v>
      </c>
      <c r="E256">
        <v>1.7</v>
      </c>
      <c r="F256">
        <v>1.1000000000000001</v>
      </c>
      <c r="G256">
        <v>2.9</v>
      </c>
      <c r="H256">
        <v>1.1000000000000001</v>
      </c>
      <c r="I256">
        <v>1.6</v>
      </c>
      <c r="J256">
        <v>1.1000000000000001</v>
      </c>
      <c r="K256">
        <v>33.799999999999997</v>
      </c>
      <c r="L256">
        <v>1.7</v>
      </c>
      <c r="M256">
        <v>94.1</v>
      </c>
      <c r="N256">
        <v>1.2</v>
      </c>
      <c r="O256">
        <v>2.9</v>
      </c>
      <c r="P256">
        <v>21.6</v>
      </c>
      <c r="Q256">
        <v>56.7</v>
      </c>
      <c r="R256">
        <v>21.8</v>
      </c>
      <c r="S256">
        <v>4.4000000000000004</v>
      </c>
      <c r="T256">
        <v>3</v>
      </c>
      <c r="U256">
        <v>92.6</v>
      </c>
    </row>
    <row r="257" spans="1:21" x14ac:dyDescent="0.2">
      <c r="A257" t="s">
        <v>268</v>
      </c>
      <c r="B257">
        <v>1</v>
      </c>
      <c r="C257">
        <v>55.9</v>
      </c>
      <c r="D257">
        <v>0.7</v>
      </c>
      <c r="E257">
        <v>1.4</v>
      </c>
      <c r="F257">
        <v>0.9</v>
      </c>
      <c r="G257">
        <v>2.7</v>
      </c>
      <c r="H257">
        <v>1.1000000000000001</v>
      </c>
      <c r="I257">
        <v>1.5</v>
      </c>
      <c r="J257">
        <v>1.1000000000000001</v>
      </c>
      <c r="K257">
        <v>33.799999999999997</v>
      </c>
      <c r="L257">
        <v>1.6</v>
      </c>
      <c r="M257">
        <v>94.8</v>
      </c>
      <c r="N257">
        <v>1.3</v>
      </c>
      <c r="O257">
        <v>2.2999999999999998</v>
      </c>
      <c r="P257">
        <v>19.7</v>
      </c>
      <c r="Q257">
        <v>57.9</v>
      </c>
      <c r="R257">
        <v>22.4</v>
      </c>
      <c r="S257">
        <v>4.0999999999999996</v>
      </c>
      <c r="T257">
        <v>2.9</v>
      </c>
      <c r="U257">
        <v>92.9</v>
      </c>
    </row>
    <row r="258" spans="1:21" x14ac:dyDescent="0.2">
      <c r="A258" t="s">
        <v>269</v>
      </c>
      <c r="B258">
        <v>0.8</v>
      </c>
      <c r="C258">
        <v>56.4</v>
      </c>
      <c r="D258">
        <v>0.7</v>
      </c>
      <c r="E258">
        <v>1.5</v>
      </c>
      <c r="F258">
        <v>0.8</v>
      </c>
      <c r="G258">
        <v>2.8</v>
      </c>
      <c r="H258">
        <v>1.1000000000000001</v>
      </c>
      <c r="I258">
        <v>1.3</v>
      </c>
      <c r="J258">
        <v>1.1000000000000001</v>
      </c>
      <c r="K258">
        <v>33.5</v>
      </c>
      <c r="L258">
        <v>1.4</v>
      </c>
      <c r="M258">
        <v>95</v>
      </c>
      <c r="N258">
        <v>1.2</v>
      </c>
      <c r="O258">
        <v>2.5</v>
      </c>
      <c r="P258">
        <v>16.3</v>
      </c>
      <c r="Q258">
        <v>59.8</v>
      </c>
      <c r="R258">
        <v>23.9</v>
      </c>
      <c r="S258">
        <v>3.5</v>
      </c>
      <c r="T258">
        <v>3</v>
      </c>
      <c r="U258">
        <v>93.5</v>
      </c>
    </row>
    <row r="259" spans="1:21" x14ac:dyDescent="0.2">
      <c r="A259" t="s">
        <v>270</v>
      </c>
      <c r="B259">
        <v>0.9</v>
      </c>
      <c r="C259">
        <v>55.6</v>
      </c>
      <c r="D259">
        <v>0.9</v>
      </c>
      <c r="E259">
        <v>1.3</v>
      </c>
      <c r="F259">
        <v>0.7</v>
      </c>
      <c r="G259">
        <v>2.9</v>
      </c>
      <c r="H259">
        <v>1.1000000000000001</v>
      </c>
      <c r="I259">
        <v>1.3</v>
      </c>
      <c r="J259">
        <v>0.9</v>
      </c>
      <c r="K259">
        <v>34.4</v>
      </c>
      <c r="L259">
        <v>1.5</v>
      </c>
      <c r="M259">
        <v>94.7</v>
      </c>
      <c r="N259">
        <v>1.5</v>
      </c>
      <c r="O259">
        <v>2.2999999999999998</v>
      </c>
      <c r="P259">
        <v>14.7</v>
      </c>
      <c r="Q259">
        <v>61</v>
      </c>
      <c r="R259">
        <v>24.3</v>
      </c>
      <c r="S259">
        <v>3.5</v>
      </c>
      <c r="T259">
        <v>2.5</v>
      </c>
      <c r="U259">
        <v>94.1</v>
      </c>
    </row>
    <row r="260" spans="1:21" x14ac:dyDescent="0.2">
      <c r="A260" t="s">
        <v>271</v>
      </c>
      <c r="B260">
        <v>0.9</v>
      </c>
      <c r="C260">
        <v>54.8</v>
      </c>
      <c r="D260">
        <v>1</v>
      </c>
      <c r="E260">
        <v>1.5</v>
      </c>
      <c r="F260">
        <v>0.8</v>
      </c>
      <c r="G260">
        <v>2.9</v>
      </c>
      <c r="H260">
        <v>1</v>
      </c>
      <c r="I260">
        <v>1.2</v>
      </c>
      <c r="J260">
        <v>1.1000000000000001</v>
      </c>
      <c r="K260">
        <v>34.700000000000003</v>
      </c>
      <c r="L260">
        <v>1.5</v>
      </c>
      <c r="M260">
        <v>94.2</v>
      </c>
      <c r="N260">
        <v>1.8</v>
      </c>
      <c r="O260">
        <v>2.5</v>
      </c>
      <c r="P260">
        <v>16.100000000000001</v>
      </c>
      <c r="Q260">
        <v>62.1</v>
      </c>
      <c r="R260">
        <v>21.8</v>
      </c>
      <c r="S260">
        <v>3.3</v>
      </c>
      <c r="T260">
        <v>3</v>
      </c>
      <c r="U260">
        <v>93.7</v>
      </c>
    </row>
    <row r="261" spans="1:21" x14ac:dyDescent="0.2">
      <c r="A261" t="s">
        <v>272</v>
      </c>
      <c r="B261">
        <v>0.9</v>
      </c>
      <c r="C261">
        <v>54.9</v>
      </c>
      <c r="D261">
        <v>0.8</v>
      </c>
      <c r="E261">
        <v>1.5</v>
      </c>
      <c r="F261">
        <v>1</v>
      </c>
      <c r="G261">
        <v>3.2</v>
      </c>
      <c r="H261">
        <v>1.1000000000000001</v>
      </c>
      <c r="I261">
        <v>1.4</v>
      </c>
      <c r="J261">
        <v>1</v>
      </c>
      <c r="K261">
        <v>34.200000000000003</v>
      </c>
      <c r="L261">
        <v>1.6</v>
      </c>
      <c r="M261">
        <v>94.5</v>
      </c>
      <c r="N261">
        <v>1.3</v>
      </c>
      <c r="O261">
        <v>2.6</v>
      </c>
      <c r="P261">
        <v>19.3</v>
      </c>
      <c r="Q261">
        <v>60.6</v>
      </c>
      <c r="R261">
        <v>20.2</v>
      </c>
      <c r="S261">
        <v>3.9</v>
      </c>
      <c r="T261">
        <v>2.8</v>
      </c>
      <c r="U261">
        <v>93.3</v>
      </c>
    </row>
    <row r="262" spans="1:21" x14ac:dyDescent="0.2">
      <c r="A262" t="s">
        <v>273</v>
      </c>
      <c r="B262">
        <v>0.9</v>
      </c>
      <c r="C262">
        <v>54.9</v>
      </c>
      <c r="D262">
        <v>0.7</v>
      </c>
      <c r="E262">
        <v>1.4</v>
      </c>
      <c r="F262">
        <v>0.9</v>
      </c>
      <c r="G262">
        <v>3</v>
      </c>
      <c r="H262">
        <v>1.1000000000000001</v>
      </c>
      <c r="I262">
        <v>1.4</v>
      </c>
      <c r="J262">
        <v>1</v>
      </c>
      <c r="K262">
        <v>34.6</v>
      </c>
      <c r="L262">
        <v>1.6</v>
      </c>
      <c r="M262">
        <v>94.8</v>
      </c>
      <c r="N262">
        <v>1.2</v>
      </c>
      <c r="O262">
        <v>2.4</v>
      </c>
      <c r="P262">
        <v>17.2</v>
      </c>
      <c r="Q262">
        <v>60.5</v>
      </c>
      <c r="R262">
        <v>22.3</v>
      </c>
      <c r="S262">
        <v>3.8</v>
      </c>
      <c r="T262">
        <v>2.8</v>
      </c>
      <c r="U262">
        <v>93.4</v>
      </c>
    </row>
    <row r="263" spans="1:21" x14ac:dyDescent="0.2">
      <c r="A263" t="s">
        <v>274</v>
      </c>
      <c r="B263">
        <v>0.8</v>
      </c>
      <c r="C263">
        <v>55.3</v>
      </c>
      <c r="D263">
        <v>0.7</v>
      </c>
      <c r="E263">
        <v>1.4</v>
      </c>
      <c r="F263">
        <v>0.9</v>
      </c>
      <c r="G263">
        <v>2.7</v>
      </c>
      <c r="H263">
        <v>1</v>
      </c>
      <c r="I263">
        <v>1.4</v>
      </c>
      <c r="J263">
        <v>0.9</v>
      </c>
      <c r="K263">
        <v>34.9</v>
      </c>
      <c r="L263">
        <v>1.4</v>
      </c>
      <c r="M263">
        <v>95.1</v>
      </c>
      <c r="N263">
        <v>1.2</v>
      </c>
      <c r="O263">
        <v>2.4</v>
      </c>
      <c r="P263">
        <v>19.3</v>
      </c>
      <c r="Q263">
        <v>58.6</v>
      </c>
      <c r="R263">
        <v>22.1</v>
      </c>
      <c r="S263">
        <v>3.6</v>
      </c>
      <c r="T263">
        <v>2.2999999999999998</v>
      </c>
      <c r="U263">
        <v>94</v>
      </c>
    </row>
    <row r="264" spans="1:21" x14ac:dyDescent="0.2">
      <c r="A264" t="s">
        <v>275</v>
      </c>
      <c r="B264">
        <v>0.9</v>
      </c>
      <c r="C264">
        <v>55.3</v>
      </c>
      <c r="D264">
        <v>0.7</v>
      </c>
      <c r="E264">
        <v>1.5</v>
      </c>
      <c r="F264">
        <v>1</v>
      </c>
      <c r="G264">
        <v>2.7</v>
      </c>
      <c r="H264">
        <v>0.8</v>
      </c>
      <c r="I264">
        <v>1.4</v>
      </c>
      <c r="J264">
        <v>1.1000000000000001</v>
      </c>
      <c r="K264">
        <v>34.6</v>
      </c>
      <c r="L264">
        <v>1.6</v>
      </c>
      <c r="M264">
        <v>94.7</v>
      </c>
      <c r="N264">
        <v>1.2</v>
      </c>
      <c r="O264">
        <v>2.5</v>
      </c>
      <c r="P264">
        <v>21.5</v>
      </c>
      <c r="Q264">
        <v>59.8</v>
      </c>
      <c r="R264">
        <v>18.8</v>
      </c>
      <c r="S264">
        <v>3.9</v>
      </c>
      <c r="T264">
        <v>3</v>
      </c>
      <c r="U264">
        <v>93.1</v>
      </c>
    </row>
    <row r="265" spans="1:21" x14ac:dyDescent="0.2">
      <c r="A265" t="s">
        <v>276</v>
      </c>
      <c r="B265">
        <v>1</v>
      </c>
      <c r="C265">
        <v>55.4</v>
      </c>
      <c r="D265">
        <v>0.8</v>
      </c>
      <c r="E265">
        <v>1.6</v>
      </c>
      <c r="F265">
        <v>0.9</v>
      </c>
      <c r="G265">
        <v>2.7</v>
      </c>
      <c r="H265">
        <v>0.9</v>
      </c>
      <c r="I265">
        <v>1.7</v>
      </c>
      <c r="J265">
        <v>1.3</v>
      </c>
      <c r="K265">
        <v>33.700000000000003</v>
      </c>
      <c r="L265">
        <v>1.8</v>
      </c>
      <c r="M265">
        <v>94.1</v>
      </c>
      <c r="N265">
        <v>1.4</v>
      </c>
      <c r="O265">
        <v>2.8</v>
      </c>
      <c r="P265">
        <v>19</v>
      </c>
      <c r="Q265">
        <v>60.4</v>
      </c>
      <c r="R265">
        <v>20.5</v>
      </c>
      <c r="S265">
        <v>4.5999999999999996</v>
      </c>
      <c r="T265">
        <v>3.4</v>
      </c>
      <c r="U265">
        <v>92</v>
      </c>
    </row>
    <row r="266" spans="1:21" x14ac:dyDescent="0.2">
      <c r="A266" t="s">
        <v>277</v>
      </c>
      <c r="B266">
        <v>0.9</v>
      </c>
      <c r="C266">
        <v>55.9</v>
      </c>
      <c r="D266">
        <v>0.9</v>
      </c>
      <c r="E266">
        <v>1.6</v>
      </c>
      <c r="F266">
        <v>1</v>
      </c>
      <c r="G266">
        <v>2.9</v>
      </c>
      <c r="H266">
        <v>1.1000000000000001</v>
      </c>
      <c r="I266">
        <v>1.5</v>
      </c>
      <c r="J266">
        <v>1.1000000000000001</v>
      </c>
      <c r="K266">
        <v>33.200000000000003</v>
      </c>
      <c r="L266">
        <v>1.5</v>
      </c>
      <c r="M266">
        <v>94.4</v>
      </c>
      <c r="N266">
        <v>1.4</v>
      </c>
      <c r="O266">
        <v>2.7</v>
      </c>
      <c r="P266">
        <v>19.2</v>
      </c>
      <c r="Q266">
        <v>58.4</v>
      </c>
      <c r="R266">
        <v>22.4</v>
      </c>
      <c r="S266">
        <v>4.3</v>
      </c>
      <c r="T266">
        <v>2.9</v>
      </c>
      <c r="U266">
        <v>92.8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W254"/>
  <sheetViews>
    <sheetView workbookViewId="0"/>
  </sheetViews>
  <sheetFormatPr defaultRowHeight="12.75" x14ac:dyDescent="0.2"/>
  <sheetData>
    <row r="1" spans="1:23" x14ac:dyDescent="0.2">
      <c r="A1" s="6" t="s">
        <v>282</v>
      </c>
      <c r="G1" s="6" t="s">
        <v>311</v>
      </c>
      <c r="N1" s="6" t="s">
        <v>324</v>
      </c>
      <c r="T1" s="6" t="s">
        <v>329</v>
      </c>
    </row>
    <row r="2" spans="1:23" x14ac:dyDescent="0.2">
      <c r="A2" s="7"/>
      <c r="G2" s="7"/>
      <c r="N2" s="7"/>
      <c r="T2" s="7"/>
    </row>
    <row r="3" spans="1:23" ht="13.5" x14ac:dyDescent="0.2">
      <c r="A3" s="8" t="s">
        <v>283</v>
      </c>
      <c r="G3" s="8" t="s">
        <v>312</v>
      </c>
      <c r="N3" s="8" t="s">
        <v>283</v>
      </c>
      <c r="T3" s="8" t="s">
        <v>312</v>
      </c>
    </row>
    <row r="4" spans="1:23" x14ac:dyDescent="0.2">
      <c r="A4" s="7"/>
      <c r="G4" s="7"/>
      <c r="N4" s="7"/>
      <c r="T4" s="7"/>
    </row>
    <row r="6" spans="1:23" x14ac:dyDescent="0.2">
      <c r="A6" s="10"/>
      <c r="B6" s="9"/>
      <c r="C6" s="9"/>
      <c r="D6" s="9"/>
      <c r="G6" s="10"/>
      <c r="H6" s="9"/>
      <c r="I6" s="9"/>
      <c r="J6" s="9"/>
      <c r="N6" s="10"/>
      <c r="O6" s="9"/>
      <c r="P6" s="9"/>
      <c r="Q6" s="9"/>
      <c r="T6" s="10"/>
      <c r="U6" s="9"/>
      <c r="V6" s="9"/>
      <c r="W6" s="9"/>
    </row>
    <row r="7" spans="1:23" x14ac:dyDescent="0.2">
      <c r="A7" s="10"/>
      <c r="B7" s="9"/>
      <c r="C7" s="9"/>
      <c r="D7" s="9"/>
      <c r="G7" s="10"/>
      <c r="H7" s="9"/>
      <c r="I7" s="9"/>
      <c r="J7" s="9"/>
      <c r="N7" s="10"/>
      <c r="O7" s="9"/>
      <c r="P7" s="9"/>
      <c r="Q7" s="9"/>
      <c r="T7" s="10"/>
      <c r="U7" s="9"/>
      <c r="V7" s="9"/>
      <c r="W7" s="9"/>
    </row>
    <row r="8" spans="1:23" ht="15" x14ac:dyDescent="0.2">
      <c r="A8" s="11" t="s">
        <v>284</v>
      </c>
      <c r="B8" s="9"/>
      <c r="C8" s="9"/>
      <c r="D8" s="9"/>
      <c r="G8" s="11" t="s">
        <v>313</v>
      </c>
      <c r="H8" s="9"/>
      <c r="I8" s="9"/>
      <c r="J8" s="9"/>
      <c r="N8" s="11" t="s">
        <v>325</v>
      </c>
      <c r="O8" s="9"/>
      <c r="P8" s="9"/>
      <c r="Q8" s="9"/>
      <c r="T8" s="11" t="s">
        <v>330</v>
      </c>
      <c r="U8" s="9"/>
      <c r="V8" s="9"/>
      <c r="W8" s="9"/>
    </row>
    <row r="9" spans="1:23" ht="15" x14ac:dyDescent="0.2">
      <c r="A9" s="12" t="s">
        <v>285</v>
      </c>
      <c r="B9" s="9"/>
      <c r="C9" s="9"/>
      <c r="D9" s="9"/>
      <c r="G9" s="12" t="s">
        <v>314</v>
      </c>
      <c r="H9" s="9"/>
      <c r="I9" s="9"/>
      <c r="J9" s="9"/>
      <c r="N9" s="12" t="s">
        <v>285</v>
      </c>
      <c r="O9" s="9"/>
      <c r="P9" s="9"/>
      <c r="Q9" s="9"/>
      <c r="T9" s="12" t="s">
        <v>314</v>
      </c>
      <c r="U9" s="9"/>
      <c r="V9" s="9"/>
      <c r="W9" s="9"/>
    </row>
    <row r="10" spans="1:23" ht="15" x14ac:dyDescent="0.2">
      <c r="A10" s="11" t="s">
        <v>286</v>
      </c>
      <c r="B10" s="9"/>
      <c r="C10" s="9"/>
      <c r="D10" s="9"/>
      <c r="G10" s="11" t="s">
        <v>315</v>
      </c>
      <c r="H10" s="9"/>
      <c r="I10" s="9"/>
      <c r="J10" s="9"/>
      <c r="N10" s="11" t="s">
        <v>286</v>
      </c>
      <c r="O10" s="9"/>
      <c r="P10" s="9"/>
      <c r="Q10" s="9"/>
      <c r="T10" s="11" t="s">
        <v>331</v>
      </c>
      <c r="U10" s="9"/>
      <c r="V10" s="9"/>
      <c r="W10" s="9"/>
    </row>
    <row r="11" spans="1:23" ht="15" x14ac:dyDescent="0.2">
      <c r="A11" s="11" t="s">
        <v>287</v>
      </c>
      <c r="B11" s="9"/>
      <c r="C11" s="9"/>
      <c r="D11" s="9"/>
      <c r="G11" s="11" t="s">
        <v>316</v>
      </c>
      <c r="H11" s="9"/>
      <c r="I11" s="9"/>
      <c r="J11" s="9"/>
      <c r="N11" s="11" t="s">
        <v>287</v>
      </c>
      <c r="O11" s="9"/>
      <c r="P11" s="9"/>
      <c r="Q11" s="9"/>
      <c r="T11" s="11" t="s">
        <v>332</v>
      </c>
      <c r="U11" s="9"/>
      <c r="V11" s="9"/>
      <c r="W11" s="9"/>
    </row>
    <row r="12" spans="1:23" ht="15" x14ac:dyDescent="0.2">
      <c r="A12" s="11" t="s">
        <v>288</v>
      </c>
      <c r="B12" s="9"/>
      <c r="C12" s="9"/>
      <c r="D12" s="9"/>
      <c r="G12" s="11" t="s">
        <v>317</v>
      </c>
      <c r="H12" s="9"/>
      <c r="I12" s="9"/>
      <c r="J12" s="9"/>
      <c r="N12" s="11" t="s">
        <v>326</v>
      </c>
      <c r="O12" s="9"/>
      <c r="P12" s="9"/>
      <c r="Q12" s="9"/>
      <c r="T12" s="11" t="s">
        <v>333</v>
      </c>
      <c r="U12" s="9"/>
      <c r="V12" s="9"/>
      <c r="W12" s="9"/>
    </row>
    <row r="13" spans="1:23" ht="15.75" thickBot="1" x14ac:dyDescent="0.25">
      <c r="A13" s="11" t="s">
        <v>289</v>
      </c>
      <c r="B13" s="9"/>
      <c r="C13" s="9"/>
      <c r="D13" s="9"/>
      <c r="G13" s="11" t="s">
        <v>318</v>
      </c>
      <c r="H13" s="9"/>
      <c r="I13" s="9"/>
      <c r="J13" s="9"/>
      <c r="N13" s="11" t="s">
        <v>327</v>
      </c>
      <c r="O13" s="9"/>
      <c r="P13" s="9"/>
      <c r="Q13" s="9"/>
      <c r="T13" s="11" t="s">
        <v>318</v>
      </c>
      <c r="U13" s="9"/>
      <c r="V13" s="9"/>
      <c r="W13" s="9"/>
    </row>
    <row r="14" spans="1:23" ht="13.5" thickBot="1" x14ac:dyDescent="0.25">
      <c r="A14" s="13"/>
      <c r="B14" s="9"/>
      <c r="C14" s="9"/>
      <c r="D14" s="9"/>
      <c r="G14" s="13"/>
      <c r="H14" s="9"/>
      <c r="I14" s="9"/>
      <c r="J14" s="9"/>
      <c r="N14" s="13"/>
      <c r="O14" s="9"/>
      <c r="P14" s="9"/>
      <c r="Q14" s="9"/>
      <c r="T14" s="13"/>
      <c r="U14" s="9"/>
      <c r="V14" s="9"/>
      <c r="W14" s="9"/>
    </row>
    <row r="15" spans="1:23" ht="13.5" thickBot="1" x14ac:dyDescent="0.25">
      <c r="A15" s="13"/>
      <c r="B15" s="9"/>
      <c r="C15" s="9"/>
      <c r="D15" s="9"/>
      <c r="G15" s="13"/>
      <c r="H15" s="9"/>
      <c r="I15" s="9"/>
      <c r="J15" s="9"/>
      <c r="N15" s="13"/>
      <c r="O15" s="9"/>
      <c r="P15" s="9"/>
      <c r="Q15" s="9"/>
      <c r="T15" s="13"/>
      <c r="U15" s="9"/>
      <c r="V15" s="9"/>
      <c r="W15" s="9"/>
    </row>
    <row r="16" spans="1:23" ht="13.5" thickBot="1" x14ac:dyDescent="0.25">
      <c r="A16" s="13" t="s">
        <v>290</v>
      </c>
      <c r="B16" s="9"/>
      <c r="C16" s="9"/>
      <c r="D16" s="9"/>
      <c r="G16" s="13" t="s">
        <v>290</v>
      </c>
      <c r="H16" s="9"/>
      <c r="I16" s="9"/>
      <c r="J16" s="9"/>
      <c r="N16" s="13" t="s">
        <v>290</v>
      </c>
      <c r="O16" s="9"/>
      <c r="P16" s="9"/>
      <c r="Q16" s="9"/>
      <c r="T16" s="13" t="s">
        <v>290</v>
      </c>
      <c r="U16" s="9"/>
      <c r="V16" s="9"/>
      <c r="W16" s="9"/>
    </row>
    <row r="17" spans="1:23" ht="13.5" thickBot="1" x14ac:dyDescent="0.25">
      <c r="A17" s="13"/>
      <c r="B17" s="9"/>
      <c r="C17" s="9"/>
      <c r="D17" s="9"/>
      <c r="G17" s="13"/>
      <c r="H17" s="9"/>
      <c r="I17" s="9"/>
      <c r="J17" s="9"/>
      <c r="N17" s="13"/>
      <c r="O17" s="9"/>
      <c r="P17" s="9"/>
      <c r="Q17" s="9"/>
      <c r="T17" s="13"/>
      <c r="U17" s="9"/>
      <c r="V17" s="9"/>
      <c r="W17" s="9"/>
    </row>
    <row r="18" spans="1:23" ht="13.5" thickBot="1" x14ac:dyDescent="0.25">
      <c r="A18" s="16" t="s">
        <v>291</v>
      </c>
      <c r="B18" s="17" t="s">
        <v>292</v>
      </c>
      <c r="C18" s="17" t="s">
        <v>293</v>
      </c>
      <c r="D18" s="18" t="s">
        <v>294</v>
      </c>
      <c r="G18" s="16" t="s">
        <v>319</v>
      </c>
      <c r="H18" s="17" t="s">
        <v>292</v>
      </c>
      <c r="I18" s="17" t="s">
        <v>293</v>
      </c>
      <c r="J18" s="18" t="s">
        <v>294</v>
      </c>
      <c r="N18" s="16" t="s">
        <v>291</v>
      </c>
      <c r="O18" s="17" t="s">
        <v>292</v>
      </c>
      <c r="P18" s="17" t="s">
        <v>293</v>
      </c>
      <c r="Q18" s="18" t="s">
        <v>294</v>
      </c>
      <c r="T18" s="16" t="s">
        <v>319</v>
      </c>
      <c r="U18" s="17" t="s">
        <v>292</v>
      </c>
      <c r="V18" s="17" t="s">
        <v>293</v>
      </c>
      <c r="W18" s="18" t="s">
        <v>294</v>
      </c>
    </row>
    <row r="19" spans="1:23" ht="13.5" thickBot="1" x14ac:dyDescent="0.25">
      <c r="A19" s="19" t="s">
        <v>295</v>
      </c>
      <c r="B19" s="14">
        <v>2000</v>
      </c>
      <c r="C19" s="14" t="s">
        <v>296</v>
      </c>
      <c r="D19" s="20">
        <v>2.2999999999999998</v>
      </c>
      <c r="G19" s="19" t="s">
        <v>320</v>
      </c>
      <c r="H19" s="14">
        <v>1994</v>
      </c>
      <c r="I19" s="14" t="s">
        <v>297</v>
      </c>
      <c r="J19" s="20">
        <v>6.6</v>
      </c>
      <c r="N19" s="19" t="s">
        <v>328</v>
      </c>
      <c r="O19" s="14">
        <v>2000</v>
      </c>
      <c r="P19" s="14" t="s">
        <v>296</v>
      </c>
      <c r="Q19" s="20">
        <v>5191</v>
      </c>
      <c r="T19" s="19" t="s">
        <v>334</v>
      </c>
      <c r="U19" s="14">
        <v>2000</v>
      </c>
      <c r="V19" s="14" t="s">
        <v>297</v>
      </c>
      <c r="W19" s="20">
        <v>142267</v>
      </c>
    </row>
    <row r="20" spans="1:23" ht="13.5" thickBot="1" x14ac:dyDescent="0.25">
      <c r="A20" s="21" t="s">
        <v>295</v>
      </c>
      <c r="B20" s="15">
        <v>2001</v>
      </c>
      <c r="C20" s="15" t="s">
        <v>297</v>
      </c>
      <c r="D20" s="22">
        <v>2.5</v>
      </c>
      <c r="G20" s="21" t="s">
        <v>320</v>
      </c>
      <c r="H20" s="15">
        <v>1994</v>
      </c>
      <c r="I20" s="15" t="s">
        <v>298</v>
      </c>
      <c r="J20" s="22">
        <v>6.6</v>
      </c>
      <c r="N20" s="21" t="s">
        <v>328</v>
      </c>
      <c r="O20" s="15">
        <v>2001</v>
      </c>
      <c r="P20" s="15" t="s">
        <v>297</v>
      </c>
      <c r="Q20" s="22">
        <v>5186</v>
      </c>
      <c r="T20" s="21" t="s">
        <v>334</v>
      </c>
      <c r="U20" s="15">
        <v>2000</v>
      </c>
      <c r="V20" s="15" t="s">
        <v>298</v>
      </c>
      <c r="W20" s="22">
        <v>142456</v>
      </c>
    </row>
    <row r="21" spans="1:23" ht="13.5" thickBot="1" x14ac:dyDescent="0.25">
      <c r="A21" s="19" t="s">
        <v>295</v>
      </c>
      <c r="B21" s="14">
        <v>2001</v>
      </c>
      <c r="C21" s="14" t="s">
        <v>298</v>
      </c>
      <c r="D21" s="20">
        <v>2.5</v>
      </c>
      <c r="G21" s="19" t="s">
        <v>320</v>
      </c>
      <c r="H21" s="14">
        <v>1994</v>
      </c>
      <c r="I21" s="14" t="s">
        <v>299</v>
      </c>
      <c r="J21" s="20">
        <v>6.5</v>
      </c>
      <c r="N21" s="19" t="s">
        <v>328</v>
      </c>
      <c r="O21" s="14">
        <v>2001</v>
      </c>
      <c r="P21" s="14" t="s">
        <v>298</v>
      </c>
      <c r="Q21" s="20">
        <v>4702</v>
      </c>
      <c r="T21" s="19" t="s">
        <v>334</v>
      </c>
      <c r="U21" s="14">
        <v>2000</v>
      </c>
      <c r="V21" s="14" t="s">
        <v>299</v>
      </c>
      <c r="W21" s="20">
        <v>142434</v>
      </c>
    </row>
    <row r="22" spans="1:23" ht="13.5" thickBot="1" x14ac:dyDescent="0.25">
      <c r="A22" s="21" t="s">
        <v>295</v>
      </c>
      <c r="B22" s="15">
        <v>2001</v>
      </c>
      <c r="C22" s="15" t="s">
        <v>299</v>
      </c>
      <c r="D22" s="22">
        <v>2.4</v>
      </c>
      <c r="G22" s="21" t="s">
        <v>320</v>
      </c>
      <c r="H22" s="15">
        <v>1994</v>
      </c>
      <c r="I22" s="15" t="s">
        <v>300</v>
      </c>
      <c r="J22" s="22">
        <v>6.4</v>
      </c>
      <c r="N22" s="21" t="s">
        <v>328</v>
      </c>
      <c r="O22" s="15">
        <v>2001</v>
      </c>
      <c r="P22" s="15" t="s">
        <v>299</v>
      </c>
      <c r="Q22" s="22">
        <v>4774</v>
      </c>
      <c r="T22" s="21" t="s">
        <v>334</v>
      </c>
      <c r="U22" s="15">
        <v>2000</v>
      </c>
      <c r="V22" s="15" t="s">
        <v>300</v>
      </c>
      <c r="W22" s="22">
        <v>142751</v>
      </c>
    </row>
    <row r="23" spans="1:23" ht="13.5" thickBot="1" x14ac:dyDescent="0.25">
      <c r="A23" s="19" t="s">
        <v>295</v>
      </c>
      <c r="B23" s="14">
        <v>2001</v>
      </c>
      <c r="C23" s="14" t="s">
        <v>300</v>
      </c>
      <c r="D23" s="20">
        <v>2.4</v>
      </c>
      <c r="G23" s="19" t="s">
        <v>320</v>
      </c>
      <c r="H23" s="14">
        <v>1994</v>
      </c>
      <c r="I23" s="14" t="s">
        <v>301</v>
      </c>
      <c r="J23" s="20">
        <v>6.1</v>
      </c>
      <c r="N23" s="19" t="s">
        <v>328</v>
      </c>
      <c r="O23" s="14">
        <v>2001</v>
      </c>
      <c r="P23" s="14" t="s">
        <v>300</v>
      </c>
      <c r="Q23" s="20">
        <v>4653</v>
      </c>
      <c r="T23" s="19" t="s">
        <v>334</v>
      </c>
      <c r="U23" s="14">
        <v>2000</v>
      </c>
      <c r="V23" s="14" t="s">
        <v>301</v>
      </c>
      <c r="W23" s="20">
        <v>142388</v>
      </c>
    </row>
    <row r="24" spans="1:23" ht="13.5" thickBot="1" x14ac:dyDescent="0.25">
      <c r="A24" s="21" t="s">
        <v>295</v>
      </c>
      <c r="B24" s="15">
        <v>2001</v>
      </c>
      <c r="C24" s="15" t="s">
        <v>301</v>
      </c>
      <c r="D24" s="22">
        <v>2.2999999999999998</v>
      </c>
      <c r="G24" s="21" t="s">
        <v>320</v>
      </c>
      <c r="H24" s="15">
        <v>1994</v>
      </c>
      <c r="I24" s="15" t="s">
        <v>302</v>
      </c>
      <c r="J24" s="22">
        <v>6.1</v>
      </c>
      <c r="N24" s="21" t="s">
        <v>328</v>
      </c>
      <c r="O24" s="15">
        <v>2001</v>
      </c>
      <c r="P24" s="15" t="s">
        <v>301</v>
      </c>
      <c r="Q24" s="22">
        <v>4452</v>
      </c>
      <c r="T24" s="21" t="s">
        <v>334</v>
      </c>
      <c r="U24" s="15">
        <v>2000</v>
      </c>
      <c r="V24" s="15" t="s">
        <v>302</v>
      </c>
      <c r="W24" s="22">
        <v>142591</v>
      </c>
    </row>
    <row r="25" spans="1:23" ht="13.5" thickBot="1" x14ac:dyDescent="0.25">
      <c r="A25" s="19" t="s">
        <v>295</v>
      </c>
      <c r="B25" s="14">
        <v>2001</v>
      </c>
      <c r="C25" s="14" t="s">
        <v>302</v>
      </c>
      <c r="D25" s="20">
        <v>2.2000000000000002</v>
      </c>
      <c r="G25" s="19" t="s">
        <v>320</v>
      </c>
      <c r="H25" s="14">
        <v>1994</v>
      </c>
      <c r="I25" s="14" t="s">
        <v>303</v>
      </c>
      <c r="J25" s="20">
        <v>6.1</v>
      </c>
      <c r="N25" s="19" t="s">
        <v>328</v>
      </c>
      <c r="O25" s="14">
        <v>2001</v>
      </c>
      <c r="P25" s="14" t="s">
        <v>302</v>
      </c>
      <c r="Q25" s="20">
        <v>4337</v>
      </c>
      <c r="T25" s="19" t="s">
        <v>334</v>
      </c>
      <c r="U25" s="14">
        <v>2000</v>
      </c>
      <c r="V25" s="14" t="s">
        <v>303</v>
      </c>
      <c r="W25" s="20">
        <v>142278</v>
      </c>
    </row>
    <row r="26" spans="1:23" ht="13.5" thickBot="1" x14ac:dyDescent="0.25">
      <c r="A26" s="21" t="s">
        <v>295</v>
      </c>
      <c r="B26" s="15">
        <v>2001</v>
      </c>
      <c r="C26" s="15" t="s">
        <v>303</v>
      </c>
      <c r="D26" s="22">
        <v>2.2000000000000002</v>
      </c>
      <c r="G26" s="21" t="s">
        <v>320</v>
      </c>
      <c r="H26" s="15">
        <v>1994</v>
      </c>
      <c r="I26" s="15" t="s">
        <v>304</v>
      </c>
      <c r="J26" s="22">
        <v>6</v>
      </c>
      <c r="N26" s="21" t="s">
        <v>328</v>
      </c>
      <c r="O26" s="15">
        <v>2001</v>
      </c>
      <c r="P26" s="15" t="s">
        <v>303</v>
      </c>
      <c r="Q26" s="22">
        <v>4231</v>
      </c>
      <c r="T26" s="21" t="s">
        <v>334</v>
      </c>
      <c r="U26" s="15">
        <v>2000</v>
      </c>
      <c r="V26" s="15" t="s">
        <v>304</v>
      </c>
      <c r="W26" s="22">
        <v>142514</v>
      </c>
    </row>
    <row r="27" spans="1:23" ht="13.5" thickBot="1" x14ac:dyDescent="0.25">
      <c r="A27" s="19" t="s">
        <v>295</v>
      </c>
      <c r="B27" s="14">
        <v>2001</v>
      </c>
      <c r="C27" s="14" t="s">
        <v>304</v>
      </c>
      <c r="D27" s="20">
        <v>2.2000000000000002</v>
      </c>
      <c r="G27" s="19" t="s">
        <v>320</v>
      </c>
      <c r="H27" s="14">
        <v>1994</v>
      </c>
      <c r="I27" s="14" t="s">
        <v>305</v>
      </c>
      <c r="J27" s="20">
        <v>5.9</v>
      </c>
      <c r="N27" s="19" t="s">
        <v>328</v>
      </c>
      <c r="O27" s="14">
        <v>2001</v>
      </c>
      <c r="P27" s="14" t="s">
        <v>304</v>
      </c>
      <c r="Q27" s="20">
        <v>4139</v>
      </c>
      <c r="T27" s="19" t="s">
        <v>334</v>
      </c>
      <c r="U27" s="14">
        <v>2000</v>
      </c>
      <c r="V27" s="14" t="s">
        <v>305</v>
      </c>
      <c r="W27" s="20">
        <v>142518</v>
      </c>
    </row>
    <row r="28" spans="1:23" ht="13.5" thickBot="1" x14ac:dyDescent="0.25">
      <c r="A28" s="21" t="s">
        <v>295</v>
      </c>
      <c r="B28" s="15">
        <v>2001</v>
      </c>
      <c r="C28" s="15" t="s">
        <v>305</v>
      </c>
      <c r="D28" s="22">
        <v>2.1</v>
      </c>
      <c r="G28" s="21" t="s">
        <v>320</v>
      </c>
      <c r="H28" s="15">
        <v>1994</v>
      </c>
      <c r="I28" s="15" t="s">
        <v>306</v>
      </c>
      <c r="J28" s="22">
        <v>5.8</v>
      </c>
      <c r="N28" s="21" t="s">
        <v>328</v>
      </c>
      <c r="O28" s="15">
        <v>2001</v>
      </c>
      <c r="P28" s="15" t="s">
        <v>305</v>
      </c>
      <c r="Q28" s="22">
        <v>4006</v>
      </c>
      <c r="T28" s="21" t="s">
        <v>334</v>
      </c>
      <c r="U28" s="15">
        <v>2000</v>
      </c>
      <c r="V28" s="15" t="s">
        <v>306</v>
      </c>
      <c r="W28" s="22">
        <v>142622</v>
      </c>
    </row>
    <row r="29" spans="1:23" ht="13.5" thickBot="1" x14ac:dyDescent="0.25">
      <c r="A29" s="19" t="s">
        <v>295</v>
      </c>
      <c r="B29" s="14">
        <v>2001</v>
      </c>
      <c r="C29" s="14" t="s">
        <v>306</v>
      </c>
      <c r="D29" s="20">
        <v>2.2000000000000002</v>
      </c>
      <c r="G29" s="19" t="s">
        <v>320</v>
      </c>
      <c r="H29" s="14">
        <v>1994</v>
      </c>
      <c r="I29" s="14" t="s">
        <v>307</v>
      </c>
      <c r="J29" s="20">
        <v>5.6</v>
      </c>
      <c r="N29" s="19" t="s">
        <v>328</v>
      </c>
      <c r="O29" s="14">
        <v>2001</v>
      </c>
      <c r="P29" s="14" t="s">
        <v>306</v>
      </c>
      <c r="Q29" s="20">
        <v>3583</v>
      </c>
      <c r="T29" s="19" t="s">
        <v>334</v>
      </c>
      <c r="U29" s="14">
        <v>2000</v>
      </c>
      <c r="V29" s="14" t="s">
        <v>307</v>
      </c>
      <c r="W29" s="20">
        <v>142962</v>
      </c>
    </row>
    <row r="30" spans="1:23" ht="13.5" thickBot="1" x14ac:dyDescent="0.25">
      <c r="A30" s="21" t="s">
        <v>295</v>
      </c>
      <c r="B30" s="15">
        <v>2001</v>
      </c>
      <c r="C30" s="15" t="s">
        <v>307</v>
      </c>
      <c r="D30" s="22">
        <v>2</v>
      </c>
      <c r="G30" s="21" t="s">
        <v>320</v>
      </c>
      <c r="H30" s="15">
        <v>1994</v>
      </c>
      <c r="I30" s="15" t="s">
        <v>296</v>
      </c>
      <c r="J30" s="22">
        <v>5.5</v>
      </c>
      <c r="N30" s="21" t="s">
        <v>328</v>
      </c>
      <c r="O30" s="15">
        <v>2001</v>
      </c>
      <c r="P30" s="15" t="s">
        <v>307</v>
      </c>
      <c r="Q30" s="22">
        <v>3538</v>
      </c>
      <c r="T30" s="21" t="s">
        <v>334</v>
      </c>
      <c r="U30" s="15">
        <v>2000</v>
      </c>
      <c r="V30" s="15" t="s">
        <v>296</v>
      </c>
      <c r="W30" s="22">
        <v>143248</v>
      </c>
    </row>
    <row r="31" spans="1:23" ht="13.5" thickBot="1" x14ac:dyDescent="0.25">
      <c r="A31" s="19" t="s">
        <v>295</v>
      </c>
      <c r="B31" s="14">
        <v>2001</v>
      </c>
      <c r="C31" s="14" t="s">
        <v>296</v>
      </c>
      <c r="D31" s="20">
        <v>2</v>
      </c>
      <c r="G31" s="19" t="s">
        <v>320</v>
      </c>
      <c r="H31" s="14">
        <v>1995</v>
      </c>
      <c r="I31" s="14" t="s">
        <v>297</v>
      </c>
      <c r="J31" s="20">
        <v>5.6</v>
      </c>
      <c r="N31" s="19" t="s">
        <v>328</v>
      </c>
      <c r="O31" s="14">
        <v>2001</v>
      </c>
      <c r="P31" s="14" t="s">
        <v>296</v>
      </c>
      <c r="Q31" s="20">
        <v>3559</v>
      </c>
      <c r="T31" s="19" t="s">
        <v>334</v>
      </c>
      <c r="U31" s="14">
        <v>2001</v>
      </c>
      <c r="V31" s="14" t="s">
        <v>297</v>
      </c>
      <c r="W31" s="20">
        <v>143800</v>
      </c>
    </row>
    <row r="32" spans="1:23" ht="13.5" thickBot="1" x14ac:dyDescent="0.25">
      <c r="A32" s="21" t="s">
        <v>295</v>
      </c>
      <c r="B32" s="15">
        <v>2002</v>
      </c>
      <c r="C32" s="15" t="s">
        <v>297</v>
      </c>
      <c r="D32" s="22">
        <v>2.2000000000000002</v>
      </c>
      <c r="G32" s="21" t="s">
        <v>320</v>
      </c>
      <c r="H32" s="15">
        <v>1995</v>
      </c>
      <c r="I32" s="15" t="s">
        <v>298</v>
      </c>
      <c r="J32" s="22">
        <v>5.4</v>
      </c>
      <c r="N32" s="21" t="s">
        <v>328</v>
      </c>
      <c r="O32" s="15">
        <v>2002</v>
      </c>
      <c r="P32" s="15" t="s">
        <v>297</v>
      </c>
      <c r="Q32" s="22">
        <v>3572</v>
      </c>
      <c r="T32" s="21" t="s">
        <v>334</v>
      </c>
      <c r="U32" s="15">
        <v>2001</v>
      </c>
      <c r="V32" s="15" t="s">
        <v>298</v>
      </c>
      <c r="W32" s="22">
        <v>143701</v>
      </c>
    </row>
    <row r="33" spans="1:23" ht="13.5" thickBot="1" x14ac:dyDescent="0.25">
      <c r="A33" s="19" t="s">
        <v>295</v>
      </c>
      <c r="B33" s="14">
        <v>2002</v>
      </c>
      <c r="C33" s="14" t="s">
        <v>298</v>
      </c>
      <c r="D33" s="20">
        <v>2.1</v>
      </c>
      <c r="G33" s="19" t="s">
        <v>320</v>
      </c>
      <c r="H33" s="14">
        <v>1995</v>
      </c>
      <c r="I33" s="14" t="s">
        <v>299</v>
      </c>
      <c r="J33" s="20">
        <v>5.4</v>
      </c>
      <c r="N33" s="19" t="s">
        <v>328</v>
      </c>
      <c r="O33" s="14">
        <v>2002</v>
      </c>
      <c r="P33" s="14" t="s">
        <v>298</v>
      </c>
      <c r="Q33" s="20">
        <v>3370</v>
      </c>
      <c r="T33" s="19" t="s">
        <v>334</v>
      </c>
      <c r="U33" s="14">
        <v>2001</v>
      </c>
      <c r="V33" s="14" t="s">
        <v>299</v>
      </c>
      <c r="W33" s="20">
        <v>143924</v>
      </c>
    </row>
    <row r="34" spans="1:23" ht="13.5" thickBot="1" x14ac:dyDescent="0.25">
      <c r="A34" s="21" t="s">
        <v>295</v>
      </c>
      <c r="B34" s="15">
        <v>2002</v>
      </c>
      <c r="C34" s="15" t="s">
        <v>299</v>
      </c>
      <c r="D34" s="22">
        <v>2</v>
      </c>
      <c r="G34" s="21" t="s">
        <v>320</v>
      </c>
      <c r="H34" s="15">
        <v>1995</v>
      </c>
      <c r="I34" s="15" t="s">
        <v>300</v>
      </c>
      <c r="J34" s="22">
        <v>5.8</v>
      </c>
      <c r="N34" s="21" t="s">
        <v>328</v>
      </c>
      <c r="O34" s="15">
        <v>2002</v>
      </c>
      <c r="P34" s="15" t="s">
        <v>299</v>
      </c>
      <c r="Q34" s="22">
        <v>3560</v>
      </c>
      <c r="T34" s="21" t="s">
        <v>334</v>
      </c>
      <c r="U34" s="15">
        <v>2001</v>
      </c>
      <c r="V34" s="15" t="s">
        <v>300</v>
      </c>
      <c r="W34" s="22">
        <v>143569</v>
      </c>
    </row>
    <row r="35" spans="1:23" ht="13.5" thickBot="1" x14ac:dyDescent="0.25">
      <c r="A35" s="19" t="s">
        <v>295</v>
      </c>
      <c r="B35" s="14">
        <v>2002</v>
      </c>
      <c r="C35" s="14" t="s">
        <v>300</v>
      </c>
      <c r="D35" s="20">
        <v>2.1</v>
      </c>
      <c r="G35" s="19" t="s">
        <v>320</v>
      </c>
      <c r="H35" s="14">
        <v>1995</v>
      </c>
      <c r="I35" s="14" t="s">
        <v>301</v>
      </c>
      <c r="J35" s="20">
        <v>5.6</v>
      </c>
      <c r="N35" s="19" t="s">
        <v>328</v>
      </c>
      <c r="O35" s="14">
        <v>2002</v>
      </c>
      <c r="P35" s="14" t="s">
        <v>300</v>
      </c>
      <c r="Q35" s="20">
        <v>3373</v>
      </c>
      <c r="T35" s="19" t="s">
        <v>334</v>
      </c>
      <c r="U35" s="14">
        <v>2001</v>
      </c>
      <c r="V35" s="14" t="s">
        <v>301</v>
      </c>
      <c r="W35" s="20">
        <v>143318</v>
      </c>
    </row>
    <row r="36" spans="1:23" ht="13.5" thickBot="1" x14ac:dyDescent="0.25">
      <c r="A36" s="21" t="s">
        <v>295</v>
      </c>
      <c r="B36" s="15">
        <v>2002</v>
      </c>
      <c r="C36" s="15" t="s">
        <v>301</v>
      </c>
      <c r="D36" s="22">
        <v>2</v>
      </c>
      <c r="G36" s="21" t="s">
        <v>320</v>
      </c>
      <c r="H36" s="15">
        <v>1995</v>
      </c>
      <c r="I36" s="15" t="s">
        <v>302</v>
      </c>
      <c r="J36" s="22">
        <v>5.6</v>
      </c>
      <c r="N36" s="21" t="s">
        <v>328</v>
      </c>
      <c r="O36" s="15">
        <v>2002</v>
      </c>
      <c r="P36" s="15" t="s">
        <v>301</v>
      </c>
      <c r="Q36" s="22">
        <v>3482</v>
      </c>
      <c r="T36" s="21" t="s">
        <v>334</v>
      </c>
      <c r="U36" s="15">
        <v>2001</v>
      </c>
      <c r="V36" s="15" t="s">
        <v>302</v>
      </c>
      <c r="W36" s="22">
        <v>143357</v>
      </c>
    </row>
    <row r="37" spans="1:23" ht="13.5" thickBot="1" x14ac:dyDescent="0.25">
      <c r="A37" s="19" t="s">
        <v>295</v>
      </c>
      <c r="B37" s="14">
        <v>2002</v>
      </c>
      <c r="C37" s="14" t="s">
        <v>302</v>
      </c>
      <c r="D37" s="20">
        <v>2</v>
      </c>
      <c r="G37" s="19" t="s">
        <v>320</v>
      </c>
      <c r="H37" s="14">
        <v>1995</v>
      </c>
      <c r="I37" s="14" t="s">
        <v>303</v>
      </c>
      <c r="J37" s="20">
        <v>5.7</v>
      </c>
      <c r="N37" s="19" t="s">
        <v>328</v>
      </c>
      <c r="O37" s="14">
        <v>2002</v>
      </c>
      <c r="P37" s="14" t="s">
        <v>302</v>
      </c>
      <c r="Q37" s="20">
        <v>3251</v>
      </c>
      <c r="T37" s="19" t="s">
        <v>334</v>
      </c>
      <c r="U37" s="14">
        <v>2001</v>
      </c>
      <c r="V37" s="14" t="s">
        <v>303</v>
      </c>
      <c r="W37" s="20">
        <v>143654</v>
      </c>
    </row>
    <row r="38" spans="1:23" ht="13.5" thickBot="1" x14ac:dyDescent="0.25">
      <c r="A38" s="21" t="s">
        <v>295</v>
      </c>
      <c r="B38" s="15">
        <v>2002</v>
      </c>
      <c r="C38" s="15" t="s">
        <v>303</v>
      </c>
      <c r="D38" s="22">
        <v>2</v>
      </c>
      <c r="G38" s="21" t="s">
        <v>320</v>
      </c>
      <c r="H38" s="15">
        <v>1995</v>
      </c>
      <c r="I38" s="15" t="s">
        <v>304</v>
      </c>
      <c r="J38" s="22">
        <v>5.7</v>
      </c>
      <c r="N38" s="21" t="s">
        <v>328</v>
      </c>
      <c r="O38" s="15">
        <v>2002</v>
      </c>
      <c r="P38" s="15" t="s">
        <v>303</v>
      </c>
      <c r="Q38" s="22">
        <v>3403</v>
      </c>
      <c r="T38" s="21" t="s">
        <v>334</v>
      </c>
      <c r="U38" s="15">
        <v>2001</v>
      </c>
      <c r="V38" s="15" t="s">
        <v>304</v>
      </c>
      <c r="W38" s="22">
        <v>143284</v>
      </c>
    </row>
    <row r="39" spans="1:23" ht="13.5" thickBot="1" x14ac:dyDescent="0.25">
      <c r="A39" s="19" t="s">
        <v>295</v>
      </c>
      <c r="B39" s="14">
        <v>2002</v>
      </c>
      <c r="C39" s="14" t="s">
        <v>304</v>
      </c>
      <c r="D39" s="20">
        <v>2</v>
      </c>
      <c r="G39" s="19" t="s">
        <v>320</v>
      </c>
      <c r="H39" s="14">
        <v>1995</v>
      </c>
      <c r="I39" s="14" t="s">
        <v>305</v>
      </c>
      <c r="J39" s="20">
        <v>5.6</v>
      </c>
      <c r="N39" s="19" t="s">
        <v>328</v>
      </c>
      <c r="O39" s="14">
        <v>2002</v>
      </c>
      <c r="P39" s="14" t="s">
        <v>304</v>
      </c>
      <c r="Q39" s="20">
        <v>3415</v>
      </c>
      <c r="T39" s="19" t="s">
        <v>334</v>
      </c>
      <c r="U39" s="14">
        <v>2001</v>
      </c>
      <c r="V39" s="14" t="s">
        <v>305</v>
      </c>
      <c r="W39" s="20">
        <v>143989</v>
      </c>
    </row>
    <row r="40" spans="1:23" ht="13.5" thickBot="1" x14ac:dyDescent="0.25">
      <c r="A40" s="21" t="s">
        <v>295</v>
      </c>
      <c r="B40" s="15">
        <v>2002</v>
      </c>
      <c r="C40" s="15" t="s">
        <v>305</v>
      </c>
      <c r="D40" s="22">
        <v>2</v>
      </c>
      <c r="G40" s="21" t="s">
        <v>320</v>
      </c>
      <c r="H40" s="15">
        <v>1995</v>
      </c>
      <c r="I40" s="15" t="s">
        <v>306</v>
      </c>
      <c r="J40" s="22">
        <v>5.5</v>
      </c>
      <c r="N40" s="21" t="s">
        <v>328</v>
      </c>
      <c r="O40" s="15">
        <v>2002</v>
      </c>
      <c r="P40" s="15" t="s">
        <v>305</v>
      </c>
      <c r="Q40" s="22">
        <v>3290</v>
      </c>
      <c r="T40" s="21" t="s">
        <v>334</v>
      </c>
      <c r="U40" s="15">
        <v>2001</v>
      </c>
      <c r="V40" s="15" t="s">
        <v>306</v>
      </c>
      <c r="W40" s="22">
        <v>144086</v>
      </c>
    </row>
    <row r="41" spans="1:23" ht="13.5" thickBot="1" x14ac:dyDescent="0.25">
      <c r="A41" s="19" t="s">
        <v>295</v>
      </c>
      <c r="B41" s="14">
        <v>2002</v>
      </c>
      <c r="C41" s="14" t="s">
        <v>306</v>
      </c>
      <c r="D41" s="20">
        <v>2</v>
      </c>
      <c r="G41" s="19" t="s">
        <v>320</v>
      </c>
      <c r="H41" s="14">
        <v>1995</v>
      </c>
      <c r="I41" s="14" t="s">
        <v>307</v>
      </c>
      <c r="J41" s="20">
        <v>5.6</v>
      </c>
      <c r="N41" s="19" t="s">
        <v>328</v>
      </c>
      <c r="O41" s="14">
        <v>2002</v>
      </c>
      <c r="P41" s="14" t="s">
        <v>306</v>
      </c>
      <c r="Q41" s="20">
        <v>3560</v>
      </c>
      <c r="T41" s="19" t="s">
        <v>334</v>
      </c>
      <c r="U41" s="14">
        <v>2001</v>
      </c>
      <c r="V41" s="14" t="s">
        <v>307</v>
      </c>
      <c r="W41" s="20">
        <v>144240</v>
      </c>
    </row>
    <row r="42" spans="1:23" ht="13.5" thickBot="1" x14ac:dyDescent="0.25">
      <c r="A42" s="21" t="s">
        <v>295</v>
      </c>
      <c r="B42" s="15">
        <v>2002</v>
      </c>
      <c r="C42" s="15" t="s">
        <v>307</v>
      </c>
      <c r="D42" s="22">
        <v>1.9</v>
      </c>
      <c r="G42" s="21" t="s">
        <v>320</v>
      </c>
      <c r="H42" s="15">
        <v>1995</v>
      </c>
      <c r="I42" s="15" t="s">
        <v>296</v>
      </c>
      <c r="J42" s="22">
        <v>5.6</v>
      </c>
      <c r="N42" s="21" t="s">
        <v>328</v>
      </c>
      <c r="O42" s="15">
        <v>2002</v>
      </c>
      <c r="P42" s="15" t="s">
        <v>307</v>
      </c>
      <c r="Q42" s="22">
        <v>3513</v>
      </c>
      <c r="T42" s="21" t="s">
        <v>334</v>
      </c>
      <c r="U42" s="15">
        <v>2001</v>
      </c>
      <c r="V42" s="15" t="s">
        <v>296</v>
      </c>
      <c r="W42" s="22">
        <v>144305</v>
      </c>
    </row>
    <row r="43" spans="1:23" ht="13.5" thickBot="1" x14ac:dyDescent="0.25">
      <c r="A43" s="19" t="s">
        <v>295</v>
      </c>
      <c r="B43" s="14">
        <v>2002</v>
      </c>
      <c r="C43" s="14" t="s">
        <v>296</v>
      </c>
      <c r="D43" s="20">
        <v>2</v>
      </c>
      <c r="G43" s="19" t="s">
        <v>320</v>
      </c>
      <c r="H43" s="14">
        <v>1996</v>
      </c>
      <c r="I43" s="14" t="s">
        <v>297</v>
      </c>
      <c r="J43" s="20">
        <v>5.6</v>
      </c>
      <c r="N43" s="19" t="s">
        <v>328</v>
      </c>
      <c r="O43" s="14">
        <v>2002</v>
      </c>
      <c r="P43" s="14" t="s">
        <v>296</v>
      </c>
      <c r="Q43" s="20">
        <v>3056</v>
      </c>
      <c r="T43" s="19" t="s">
        <v>334</v>
      </c>
      <c r="U43" s="14">
        <v>2002</v>
      </c>
      <c r="V43" s="14" t="s">
        <v>297</v>
      </c>
      <c r="W43" s="20">
        <v>143883</v>
      </c>
    </row>
    <row r="44" spans="1:23" ht="13.5" thickBot="1" x14ac:dyDescent="0.25">
      <c r="A44" s="21" t="s">
        <v>295</v>
      </c>
      <c r="B44" s="15">
        <v>2003</v>
      </c>
      <c r="C44" s="15" t="s">
        <v>297</v>
      </c>
      <c r="D44" s="22">
        <v>1.9</v>
      </c>
      <c r="G44" s="21" t="s">
        <v>320</v>
      </c>
      <c r="H44" s="15">
        <v>1996</v>
      </c>
      <c r="I44" s="15" t="s">
        <v>298</v>
      </c>
      <c r="J44" s="22">
        <v>5.5</v>
      </c>
      <c r="N44" s="21" t="s">
        <v>328</v>
      </c>
      <c r="O44" s="15">
        <v>2003</v>
      </c>
      <c r="P44" s="15" t="s">
        <v>297</v>
      </c>
      <c r="Q44" s="22">
        <v>3618</v>
      </c>
      <c r="T44" s="21" t="s">
        <v>334</v>
      </c>
      <c r="U44" s="15">
        <v>2002</v>
      </c>
      <c r="V44" s="15" t="s">
        <v>298</v>
      </c>
      <c r="W44" s="22">
        <v>144653</v>
      </c>
    </row>
    <row r="45" spans="1:23" ht="13.5" thickBot="1" x14ac:dyDescent="0.25">
      <c r="A45" s="19" t="s">
        <v>295</v>
      </c>
      <c r="B45" s="14">
        <v>2003</v>
      </c>
      <c r="C45" s="14" t="s">
        <v>298</v>
      </c>
      <c r="D45" s="20">
        <v>1.9</v>
      </c>
      <c r="G45" s="19" t="s">
        <v>320</v>
      </c>
      <c r="H45" s="14">
        <v>1996</v>
      </c>
      <c r="I45" s="14" t="s">
        <v>299</v>
      </c>
      <c r="J45" s="20">
        <v>5.5</v>
      </c>
      <c r="N45" s="19" t="s">
        <v>328</v>
      </c>
      <c r="O45" s="14">
        <v>2003</v>
      </c>
      <c r="P45" s="14" t="s">
        <v>298</v>
      </c>
      <c r="Q45" s="20">
        <v>3378</v>
      </c>
      <c r="T45" s="19" t="s">
        <v>334</v>
      </c>
      <c r="U45" s="14">
        <v>2002</v>
      </c>
      <c r="V45" s="14" t="s">
        <v>299</v>
      </c>
      <c r="W45" s="20">
        <v>144481</v>
      </c>
    </row>
    <row r="46" spans="1:23" ht="13.5" thickBot="1" x14ac:dyDescent="0.25">
      <c r="A46" s="21" t="s">
        <v>295</v>
      </c>
      <c r="B46" s="15">
        <v>2003</v>
      </c>
      <c r="C46" s="15" t="s">
        <v>299</v>
      </c>
      <c r="D46" s="22">
        <v>1.9</v>
      </c>
      <c r="G46" s="21" t="s">
        <v>320</v>
      </c>
      <c r="H46" s="15">
        <v>1996</v>
      </c>
      <c r="I46" s="15" t="s">
        <v>300</v>
      </c>
      <c r="J46" s="22">
        <v>5.6</v>
      </c>
      <c r="N46" s="21" t="s">
        <v>328</v>
      </c>
      <c r="O46" s="15">
        <v>2003</v>
      </c>
      <c r="P46" s="15" t="s">
        <v>299</v>
      </c>
      <c r="Q46" s="22">
        <v>3056</v>
      </c>
      <c r="T46" s="21" t="s">
        <v>334</v>
      </c>
      <c r="U46" s="15">
        <v>2002</v>
      </c>
      <c r="V46" s="15" t="s">
        <v>300</v>
      </c>
      <c r="W46" s="22">
        <v>144725</v>
      </c>
    </row>
    <row r="47" spans="1:23" ht="13.5" thickBot="1" x14ac:dyDescent="0.25">
      <c r="A47" s="19" t="s">
        <v>295</v>
      </c>
      <c r="B47" s="14">
        <v>2003</v>
      </c>
      <c r="C47" s="14" t="s">
        <v>300</v>
      </c>
      <c r="D47" s="20">
        <v>1.8</v>
      </c>
      <c r="G47" s="19" t="s">
        <v>320</v>
      </c>
      <c r="H47" s="14">
        <v>1996</v>
      </c>
      <c r="I47" s="14" t="s">
        <v>301</v>
      </c>
      <c r="J47" s="20">
        <v>5.6</v>
      </c>
      <c r="N47" s="19" t="s">
        <v>328</v>
      </c>
      <c r="O47" s="14">
        <v>2003</v>
      </c>
      <c r="P47" s="14" t="s">
        <v>300</v>
      </c>
      <c r="Q47" s="20">
        <v>3107</v>
      </c>
      <c r="T47" s="19" t="s">
        <v>334</v>
      </c>
      <c r="U47" s="14">
        <v>2002</v>
      </c>
      <c r="V47" s="14" t="s">
        <v>301</v>
      </c>
      <c r="W47" s="20">
        <v>144938</v>
      </c>
    </row>
    <row r="48" spans="1:23" ht="13.5" thickBot="1" x14ac:dyDescent="0.25">
      <c r="A48" s="21" t="s">
        <v>295</v>
      </c>
      <c r="B48" s="15">
        <v>2003</v>
      </c>
      <c r="C48" s="15" t="s">
        <v>301</v>
      </c>
      <c r="D48" s="22">
        <v>1.8</v>
      </c>
      <c r="G48" s="21" t="s">
        <v>320</v>
      </c>
      <c r="H48" s="15">
        <v>1996</v>
      </c>
      <c r="I48" s="15" t="s">
        <v>302</v>
      </c>
      <c r="J48" s="22">
        <v>5.3</v>
      </c>
      <c r="N48" s="21" t="s">
        <v>328</v>
      </c>
      <c r="O48" s="15">
        <v>2003</v>
      </c>
      <c r="P48" s="15" t="s">
        <v>301</v>
      </c>
      <c r="Q48" s="22">
        <v>3108</v>
      </c>
      <c r="T48" s="21" t="s">
        <v>334</v>
      </c>
      <c r="U48" s="15">
        <v>2002</v>
      </c>
      <c r="V48" s="15" t="s">
        <v>302</v>
      </c>
      <c r="W48" s="22">
        <v>144808</v>
      </c>
    </row>
    <row r="49" spans="1:23" ht="13.5" thickBot="1" x14ac:dyDescent="0.25">
      <c r="A49" s="19" t="s">
        <v>295</v>
      </c>
      <c r="B49" s="14">
        <v>2003</v>
      </c>
      <c r="C49" s="14" t="s">
        <v>302</v>
      </c>
      <c r="D49" s="20">
        <v>1.8</v>
      </c>
      <c r="G49" s="19" t="s">
        <v>320</v>
      </c>
      <c r="H49" s="14">
        <v>1996</v>
      </c>
      <c r="I49" s="14" t="s">
        <v>303</v>
      </c>
      <c r="J49" s="20">
        <v>5.5</v>
      </c>
      <c r="N49" s="19" t="s">
        <v>328</v>
      </c>
      <c r="O49" s="14">
        <v>2003</v>
      </c>
      <c r="P49" s="14" t="s">
        <v>302</v>
      </c>
      <c r="Q49" s="20">
        <v>3196</v>
      </c>
      <c r="T49" s="19" t="s">
        <v>334</v>
      </c>
      <c r="U49" s="14">
        <v>2002</v>
      </c>
      <c r="V49" s="14" t="s">
        <v>303</v>
      </c>
      <c r="W49" s="20">
        <v>144803</v>
      </c>
    </row>
    <row r="50" spans="1:23" ht="13.5" thickBot="1" x14ac:dyDescent="0.25">
      <c r="A50" s="21" t="s">
        <v>295</v>
      </c>
      <c r="B50" s="15">
        <v>2003</v>
      </c>
      <c r="C50" s="15" t="s">
        <v>303</v>
      </c>
      <c r="D50" s="22">
        <v>1.8</v>
      </c>
      <c r="G50" s="21" t="s">
        <v>320</v>
      </c>
      <c r="H50" s="15">
        <v>1996</v>
      </c>
      <c r="I50" s="15" t="s">
        <v>304</v>
      </c>
      <c r="J50" s="22">
        <v>5.0999999999999996</v>
      </c>
      <c r="N50" s="21" t="s">
        <v>328</v>
      </c>
      <c r="O50" s="15">
        <v>2003</v>
      </c>
      <c r="P50" s="15" t="s">
        <v>303</v>
      </c>
      <c r="Q50" s="22">
        <v>3106</v>
      </c>
      <c r="T50" s="21" t="s">
        <v>334</v>
      </c>
      <c r="U50" s="15">
        <v>2002</v>
      </c>
      <c r="V50" s="15" t="s">
        <v>304</v>
      </c>
      <c r="W50" s="22">
        <v>145009</v>
      </c>
    </row>
    <row r="51" spans="1:23" ht="13.5" thickBot="1" x14ac:dyDescent="0.25">
      <c r="A51" s="19" t="s">
        <v>295</v>
      </c>
      <c r="B51" s="14">
        <v>2003</v>
      </c>
      <c r="C51" s="14" t="s">
        <v>304</v>
      </c>
      <c r="D51" s="20">
        <v>1.8</v>
      </c>
      <c r="G51" s="19" t="s">
        <v>320</v>
      </c>
      <c r="H51" s="14">
        <v>1996</v>
      </c>
      <c r="I51" s="14" t="s">
        <v>305</v>
      </c>
      <c r="J51" s="20">
        <v>5.2</v>
      </c>
      <c r="N51" s="19" t="s">
        <v>328</v>
      </c>
      <c r="O51" s="14">
        <v>2003</v>
      </c>
      <c r="P51" s="14" t="s">
        <v>304</v>
      </c>
      <c r="Q51" s="20">
        <v>3182</v>
      </c>
      <c r="T51" s="19" t="s">
        <v>334</v>
      </c>
      <c r="U51" s="14">
        <v>2002</v>
      </c>
      <c r="V51" s="14" t="s">
        <v>305</v>
      </c>
      <c r="W51" s="20">
        <v>145552</v>
      </c>
    </row>
    <row r="52" spans="1:23" ht="13.5" thickBot="1" x14ac:dyDescent="0.25">
      <c r="A52" s="21" t="s">
        <v>295</v>
      </c>
      <c r="B52" s="15">
        <v>2003</v>
      </c>
      <c r="C52" s="15" t="s">
        <v>305</v>
      </c>
      <c r="D52" s="22">
        <v>1.9</v>
      </c>
      <c r="G52" s="21" t="s">
        <v>320</v>
      </c>
      <c r="H52" s="15">
        <v>1996</v>
      </c>
      <c r="I52" s="15" t="s">
        <v>306</v>
      </c>
      <c r="J52" s="22">
        <v>5.2</v>
      </c>
      <c r="N52" s="21" t="s">
        <v>328</v>
      </c>
      <c r="O52" s="15">
        <v>2003</v>
      </c>
      <c r="P52" s="15" t="s">
        <v>305</v>
      </c>
      <c r="Q52" s="22">
        <v>3051</v>
      </c>
      <c r="T52" s="21" t="s">
        <v>334</v>
      </c>
      <c r="U52" s="15">
        <v>2002</v>
      </c>
      <c r="V52" s="15" t="s">
        <v>306</v>
      </c>
      <c r="W52" s="22">
        <v>145314</v>
      </c>
    </row>
    <row r="53" spans="1:23" ht="13.5" thickBot="1" x14ac:dyDescent="0.25">
      <c r="A53" s="19" t="s">
        <v>295</v>
      </c>
      <c r="B53" s="14">
        <v>2003</v>
      </c>
      <c r="C53" s="14" t="s">
        <v>306</v>
      </c>
      <c r="D53" s="20">
        <v>1.9</v>
      </c>
      <c r="G53" s="19" t="s">
        <v>320</v>
      </c>
      <c r="H53" s="14">
        <v>1996</v>
      </c>
      <c r="I53" s="14" t="s">
        <v>307</v>
      </c>
      <c r="J53" s="20">
        <v>5.4</v>
      </c>
      <c r="N53" s="19" t="s">
        <v>328</v>
      </c>
      <c r="O53" s="14">
        <v>2003</v>
      </c>
      <c r="P53" s="14" t="s">
        <v>306</v>
      </c>
      <c r="Q53" s="20">
        <v>3140</v>
      </c>
      <c r="T53" s="19" t="s">
        <v>334</v>
      </c>
      <c r="U53" s="14">
        <v>2002</v>
      </c>
      <c r="V53" s="14" t="s">
        <v>307</v>
      </c>
      <c r="W53" s="20">
        <v>145041</v>
      </c>
    </row>
    <row r="54" spans="1:23" ht="13.5" thickBot="1" x14ac:dyDescent="0.25">
      <c r="A54" s="21" t="s">
        <v>295</v>
      </c>
      <c r="B54" s="15">
        <v>2003</v>
      </c>
      <c r="C54" s="15" t="s">
        <v>307</v>
      </c>
      <c r="D54" s="22">
        <v>1.9</v>
      </c>
      <c r="G54" s="21" t="s">
        <v>320</v>
      </c>
      <c r="H54" s="15">
        <v>1996</v>
      </c>
      <c r="I54" s="15" t="s">
        <v>296</v>
      </c>
      <c r="J54" s="22">
        <v>5.4</v>
      </c>
      <c r="N54" s="21" t="s">
        <v>328</v>
      </c>
      <c r="O54" s="15">
        <v>2003</v>
      </c>
      <c r="P54" s="15" t="s">
        <v>307</v>
      </c>
      <c r="Q54" s="22">
        <v>3286</v>
      </c>
      <c r="T54" s="21" t="s">
        <v>334</v>
      </c>
      <c r="U54" s="15">
        <v>2002</v>
      </c>
      <c r="V54" s="15" t="s">
        <v>296</v>
      </c>
      <c r="W54" s="22">
        <v>145066</v>
      </c>
    </row>
    <row r="55" spans="1:23" ht="13.5" thickBot="1" x14ac:dyDescent="0.25">
      <c r="A55" s="19" t="s">
        <v>295</v>
      </c>
      <c r="B55" s="14">
        <v>2003</v>
      </c>
      <c r="C55" s="14" t="s">
        <v>296</v>
      </c>
      <c r="D55" s="20">
        <v>1.9</v>
      </c>
      <c r="G55" s="19" t="s">
        <v>320</v>
      </c>
      <c r="H55" s="14">
        <v>1997</v>
      </c>
      <c r="I55" s="14" t="s">
        <v>297</v>
      </c>
      <c r="J55" s="20">
        <v>5.3</v>
      </c>
      <c r="N55" s="19" t="s">
        <v>328</v>
      </c>
      <c r="O55" s="14">
        <v>2003</v>
      </c>
      <c r="P55" s="14" t="s">
        <v>296</v>
      </c>
      <c r="Q55" s="20">
        <v>3255</v>
      </c>
      <c r="T55" s="19" t="s">
        <v>334</v>
      </c>
      <c r="U55" s="14">
        <v>2003</v>
      </c>
      <c r="V55" s="14" t="s">
        <v>297</v>
      </c>
      <c r="W55" s="20">
        <v>145937</v>
      </c>
    </row>
    <row r="56" spans="1:23" ht="13.5" thickBot="1" x14ac:dyDescent="0.25">
      <c r="A56" s="21" t="s">
        <v>295</v>
      </c>
      <c r="B56" s="15">
        <v>2004</v>
      </c>
      <c r="C56" s="15" t="s">
        <v>297</v>
      </c>
      <c r="D56" s="22">
        <v>1.8</v>
      </c>
      <c r="G56" s="21" t="s">
        <v>320</v>
      </c>
      <c r="H56" s="15">
        <v>1997</v>
      </c>
      <c r="I56" s="15" t="s">
        <v>298</v>
      </c>
      <c r="J56" s="22">
        <v>5.2</v>
      </c>
      <c r="N56" s="21" t="s">
        <v>328</v>
      </c>
      <c r="O56" s="15">
        <v>2004</v>
      </c>
      <c r="P56" s="15" t="s">
        <v>297</v>
      </c>
      <c r="Q56" s="22">
        <v>3322</v>
      </c>
      <c r="T56" s="21" t="s">
        <v>334</v>
      </c>
      <c r="U56" s="15">
        <v>2003</v>
      </c>
      <c r="V56" s="15" t="s">
        <v>298</v>
      </c>
      <c r="W56" s="22">
        <v>146100</v>
      </c>
    </row>
    <row r="57" spans="1:23" ht="13.5" thickBot="1" x14ac:dyDescent="0.25">
      <c r="A57" s="19" t="s">
        <v>295</v>
      </c>
      <c r="B57" s="14">
        <v>2004</v>
      </c>
      <c r="C57" s="14" t="s">
        <v>298</v>
      </c>
      <c r="D57" s="20">
        <v>1.9</v>
      </c>
      <c r="G57" s="19" t="s">
        <v>320</v>
      </c>
      <c r="H57" s="14">
        <v>1997</v>
      </c>
      <c r="I57" s="14" t="s">
        <v>299</v>
      </c>
      <c r="J57" s="20">
        <v>5.2</v>
      </c>
      <c r="N57" s="19" t="s">
        <v>328</v>
      </c>
      <c r="O57" s="14">
        <v>2004</v>
      </c>
      <c r="P57" s="14" t="s">
        <v>298</v>
      </c>
      <c r="Q57" s="20">
        <v>3415</v>
      </c>
      <c r="T57" s="19" t="s">
        <v>334</v>
      </c>
      <c r="U57" s="14">
        <v>2003</v>
      </c>
      <c r="V57" s="14" t="s">
        <v>299</v>
      </c>
      <c r="W57" s="20">
        <v>146022</v>
      </c>
    </row>
    <row r="58" spans="1:23" ht="13.5" thickBot="1" x14ac:dyDescent="0.25">
      <c r="A58" s="21" t="s">
        <v>295</v>
      </c>
      <c r="B58" s="15">
        <v>2004</v>
      </c>
      <c r="C58" s="15" t="s">
        <v>299</v>
      </c>
      <c r="D58" s="22">
        <v>2</v>
      </c>
      <c r="G58" s="21" t="s">
        <v>320</v>
      </c>
      <c r="H58" s="15">
        <v>1997</v>
      </c>
      <c r="I58" s="15" t="s">
        <v>300</v>
      </c>
      <c r="J58" s="22">
        <v>5.0999999999999996</v>
      </c>
      <c r="N58" s="21" t="s">
        <v>328</v>
      </c>
      <c r="O58" s="15">
        <v>2004</v>
      </c>
      <c r="P58" s="15" t="s">
        <v>299</v>
      </c>
      <c r="Q58" s="22">
        <v>3394</v>
      </c>
      <c r="T58" s="21" t="s">
        <v>334</v>
      </c>
      <c r="U58" s="15">
        <v>2003</v>
      </c>
      <c r="V58" s="15" t="s">
        <v>300</v>
      </c>
      <c r="W58" s="22">
        <v>146474</v>
      </c>
    </row>
    <row r="59" spans="1:23" ht="13.5" thickBot="1" x14ac:dyDescent="0.25">
      <c r="A59" s="19" t="s">
        <v>295</v>
      </c>
      <c r="B59" s="14">
        <v>2004</v>
      </c>
      <c r="C59" s="14" t="s">
        <v>300</v>
      </c>
      <c r="D59" s="20">
        <v>2</v>
      </c>
      <c r="G59" s="19" t="s">
        <v>320</v>
      </c>
      <c r="H59" s="14">
        <v>1997</v>
      </c>
      <c r="I59" s="14" t="s">
        <v>301</v>
      </c>
      <c r="J59" s="20">
        <v>4.9000000000000004</v>
      </c>
      <c r="N59" s="19" t="s">
        <v>328</v>
      </c>
      <c r="O59" s="14">
        <v>2004</v>
      </c>
      <c r="P59" s="14" t="s">
        <v>300</v>
      </c>
      <c r="Q59" s="20">
        <v>3524</v>
      </c>
      <c r="T59" s="19" t="s">
        <v>334</v>
      </c>
      <c r="U59" s="14">
        <v>2003</v>
      </c>
      <c r="V59" s="14" t="s">
        <v>301</v>
      </c>
      <c r="W59" s="20">
        <v>146500</v>
      </c>
    </row>
    <row r="60" spans="1:23" ht="13.5" thickBot="1" x14ac:dyDescent="0.25">
      <c r="A60" s="21" t="s">
        <v>295</v>
      </c>
      <c r="B60" s="15">
        <v>2004</v>
      </c>
      <c r="C60" s="15" t="s">
        <v>301</v>
      </c>
      <c r="D60" s="22">
        <v>1.9</v>
      </c>
      <c r="G60" s="21" t="s">
        <v>320</v>
      </c>
      <c r="H60" s="15">
        <v>1997</v>
      </c>
      <c r="I60" s="15" t="s">
        <v>302</v>
      </c>
      <c r="J60" s="22">
        <v>5</v>
      </c>
      <c r="N60" s="21" t="s">
        <v>328</v>
      </c>
      <c r="O60" s="15">
        <v>2004</v>
      </c>
      <c r="P60" s="15" t="s">
        <v>301</v>
      </c>
      <c r="Q60" s="22">
        <v>3620</v>
      </c>
      <c r="T60" s="21" t="s">
        <v>334</v>
      </c>
      <c r="U60" s="15">
        <v>2003</v>
      </c>
      <c r="V60" s="15" t="s">
        <v>302</v>
      </c>
      <c r="W60" s="22">
        <v>147056</v>
      </c>
    </row>
    <row r="61" spans="1:23" ht="13.5" thickBot="1" x14ac:dyDescent="0.25">
      <c r="A61" s="19" t="s">
        <v>295</v>
      </c>
      <c r="B61" s="14">
        <v>2004</v>
      </c>
      <c r="C61" s="14" t="s">
        <v>302</v>
      </c>
      <c r="D61" s="20">
        <v>2</v>
      </c>
      <c r="G61" s="19" t="s">
        <v>320</v>
      </c>
      <c r="H61" s="14">
        <v>1997</v>
      </c>
      <c r="I61" s="14" t="s">
        <v>303</v>
      </c>
      <c r="J61" s="20">
        <v>4.9000000000000004</v>
      </c>
      <c r="N61" s="19" t="s">
        <v>328</v>
      </c>
      <c r="O61" s="14">
        <v>2004</v>
      </c>
      <c r="P61" s="14" t="s">
        <v>302</v>
      </c>
      <c r="Q61" s="20">
        <v>3423</v>
      </c>
      <c r="T61" s="19" t="s">
        <v>334</v>
      </c>
      <c r="U61" s="14">
        <v>2003</v>
      </c>
      <c r="V61" s="14" t="s">
        <v>303</v>
      </c>
      <c r="W61" s="20">
        <v>146485</v>
      </c>
    </row>
    <row r="62" spans="1:23" ht="13.5" thickBot="1" x14ac:dyDescent="0.25">
      <c r="A62" s="21" t="s">
        <v>295</v>
      </c>
      <c r="B62" s="15">
        <v>2004</v>
      </c>
      <c r="C62" s="15" t="s">
        <v>303</v>
      </c>
      <c r="D62" s="22">
        <v>2</v>
      </c>
      <c r="G62" s="21" t="s">
        <v>320</v>
      </c>
      <c r="H62" s="15">
        <v>1997</v>
      </c>
      <c r="I62" s="15" t="s">
        <v>304</v>
      </c>
      <c r="J62" s="22">
        <v>4.8</v>
      </c>
      <c r="N62" s="21" t="s">
        <v>328</v>
      </c>
      <c r="O62" s="15">
        <v>2004</v>
      </c>
      <c r="P62" s="15" t="s">
        <v>303</v>
      </c>
      <c r="Q62" s="22">
        <v>3807</v>
      </c>
      <c r="T62" s="21" t="s">
        <v>334</v>
      </c>
      <c r="U62" s="15">
        <v>2003</v>
      </c>
      <c r="V62" s="15" t="s">
        <v>304</v>
      </c>
      <c r="W62" s="22">
        <v>146445</v>
      </c>
    </row>
    <row r="63" spans="1:23" ht="13.5" thickBot="1" x14ac:dyDescent="0.25">
      <c r="A63" s="19" t="s">
        <v>295</v>
      </c>
      <c r="B63" s="14">
        <v>2004</v>
      </c>
      <c r="C63" s="14" t="s">
        <v>304</v>
      </c>
      <c r="D63" s="20">
        <v>2</v>
      </c>
      <c r="G63" s="19" t="s">
        <v>320</v>
      </c>
      <c r="H63" s="14">
        <v>1997</v>
      </c>
      <c r="I63" s="14" t="s">
        <v>305</v>
      </c>
      <c r="J63" s="20">
        <v>4.9000000000000004</v>
      </c>
      <c r="N63" s="19" t="s">
        <v>328</v>
      </c>
      <c r="O63" s="14">
        <v>2004</v>
      </c>
      <c r="P63" s="14" t="s">
        <v>304</v>
      </c>
      <c r="Q63" s="20">
        <v>3623</v>
      </c>
      <c r="T63" s="19" t="s">
        <v>334</v>
      </c>
      <c r="U63" s="14">
        <v>2003</v>
      </c>
      <c r="V63" s="14" t="s">
        <v>305</v>
      </c>
      <c r="W63" s="20">
        <v>146530</v>
      </c>
    </row>
    <row r="64" spans="1:23" ht="13.5" thickBot="1" x14ac:dyDescent="0.25">
      <c r="A64" s="21" t="s">
        <v>295</v>
      </c>
      <c r="B64" s="15">
        <v>2004</v>
      </c>
      <c r="C64" s="15" t="s">
        <v>305</v>
      </c>
      <c r="D64" s="22">
        <v>2</v>
      </c>
      <c r="G64" s="21" t="s">
        <v>320</v>
      </c>
      <c r="H64" s="15">
        <v>1997</v>
      </c>
      <c r="I64" s="15" t="s">
        <v>306</v>
      </c>
      <c r="J64" s="22">
        <v>4.7</v>
      </c>
      <c r="N64" s="21" t="s">
        <v>328</v>
      </c>
      <c r="O64" s="15">
        <v>2004</v>
      </c>
      <c r="P64" s="15" t="s">
        <v>305</v>
      </c>
      <c r="Q64" s="22">
        <v>3754</v>
      </c>
      <c r="T64" s="21" t="s">
        <v>334</v>
      </c>
      <c r="U64" s="15">
        <v>2003</v>
      </c>
      <c r="V64" s="15" t="s">
        <v>306</v>
      </c>
      <c r="W64" s="22">
        <v>146716</v>
      </c>
    </row>
    <row r="65" spans="1:23" ht="13.5" thickBot="1" x14ac:dyDescent="0.25">
      <c r="A65" s="19" t="s">
        <v>295</v>
      </c>
      <c r="B65" s="14">
        <v>2004</v>
      </c>
      <c r="C65" s="14" t="s">
        <v>306</v>
      </c>
      <c r="D65" s="20">
        <v>2</v>
      </c>
      <c r="G65" s="19" t="s">
        <v>320</v>
      </c>
      <c r="H65" s="14">
        <v>1997</v>
      </c>
      <c r="I65" s="14" t="s">
        <v>307</v>
      </c>
      <c r="J65" s="20">
        <v>4.5999999999999996</v>
      </c>
      <c r="N65" s="19" t="s">
        <v>328</v>
      </c>
      <c r="O65" s="14">
        <v>2004</v>
      </c>
      <c r="P65" s="14" t="s">
        <v>306</v>
      </c>
      <c r="Q65" s="20">
        <v>3836</v>
      </c>
      <c r="T65" s="19" t="s">
        <v>334</v>
      </c>
      <c r="U65" s="14">
        <v>2003</v>
      </c>
      <c r="V65" s="14" t="s">
        <v>307</v>
      </c>
      <c r="W65" s="20">
        <v>147000</v>
      </c>
    </row>
    <row r="66" spans="1:23" ht="13.5" thickBot="1" x14ac:dyDescent="0.25">
      <c r="A66" s="21" t="s">
        <v>295</v>
      </c>
      <c r="B66" s="15">
        <v>2004</v>
      </c>
      <c r="C66" s="15" t="s">
        <v>307</v>
      </c>
      <c r="D66" s="22">
        <v>2.2000000000000002</v>
      </c>
      <c r="G66" s="21" t="s">
        <v>320</v>
      </c>
      <c r="H66" s="15">
        <v>1997</v>
      </c>
      <c r="I66" s="15" t="s">
        <v>296</v>
      </c>
      <c r="J66" s="22">
        <v>4.7</v>
      </c>
      <c r="N66" s="21" t="s">
        <v>328</v>
      </c>
      <c r="O66" s="15">
        <v>2004</v>
      </c>
      <c r="P66" s="15" t="s">
        <v>307</v>
      </c>
      <c r="Q66" s="22">
        <v>3383</v>
      </c>
      <c r="T66" s="21" t="s">
        <v>334</v>
      </c>
      <c r="U66" s="15">
        <v>2003</v>
      </c>
      <c r="V66" s="15" t="s">
        <v>296</v>
      </c>
      <c r="W66" s="22">
        <v>146729</v>
      </c>
    </row>
    <row r="67" spans="1:23" ht="13.5" thickBot="1" x14ac:dyDescent="0.25">
      <c r="A67" s="19" t="s">
        <v>295</v>
      </c>
      <c r="B67" s="14">
        <v>2004</v>
      </c>
      <c r="C67" s="14" t="s">
        <v>296</v>
      </c>
      <c r="D67" s="20">
        <v>2.1</v>
      </c>
      <c r="G67" s="19" t="s">
        <v>320</v>
      </c>
      <c r="H67" s="14">
        <v>1998</v>
      </c>
      <c r="I67" s="14" t="s">
        <v>297</v>
      </c>
      <c r="J67" s="20">
        <v>4.5999999999999996</v>
      </c>
      <c r="N67" s="19" t="s">
        <v>328</v>
      </c>
      <c r="O67" s="14">
        <v>2004</v>
      </c>
      <c r="P67" s="14" t="s">
        <v>296</v>
      </c>
      <c r="Q67" s="20">
        <v>3808</v>
      </c>
      <c r="T67" s="19" t="s">
        <v>334</v>
      </c>
      <c r="U67" s="14">
        <v>2004</v>
      </c>
      <c r="V67" s="14" t="s">
        <v>297</v>
      </c>
      <c r="W67" s="20">
        <v>146842</v>
      </c>
    </row>
    <row r="68" spans="1:23" ht="13.5" thickBot="1" x14ac:dyDescent="0.25">
      <c r="A68" s="21" t="s">
        <v>295</v>
      </c>
      <c r="B68" s="15">
        <v>2005</v>
      </c>
      <c r="C68" s="15" t="s">
        <v>297</v>
      </c>
      <c r="D68" s="22">
        <v>2.1</v>
      </c>
      <c r="G68" s="21" t="s">
        <v>320</v>
      </c>
      <c r="H68" s="15">
        <v>1998</v>
      </c>
      <c r="I68" s="15" t="s">
        <v>298</v>
      </c>
      <c r="J68" s="22">
        <v>4.5999999999999996</v>
      </c>
      <c r="N68" s="21" t="s">
        <v>328</v>
      </c>
      <c r="O68" s="15">
        <v>2005</v>
      </c>
      <c r="P68" s="15" t="s">
        <v>297</v>
      </c>
      <c r="Q68" s="22">
        <v>3638</v>
      </c>
      <c r="T68" s="21" t="s">
        <v>334</v>
      </c>
      <c r="U68" s="15">
        <v>2004</v>
      </c>
      <c r="V68" s="15" t="s">
        <v>298</v>
      </c>
      <c r="W68" s="22">
        <v>146709</v>
      </c>
    </row>
    <row r="69" spans="1:23" ht="13.5" thickBot="1" x14ac:dyDescent="0.25">
      <c r="A69" s="19" t="s">
        <v>295</v>
      </c>
      <c r="B69" s="14">
        <v>2005</v>
      </c>
      <c r="C69" s="14" t="s">
        <v>298</v>
      </c>
      <c r="D69" s="20">
        <v>2</v>
      </c>
      <c r="G69" s="19" t="s">
        <v>320</v>
      </c>
      <c r="H69" s="14">
        <v>1998</v>
      </c>
      <c r="I69" s="14" t="s">
        <v>299</v>
      </c>
      <c r="J69" s="20">
        <v>4.7</v>
      </c>
      <c r="N69" s="19" t="s">
        <v>328</v>
      </c>
      <c r="O69" s="14">
        <v>2005</v>
      </c>
      <c r="P69" s="14" t="s">
        <v>298</v>
      </c>
      <c r="Q69" s="20">
        <v>3757</v>
      </c>
      <c r="T69" s="19" t="s">
        <v>334</v>
      </c>
      <c r="U69" s="14">
        <v>2004</v>
      </c>
      <c r="V69" s="14" t="s">
        <v>299</v>
      </c>
      <c r="W69" s="20">
        <v>146944</v>
      </c>
    </row>
    <row r="70" spans="1:23" ht="13.5" thickBot="1" x14ac:dyDescent="0.25">
      <c r="A70" s="21" t="s">
        <v>295</v>
      </c>
      <c r="B70" s="15">
        <v>2005</v>
      </c>
      <c r="C70" s="15" t="s">
        <v>299</v>
      </c>
      <c r="D70" s="22">
        <v>2.1</v>
      </c>
      <c r="G70" s="21" t="s">
        <v>320</v>
      </c>
      <c r="H70" s="15">
        <v>1998</v>
      </c>
      <c r="I70" s="15" t="s">
        <v>300</v>
      </c>
      <c r="J70" s="22">
        <v>4.3</v>
      </c>
      <c r="N70" s="21" t="s">
        <v>328</v>
      </c>
      <c r="O70" s="15">
        <v>2005</v>
      </c>
      <c r="P70" s="15" t="s">
        <v>299</v>
      </c>
      <c r="Q70" s="22">
        <v>3916</v>
      </c>
      <c r="T70" s="21" t="s">
        <v>334</v>
      </c>
      <c r="U70" s="15">
        <v>2004</v>
      </c>
      <c r="V70" s="15" t="s">
        <v>300</v>
      </c>
      <c r="W70" s="22">
        <v>146850</v>
      </c>
    </row>
    <row r="71" spans="1:23" ht="13.5" thickBot="1" x14ac:dyDescent="0.25">
      <c r="A71" s="19" t="s">
        <v>295</v>
      </c>
      <c r="B71" s="14">
        <v>2005</v>
      </c>
      <c r="C71" s="14" t="s">
        <v>300</v>
      </c>
      <c r="D71" s="20">
        <v>2.1</v>
      </c>
      <c r="G71" s="19" t="s">
        <v>320</v>
      </c>
      <c r="H71" s="14">
        <v>1998</v>
      </c>
      <c r="I71" s="14" t="s">
        <v>301</v>
      </c>
      <c r="J71" s="20">
        <v>4.4000000000000004</v>
      </c>
      <c r="N71" s="19" t="s">
        <v>328</v>
      </c>
      <c r="O71" s="14">
        <v>2005</v>
      </c>
      <c r="P71" s="14" t="s">
        <v>300</v>
      </c>
      <c r="Q71" s="20">
        <v>4057</v>
      </c>
      <c r="T71" s="19" t="s">
        <v>334</v>
      </c>
      <c r="U71" s="14">
        <v>2004</v>
      </c>
      <c r="V71" s="14" t="s">
        <v>301</v>
      </c>
      <c r="W71" s="20">
        <v>147065</v>
      </c>
    </row>
    <row r="72" spans="1:23" ht="13.5" thickBot="1" x14ac:dyDescent="0.25">
      <c r="A72" s="21" t="s">
        <v>295</v>
      </c>
      <c r="B72" s="15">
        <v>2005</v>
      </c>
      <c r="C72" s="15" t="s">
        <v>301</v>
      </c>
      <c r="D72" s="22">
        <v>2.1</v>
      </c>
      <c r="G72" s="21" t="s">
        <v>320</v>
      </c>
      <c r="H72" s="15">
        <v>1998</v>
      </c>
      <c r="I72" s="15" t="s">
        <v>302</v>
      </c>
      <c r="J72" s="22">
        <v>4.5</v>
      </c>
      <c r="N72" s="21" t="s">
        <v>328</v>
      </c>
      <c r="O72" s="15">
        <v>2005</v>
      </c>
      <c r="P72" s="15" t="s">
        <v>301</v>
      </c>
      <c r="Q72" s="22">
        <v>3877</v>
      </c>
      <c r="T72" s="21" t="s">
        <v>334</v>
      </c>
      <c r="U72" s="15">
        <v>2004</v>
      </c>
      <c r="V72" s="15" t="s">
        <v>302</v>
      </c>
      <c r="W72" s="22">
        <v>147460</v>
      </c>
    </row>
    <row r="73" spans="1:23" ht="13.5" thickBot="1" x14ac:dyDescent="0.25">
      <c r="A73" s="19" t="s">
        <v>295</v>
      </c>
      <c r="B73" s="14">
        <v>2005</v>
      </c>
      <c r="C73" s="14" t="s">
        <v>302</v>
      </c>
      <c r="D73" s="20">
        <v>2.1</v>
      </c>
      <c r="G73" s="19" t="s">
        <v>320</v>
      </c>
      <c r="H73" s="14">
        <v>1998</v>
      </c>
      <c r="I73" s="14" t="s">
        <v>303</v>
      </c>
      <c r="J73" s="20">
        <v>4.5</v>
      </c>
      <c r="N73" s="19" t="s">
        <v>328</v>
      </c>
      <c r="O73" s="14">
        <v>2005</v>
      </c>
      <c r="P73" s="14" t="s">
        <v>302</v>
      </c>
      <c r="Q73" s="20">
        <v>4064</v>
      </c>
      <c r="T73" s="19" t="s">
        <v>334</v>
      </c>
      <c r="U73" s="14">
        <v>2004</v>
      </c>
      <c r="V73" s="14" t="s">
        <v>303</v>
      </c>
      <c r="W73" s="20">
        <v>147692</v>
      </c>
    </row>
    <row r="74" spans="1:23" ht="13.5" thickBot="1" x14ac:dyDescent="0.25">
      <c r="A74" s="21" t="s">
        <v>295</v>
      </c>
      <c r="B74" s="15">
        <v>2005</v>
      </c>
      <c r="C74" s="15" t="s">
        <v>303</v>
      </c>
      <c r="D74" s="22">
        <v>2.1</v>
      </c>
      <c r="G74" s="21" t="s">
        <v>320</v>
      </c>
      <c r="H74" s="15">
        <v>1998</v>
      </c>
      <c r="I74" s="15" t="s">
        <v>304</v>
      </c>
      <c r="J74" s="22">
        <v>4.5</v>
      </c>
      <c r="N74" s="21" t="s">
        <v>328</v>
      </c>
      <c r="O74" s="15">
        <v>2005</v>
      </c>
      <c r="P74" s="15" t="s">
        <v>303</v>
      </c>
      <c r="Q74" s="22">
        <v>4155</v>
      </c>
      <c r="T74" s="21" t="s">
        <v>334</v>
      </c>
      <c r="U74" s="15">
        <v>2004</v>
      </c>
      <c r="V74" s="15" t="s">
        <v>304</v>
      </c>
      <c r="W74" s="22">
        <v>147564</v>
      </c>
    </row>
    <row r="75" spans="1:23" ht="13.5" thickBot="1" x14ac:dyDescent="0.25">
      <c r="A75" s="19" t="s">
        <v>295</v>
      </c>
      <c r="B75" s="14">
        <v>2005</v>
      </c>
      <c r="C75" s="14" t="s">
        <v>304</v>
      </c>
      <c r="D75" s="20">
        <v>2.2000000000000002</v>
      </c>
      <c r="G75" s="19" t="s">
        <v>320</v>
      </c>
      <c r="H75" s="14">
        <v>1998</v>
      </c>
      <c r="I75" s="14" t="s">
        <v>305</v>
      </c>
      <c r="J75" s="20">
        <v>4.5999999999999996</v>
      </c>
      <c r="N75" s="19" t="s">
        <v>328</v>
      </c>
      <c r="O75" s="14">
        <v>2005</v>
      </c>
      <c r="P75" s="14" t="s">
        <v>304</v>
      </c>
      <c r="Q75" s="20">
        <v>4102</v>
      </c>
      <c r="T75" s="19" t="s">
        <v>334</v>
      </c>
      <c r="U75" s="14">
        <v>2004</v>
      </c>
      <c r="V75" s="14" t="s">
        <v>305</v>
      </c>
      <c r="W75" s="20">
        <v>147415</v>
      </c>
    </row>
    <row r="76" spans="1:23" ht="13.5" thickBot="1" x14ac:dyDescent="0.25">
      <c r="A76" s="21" t="s">
        <v>295</v>
      </c>
      <c r="B76" s="15">
        <v>2005</v>
      </c>
      <c r="C76" s="15" t="s">
        <v>305</v>
      </c>
      <c r="D76" s="22">
        <v>2.2999999999999998</v>
      </c>
      <c r="G76" s="21" t="s">
        <v>320</v>
      </c>
      <c r="H76" s="15">
        <v>1998</v>
      </c>
      <c r="I76" s="15" t="s">
        <v>306</v>
      </c>
      <c r="J76" s="22">
        <v>4.5</v>
      </c>
      <c r="N76" s="21" t="s">
        <v>328</v>
      </c>
      <c r="O76" s="15">
        <v>2005</v>
      </c>
      <c r="P76" s="15" t="s">
        <v>305</v>
      </c>
      <c r="Q76" s="22">
        <v>4275</v>
      </c>
      <c r="T76" s="21" t="s">
        <v>334</v>
      </c>
      <c r="U76" s="15">
        <v>2004</v>
      </c>
      <c r="V76" s="15" t="s">
        <v>306</v>
      </c>
      <c r="W76" s="22">
        <v>147793</v>
      </c>
    </row>
    <row r="77" spans="1:23" ht="13.5" thickBot="1" x14ac:dyDescent="0.25">
      <c r="A77" s="19" t="s">
        <v>295</v>
      </c>
      <c r="B77" s="14">
        <v>2005</v>
      </c>
      <c r="C77" s="14" t="s">
        <v>306</v>
      </c>
      <c r="D77" s="20">
        <v>2.2000000000000002</v>
      </c>
      <c r="G77" s="19" t="s">
        <v>320</v>
      </c>
      <c r="H77" s="14">
        <v>1998</v>
      </c>
      <c r="I77" s="14" t="s">
        <v>307</v>
      </c>
      <c r="J77" s="20">
        <v>4.4000000000000004</v>
      </c>
      <c r="N77" s="19" t="s">
        <v>328</v>
      </c>
      <c r="O77" s="14">
        <v>2005</v>
      </c>
      <c r="P77" s="14" t="s">
        <v>306</v>
      </c>
      <c r="Q77" s="20">
        <v>4221</v>
      </c>
      <c r="T77" s="19" t="s">
        <v>334</v>
      </c>
      <c r="U77" s="14">
        <v>2004</v>
      </c>
      <c r="V77" s="14" t="s">
        <v>307</v>
      </c>
      <c r="W77" s="20">
        <v>148162</v>
      </c>
    </row>
    <row r="78" spans="1:23" ht="13.5" thickBot="1" x14ac:dyDescent="0.25">
      <c r="A78" s="21" t="s">
        <v>295</v>
      </c>
      <c r="B78" s="15">
        <v>2005</v>
      </c>
      <c r="C78" s="15" t="s">
        <v>307</v>
      </c>
      <c r="D78" s="22">
        <v>2.2000000000000002</v>
      </c>
      <c r="G78" s="21" t="s">
        <v>320</v>
      </c>
      <c r="H78" s="15">
        <v>1998</v>
      </c>
      <c r="I78" s="15" t="s">
        <v>296</v>
      </c>
      <c r="J78" s="22">
        <v>4.4000000000000004</v>
      </c>
      <c r="N78" s="21" t="s">
        <v>328</v>
      </c>
      <c r="O78" s="15">
        <v>2005</v>
      </c>
      <c r="P78" s="15" t="s">
        <v>307</v>
      </c>
      <c r="Q78" s="22">
        <v>4437</v>
      </c>
      <c r="T78" s="21" t="s">
        <v>334</v>
      </c>
      <c r="U78" s="15">
        <v>2004</v>
      </c>
      <c r="V78" s="15" t="s">
        <v>296</v>
      </c>
      <c r="W78" s="22">
        <v>148059</v>
      </c>
    </row>
    <row r="79" spans="1:23" ht="13.5" thickBot="1" x14ac:dyDescent="0.25">
      <c r="A79" s="19" t="s">
        <v>295</v>
      </c>
      <c r="B79" s="14">
        <v>2005</v>
      </c>
      <c r="C79" s="14" t="s">
        <v>296</v>
      </c>
      <c r="D79" s="20">
        <v>2.1</v>
      </c>
      <c r="G79" s="19" t="s">
        <v>320</v>
      </c>
      <c r="H79" s="14">
        <v>1999</v>
      </c>
      <c r="I79" s="14" t="s">
        <v>297</v>
      </c>
      <c r="J79" s="20">
        <v>4.3</v>
      </c>
      <c r="N79" s="19" t="s">
        <v>328</v>
      </c>
      <c r="O79" s="14">
        <v>2005</v>
      </c>
      <c r="P79" s="14" t="s">
        <v>296</v>
      </c>
      <c r="Q79" s="20">
        <v>4278</v>
      </c>
      <c r="T79" s="19" t="s">
        <v>334</v>
      </c>
      <c r="U79" s="14">
        <v>2005</v>
      </c>
      <c r="V79" s="14" t="s">
        <v>297</v>
      </c>
      <c r="W79" s="20">
        <v>148029</v>
      </c>
    </row>
    <row r="80" spans="1:23" ht="13.5" thickBot="1" x14ac:dyDescent="0.25">
      <c r="A80" s="21" t="s">
        <v>295</v>
      </c>
      <c r="B80" s="15">
        <v>2006</v>
      </c>
      <c r="C80" s="15" t="s">
        <v>297</v>
      </c>
      <c r="D80" s="22">
        <v>2.1</v>
      </c>
      <c r="G80" s="21" t="s">
        <v>320</v>
      </c>
      <c r="H80" s="15">
        <v>1999</v>
      </c>
      <c r="I80" s="15" t="s">
        <v>298</v>
      </c>
      <c r="J80" s="22">
        <v>4.4000000000000004</v>
      </c>
      <c r="N80" s="21" t="s">
        <v>328</v>
      </c>
      <c r="O80" s="15">
        <v>2006</v>
      </c>
      <c r="P80" s="15" t="s">
        <v>297</v>
      </c>
      <c r="Q80" s="22">
        <v>4296</v>
      </c>
      <c r="T80" s="21" t="s">
        <v>334</v>
      </c>
      <c r="U80" s="15">
        <v>2005</v>
      </c>
      <c r="V80" s="15" t="s">
        <v>298</v>
      </c>
      <c r="W80" s="22">
        <v>148364</v>
      </c>
    </row>
    <row r="81" spans="1:23" ht="13.5" thickBot="1" x14ac:dyDescent="0.25">
      <c r="A81" s="19" t="s">
        <v>295</v>
      </c>
      <c r="B81" s="14">
        <v>2006</v>
      </c>
      <c r="C81" s="14" t="s">
        <v>298</v>
      </c>
      <c r="D81" s="20">
        <v>2.2000000000000002</v>
      </c>
      <c r="G81" s="19" t="s">
        <v>320</v>
      </c>
      <c r="H81" s="14">
        <v>1999</v>
      </c>
      <c r="I81" s="14" t="s">
        <v>299</v>
      </c>
      <c r="J81" s="20">
        <v>4.2</v>
      </c>
      <c r="N81" s="19" t="s">
        <v>328</v>
      </c>
      <c r="O81" s="14">
        <v>2006</v>
      </c>
      <c r="P81" s="14" t="s">
        <v>298</v>
      </c>
      <c r="Q81" s="20">
        <v>4282</v>
      </c>
      <c r="T81" s="19" t="s">
        <v>334</v>
      </c>
      <c r="U81" s="14">
        <v>2005</v>
      </c>
      <c r="V81" s="14" t="s">
        <v>299</v>
      </c>
      <c r="W81" s="20">
        <v>148391</v>
      </c>
    </row>
    <row r="82" spans="1:23" ht="13.5" thickBot="1" x14ac:dyDescent="0.25">
      <c r="A82" s="21" t="s">
        <v>295</v>
      </c>
      <c r="B82" s="15">
        <v>2006</v>
      </c>
      <c r="C82" s="15" t="s">
        <v>299</v>
      </c>
      <c r="D82" s="22">
        <v>2.2000000000000002</v>
      </c>
      <c r="G82" s="21" t="s">
        <v>320</v>
      </c>
      <c r="H82" s="15">
        <v>1999</v>
      </c>
      <c r="I82" s="15" t="s">
        <v>300</v>
      </c>
      <c r="J82" s="22">
        <v>4.3</v>
      </c>
      <c r="N82" s="21" t="s">
        <v>328</v>
      </c>
      <c r="O82" s="15">
        <v>2006</v>
      </c>
      <c r="P82" s="15" t="s">
        <v>299</v>
      </c>
      <c r="Q82" s="22">
        <v>4472</v>
      </c>
      <c r="T82" s="21" t="s">
        <v>334</v>
      </c>
      <c r="U82" s="15">
        <v>2005</v>
      </c>
      <c r="V82" s="15" t="s">
        <v>300</v>
      </c>
      <c r="W82" s="22">
        <v>148926</v>
      </c>
    </row>
    <row r="83" spans="1:23" ht="13.5" thickBot="1" x14ac:dyDescent="0.25">
      <c r="A83" s="19" t="s">
        <v>295</v>
      </c>
      <c r="B83" s="14">
        <v>2006</v>
      </c>
      <c r="C83" s="14" t="s">
        <v>300</v>
      </c>
      <c r="D83" s="20">
        <v>2</v>
      </c>
      <c r="G83" s="19" t="s">
        <v>320</v>
      </c>
      <c r="H83" s="14">
        <v>1999</v>
      </c>
      <c r="I83" s="14" t="s">
        <v>301</v>
      </c>
      <c r="J83" s="20">
        <v>4.2</v>
      </c>
      <c r="N83" s="19" t="s">
        <v>328</v>
      </c>
      <c r="O83" s="14">
        <v>2006</v>
      </c>
      <c r="P83" s="14" t="s">
        <v>300</v>
      </c>
      <c r="Q83" s="20">
        <v>4438</v>
      </c>
      <c r="T83" s="19" t="s">
        <v>334</v>
      </c>
      <c r="U83" s="14">
        <v>2005</v>
      </c>
      <c r="V83" s="14" t="s">
        <v>301</v>
      </c>
      <c r="W83" s="20">
        <v>149261</v>
      </c>
    </row>
    <row r="84" spans="1:23" ht="13.5" thickBot="1" x14ac:dyDescent="0.25">
      <c r="A84" s="21" t="s">
        <v>295</v>
      </c>
      <c r="B84" s="15">
        <v>2006</v>
      </c>
      <c r="C84" s="15" t="s">
        <v>301</v>
      </c>
      <c r="D84" s="22">
        <v>2.2000000000000002</v>
      </c>
      <c r="G84" s="21" t="s">
        <v>320</v>
      </c>
      <c r="H84" s="15">
        <v>1999</v>
      </c>
      <c r="I84" s="15" t="s">
        <v>302</v>
      </c>
      <c r="J84" s="22">
        <v>4.3</v>
      </c>
      <c r="N84" s="21" t="s">
        <v>328</v>
      </c>
      <c r="O84" s="15">
        <v>2006</v>
      </c>
      <c r="P84" s="15" t="s">
        <v>301</v>
      </c>
      <c r="Q84" s="22">
        <v>4487</v>
      </c>
      <c r="T84" s="21" t="s">
        <v>334</v>
      </c>
      <c r="U84" s="15">
        <v>2005</v>
      </c>
      <c r="V84" s="15" t="s">
        <v>302</v>
      </c>
      <c r="W84" s="22">
        <v>149238</v>
      </c>
    </row>
    <row r="85" spans="1:23" ht="13.5" thickBot="1" x14ac:dyDescent="0.25">
      <c r="A85" s="19" t="s">
        <v>295</v>
      </c>
      <c r="B85" s="14">
        <v>2006</v>
      </c>
      <c r="C85" s="14" t="s">
        <v>302</v>
      </c>
      <c r="D85" s="20">
        <v>2.2000000000000002</v>
      </c>
      <c r="G85" s="19" t="s">
        <v>320</v>
      </c>
      <c r="H85" s="14">
        <v>1999</v>
      </c>
      <c r="I85" s="14" t="s">
        <v>303</v>
      </c>
      <c r="J85" s="20">
        <v>4.3</v>
      </c>
      <c r="N85" s="19" t="s">
        <v>328</v>
      </c>
      <c r="O85" s="14">
        <v>2006</v>
      </c>
      <c r="P85" s="14" t="s">
        <v>302</v>
      </c>
      <c r="Q85" s="20">
        <v>4333</v>
      </c>
      <c r="T85" s="19" t="s">
        <v>334</v>
      </c>
      <c r="U85" s="14">
        <v>2005</v>
      </c>
      <c r="V85" s="14" t="s">
        <v>303</v>
      </c>
      <c r="W85" s="20">
        <v>149432</v>
      </c>
    </row>
    <row r="86" spans="1:23" ht="13.5" thickBot="1" x14ac:dyDescent="0.25">
      <c r="A86" s="21" t="s">
        <v>295</v>
      </c>
      <c r="B86" s="15">
        <v>2006</v>
      </c>
      <c r="C86" s="15" t="s">
        <v>303</v>
      </c>
      <c r="D86" s="22">
        <v>2.2000000000000002</v>
      </c>
      <c r="G86" s="21" t="s">
        <v>320</v>
      </c>
      <c r="H86" s="15">
        <v>1999</v>
      </c>
      <c r="I86" s="15" t="s">
        <v>304</v>
      </c>
      <c r="J86" s="22">
        <v>4.2</v>
      </c>
      <c r="N86" s="21" t="s">
        <v>328</v>
      </c>
      <c r="O86" s="15">
        <v>2006</v>
      </c>
      <c r="P86" s="15" t="s">
        <v>303</v>
      </c>
      <c r="Q86" s="22">
        <v>4076</v>
      </c>
      <c r="T86" s="21" t="s">
        <v>334</v>
      </c>
      <c r="U86" s="15">
        <v>2005</v>
      </c>
      <c r="V86" s="15" t="s">
        <v>304</v>
      </c>
      <c r="W86" s="22">
        <v>149779</v>
      </c>
    </row>
    <row r="87" spans="1:23" ht="13.5" thickBot="1" x14ac:dyDescent="0.25">
      <c r="A87" s="19" t="s">
        <v>295</v>
      </c>
      <c r="B87" s="14">
        <v>2006</v>
      </c>
      <c r="C87" s="14" t="s">
        <v>304</v>
      </c>
      <c r="D87" s="20">
        <v>2.2000000000000002</v>
      </c>
      <c r="G87" s="19" t="s">
        <v>320</v>
      </c>
      <c r="H87" s="14">
        <v>1999</v>
      </c>
      <c r="I87" s="14" t="s">
        <v>305</v>
      </c>
      <c r="J87" s="20">
        <v>4.2</v>
      </c>
      <c r="N87" s="19" t="s">
        <v>328</v>
      </c>
      <c r="O87" s="14">
        <v>2006</v>
      </c>
      <c r="P87" s="14" t="s">
        <v>304</v>
      </c>
      <c r="Q87" s="20">
        <v>4498</v>
      </c>
      <c r="T87" s="19" t="s">
        <v>334</v>
      </c>
      <c r="U87" s="14">
        <v>2005</v>
      </c>
      <c r="V87" s="14" t="s">
        <v>305</v>
      </c>
      <c r="W87" s="20">
        <v>149954</v>
      </c>
    </row>
    <row r="88" spans="1:23" ht="13.5" thickBot="1" x14ac:dyDescent="0.25">
      <c r="A88" s="21" t="s">
        <v>295</v>
      </c>
      <c r="B88" s="15">
        <v>2006</v>
      </c>
      <c r="C88" s="15" t="s">
        <v>305</v>
      </c>
      <c r="D88" s="22">
        <v>2.1</v>
      </c>
      <c r="G88" s="21" t="s">
        <v>320</v>
      </c>
      <c r="H88" s="15">
        <v>1999</v>
      </c>
      <c r="I88" s="15" t="s">
        <v>306</v>
      </c>
      <c r="J88" s="22">
        <v>4.0999999999999996</v>
      </c>
      <c r="N88" s="21" t="s">
        <v>328</v>
      </c>
      <c r="O88" s="15">
        <v>2006</v>
      </c>
      <c r="P88" s="15" t="s">
        <v>305</v>
      </c>
      <c r="Q88" s="22">
        <v>4563</v>
      </c>
      <c r="T88" s="21" t="s">
        <v>334</v>
      </c>
      <c r="U88" s="15">
        <v>2005</v>
      </c>
      <c r="V88" s="15" t="s">
        <v>306</v>
      </c>
      <c r="W88" s="22">
        <v>150001</v>
      </c>
    </row>
    <row r="89" spans="1:23" ht="13.5" thickBot="1" x14ac:dyDescent="0.25">
      <c r="A89" s="19" t="s">
        <v>295</v>
      </c>
      <c r="B89" s="14">
        <v>2006</v>
      </c>
      <c r="C89" s="14" t="s">
        <v>306</v>
      </c>
      <c r="D89" s="20">
        <v>2.2000000000000002</v>
      </c>
      <c r="G89" s="19" t="s">
        <v>320</v>
      </c>
      <c r="H89" s="14">
        <v>1999</v>
      </c>
      <c r="I89" s="14" t="s">
        <v>307</v>
      </c>
      <c r="J89" s="20">
        <v>4.0999999999999996</v>
      </c>
      <c r="N89" s="19" t="s">
        <v>328</v>
      </c>
      <c r="O89" s="14">
        <v>2006</v>
      </c>
      <c r="P89" s="14" t="s">
        <v>306</v>
      </c>
      <c r="Q89" s="20">
        <v>4434</v>
      </c>
      <c r="T89" s="19" t="s">
        <v>334</v>
      </c>
      <c r="U89" s="14">
        <v>2005</v>
      </c>
      <c r="V89" s="14" t="s">
        <v>307</v>
      </c>
      <c r="W89" s="20">
        <v>150065</v>
      </c>
    </row>
    <row r="90" spans="1:23" ht="13.5" thickBot="1" x14ac:dyDescent="0.25">
      <c r="A90" s="21" t="s">
        <v>295</v>
      </c>
      <c r="B90" s="15">
        <v>2006</v>
      </c>
      <c r="C90" s="15" t="s">
        <v>307</v>
      </c>
      <c r="D90" s="22">
        <v>2.2999999999999998</v>
      </c>
      <c r="G90" s="21" t="s">
        <v>320</v>
      </c>
      <c r="H90" s="15">
        <v>1999</v>
      </c>
      <c r="I90" s="15" t="s">
        <v>296</v>
      </c>
      <c r="J90" s="22">
        <v>4</v>
      </c>
      <c r="N90" s="21" t="s">
        <v>328</v>
      </c>
      <c r="O90" s="15">
        <v>2006</v>
      </c>
      <c r="P90" s="15" t="s">
        <v>307</v>
      </c>
      <c r="Q90" s="22">
        <v>4705</v>
      </c>
      <c r="T90" s="21" t="s">
        <v>334</v>
      </c>
      <c r="U90" s="15">
        <v>2005</v>
      </c>
      <c r="V90" s="15" t="s">
        <v>296</v>
      </c>
      <c r="W90" s="22">
        <v>150030</v>
      </c>
    </row>
    <row r="91" spans="1:23" ht="13.5" thickBot="1" x14ac:dyDescent="0.25">
      <c r="A91" s="19" t="s">
        <v>295</v>
      </c>
      <c r="B91" s="14">
        <v>2006</v>
      </c>
      <c r="C91" s="14" t="s">
        <v>296</v>
      </c>
      <c r="D91" s="20">
        <v>2.2999999999999998</v>
      </c>
      <c r="G91" s="19" t="s">
        <v>320</v>
      </c>
      <c r="H91" s="14">
        <v>2000</v>
      </c>
      <c r="I91" s="14" t="s">
        <v>297</v>
      </c>
      <c r="J91" s="20">
        <v>4</v>
      </c>
      <c r="N91" s="19" t="s">
        <v>328</v>
      </c>
      <c r="O91" s="14">
        <v>2006</v>
      </c>
      <c r="P91" s="14" t="s">
        <v>296</v>
      </c>
      <c r="Q91" s="20">
        <v>4583</v>
      </c>
      <c r="T91" s="19" t="s">
        <v>334</v>
      </c>
      <c r="U91" s="14">
        <v>2006</v>
      </c>
      <c r="V91" s="14" t="s">
        <v>297</v>
      </c>
      <c r="W91" s="20">
        <v>150214</v>
      </c>
    </row>
    <row r="92" spans="1:23" ht="13.5" thickBot="1" x14ac:dyDescent="0.25">
      <c r="A92" s="21" t="s">
        <v>295</v>
      </c>
      <c r="B92" s="15">
        <v>2007</v>
      </c>
      <c r="C92" s="15" t="s">
        <v>297</v>
      </c>
      <c r="D92" s="22">
        <v>2.2000000000000002</v>
      </c>
      <c r="G92" s="21" t="s">
        <v>320</v>
      </c>
      <c r="H92" s="15">
        <v>2000</v>
      </c>
      <c r="I92" s="15" t="s">
        <v>298</v>
      </c>
      <c r="J92" s="22">
        <v>4.0999999999999996</v>
      </c>
      <c r="N92" s="21" t="s">
        <v>328</v>
      </c>
      <c r="O92" s="15">
        <v>2007</v>
      </c>
      <c r="P92" s="15" t="s">
        <v>297</v>
      </c>
      <c r="Q92" s="22">
        <v>4602</v>
      </c>
      <c r="T92" s="21" t="s">
        <v>334</v>
      </c>
      <c r="U92" s="15">
        <v>2006</v>
      </c>
      <c r="V92" s="15" t="s">
        <v>298</v>
      </c>
      <c r="W92" s="22">
        <v>150641</v>
      </c>
    </row>
    <row r="93" spans="1:23" ht="13.5" thickBot="1" x14ac:dyDescent="0.25">
      <c r="A93" s="19" t="s">
        <v>295</v>
      </c>
      <c r="B93" s="14">
        <v>2007</v>
      </c>
      <c r="C93" s="14" t="s">
        <v>298</v>
      </c>
      <c r="D93" s="20">
        <v>2.2000000000000002</v>
      </c>
      <c r="G93" s="19" t="s">
        <v>320</v>
      </c>
      <c r="H93" s="14">
        <v>2000</v>
      </c>
      <c r="I93" s="14" t="s">
        <v>299</v>
      </c>
      <c r="J93" s="20">
        <v>4</v>
      </c>
      <c r="N93" s="19" t="s">
        <v>328</v>
      </c>
      <c r="O93" s="14">
        <v>2007</v>
      </c>
      <c r="P93" s="14" t="s">
        <v>298</v>
      </c>
      <c r="Q93" s="20">
        <v>4483</v>
      </c>
      <c r="T93" s="19" t="s">
        <v>334</v>
      </c>
      <c r="U93" s="14">
        <v>2006</v>
      </c>
      <c r="V93" s="14" t="s">
        <v>299</v>
      </c>
      <c r="W93" s="20">
        <v>150813</v>
      </c>
    </row>
    <row r="94" spans="1:23" ht="13.5" thickBot="1" x14ac:dyDescent="0.25">
      <c r="A94" s="21" t="s">
        <v>295</v>
      </c>
      <c r="B94" s="15">
        <v>2007</v>
      </c>
      <c r="C94" s="15" t="s">
        <v>299</v>
      </c>
      <c r="D94" s="22">
        <v>2.2000000000000002</v>
      </c>
      <c r="G94" s="21" t="s">
        <v>320</v>
      </c>
      <c r="H94" s="15">
        <v>2000</v>
      </c>
      <c r="I94" s="15" t="s">
        <v>300</v>
      </c>
      <c r="J94" s="22">
        <v>3.8</v>
      </c>
      <c r="N94" s="21" t="s">
        <v>328</v>
      </c>
      <c r="O94" s="15">
        <v>2007</v>
      </c>
      <c r="P94" s="15" t="s">
        <v>299</v>
      </c>
      <c r="Q94" s="22">
        <v>4707</v>
      </c>
      <c r="T94" s="21" t="s">
        <v>334</v>
      </c>
      <c r="U94" s="15">
        <v>2006</v>
      </c>
      <c r="V94" s="15" t="s">
        <v>300</v>
      </c>
      <c r="W94" s="22">
        <v>150881</v>
      </c>
    </row>
    <row r="95" spans="1:23" ht="13.5" thickBot="1" x14ac:dyDescent="0.25">
      <c r="A95" s="19" t="s">
        <v>295</v>
      </c>
      <c r="B95" s="14">
        <v>2007</v>
      </c>
      <c r="C95" s="14" t="s">
        <v>300</v>
      </c>
      <c r="D95" s="20">
        <v>2.1</v>
      </c>
      <c r="G95" s="19" t="s">
        <v>320</v>
      </c>
      <c r="H95" s="14">
        <v>2000</v>
      </c>
      <c r="I95" s="14" t="s">
        <v>301</v>
      </c>
      <c r="J95" s="20">
        <v>4</v>
      </c>
      <c r="N95" s="19" t="s">
        <v>328</v>
      </c>
      <c r="O95" s="14">
        <v>2007</v>
      </c>
      <c r="P95" s="14" t="s">
        <v>300</v>
      </c>
      <c r="Q95" s="20">
        <v>4498</v>
      </c>
      <c r="T95" s="19" t="s">
        <v>334</v>
      </c>
      <c r="U95" s="14">
        <v>2006</v>
      </c>
      <c r="V95" s="14" t="s">
        <v>301</v>
      </c>
      <c r="W95" s="20">
        <v>151069</v>
      </c>
    </row>
    <row r="96" spans="1:23" ht="13.5" thickBot="1" x14ac:dyDescent="0.25">
      <c r="A96" s="21" t="s">
        <v>295</v>
      </c>
      <c r="B96" s="15">
        <v>2007</v>
      </c>
      <c r="C96" s="15" t="s">
        <v>301</v>
      </c>
      <c r="D96" s="22">
        <v>2.2000000000000002</v>
      </c>
      <c r="G96" s="21" t="s">
        <v>320</v>
      </c>
      <c r="H96" s="15">
        <v>2000</v>
      </c>
      <c r="I96" s="15" t="s">
        <v>302</v>
      </c>
      <c r="J96" s="22">
        <v>4</v>
      </c>
      <c r="N96" s="21" t="s">
        <v>328</v>
      </c>
      <c r="O96" s="15">
        <v>2007</v>
      </c>
      <c r="P96" s="15" t="s">
        <v>301</v>
      </c>
      <c r="Q96" s="22">
        <v>4479</v>
      </c>
      <c r="T96" s="21" t="s">
        <v>334</v>
      </c>
      <c r="U96" s="15">
        <v>2006</v>
      </c>
      <c r="V96" s="15" t="s">
        <v>302</v>
      </c>
      <c r="W96" s="22">
        <v>151354</v>
      </c>
    </row>
    <row r="97" spans="1:23" ht="13.5" thickBot="1" x14ac:dyDescent="0.25">
      <c r="A97" s="19" t="s">
        <v>295</v>
      </c>
      <c r="B97" s="14">
        <v>2007</v>
      </c>
      <c r="C97" s="14" t="s">
        <v>302</v>
      </c>
      <c r="D97" s="20">
        <v>2.1</v>
      </c>
      <c r="G97" s="19" t="s">
        <v>320</v>
      </c>
      <c r="H97" s="14">
        <v>2000</v>
      </c>
      <c r="I97" s="14" t="s">
        <v>303</v>
      </c>
      <c r="J97" s="20">
        <v>4</v>
      </c>
      <c r="N97" s="19" t="s">
        <v>328</v>
      </c>
      <c r="O97" s="14">
        <v>2007</v>
      </c>
      <c r="P97" s="14" t="s">
        <v>302</v>
      </c>
      <c r="Q97" s="20">
        <v>4690</v>
      </c>
      <c r="T97" s="19" t="s">
        <v>334</v>
      </c>
      <c r="U97" s="14">
        <v>2006</v>
      </c>
      <c r="V97" s="14" t="s">
        <v>303</v>
      </c>
      <c r="W97" s="20">
        <v>151377</v>
      </c>
    </row>
    <row r="98" spans="1:23" ht="13.5" thickBot="1" x14ac:dyDescent="0.25">
      <c r="A98" s="21" t="s">
        <v>295</v>
      </c>
      <c r="B98" s="15">
        <v>2007</v>
      </c>
      <c r="C98" s="15" t="s">
        <v>303</v>
      </c>
      <c r="D98" s="22">
        <v>2.1</v>
      </c>
      <c r="G98" s="21" t="s">
        <v>320</v>
      </c>
      <c r="H98" s="15">
        <v>2000</v>
      </c>
      <c r="I98" s="15" t="s">
        <v>304</v>
      </c>
      <c r="J98" s="22">
        <v>4.0999999999999996</v>
      </c>
      <c r="N98" s="21" t="s">
        <v>328</v>
      </c>
      <c r="O98" s="15">
        <v>2007</v>
      </c>
      <c r="P98" s="15" t="s">
        <v>303</v>
      </c>
      <c r="Q98" s="22">
        <v>4404</v>
      </c>
      <c r="T98" s="21" t="s">
        <v>334</v>
      </c>
      <c r="U98" s="15">
        <v>2006</v>
      </c>
      <c r="V98" s="15" t="s">
        <v>304</v>
      </c>
      <c r="W98" s="22">
        <v>151716</v>
      </c>
    </row>
    <row r="99" spans="1:23" ht="13.5" thickBot="1" x14ac:dyDescent="0.25">
      <c r="A99" s="19" t="s">
        <v>295</v>
      </c>
      <c r="B99" s="14">
        <v>2007</v>
      </c>
      <c r="C99" s="14" t="s">
        <v>304</v>
      </c>
      <c r="D99" s="20">
        <v>2.1</v>
      </c>
      <c r="G99" s="19" t="s">
        <v>320</v>
      </c>
      <c r="H99" s="14">
        <v>2000</v>
      </c>
      <c r="I99" s="14" t="s">
        <v>305</v>
      </c>
      <c r="J99" s="20">
        <v>3.9</v>
      </c>
      <c r="N99" s="19" t="s">
        <v>328</v>
      </c>
      <c r="O99" s="14">
        <v>2007</v>
      </c>
      <c r="P99" s="14" t="s">
        <v>304</v>
      </c>
      <c r="Q99" s="20">
        <v>4491</v>
      </c>
      <c r="T99" s="19" t="s">
        <v>334</v>
      </c>
      <c r="U99" s="14">
        <v>2006</v>
      </c>
      <c r="V99" s="14" t="s">
        <v>305</v>
      </c>
      <c r="W99" s="20">
        <v>151662</v>
      </c>
    </row>
    <row r="100" spans="1:23" ht="13.5" thickBot="1" x14ac:dyDescent="0.25">
      <c r="A100" s="21" t="s">
        <v>295</v>
      </c>
      <c r="B100" s="15">
        <v>2007</v>
      </c>
      <c r="C100" s="15" t="s">
        <v>305</v>
      </c>
      <c r="D100" s="22">
        <v>1.9</v>
      </c>
      <c r="G100" s="21" t="s">
        <v>320</v>
      </c>
      <c r="H100" s="15">
        <v>2000</v>
      </c>
      <c r="I100" s="15" t="s">
        <v>306</v>
      </c>
      <c r="J100" s="22">
        <v>3.9</v>
      </c>
      <c r="N100" s="21" t="s">
        <v>328</v>
      </c>
      <c r="O100" s="15">
        <v>2007</v>
      </c>
      <c r="P100" s="15" t="s">
        <v>305</v>
      </c>
      <c r="Q100" s="22">
        <v>4536</v>
      </c>
      <c r="T100" s="21" t="s">
        <v>334</v>
      </c>
      <c r="U100" s="15">
        <v>2006</v>
      </c>
      <c r="V100" s="15" t="s">
        <v>306</v>
      </c>
      <c r="W100" s="22">
        <v>152041</v>
      </c>
    </row>
    <row r="101" spans="1:23" ht="13.5" thickBot="1" x14ac:dyDescent="0.25">
      <c r="A101" s="19" t="s">
        <v>295</v>
      </c>
      <c r="B101" s="14">
        <v>2007</v>
      </c>
      <c r="C101" s="14" t="s">
        <v>306</v>
      </c>
      <c r="D101" s="20">
        <v>2.1</v>
      </c>
      <c r="G101" s="19" t="s">
        <v>320</v>
      </c>
      <c r="H101" s="14">
        <v>2000</v>
      </c>
      <c r="I101" s="14" t="s">
        <v>307</v>
      </c>
      <c r="J101" s="20">
        <v>3.9</v>
      </c>
      <c r="N101" s="19" t="s">
        <v>328</v>
      </c>
      <c r="O101" s="14">
        <v>2007</v>
      </c>
      <c r="P101" s="14" t="s">
        <v>306</v>
      </c>
      <c r="Q101" s="20">
        <v>4275</v>
      </c>
      <c r="T101" s="19" t="s">
        <v>334</v>
      </c>
      <c r="U101" s="14">
        <v>2006</v>
      </c>
      <c r="V101" s="14" t="s">
        <v>307</v>
      </c>
      <c r="W101" s="20">
        <v>152406</v>
      </c>
    </row>
    <row r="102" spans="1:23" ht="13.5" thickBot="1" x14ac:dyDescent="0.25">
      <c r="A102" s="21" t="s">
        <v>295</v>
      </c>
      <c r="B102" s="15">
        <v>2007</v>
      </c>
      <c r="C102" s="15" t="s">
        <v>307</v>
      </c>
      <c r="D102" s="22">
        <v>2</v>
      </c>
      <c r="G102" s="21" t="s">
        <v>320</v>
      </c>
      <c r="H102" s="15">
        <v>2000</v>
      </c>
      <c r="I102" s="15" t="s">
        <v>296</v>
      </c>
      <c r="J102" s="22">
        <v>3.9</v>
      </c>
      <c r="N102" s="21" t="s">
        <v>328</v>
      </c>
      <c r="O102" s="15">
        <v>2007</v>
      </c>
      <c r="P102" s="15" t="s">
        <v>307</v>
      </c>
      <c r="Q102" s="22">
        <v>4396</v>
      </c>
      <c r="T102" s="21" t="s">
        <v>334</v>
      </c>
      <c r="U102" s="15">
        <v>2006</v>
      </c>
      <c r="V102" s="15" t="s">
        <v>296</v>
      </c>
      <c r="W102" s="22">
        <v>152732</v>
      </c>
    </row>
    <row r="103" spans="1:23" ht="13.5" thickBot="1" x14ac:dyDescent="0.25">
      <c r="A103" s="19" t="s">
        <v>295</v>
      </c>
      <c r="B103" s="14">
        <v>2007</v>
      </c>
      <c r="C103" s="14" t="s">
        <v>296</v>
      </c>
      <c r="D103" s="20">
        <v>2.1</v>
      </c>
      <c r="G103" s="19" t="s">
        <v>320</v>
      </c>
      <c r="H103" s="14">
        <v>2001</v>
      </c>
      <c r="I103" s="14" t="s">
        <v>297</v>
      </c>
      <c r="J103" s="20">
        <v>4.2</v>
      </c>
      <c r="N103" s="19" t="s">
        <v>328</v>
      </c>
      <c r="O103" s="14">
        <v>2007</v>
      </c>
      <c r="P103" s="14" t="s">
        <v>296</v>
      </c>
      <c r="Q103" s="20">
        <v>4256</v>
      </c>
      <c r="T103" s="19" t="s">
        <v>334</v>
      </c>
      <c r="U103" s="14">
        <v>2007</v>
      </c>
      <c r="V103" s="14" t="s">
        <v>297</v>
      </c>
      <c r="W103" s="20">
        <v>153144</v>
      </c>
    </row>
    <row r="104" spans="1:23" ht="13.5" thickBot="1" x14ac:dyDescent="0.25">
      <c r="A104" s="21" t="s">
        <v>295</v>
      </c>
      <c r="B104" s="15">
        <v>2008</v>
      </c>
      <c r="C104" s="15" t="s">
        <v>297</v>
      </c>
      <c r="D104" s="22">
        <v>2.1</v>
      </c>
      <c r="G104" s="21" t="s">
        <v>320</v>
      </c>
      <c r="H104" s="15">
        <v>2001</v>
      </c>
      <c r="I104" s="15" t="s">
        <v>298</v>
      </c>
      <c r="J104" s="22">
        <v>4.2</v>
      </c>
      <c r="N104" s="21" t="s">
        <v>328</v>
      </c>
      <c r="O104" s="15">
        <v>2008</v>
      </c>
      <c r="P104" s="15" t="s">
        <v>297</v>
      </c>
      <c r="Q104" s="22">
        <v>4224</v>
      </c>
      <c r="T104" s="21" t="s">
        <v>334</v>
      </c>
      <c r="U104" s="15">
        <v>2007</v>
      </c>
      <c r="V104" s="15" t="s">
        <v>298</v>
      </c>
      <c r="W104" s="22">
        <v>152983</v>
      </c>
    </row>
    <row r="105" spans="1:23" ht="13.5" thickBot="1" x14ac:dyDescent="0.25">
      <c r="A105" s="19" t="s">
        <v>295</v>
      </c>
      <c r="B105" s="14">
        <v>2008</v>
      </c>
      <c r="C105" s="14" t="s">
        <v>298</v>
      </c>
      <c r="D105" s="20">
        <v>2.1</v>
      </c>
      <c r="G105" s="19" t="s">
        <v>320</v>
      </c>
      <c r="H105" s="14">
        <v>2001</v>
      </c>
      <c r="I105" s="14" t="s">
        <v>299</v>
      </c>
      <c r="J105" s="20">
        <v>4.3</v>
      </c>
      <c r="N105" s="19" t="s">
        <v>328</v>
      </c>
      <c r="O105" s="14">
        <v>2008</v>
      </c>
      <c r="P105" s="14" t="s">
        <v>298</v>
      </c>
      <c r="Q105" s="20">
        <v>4026</v>
      </c>
      <c r="T105" s="19" t="s">
        <v>334</v>
      </c>
      <c r="U105" s="14">
        <v>2007</v>
      </c>
      <c r="V105" s="14" t="s">
        <v>299</v>
      </c>
      <c r="W105" s="20">
        <v>153051</v>
      </c>
    </row>
    <row r="106" spans="1:23" ht="13.5" thickBot="1" x14ac:dyDescent="0.25">
      <c r="A106" s="21" t="s">
        <v>295</v>
      </c>
      <c r="B106" s="15">
        <v>2008</v>
      </c>
      <c r="C106" s="15" t="s">
        <v>299</v>
      </c>
      <c r="D106" s="22">
        <v>1.9</v>
      </c>
      <c r="G106" s="21" t="s">
        <v>320</v>
      </c>
      <c r="H106" s="15">
        <v>2001</v>
      </c>
      <c r="I106" s="15" t="s">
        <v>300</v>
      </c>
      <c r="J106" s="22">
        <v>4.4000000000000004</v>
      </c>
      <c r="N106" s="21" t="s">
        <v>328</v>
      </c>
      <c r="O106" s="15">
        <v>2008</v>
      </c>
      <c r="P106" s="15" t="s">
        <v>299</v>
      </c>
      <c r="Q106" s="22">
        <v>4003</v>
      </c>
      <c r="T106" s="21" t="s">
        <v>334</v>
      </c>
      <c r="U106" s="15">
        <v>2007</v>
      </c>
      <c r="V106" s="15" t="s">
        <v>300</v>
      </c>
      <c r="W106" s="22">
        <v>152435</v>
      </c>
    </row>
    <row r="107" spans="1:23" ht="13.5" thickBot="1" x14ac:dyDescent="0.25">
      <c r="A107" s="19" t="s">
        <v>295</v>
      </c>
      <c r="B107" s="14">
        <v>2008</v>
      </c>
      <c r="C107" s="14" t="s">
        <v>300</v>
      </c>
      <c r="D107" s="20">
        <v>2.1</v>
      </c>
      <c r="G107" s="19" t="s">
        <v>320</v>
      </c>
      <c r="H107" s="14">
        <v>2001</v>
      </c>
      <c r="I107" s="14" t="s">
        <v>301</v>
      </c>
      <c r="J107" s="20">
        <v>4.3</v>
      </c>
      <c r="N107" s="19" t="s">
        <v>328</v>
      </c>
      <c r="O107" s="14">
        <v>2008</v>
      </c>
      <c r="P107" s="14" t="s">
        <v>300</v>
      </c>
      <c r="Q107" s="20">
        <v>3906</v>
      </c>
      <c r="T107" s="19" t="s">
        <v>334</v>
      </c>
      <c r="U107" s="14">
        <v>2007</v>
      </c>
      <c r="V107" s="14" t="s">
        <v>301</v>
      </c>
      <c r="W107" s="20">
        <v>152670</v>
      </c>
    </row>
    <row r="108" spans="1:23" ht="13.5" thickBot="1" x14ac:dyDescent="0.25">
      <c r="A108" s="21" t="s">
        <v>295</v>
      </c>
      <c r="B108" s="15">
        <v>2008</v>
      </c>
      <c r="C108" s="15" t="s">
        <v>301</v>
      </c>
      <c r="D108" s="22">
        <v>1.9</v>
      </c>
      <c r="G108" s="21" t="s">
        <v>320</v>
      </c>
      <c r="H108" s="15">
        <v>2001</v>
      </c>
      <c r="I108" s="15" t="s">
        <v>302</v>
      </c>
      <c r="J108" s="22">
        <v>4.5</v>
      </c>
      <c r="N108" s="21" t="s">
        <v>328</v>
      </c>
      <c r="O108" s="15">
        <v>2008</v>
      </c>
      <c r="P108" s="15" t="s">
        <v>301</v>
      </c>
      <c r="Q108" s="22">
        <v>3947</v>
      </c>
      <c r="T108" s="21" t="s">
        <v>334</v>
      </c>
      <c r="U108" s="15">
        <v>2007</v>
      </c>
      <c r="V108" s="15" t="s">
        <v>302</v>
      </c>
      <c r="W108" s="22">
        <v>153041</v>
      </c>
    </row>
    <row r="109" spans="1:23" ht="13.5" thickBot="1" x14ac:dyDescent="0.25">
      <c r="A109" s="19" t="s">
        <v>295</v>
      </c>
      <c r="B109" s="14">
        <v>2008</v>
      </c>
      <c r="C109" s="14" t="s">
        <v>302</v>
      </c>
      <c r="D109" s="20">
        <v>1.9</v>
      </c>
      <c r="G109" s="19" t="s">
        <v>320</v>
      </c>
      <c r="H109" s="14">
        <v>2001</v>
      </c>
      <c r="I109" s="14" t="s">
        <v>303</v>
      </c>
      <c r="J109" s="20">
        <v>4.5999999999999996</v>
      </c>
      <c r="N109" s="19" t="s">
        <v>328</v>
      </c>
      <c r="O109" s="14">
        <v>2008</v>
      </c>
      <c r="P109" s="14" t="s">
        <v>302</v>
      </c>
      <c r="Q109" s="20">
        <v>3777</v>
      </c>
      <c r="T109" s="19" t="s">
        <v>334</v>
      </c>
      <c r="U109" s="14">
        <v>2007</v>
      </c>
      <c r="V109" s="14" t="s">
        <v>303</v>
      </c>
      <c r="W109" s="20">
        <v>153054</v>
      </c>
    </row>
    <row r="110" spans="1:23" ht="13.5" thickBot="1" x14ac:dyDescent="0.25">
      <c r="A110" s="21" t="s">
        <v>295</v>
      </c>
      <c r="B110" s="15">
        <v>2008</v>
      </c>
      <c r="C110" s="15" t="s">
        <v>303</v>
      </c>
      <c r="D110" s="22">
        <v>1.8</v>
      </c>
      <c r="G110" s="21" t="s">
        <v>320</v>
      </c>
      <c r="H110" s="15">
        <v>2001</v>
      </c>
      <c r="I110" s="15" t="s">
        <v>304</v>
      </c>
      <c r="J110" s="22">
        <v>4.9000000000000004</v>
      </c>
      <c r="N110" s="21" t="s">
        <v>328</v>
      </c>
      <c r="O110" s="15">
        <v>2008</v>
      </c>
      <c r="P110" s="15" t="s">
        <v>303</v>
      </c>
      <c r="Q110" s="22">
        <v>3784</v>
      </c>
      <c r="T110" s="21" t="s">
        <v>334</v>
      </c>
      <c r="U110" s="15">
        <v>2007</v>
      </c>
      <c r="V110" s="15" t="s">
        <v>304</v>
      </c>
      <c r="W110" s="22">
        <v>152749</v>
      </c>
    </row>
    <row r="111" spans="1:23" ht="13.5" thickBot="1" x14ac:dyDescent="0.25">
      <c r="A111" s="19" t="s">
        <v>295</v>
      </c>
      <c r="B111" s="14">
        <v>2008</v>
      </c>
      <c r="C111" s="14" t="s">
        <v>304</v>
      </c>
      <c r="D111" s="20">
        <v>1.8</v>
      </c>
      <c r="G111" s="19" t="s">
        <v>320</v>
      </c>
      <c r="H111" s="14">
        <v>2001</v>
      </c>
      <c r="I111" s="14" t="s">
        <v>305</v>
      </c>
      <c r="J111" s="20">
        <v>5</v>
      </c>
      <c r="N111" s="19" t="s">
        <v>328</v>
      </c>
      <c r="O111" s="14">
        <v>2008</v>
      </c>
      <c r="P111" s="14" t="s">
        <v>304</v>
      </c>
      <c r="Q111" s="20">
        <v>3643</v>
      </c>
      <c r="T111" s="19" t="s">
        <v>334</v>
      </c>
      <c r="U111" s="14">
        <v>2007</v>
      </c>
      <c r="V111" s="14" t="s">
        <v>305</v>
      </c>
      <c r="W111" s="20">
        <v>153414</v>
      </c>
    </row>
    <row r="112" spans="1:23" ht="13.5" thickBot="1" x14ac:dyDescent="0.25">
      <c r="A112" s="21" t="s">
        <v>295</v>
      </c>
      <c r="B112" s="15">
        <v>2008</v>
      </c>
      <c r="C112" s="15" t="s">
        <v>305</v>
      </c>
      <c r="D112" s="22">
        <v>1.8</v>
      </c>
      <c r="G112" s="21" t="s">
        <v>320</v>
      </c>
      <c r="H112" s="15">
        <v>2001</v>
      </c>
      <c r="I112" s="15" t="s">
        <v>306</v>
      </c>
      <c r="J112" s="22">
        <v>5.3</v>
      </c>
      <c r="N112" s="21" t="s">
        <v>328</v>
      </c>
      <c r="O112" s="15">
        <v>2008</v>
      </c>
      <c r="P112" s="15" t="s">
        <v>305</v>
      </c>
      <c r="Q112" s="22">
        <v>3233</v>
      </c>
      <c r="T112" s="21" t="s">
        <v>334</v>
      </c>
      <c r="U112" s="15">
        <v>2007</v>
      </c>
      <c r="V112" s="15" t="s">
        <v>306</v>
      </c>
      <c r="W112" s="22">
        <v>153183</v>
      </c>
    </row>
    <row r="113" spans="1:23" ht="13.5" thickBot="1" x14ac:dyDescent="0.25">
      <c r="A113" s="19" t="s">
        <v>295</v>
      </c>
      <c r="B113" s="14">
        <v>2008</v>
      </c>
      <c r="C113" s="14" t="s">
        <v>306</v>
      </c>
      <c r="D113" s="20">
        <v>1.8</v>
      </c>
      <c r="G113" s="19" t="s">
        <v>320</v>
      </c>
      <c r="H113" s="14">
        <v>2001</v>
      </c>
      <c r="I113" s="14" t="s">
        <v>307</v>
      </c>
      <c r="J113" s="20">
        <v>5.5</v>
      </c>
      <c r="N113" s="19" t="s">
        <v>328</v>
      </c>
      <c r="O113" s="14">
        <v>2008</v>
      </c>
      <c r="P113" s="14" t="s">
        <v>306</v>
      </c>
      <c r="Q113" s="20">
        <v>3384</v>
      </c>
      <c r="T113" s="19" t="s">
        <v>334</v>
      </c>
      <c r="U113" s="14">
        <v>2007</v>
      </c>
      <c r="V113" s="14" t="s">
        <v>307</v>
      </c>
      <c r="W113" s="20">
        <v>153835</v>
      </c>
    </row>
    <row r="114" spans="1:23" ht="13.5" thickBot="1" x14ac:dyDescent="0.25">
      <c r="A114" s="21" t="s">
        <v>295</v>
      </c>
      <c r="B114" s="15">
        <v>2008</v>
      </c>
      <c r="C114" s="15" t="s">
        <v>307</v>
      </c>
      <c r="D114" s="22">
        <v>1.6</v>
      </c>
      <c r="G114" s="21" t="s">
        <v>320</v>
      </c>
      <c r="H114" s="15">
        <v>2001</v>
      </c>
      <c r="I114" s="15" t="s">
        <v>296</v>
      </c>
      <c r="J114" s="22">
        <v>5.7</v>
      </c>
      <c r="N114" s="21" t="s">
        <v>328</v>
      </c>
      <c r="O114" s="15">
        <v>2008</v>
      </c>
      <c r="P114" s="15" t="s">
        <v>307</v>
      </c>
      <c r="Q114" s="22">
        <v>3155</v>
      </c>
      <c r="T114" s="21" t="s">
        <v>334</v>
      </c>
      <c r="U114" s="15">
        <v>2007</v>
      </c>
      <c r="V114" s="15" t="s">
        <v>296</v>
      </c>
      <c r="W114" s="22">
        <v>153918</v>
      </c>
    </row>
    <row r="115" spans="1:23" ht="13.5" thickBot="1" x14ac:dyDescent="0.25">
      <c r="A115" s="19" t="s">
        <v>295</v>
      </c>
      <c r="B115" s="14">
        <v>2008</v>
      </c>
      <c r="C115" s="14" t="s">
        <v>296</v>
      </c>
      <c r="D115" s="20">
        <v>1.6</v>
      </c>
      <c r="G115" s="19" t="s">
        <v>320</v>
      </c>
      <c r="H115" s="14">
        <v>2002</v>
      </c>
      <c r="I115" s="14" t="s">
        <v>297</v>
      </c>
      <c r="J115" s="20">
        <v>5.7</v>
      </c>
      <c r="N115" s="19" t="s">
        <v>328</v>
      </c>
      <c r="O115" s="14">
        <v>2008</v>
      </c>
      <c r="P115" s="14" t="s">
        <v>296</v>
      </c>
      <c r="Q115" s="20">
        <v>3011</v>
      </c>
      <c r="T115" s="19" t="s">
        <v>334</v>
      </c>
      <c r="U115" s="14">
        <v>2008</v>
      </c>
      <c r="V115" s="14" t="s">
        <v>297</v>
      </c>
      <c r="W115" s="20">
        <v>154063</v>
      </c>
    </row>
    <row r="116" spans="1:23" ht="13.5" thickBot="1" x14ac:dyDescent="0.25">
      <c r="A116" s="21" t="s">
        <v>295</v>
      </c>
      <c r="B116" s="15">
        <v>2009</v>
      </c>
      <c r="C116" s="15" t="s">
        <v>297</v>
      </c>
      <c r="D116" s="22">
        <v>1.5</v>
      </c>
      <c r="G116" s="21" t="s">
        <v>320</v>
      </c>
      <c r="H116" s="15">
        <v>2002</v>
      </c>
      <c r="I116" s="15" t="s">
        <v>298</v>
      </c>
      <c r="J116" s="22">
        <v>5.7</v>
      </c>
      <c r="N116" s="21" t="s">
        <v>328</v>
      </c>
      <c r="O116" s="15">
        <v>2009</v>
      </c>
      <c r="P116" s="15" t="s">
        <v>297</v>
      </c>
      <c r="Q116" s="22">
        <v>2853</v>
      </c>
      <c r="T116" s="21" t="s">
        <v>334</v>
      </c>
      <c r="U116" s="15">
        <v>2008</v>
      </c>
      <c r="V116" s="15" t="s">
        <v>298</v>
      </c>
      <c r="W116" s="22">
        <v>153653</v>
      </c>
    </row>
    <row r="117" spans="1:23" ht="13.5" thickBot="1" x14ac:dyDescent="0.25">
      <c r="A117" s="19" t="s">
        <v>295</v>
      </c>
      <c r="B117" s="14">
        <v>2009</v>
      </c>
      <c r="C117" s="14" t="s">
        <v>298</v>
      </c>
      <c r="D117" s="20">
        <v>1.4</v>
      </c>
      <c r="G117" s="19" t="s">
        <v>320</v>
      </c>
      <c r="H117" s="14">
        <v>2002</v>
      </c>
      <c r="I117" s="14" t="s">
        <v>299</v>
      </c>
      <c r="J117" s="20">
        <v>5.7</v>
      </c>
      <c r="N117" s="19" t="s">
        <v>328</v>
      </c>
      <c r="O117" s="14">
        <v>2009</v>
      </c>
      <c r="P117" s="14" t="s">
        <v>298</v>
      </c>
      <c r="Q117" s="20">
        <v>2807</v>
      </c>
      <c r="T117" s="19" t="s">
        <v>334</v>
      </c>
      <c r="U117" s="14">
        <v>2008</v>
      </c>
      <c r="V117" s="14" t="s">
        <v>299</v>
      </c>
      <c r="W117" s="20">
        <v>153908</v>
      </c>
    </row>
    <row r="118" spans="1:23" ht="13.5" thickBot="1" x14ac:dyDescent="0.25">
      <c r="A118" s="21" t="s">
        <v>295</v>
      </c>
      <c r="B118" s="15">
        <v>2009</v>
      </c>
      <c r="C118" s="15" t="s">
        <v>299</v>
      </c>
      <c r="D118" s="22">
        <v>1.4</v>
      </c>
      <c r="G118" s="21" t="s">
        <v>320</v>
      </c>
      <c r="H118" s="15">
        <v>2002</v>
      </c>
      <c r="I118" s="15" t="s">
        <v>300</v>
      </c>
      <c r="J118" s="22">
        <v>5.9</v>
      </c>
      <c r="N118" s="21" t="s">
        <v>328</v>
      </c>
      <c r="O118" s="15">
        <v>2009</v>
      </c>
      <c r="P118" s="15" t="s">
        <v>299</v>
      </c>
      <c r="Q118" s="22">
        <v>2550</v>
      </c>
      <c r="T118" s="21" t="s">
        <v>334</v>
      </c>
      <c r="U118" s="15">
        <v>2008</v>
      </c>
      <c r="V118" s="15" t="s">
        <v>300</v>
      </c>
      <c r="W118" s="22">
        <v>153769</v>
      </c>
    </row>
    <row r="119" spans="1:23" ht="13.5" thickBot="1" x14ac:dyDescent="0.25">
      <c r="A119" s="19" t="s">
        <v>295</v>
      </c>
      <c r="B119" s="14">
        <v>2009</v>
      </c>
      <c r="C119" s="14" t="s">
        <v>300</v>
      </c>
      <c r="D119" s="20">
        <v>1.3</v>
      </c>
      <c r="G119" s="19" t="s">
        <v>320</v>
      </c>
      <c r="H119" s="14">
        <v>2002</v>
      </c>
      <c r="I119" s="14" t="s">
        <v>301</v>
      </c>
      <c r="J119" s="20">
        <v>5.8</v>
      </c>
      <c r="N119" s="19" t="s">
        <v>328</v>
      </c>
      <c r="O119" s="14">
        <v>2009</v>
      </c>
      <c r="P119" s="14" t="s">
        <v>300</v>
      </c>
      <c r="Q119" s="20">
        <v>2292</v>
      </c>
      <c r="T119" s="19" t="s">
        <v>334</v>
      </c>
      <c r="U119" s="14">
        <v>2008</v>
      </c>
      <c r="V119" s="14" t="s">
        <v>301</v>
      </c>
      <c r="W119" s="20">
        <v>154303</v>
      </c>
    </row>
    <row r="120" spans="1:23" ht="13.5" thickBot="1" x14ac:dyDescent="0.25">
      <c r="A120" s="21" t="s">
        <v>295</v>
      </c>
      <c r="B120" s="15">
        <v>2009</v>
      </c>
      <c r="C120" s="15" t="s">
        <v>301</v>
      </c>
      <c r="D120" s="22">
        <v>1.3</v>
      </c>
      <c r="G120" s="21" t="s">
        <v>320</v>
      </c>
      <c r="H120" s="15">
        <v>2002</v>
      </c>
      <c r="I120" s="15" t="s">
        <v>302</v>
      </c>
      <c r="J120" s="22">
        <v>5.8</v>
      </c>
      <c r="N120" s="21" t="s">
        <v>328</v>
      </c>
      <c r="O120" s="15">
        <v>2009</v>
      </c>
      <c r="P120" s="15" t="s">
        <v>301</v>
      </c>
      <c r="Q120" s="22">
        <v>2415</v>
      </c>
      <c r="T120" s="21" t="s">
        <v>334</v>
      </c>
      <c r="U120" s="15">
        <v>2008</v>
      </c>
      <c r="V120" s="15" t="s">
        <v>302</v>
      </c>
      <c r="W120" s="22">
        <v>154313</v>
      </c>
    </row>
    <row r="121" spans="1:23" ht="13.5" thickBot="1" x14ac:dyDescent="0.25">
      <c r="A121" s="19" t="s">
        <v>295</v>
      </c>
      <c r="B121" s="14">
        <v>2009</v>
      </c>
      <c r="C121" s="14" t="s">
        <v>302</v>
      </c>
      <c r="D121" s="20">
        <v>1.3</v>
      </c>
      <c r="G121" s="19" t="s">
        <v>320</v>
      </c>
      <c r="H121" s="14">
        <v>2002</v>
      </c>
      <c r="I121" s="14" t="s">
        <v>303</v>
      </c>
      <c r="J121" s="20">
        <v>5.8</v>
      </c>
      <c r="N121" s="19" t="s">
        <v>328</v>
      </c>
      <c r="O121" s="14">
        <v>2009</v>
      </c>
      <c r="P121" s="14" t="s">
        <v>302</v>
      </c>
      <c r="Q121" s="20">
        <v>2377</v>
      </c>
      <c r="T121" s="19" t="s">
        <v>334</v>
      </c>
      <c r="U121" s="14">
        <v>2008</v>
      </c>
      <c r="V121" s="14" t="s">
        <v>303</v>
      </c>
      <c r="W121" s="20">
        <v>154469</v>
      </c>
    </row>
    <row r="122" spans="1:23" ht="13.5" thickBot="1" x14ac:dyDescent="0.25">
      <c r="A122" s="21" t="s">
        <v>295</v>
      </c>
      <c r="B122" s="15">
        <v>2009</v>
      </c>
      <c r="C122" s="15" t="s">
        <v>303</v>
      </c>
      <c r="D122" s="22">
        <v>1.3</v>
      </c>
      <c r="G122" s="21" t="s">
        <v>320</v>
      </c>
      <c r="H122" s="15">
        <v>2002</v>
      </c>
      <c r="I122" s="15" t="s">
        <v>304</v>
      </c>
      <c r="J122" s="22">
        <v>5.7</v>
      </c>
      <c r="N122" s="21" t="s">
        <v>328</v>
      </c>
      <c r="O122" s="15">
        <v>2009</v>
      </c>
      <c r="P122" s="15" t="s">
        <v>303</v>
      </c>
      <c r="Q122" s="22">
        <v>2179</v>
      </c>
      <c r="T122" s="21" t="s">
        <v>334</v>
      </c>
      <c r="U122" s="15">
        <v>2008</v>
      </c>
      <c r="V122" s="15" t="s">
        <v>304</v>
      </c>
      <c r="W122" s="22">
        <v>154641</v>
      </c>
    </row>
    <row r="123" spans="1:23" ht="13.5" thickBot="1" x14ac:dyDescent="0.25">
      <c r="A123" s="19" t="s">
        <v>295</v>
      </c>
      <c r="B123" s="14">
        <v>2009</v>
      </c>
      <c r="C123" s="14" t="s">
        <v>304</v>
      </c>
      <c r="D123" s="20">
        <v>1.3</v>
      </c>
      <c r="G123" s="19" t="s">
        <v>320</v>
      </c>
      <c r="H123" s="14">
        <v>2002</v>
      </c>
      <c r="I123" s="14" t="s">
        <v>305</v>
      </c>
      <c r="J123" s="20">
        <v>5.7</v>
      </c>
      <c r="N123" s="19" t="s">
        <v>328</v>
      </c>
      <c r="O123" s="14">
        <v>2009</v>
      </c>
      <c r="P123" s="14" t="s">
        <v>304</v>
      </c>
      <c r="Q123" s="20">
        <v>2282</v>
      </c>
      <c r="T123" s="19" t="s">
        <v>334</v>
      </c>
      <c r="U123" s="14">
        <v>2008</v>
      </c>
      <c r="V123" s="14" t="s">
        <v>305</v>
      </c>
      <c r="W123" s="20">
        <v>154570</v>
      </c>
    </row>
    <row r="124" spans="1:23" ht="13.5" thickBot="1" x14ac:dyDescent="0.25">
      <c r="A124" s="21" t="s">
        <v>295</v>
      </c>
      <c r="B124" s="15">
        <v>2009</v>
      </c>
      <c r="C124" s="15" t="s">
        <v>305</v>
      </c>
      <c r="D124" s="22">
        <v>1.2</v>
      </c>
      <c r="G124" s="21" t="s">
        <v>320</v>
      </c>
      <c r="H124" s="15">
        <v>2002</v>
      </c>
      <c r="I124" s="15" t="s">
        <v>306</v>
      </c>
      <c r="J124" s="22">
        <v>5.7</v>
      </c>
      <c r="N124" s="21" t="s">
        <v>328</v>
      </c>
      <c r="O124" s="15">
        <v>2009</v>
      </c>
      <c r="P124" s="15" t="s">
        <v>305</v>
      </c>
      <c r="Q124" s="22">
        <v>2477</v>
      </c>
      <c r="T124" s="21" t="s">
        <v>334</v>
      </c>
      <c r="U124" s="15">
        <v>2008</v>
      </c>
      <c r="V124" s="15" t="s">
        <v>306</v>
      </c>
      <c r="W124" s="22">
        <v>154876</v>
      </c>
    </row>
    <row r="125" spans="1:23" ht="13.5" thickBot="1" x14ac:dyDescent="0.25">
      <c r="A125" s="19" t="s">
        <v>295</v>
      </c>
      <c r="B125" s="14">
        <v>2009</v>
      </c>
      <c r="C125" s="14" t="s">
        <v>306</v>
      </c>
      <c r="D125" s="20">
        <v>1.3</v>
      </c>
      <c r="G125" s="19" t="s">
        <v>320</v>
      </c>
      <c r="H125" s="14">
        <v>2002</v>
      </c>
      <c r="I125" s="14" t="s">
        <v>307</v>
      </c>
      <c r="J125" s="20">
        <v>5.9</v>
      </c>
      <c r="N125" s="19" t="s">
        <v>328</v>
      </c>
      <c r="O125" s="14">
        <v>2009</v>
      </c>
      <c r="P125" s="14" t="s">
        <v>306</v>
      </c>
      <c r="Q125" s="20">
        <v>2409</v>
      </c>
      <c r="T125" s="19" t="s">
        <v>334</v>
      </c>
      <c r="U125" s="14">
        <v>2008</v>
      </c>
      <c r="V125" s="14" t="s">
        <v>307</v>
      </c>
      <c r="W125" s="20">
        <v>154639</v>
      </c>
    </row>
    <row r="126" spans="1:23" ht="13.5" thickBot="1" x14ac:dyDescent="0.25">
      <c r="A126" s="21" t="s">
        <v>295</v>
      </c>
      <c r="B126" s="15">
        <v>2009</v>
      </c>
      <c r="C126" s="15" t="s">
        <v>307</v>
      </c>
      <c r="D126" s="22">
        <v>1.4</v>
      </c>
      <c r="G126" s="21" t="s">
        <v>320</v>
      </c>
      <c r="H126" s="15">
        <v>2002</v>
      </c>
      <c r="I126" s="15" t="s">
        <v>296</v>
      </c>
      <c r="J126" s="22">
        <v>6</v>
      </c>
      <c r="N126" s="21" t="s">
        <v>328</v>
      </c>
      <c r="O126" s="15">
        <v>2009</v>
      </c>
      <c r="P126" s="15" t="s">
        <v>307</v>
      </c>
      <c r="Q126" s="22">
        <v>2390</v>
      </c>
      <c r="T126" s="21" t="s">
        <v>334</v>
      </c>
      <c r="U126" s="15">
        <v>2008</v>
      </c>
      <c r="V126" s="15" t="s">
        <v>296</v>
      </c>
      <c r="W126" s="22">
        <v>154655</v>
      </c>
    </row>
    <row r="127" spans="1:23" ht="13.5" thickBot="1" x14ac:dyDescent="0.25">
      <c r="A127" s="19" t="s">
        <v>295</v>
      </c>
      <c r="B127" s="14">
        <v>2009</v>
      </c>
      <c r="C127" s="14" t="s">
        <v>296</v>
      </c>
      <c r="D127" s="20">
        <v>1.3</v>
      </c>
      <c r="G127" s="19" t="s">
        <v>320</v>
      </c>
      <c r="H127" s="14">
        <v>2003</v>
      </c>
      <c r="I127" s="14" t="s">
        <v>297</v>
      </c>
      <c r="J127" s="20">
        <v>5.8</v>
      </c>
      <c r="N127" s="19" t="s">
        <v>328</v>
      </c>
      <c r="O127" s="14">
        <v>2009</v>
      </c>
      <c r="P127" s="14" t="s">
        <v>296</v>
      </c>
      <c r="Q127" s="20">
        <v>2451</v>
      </c>
      <c r="T127" s="19" t="s">
        <v>334</v>
      </c>
      <c r="U127" s="14">
        <v>2009</v>
      </c>
      <c r="V127" s="14" t="s">
        <v>297</v>
      </c>
      <c r="W127" s="20">
        <v>154232</v>
      </c>
    </row>
    <row r="128" spans="1:23" ht="13.5" thickBot="1" x14ac:dyDescent="0.25">
      <c r="A128" s="21" t="s">
        <v>295</v>
      </c>
      <c r="B128" s="15">
        <v>2010</v>
      </c>
      <c r="C128" s="15" t="s">
        <v>297</v>
      </c>
      <c r="D128" s="22">
        <v>1.3</v>
      </c>
      <c r="G128" s="21" t="s">
        <v>320</v>
      </c>
      <c r="H128" s="15">
        <v>2003</v>
      </c>
      <c r="I128" s="15" t="s">
        <v>298</v>
      </c>
      <c r="J128" s="22">
        <v>5.9</v>
      </c>
      <c r="N128" s="21" t="s">
        <v>328</v>
      </c>
      <c r="O128" s="15">
        <v>2010</v>
      </c>
      <c r="P128" s="15" t="s">
        <v>297</v>
      </c>
      <c r="Q128" s="22">
        <v>2751</v>
      </c>
      <c r="T128" s="21" t="s">
        <v>334</v>
      </c>
      <c r="U128" s="15">
        <v>2009</v>
      </c>
      <c r="V128" s="15" t="s">
        <v>298</v>
      </c>
      <c r="W128" s="22">
        <v>154526</v>
      </c>
    </row>
    <row r="129" spans="1:23" ht="13.5" thickBot="1" x14ac:dyDescent="0.25">
      <c r="A129" s="19" t="s">
        <v>295</v>
      </c>
      <c r="B129" s="14">
        <v>2010</v>
      </c>
      <c r="C129" s="14" t="s">
        <v>298</v>
      </c>
      <c r="D129" s="20">
        <v>1.4</v>
      </c>
      <c r="G129" s="19" t="s">
        <v>320</v>
      </c>
      <c r="H129" s="14">
        <v>2003</v>
      </c>
      <c r="I129" s="14" t="s">
        <v>299</v>
      </c>
      <c r="J129" s="20">
        <v>5.9</v>
      </c>
      <c r="N129" s="19" t="s">
        <v>328</v>
      </c>
      <c r="O129" s="14">
        <v>2010</v>
      </c>
      <c r="P129" s="14" t="s">
        <v>298</v>
      </c>
      <c r="Q129" s="20">
        <v>2577</v>
      </c>
      <c r="T129" s="19" t="s">
        <v>334</v>
      </c>
      <c r="U129" s="14">
        <v>2009</v>
      </c>
      <c r="V129" s="14" t="s">
        <v>299</v>
      </c>
      <c r="W129" s="20">
        <v>154142</v>
      </c>
    </row>
    <row r="130" spans="1:23" ht="13.5" thickBot="1" x14ac:dyDescent="0.25">
      <c r="A130" s="21" t="s">
        <v>295</v>
      </c>
      <c r="B130" s="15">
        <v>2010</v>
      </c>
      <c r="C130" s="15" t="s">
        <v>299</v>
      </c>
      <c r="D130" s="22">
        <v>1.4</v>
      </c>
      <c r="G130" s="21" t="s">
        <v>320</v>
      </c>
      <c r="H130" s="15">
        <v>2003</v>
      </c>
      <c r="I130" s="15" t="s">
        <v>300</v>
      </c>
      <c r="J130" s="22">
        <v>6</v>
      </c>
      <c r="N130" s="21" t="s">
        <v>328</v>
      </c>
      <c r="O130" s="15">
        <v>2010</v>
      </c>
      <c r="P130" s="15" t="s">
        <v>299</v>
      </c>
      <c r="Q130" s="22">
        <v>2614</v>
      </c>
      <c r="T130" s="21" t="s">
        <v>334</v>
      </c>
      <c r="U130" s="15">
        <v>2009</v>
      </c>
      <c r="V130" s="15" t="s">
        <v>300</v>
      </c>
      <c r="W130" s="22">
        <v>154479</v>
      </c>
    </row>
    <row r="131" spans="1:23" ht="13.5" thickBot="1" x14ac:dyDescent="0.25">
      <c r="A131" s="19" t="s">
        <v>295</v>
      </c>
      <c r="B131" s="14">
        <v>2010</v>
      </c>
      <c r="C131" s="14" t="s">
        <v>300</v>
      </c>
      <c r="D131" s="20">
        <v>1.5</v>
      </c>
      <c r="G131" s="19" t="s">
        <v>320</v>
      </c>
      <c r="H131" s="14">
        <v>2003</v>
      </c>
      <c r="I131" s="14" t="s">
        <v>301</v>
      </c>
      <c r="J131" s="20">
        <v>6.1</v>
      </c>
      <c r="N131" s="19" t="s">
        <v>328</v>
      </c>
      <c r="O131" s="14">
        <v>2010</v>
      </c>
      <c r="P131" s="14" t="s">
        <v>300</v>
      </c>
      <c r="Q131" s="20">
        <v>3142</v>
      </c>
      <c r="T131" s="19" t="s">
        <v>334</v>
      </c>
      <c r="U131" s="14">
        <v>2009</v>
      </c>
      <c r="V131" s="14" t="s">
        <v>301</v>
      </c>
      <c r="W131" s="20">
        <v>154742</v>
      </c>
    </row>
    <row r="132" spans="1:23" ht="13.5" thickBot="1" x14ac:dyDescent="0.25">
      <c r="A132" s="21" t="s">
        <v>295</v>
      </c>
      <c r="B132" s="15">
        <v>2010</v>
      </c>
      <c r="C132" s="15" t="s">
        <v>301</v>
      </c>
      <c r="D132" s="22">
        <v>1.4</v>
      </c>
      <c r="G132" s="21" t="s">
        <v>320</v>
      </c>
      <c r="H132" s="15">
        <v>2003</v>
      </c>
      <c r="I132" s="15" t="s">
        <v>302</v>
      </c>
      <c r="J132" s="22">
        <v>6.3</v>
      </c>
      <c r="N132" s="21" t="s">
        <v>328</v>
      </c>
      <c r="O132" s="15">
        <v>2010</v>
      </c>
      <c r="P132" s="15" t="s">
        <v>301</v>
      </c>
      <c r="Q132" s="22">
        <v>2849</v>
      </c>
      <c r="T132" s="21" t="s">
        <v>334</v>
      </c>
      <c r="U132" s="15">
        <v>2009</v>
      </c>
      <c r="V132" s="15" t="s">
        <v>302</v>
      </c>
      <c r="W132" s="22">
        <v>154710</v>
      </c>
    </row>
    <row r="133" spans="1:23" ht="13.5" thickBot="1" x14ac:dyDescent="0.25">
      <c r="A133" s="19" t="s">
        <v>295</v>
      </c>
      <c r="B133" s="14">
        <v>2010</v>
      </c>
      <c r="C133" s="14" t="s">
        <v>302</v>
      </c>
      <c r="D133" s="20">
        <v>1.5</v>
      </c>
      <c r="G133" s="19" t="s">
        <v>320</v>
      </c>
      <c r="H133" s="14">
        <v>2003</v>
      </c>
      <c r="I133" s="14" t="s">
        <v>303</v>
      </c>
      <c r="J133" s="20">
        <v>6.2</v>
      </c>
      <c r="N133" s="19" t="s">
        <v>328</v>
      </c>
      <c r="O133" s="14">
        <v>2010</v>
      </c>
      <c r="P133" s="14" t="s">
        <v>302</v>
      </c>
      <c r="Q133" s="20">
        <v>2645</v>
      </c>
      <c r="T133" s="19" t="s">
        <v>334</v>
      </c>
      <c r="U133" s="14">
        <v>2009</v>
      </c>
      <c r="V133" s="14" t="s">
        <v>303</v>
      </c>
      <c r="W133" s="20">
        <v>154505</v>
      </c>
    </row>
    <row r="134" spans="1:23" ht="13.5" thickBot="1" x14ac:dyDescent="0.25">
      <c r="A134" s="21" t="s">
        <v>295</v>
      </c>
      <c r="B134" s="15">
        <v>2010</v>
      </c>
      <c r="C134" s="15" t="s">
        <v>303</v>
      </c>
      <c r="D134" s="22">
        <v>1.4</v>
      </c>
      <c r="G134" s="21" t="s">
        <v>320</v>
      </c>
      <c r="H134" s="15">
        <v>2003</v>
      </c>
      <c r="I134" s="15" t="s">
        <v>304</v>
      </c>
      <c r="J134" s="22">
        <v>6.1</v>
      </c>
      <c r="N134" s="21" t="s">
        <v>328</v>
      </c>
      <c r="O134" s="15">
        <v>2010</v>
      </c>
      <c r="P134" s="15" t="s">
        <v>303</v>
      </c>
      <c r="Q134" s="22">
        <v>2922</v>
      </c>
      <c r="T134" s="21" t="s">
        <v>334</v>
      </c>
      <c r="U134" s="15">
        <v>2009</v>
      </c>
      <c r="V134" s="15" t="s">
        <v>304</v>
      </c>
      <c r="W134" s="22">
        <v>154300</v>
      </c>
    </row>
    <row r="135" spans="1:23" ht="13.5" thickBot="1" x14ac:dyDescent="0.25">
      <c r="A135" s="19" t="s">
        <v>295</v>
      </c>
      <c r="B135" s="14">
        <v>2010</v>
      </c>
      <c r="C135" s="14" t="s">
        <v>304</v>
      </c>
      <c r="D135" s="20">
        <v>1.4</v>
      </c>
      <c r="G135" s="19" t="s">
        <v>320</v>
      </c>
      <c r="H135" s="14">
        <v>2003</v>
      </c>
      <c r="I135" s="14" t="s">
        <v>305</v>
      </c>
      <c r="J135" s="20">
        <v>6.1</v>
      </c>
      <c r="N135" s="19" t="s">
        <v>328</v>
      </c>
      <c r="O135" s="14">
        <v>2010</v>
      </c>
      <c r="P135" s="14" t="s">
        <v>304</v>
      </c>
      <c r="Q135" s="20">
        <v>2905</v>
      </c>
      <c r="T135" s="19" t="s">
        <v>334</v>
      </c>
      <c r="U135" s="14">
        <v>2009</v>
      </c>
      <c r="V135" s="14" t="s">
        <v>305</v>
      </c>
      <c r="W135" s="20">
        <v>153815</v>
      </c>
    </row>
    <row r="136" spans="1:23" ht="13.5" thickBot="1" x14ac:dyDescent="0.25">
      <c r="A136" s="21" t="s">
        <v>295</v>
      </c>
      <c r="B136" s="15">
        <v>2010</v>
      </c>
      <c r="C136" s="15" t="s">
        <v>305</v>
      </c>
      <c r="D136" s="22">
        <v>1.5</v>
      </c>
      <c r="G136" s="21" t="s">
        <v>320</v>
      </c>
      <c r="H136" s="15">
        <v>2003</v>
      </c>
      <c r="I136" s="15" t="s">
        <v>306</v>
      </c>
      <c r="J136" s="22">
        <v>6</v>
      </c>
      <c r="N136" s="21" t="s">
        <v>328</v>
      </c>
      <c r="O136" s="15">
        <v>2010</v>
      </c>
      <c r="P136" s="15" t="s">
        <v>305</v>
      </c>
      <c r="Q136" s="22">
        <v>2784</v>
      </c>
      <c r="T136" s="21" t="s">
        <v>334</v>
      </c>
      <c r="U136" s="15">
        <v>2009</v>
      </c>
      <c r="V136" s="15" t="s">
        <v>306</v>
      </c>
      <c r="W136" s="22">
        <v>153804</v>
      </c>
    </row>
    <row r="137" spans="1:23" ht="13.5" thickBot="1" x14ac:dyDescent="0.25">
      <c r="A137" s="19" t="s">
        <v>295</v>
      </c>
      <c r="B137" s="14">
        <v>2010</v>
      </c>
      <c r="C137" s="14" t="s">
        <v>306</v>
      </c>
      <c r="D137" s="20">
        <v>1.4</v>
      </c>
      <c r="G137" s="19" t="s">
        <v>320</v>
      </c>
      <c r="H137" s="14">
        <v>2003</v>
      </c>
      <c r="I137" s="14" t="s">
        <v>307</v>
      </c>
      <c r="J137" s="20">
        <v>5.8</v>
      </c>
      <c r="N137" s="19" t="s">
        <v>328</v>
      </c>
      <c r="O137" s="14">
        <v>2010</v>
      </c>
      <c r="P137" s="14" t="s">
        <v>306</v>
      </c>
      <c r="Q137" s="20">
        <v>3033</v>
      </c>
      <c r="T137" s="19" t="s">
        <v>334</v>
      </c>
      <c r="U137" s="14">
        <v>2009</v>
      </c>
      <c r="V137" s="14" t="s">
        <v>307</v>
      </c>
      <c r="W137" s="20">
        <v>153887</v>
      </c>
    </row>
    <row r="138" spans="1:23" ht="13.5" thickBot="1" x14ac:dyDescent="0.25">
      <c r="A138" s="21" t="s">
        <v>295</v>
      </c>
      <c r="B138" s="15">
        <v>2010</v>
      </c>
      <c r="C138" s="15" t="s">
        <v>307</v>
      </c>
      <c r="D138" s="22">
        <v>1.4</v>
      </c>
      <c r="G138" s="21" t="s">
        <v>320</v>
      </c>
      <c r="H138" s="15">
        <v>2003</v>
      </c>
      <c r="I138" s="15" t="s">
        <v>296</v>
      </c>
      <c r="J138" s="22">
        <v>5.7</v>
      </c>
      <c r="N138" s="21" t="s">
        <v>328</v>
      </c>
      <c r="O138" s="15">
        <v>2010</v>
      </c>
      <c r="P138" s="15" t="s">
        <v>307</v>
      </c>
      <c r="Q138" s="22">
        <v>3051</v>
      </c>
      <c r="T138" s="21" t="s">
        <v>334</v>
      </c>
      <c r="U138" s="15">
        <v>2009</v>
      </c>
      <c r="V138" s="15" t="s">
        <v>296</v>
      </c>
      <c r="W138" s="22">
        <v>153120</v>
      </c>
    </row>
    <row r="139" spans="1:23" ht="13.5" thickBot="1" x14ac:dyDescent="0.25">
      <c r="A139" s="19" t="s">
        <v>295</v>
      </c>
      <c r="B139" s="14">
        <v>2010</v>
      </c>
      <c r="C139" s="14" t="s">
        <v>296</v>
      </c>
      <c r="D139" s="20">
        <v>1.5</v>
      </c>
      <c r="G139" s="19" t="s">
        <v>320</v>
      </c>
      <c r="H139" s="14">
        <v>2004</v>
      </c>
      <c r="I139" s="14" t="s">
        <v>297</v>
      </c>
      <c r="J139" s="20">
        <v>5.7</v>
      </c>
      <c r="N139" s="19" t="s">
        <v>328</v>
      </c>
      <c r="O139" s="14">
        <v>2010</v>
      </c>
      <c r="P139" s="14" t="s">
        <v>296</v>
      </c>
      <c r="Q139" s="20">
        <v>2930</v>
      </c>
      <c r="T139" s="19" t="s">
        <v>334</v>
      </c>
      <c r="U139" s="14">
        <v>2010</v>
      </c>
      <c r="V139" s="14" t="s">
        <v>297</v>
      </c>
      <c r="W139" s="20">
        <v>153455</v>
      </c>
    </row>
    <row r="140" spans="1:23" ht="13.5" thickBot="1" x14ac:dyDescent="0.25">
      <c r="A140" s="21" t="s">
        <v>295</v>
      </c>
      <c r="B140" s="15">
        <v>2011</v>
      </c>
      <c r="C140" s="15" t="s">
        <v>297</v>
      </c>
      <c r="D140" s="22">
        <v>1.4</v>
      </c>
      <c r="G140" s="21" t="s">
        <v>320</v>
      </c>
      <c r="H140" s="15">
        <v>2004</v>
      </c>
      <c r="I140" s="15" t="s">
        <v>298</v>
      </c>
      <c r="J140" s="22">
        <v>5.6</v>
      </c>
      <c r="N140" s="21" t="s">
        <v>328</v>
      </c>
      <c r="O140" s="15">
        <v>2011</v>
      </c>
      <c r="P140" s="15" t="s">
        <v>297</v>
      </c>
      <c r="Q140" s="22">
        <v>2868</v>
      </c>
      <c r="T140" s="21" t="s">
        <v>334</v>
      </c>
      <c r="U140" s="15">
        <v>2010</v>
      </c>
      <c r="V140" s="15" t="s">
        <v>298</v>
      </c>
      <c r="W140" s="22">
        <v>153702</v>
      </c>
    </row>
    <row r="141" spans="1:23" ht="13.5" thickBot="1" x14ac:dyDescent="0.25">
      <c r="A141" s="19" t="s">
        <v>295</v>
      </c>
      <c r="B141" s="14">
        <v>2011</v>
      </c>
      <c r="C141" s="14" t="s">
        <v>298</v>
      </c>
      <c r="D141" s="20">
        <v>1.5</v>
      </c>
      <c r="G141" s="19" t="s">
        <v>320</v>
      </c>
      <c r="H141" s="14">
        <v>2004</v>
      </c>
      <c r="I141" s="14" t="s">
        <v>299</v>
      </c>
      <c r="J141" s="20">
        <v>5.8</v>
      </c>
      <c r="N141" s="19" t="s">
        <v>328</v>
      </c>
      <c r="O141" s="14">
        <v>2011</v>
      </c>
      <c r="P141" s="14" t="s">
        <v>298</v>
      </c>
      <c r="Q141" s="20">
        <v>3017</v>
      </c>
      <c r="T141" s="19" t="s">
        <v>334</v>
      </c>
      <c r="U141" s="14">
        <v>2010</v>
      </c>
      <c r="V141" s="14" t="s">
        <v>299</v>
      </c>
      <c r="W141" s="20">
        <v>153960</v>
      </c>
    </row>
    <row r="142" spans="1:23" ht="13.5" thickBot="1" x14ac:dyDescent="0.25">
      <c r="A142" s="21" t="s">
        <v>295</v>
      </c>
      <c r="B142" s="15">
        <v>2011</v>
      </c>
      <c r="C142" s="15" t="s">
        <v>299</v>
      </c>
      <c r="D142" s="22">
        <v>1.5</v>
      </c>
      <c r="G142" s="21" t="s">
        <v>320</v>
      </c>
      <c r="H142" s="15">
        <v>2004</v>
      </c>
      <c r="I142" s="15" t="s">
        <v>300</v>
      </c>
      <c r="J142" s="22">
        <v>5.6</v>
      </c>
      <c r="N142" s="21" t="s">
        <v>328</v>
      </c>
      <c r="O142" s="15">
        <v>2011</v>
      </c>
      <c r="P142" s="15" t="s">
        <v>299</v>
      </c>
      <c r="Q142" s="22">
        <v>3104</v>
      </c>
      <c r="T142" s="21" t="s">
        <v>334</v>
      </c>
      <c r="U142" s="15">
        <v>2010</v>
      </c>
      <c r="V142" s="15" t="s">
        <v>300</v>
      </c>
      <c r="W142" s="22">
        <v>154577</v>
      </c>
    </row>
    <row r="143" spans="1:23" ht="13.5" thickBot="1" x14ac:dyDescent="0.25">
      <c r="A143" s="19" t="s">
        <v>295</v>
      </c>
      <c r="B143" s="14">
        <v>2011</v>
      </c>
      <c r="C143" s="14" t="s">
        <v>300</v>
      </c>
      <c r="D143" s="20">
        <v>1.4</v>
      </c>
      <c r="G143" s="19" t="s">
        <v>320</v>
      </c>
      <c r="H143" s="14">
        <v>2004</v>
      </c>
      <c r="I143" s="14" t="s">
        <v>301</v>
      </c>
      <c r="J143" s="20">
        <v>5.6</v>
      </c>
      <c r="N143" s="19" t="s">
        <v>328</v>
      </c>
      <c r="O143" s="14">
        <v>2011</v>
      </c>
      <c r="P143" s="14" t="s">
        <v>300</v>
      </c>
      <c r="Q143" s="20">
        <v>3025</v>
      </c>
      <c r="T143" s="19" t="s">
        <v>334</v>
      </c>
      <c r="U143" s="14">
        <v>2010</v>
      </c>
      <c r="V143" s="14" t="s">
        <v>301</v>
      </c>
      <c r="W143" s="20">
        <v>154110</v>
      </c>
    </row>
    <row r="144" spans="1:23" ht="13.5" thickBot="1" x14ac:dyDescent="0.25">
      <c r="A144" s="21" t="s">
        <v>295</v>
      </c>
      <c r="B144" s="15">
        <v>2011</v>
      </c>
      <c r="C144" s="15" t="s">
        <v>301</v>
      </c>
      <c r="D144" s="22">
        <v>1.5</v>
      </c>
      <c r="G144" s="21" t="s">
        <v>320</v>
      </c>
      <c r="H144" s="15">
        <v>2004</v>
      </c>
      <c r="I144" s="15" t="s">
        <v>302</v>
      </c>
      <c r="J144" s="22">
        <v>5.6</v>
      </c>
      <c r="N144" s="21" t="s">
        <v>328</v>
      </c>
      <c r="O144" s="15">
        <v>2011</v>
      </c>
      <c r="P144" s="15" t="s">
        <v>301</v>
      </c>
      <c r="Q144" s="22">
        <v>2937</v>
      </c>
      <c r="T144" s="21" t="s">
        <v>334</v>
      </c>
      <c r="U144" s="15">
        <v>2010</v>
      </c>
      <c r="V144" s="15" t="s">
        <v>302</v>
      </c>
      <c r="W144" s="22">
        <v>153623</v>
      </c>
    </row>
    <row r="145" spans="1:23" ht="13.5" thickBot="1" x14ac:dyDescent="0.25">
      <c r="A145" s="19" t="s">
        <v>295</v>
      </c>
      <c r="B145" s="14">
        <v>2011</v>
      </c>
      <c r="C145" s="14" t="s">
        <v>302</v>
      </c>
      <c r="D145" s="20">
        <v>1.4</v>
      </c>
      <c r="G145" s="19" t="s">
        <v>320</v>
      </c>
      <c r="H145" s="14">
        <v>2004</v>
      </c>
      <c r="I145" s="14" t="s">
        <v>303</v>
      </c>
      <c r="J145" s="20">
        <v>5.5</v>
      </c>
      <c r="N145" s="19" t="s">
        <v>328</v>
      </c>
      <c r="O145" s="14">
        <v>2011</v>
      </c>
      <c r="P145" s="14" t="s">
        <v>302</v>
      </c>
      <c r="Q145" s="20">
        <v>3180</v>
      </c>
      <c r="T145" s="19" t="s">
        <v>334</v>
      </c>
      <c r="U145" s="14">
        <v>2010</v>
      </c>
      <c r="V145" s="14" t="s">
        <v>303</v>
      </c>
      <c r="W145" s="20">
        <v>153709</v>
      </c>
    </row>
    <row r="146" spans="1:23" ht="13.5" thickBot="1" x14ac:dyDescent="0.25">
      <c r="A146" s="21" t="s">
        <v>295</v>
      </c>
      <c r="B146" s="15">
        <v>2011</v>
      </c>
      <c r="C146" s="15" t="s">
        <v>303</v>
      </c>
      <c r="D146" s="22">
        <v>1.5</v>
      </c>
      <c r="G146" s="21" t="s">
        <v>320</v>
      </c>
      <c r="H146" s="15">
        <v>2004</v>
      </c>
      <c r="I146" s="15" t="s">
        <v>304</v>
      </c>
      <c r="J146" s="22">
        <v>5.4</v>
      </c>
      <c r="N146" s="21" t="s">
        <v>328</v>
      </c>
      <c r="O146" s="15">
        <v>2011</v>
      </c>
      <c r="P146" s="15" t="s">
        <v>303</v>
      </c>
      <c r="Q146" s="22">
        <v>3286</v>
      </c>
      <c r="T146" s="21" t="s">
        <v>334</v>
      </c>
      <c r="U146" s="15">
        <v>2010</v>
      </c>
      <c r="V146" s="15" t="s">
        <v>304</v>
      </c>
      <c r="W146" s="22">
        <v>154078</v>
      </c>
    </row>
    <row r="147" spans="1:23" ht="13.5" thickBot="1" x14ac:dyDescent="0.25">
      <c r="A147" s="19" t="s">
        <v>295</v>
      </c>
      <c r="B147" s="14">
        <v>2011</v>
      </c>
      <c r="C147" s="14" t="s">
        <v>304</v>
      </c>
      <c r="D147" s="20">
        <v>1.5</v>
      </c>
      <c r="G147" s="19" t="s">
        <v>320</v>
      </c>
      <c r="H147" s="14">
        <v>2004</v>
      </c>
      <c r="I147" s="14" t="s">
        <v>305</v>
      </c>
      <c r="J147" s="20">
        <v>5.4</v>
      </c>
      <c r="N147" s="19" t="s">
        <v>328</v>
      </c>
      <c r="O147" s="14">
        <v>2011</v>
      </c>
      <c r="P147" s="14" t="s">
        <v>304</v>
      </c>
      <c r="Q147" s="20">
        <v>3172</v>
      </c>
      <c r="T147" s="19" t="s">
        <v>334</v>
      </c>
      <c r="U147" s="14">
        <v>2010</v>
      </c>
      <c r="V147" s="14" t="s">
        <v>305</v>
      </c>
      <c r="W147" s="20">
        <v>153966</v>
      </c>
    </row>
    <row r="148" spans="1:23" ht="13.5" thickBot="1" x14ac:dyDescent="0.25">
      <c r="A148" s="21" t="s">
        <v>295</v>
      </c>
      <c r="B148" s="15">
        <v>2011</v>
      </c>
      <c r="C148" s="15" t="s">
        <v>305</v>
      </c>
      <c r="D148" s="22">
        <v>1.5</v>
      </c>
      <c r="G148" s="21" t="s">
        <v>320</v>
      </c>
      <c r="H148" s="15">
        <v>2004</v>
      </c>
      <c r="I148" s="15" t="s">
        <v>306</v>
      </c>
      <c r="J148" s="22">
        <v>5.5</v>
      </c>
      <c r="N148" s="21" t="s">
        <v>328</v>
      </c>
      <c r="O148" s="15">
        <v>2011</v>
      </c>
      <c r="P148" s="15" t="s">
        <v>305</v>
      </c>
      <c r="Q148" s="22">
        <v>3465</v>
      </c>
      <c r="T148" s="21" t="s">
        <v>334</v>
      </c>
      <c r="U148" s="15">
        <v>2010</v>
      </c>
      <c r="V148" s="15" t="s">
        <v>306</v>
      </c>
      <c r="W148" s="22">
        <v>153681</v>
      </c>
    </row>
    <row r="149" spans="1:23" ht="13.5" thickBot="1" x14ac:dyDescent="0.25">
      <c r="A149" s="19" t="s">
        <v>295</v>
      </c>
      <c r="B149" s="14">
        <v>2011</v>
      </c>
      <c r="C149" s="14" t="s">
        <v>306</v>
      </c>
      <c r="D149" s="20">
        <v>1.5</v>
      </c>
      <c r="G149" s="19" t="s">
        <v>320</v>
      </c>
      <c r="H149" s="14">
        <v>2004</v>
      </c>
      <c r="I149" s="14" t="s">
        <v>307</v>
      </c>
      <c r="J149" s="20">
        <v>5.4</v>
      </c>
      <c r="N149" s="19" t="s">
        <v>328</v>
      </c>
      <c r="O149" s="14">
        <v>2011</v>
      </c>
      <c r="P149" s="14" t="s">
        <v>306</v>
      </c>
      <c r="Q149" s="20">
        <v>3308</v>
      </c>
      <c r="T149" s="19" t="s">
        <v>334</v>
      </c>
      <c r="U149" s="14">
        <v>2010</v>
      </c>
      <c r="V149" s="14" t="s">
        <v>307</v>
      </c>
      <c r="W149" s="20">
        <v>154140</v>
      </c>
    </row>
    <row r="150" spans="1:23" ht="13.5" thickBot="1" x14ac:dyDescent="0.25">
      <c r="A150" s="21" t="s">
        <v>295</v>
      </c>
      <c r="B150" s="15">
        <v>2011</v>
      </c>
      <c r="C150" s="15" t="s">
        <v>307</v>
      </c>
      <c r="D150" s="22">
        <v>1.5</v>
      </c>
      <c r="G150" s="21" t="s">
        <v>320</v>
      </c>
      <c r="H150" s="15">
        <v>2004</v>
      </c>
      <c r="I150" s="15" t="s">
        <v>296</v>
      </c>
      <c r="J150" s="22">
        <v>5.4</v>
      </c>
      <c r="N150" s="21" t="s">
        <v>328</v>
      </c>
      <c r="O150" s="15">
        <v>2011</v>
      </c>
      <c r="P150" s="15" t="s">
        <v>307</v>
      </c>
      <c r="Q150" s="22">
        <v>3118</v>
      </c>
      <c r="T150" s="21" t="s">
        <v>334</v>
      </c>
      <c r="U150" s="15">
        <v>2010</v>
      </c>
      <c r="V150" s="15" t="s">
        <v>296</v>
      </c>
      <c r="W150" s="22">
        <v>153649</v>
      </c>
    </row>
    <row r="151" spans="1:23" ht="13.5" thickBot="1" x14ac:dyDescent="0.25">
      <c r="A151" s="19" t="s">
        <v>295</v>
      </c>
      <c r="B151" s="14">
        <v>2011</v>
      </c>
      <c r="C151" s="14" t="s">
        <v>296</v>
      </c>
      <c r="D151" s="20">
        <v>1.5</v>
      </c>
      <c r="G151" s="19" t="s">
        <v>320</v>
      </c>
      <c r="H151" s="14">
        <v>2005</v>
      </c>
      <c r="I151" s="14" t="s">
        <v>297</v>
      </c>
      <c r="J151" s="20">
        <v>5.3</v>
      </c>
      <c r="N151" s="19" t="s">
        <v>328</v>
      </c>
      <c r="O151" s="14">
        <v>2011</v>
      </c>
      <c r="P151" s="14" t="s">
        <v>296</v>
      </c>
      <c r="Q151" s="20">
        <v>3384</v>
      </c>
      <c r="T151" s="19" t="s">
        <v>334</v>
      </c>
      <c r="U151" s="14">
        <v>2011</v>
      </c>
      <c r="V151" s="14" t="s">
        <v>297</v>
      </c>
      <c r="W151" s="20">
        <v>153244</v>
      </c>
    </row>
    <row r="152" spans="1:23" ht="13.5" thickBot="1" x14ac:dyDescent="0.25">
      <c r="A152" s="21" t="s">
        <v>295</v>
      </c>
      <c r="B152" s="15">
        <v>2012</v>
      </c>
      <c r="C152" s="15" t="s">
        <v>297</v>
      </c>
      <c r="D152" s="22">
        <v>1.5</v>
      </c>
      <c r="G152" s="21" t="s">
        <v>320</v>
      </c>
      <c r="H152" s="15">
        <v>2005</v>
      </c>
      <c r="I152" s="15" t="s">
        <v>298</v>
      </c>
      <c r="J152" s="22">
        <v>5.4</v>
      </c>
      <c r="N152" s="21" t="s">
        <v>328</v>
      </c>
      <c r="O152" s="15">
        <v>2012</v>
      </c>
      <c r="P152" s="15" t="s">
        <v>297</v>
      </c>
      <c r="Q152" s="22">
        <v>3415</v>
      </c>
      <c r="T152" s="21" t="s">
        <v>334</v>
      </c>
      <c r="U152" s="15">
        <v>2011</v>
      </c>
      <c r="V152" s="15" t="s">
        <v>298</v>
      </c>
      <c r="W152" s="22">
        <v>153269</v>
      </c>
    </row>
    <row r="153" spans="1:23" ht="13.5" thickBot="1" x14ac:dyDescent="0.25">
      <c r="A153" s="19" t="s">
        <v>295</v>
      </c>
      <c r="B153" s="14">
        <v>2012</v>
      </c>
      <c r="C153" s="14" t="s">
        <v>298</v>
      </c>
      <c r="D153" s="20">
        <v>1.6</v>
      </c>
      <c r="G153" s="19" t="s">
        <v>320</v>
      </c>
      <c r="H153" s="14">
        <v>2005</v>
      </c>
      <c r="I153" s="14" t="s">
        <v>299</v>
      </c>
      <c r="J153" s="20">
        <v>5.2</v>
      </c>
      <c r="N153" s="19" t="s">
        <v>328</v>
      </c>
      <c r="O153" s="14">
        <v>2012</v>
      </c>
      <c r="P153" s="14" t="s">
        <v>298</v>
      </c>
      <c r="Q153" s="20">
        <v>3526</v>
      </c>
      <c r="T153" s="19" t="s">
        <v>334</v>
      </c>
      <c r="U153" s="14">
        <v>2011</v>
      </c>
      <c r="V153" s="14" t="s">
        <v>299</v>
      </c>
      <c r="W153" s="20">
        <v>153358</v>
      </c>
    </row>
    <row r="154" spans="1:23" ht="13.5" thickBot="1" x14ac:dyDescent="0.25">
      <c r="A154" s="21" t="s">
        <v>295</v>
      </c>
      <c r="B154" s="15">
        <v>2012</v>
      </c>
      <c r="C154" s="15" t="s">
        <v>299</v>
      </c>
      <c r="D154" s="22">
        <v>1.6</v>
      </c>
      <c r="G154" s="21" t="s">
        <v>320</v>
      </c>
      <c r="H154" s="15">
        <v>2005</v>
      </c>
      <c r="I154" s="15" t="s">
        <v>300</v>
      </c>
      <c r="J154" s="22">
        <v>5.2</v>
      </c>
      <c r="N154" s="21" t="s">
        <v>328</v>
      </c>
      <c r="O154" s="15">
        <v>2012</v>
      </c>
      <c r="P154" s="15" t="s">
        <v>299</v>
      </c>
      <c r="Q154" s="22">
        <v>3848</v>
      </c>
      <c r="T154" s="21" t="s">
        <v>334</v>
      </c>
      <c r="U154" s="15">
        <v>2011</v>
      </c>
      <c r="V154" s="15" t="s">
        <v>300</v>
      </c>
      <c r="W154" s="22">
        <v>153478</v>
      </c>
    </row>
    <row r="155" spans="1:23" ht="13.5" thickBot="1" x14ac:dyDescent="0.25">
      <c r="A155" s="19" t="s">
        <v>295</v>
      </c>
      <c r="B155" s="14">
        <v>2012</v>
      </c>
      <c r="C155" s="14" t="s">
        <v>300</v>
      </c>
      <c r="D155" s="20">
        <v>1.6</v>
      </c>
      <c r="G155" s="19" t="s">
        <v>320</v>
      </c>
      <c r="H155" s="14">
        <v>2005</v>
      </c>
      <c r="I155" s="14" t="s">
        <v>301</v>
      </c>
      <c r="J155" s="20">
        <v>5.0999999999999996</v>
      </c>
      <c r="N155" s="19" t="s">
        <v>328</v>
      </c>
      <c r="O155" s="14">
        <v>2012</v>
      </c>
      <c r="P155" s="14" t="s">
        <v>300</v>
      </c>
      <c r="Q155" s="20">
        <v>3523</v>
      </c>
      <c r="T155" s="19" t="s">
        <v>334</v>
      </c>
      <c r="U155" s="14">
        <v>2011</v>
      </c>
      <c r="V155" s="14" t="s">
        <v>301</v>
      </c>
      <c r="W155" s="20">
        <v>153552</v>
      </c>
    </row>
    <row r="156" spans="1:23" ht="13.5" thickBot="1" x14ac:dyDescent="0.25">
      <c r="A156" s="21" t="s">
        <v>295</v>
      </c>
      <c r="B156" s="15">
        <v>2012</v>
      </c>
      <c r="C156" s="15" t="s">
        <v>301</v>
      </c>
      <c r="D156" s="22">
        <v>1.6</v>
      </c>
      <c r="G156" s="21" t="s">
        <v>320</v>
      </c>
      <c r="H156" s="15">
        <v>2005</v>
      </c>
      <c r="I156" s="15" t="s">
        <v>302</v>
      </c>
      <c r="J156" s="22">
        <v>5</v>
      </c>
      <c r="N156" s="21" t="s">
        <v>328</v>
      </c>
      <c r="O156" s="15">
        <v>2012</v>
      </c>
      <c r="P156" s="15" t="s">
        <v>301</v>
      </c>
      <c r="Q156" s="22">
        <v>3774</v>
      </c>
      <c r="T156" s="21" t="s">
        <v>334</v>
      </c>
      <c r="U156" s="15">
        <v>2011</v>
      </c>
      <c r="V156" s="15" t="s">
        <v>302</v>
      </c>
      <c r="W156" s="22">
        <v>153369</v>
      </c>
    </row>
    <row r="157" spans="1:23" ht="13.5" thickBot="1" x14ac:dyDescent="0.25">
      <c r="A157" s="19" t="s">
        <v>295</v>
      </c>
      <c r="B157" s="14">
        <v>2012</v>
      </c>
      <c r="C157" s="14" t="s">
        <v>302</v>
      </c>
      <c r="D157" s="20">
        <v>1.6</v>
      </c>
      <c r="G157" s="19" t="s">
        <v>320</v>
      </c>
      <c r="H157" s="14">
        <v>2005</v>
      </c>
      <c r="I157" s="14" t="s">
        <v>303</v>
      </c>
      <c r="J157" s="20">
        <v>5</v>
      </c>
      <c r="N157" s="19" t="s">
        <v>328</v>
      </c>
      <c r="O157" s="14">
        <v>2012</v>
      </c>
      <c r="P157" s="14" t="s">
        <v>302</v>
      </c>
      <c r="Q157" s="20">
        <v>3792</v>
      </c>
      <c r="T157" s="19" t="s">
        <v>334</v>
      </c>
      <c r="U157" s="14">
        <v>2011</v>
      </c>
      <c r="V157" s="14" t="s">
        <v>303</v>
      </c>
      <c r="W157" s="20">
        <v>153325</v>
      </c>
    </row>
    <row r="158" spans="1:23" ht="13.5" thickBot="1" x14ac:dyDescent="0.25">
      <c r="A158" s="21" t="s">
        <v>295</v>
      </c>
      <c r="B158" s="15">
        <v>2012</v>
      </c>
      <c r="C158" s="15" t="s">
        <v>303</v>
      </c>
      <c r="D158" s="22">
        <v>1.6</v>
      </c>
      <c r="G158" s="21" t="s">
        <v>320</v>
      </c>
      <c r="H158" s="15">
        <v>2005</v>
      </c>
      <c r="I158" s="15" t="s">
        <v>304</v>
      </c>
      <c r="J158" s="22">
        <v>4.9000000000000004</v>
      </c>
      <c r="N158" s="21" t="s">
        <v>328</v>
      </c>
      <c r="O158" s="15">
        <v>2012</v>
      </c>
      <c r="P158" s="15" t="s">
        <v>303</v>
      </c>
      <c r="Q158" s="22">
        <v>3499</v>
      </c>
      <c r="T158" s="21" t="s">
        <v>334</v>
      </c>
      <c r="U158" s="15">
        <v>2011</v>
      </c>
      <c r="V158" s="15" t="s">
        <v>304</v>
      </c>
      <c r="W158" s="22">
        <v>153707</v>
      </c>
    </row>
    <row r="159" spans="1:23" ht="13.5" thickBot="1" x14ac:dyDescent="0.25">
      <c r="A159" s="19" t="s">
        <v>295</v>
      </c>
      <c r="B159" s="14">
        <v>2012</v>
      </c>
      <c r="C159" s="14" t="s">
        <v>304</v>
      </c>
      <c r="D159" s="20">
        <v>1.6</v>
      </c>
      <c r="G159" s="19" t="s">
        <v>320</v>
      </c>
      <c r="H159" s="14">
        <v>2005</v>
      </c>
      <c r="I159" s="14" t="s">
        <v>305</v>
      </c>
      <c r="J159" s="20">
        <v>5</v>
      </c>
      <c r="N159" s="19" t="s">
        <v>328</v>
      </c>
      <c r="O159" s="14">
        <v>2012</v>
      </c>
      <c r="P159" s="14" t="s">
        <v>304</v>
      </c>
      <c r="Q159" s="20">
        <v>3632</v>
      </c>
      <c r="T159" s="19" t="s">
        <v>334</v>
      </c>
      <c r="U159" s="14">
        <v>2011</v>
      </c>
      <c r="V159" s="14" t="s">
        <v>305</v>
      </c>
      <c r="W159" s="20">
        <v>154074</v>
      </c>
    </row>
    <row r="160" spans="1:23" ht="13.5" thickBot="1" x14ac:dyDescent="0.25">
      <c r="A160" s="21" t="s">
        <v>295</v>
      </c>
      <c r="B160" s="15">
        <v>2012</v>
      </c>
      <c r="C160" s="15" t="s">
        <v>305</v>
      </c>
      <c r="D160" s="22">
        <v>1.5</v>
      </c>
      <c r="G160" s="21" t="s">
        <v>320</v>
      </c>
      <c r="H160" s="15">
        <v>2005</v>
      </c>
      <c r="I160" s="15" t="s">
        <v>306</v>
      </c>
      <c r="J160" s="22">
        <v>5</v>
      </c>
      <c r="N160" s="21" t="s">
        <v>328</v>
      </c>
      <c r="O160" s="15">
        <v>2012</v>
      </c>
      <c r="P160" s="15" t="s">
        <v>305</v>
      </c>
      <c r="Q160" s="22">
        <v>3603</v>
      </c>
      <c r="T160" s="21" t="s">
        <v>334</v>
      </c>
      <c r="U160" s="15">
        <v>2011</v>
      </c>
      <c r="V160" s="15" t="s">
        <v>306</v>
      </c>
      <c r="W160" s="22">
        <v>154010</v>
      </c>
    </row>
    <row r="161" spans="1:23" ht="13.5" thickBot="1" x14ac:dyDescent="0.25">
      <c r="A161" s="19" t="s">
        <v>295</v>
      </c>
      <c r="B161" s="14">
        <v>2012</v>
      </c>
      <c r="C161" s="14" t="s">
        <v>306</v>
      </c>
      <c r="D161" s="20">
        <v>1.5</v>
      </c>
      <c r="G161" s="19" t="s">
        <v>320</v>
      </c>
      <c r="H161" s="14">
        <v>2005</v>
      </c>
      <c r="I161" s="14" t="s">
        <v>307</v>
      </c>
      <c r="J161" s="20">
        <v>5</v>
      </c>
      <c r="N161" s="19" t="s">
        <v>328</v>
      </c>
      <c r="O161" s="14">
        <v>2012</v>
      </c>
      <c r="P161" s="14" t="s">
        <v>306</v>
      </c>
      <c r="Q161" s="20">
        <v>3646</v>
      </c>
      <c r="T161" s="19" t="s">
        <v>334</v>
      </c>
      <c r="U161" s="14">
        <v>2011</v>
      </c>
      <c r="V161" s="14" t="s">
        <v>307</v>
      </c>
      <c r="W161" s="20">
        <v>154096</v>
      </c>
    </row>
    <row r="162" spans="1:23" ht="13.5" thickBot="1" x14ac:dyDescent="0.25">
      <c r="A162" s="21" t="s">
        <v>295</v>
      </c>
      <c r="B162" s="15">
        <v>2012</v>
      </c>
      <c r="C162" s="15" t="s">
        <v>307</v>
      </c>
      <c r="D162" s="22">
        <v>1.6</v>
      </c>
      <c r="G162" s="21" t="s">
        <v>320</v>
      </c>
      <c r="H162" s="15">
        <v>2005</v>
      </c>
      <c r="I162" s="15" t="s">
        <v>296</v>
      </c>
      <c r="J162" s="22">
        <v>4.9000000000000004</v>
      </c>
      <c r="N162" s="21" t="s">
        <v>328</v>
      </c>
      <c r="O162" s="15">
        <v>2012</v>
      </c>
      <c r="P162" s="15" t="s">
        <v>307</v>
      </c>
      <c r="Q162" s="22">
        <v>3789</v>
      </c>
      <c r="T162" s="21" t="s">
        <v>334</v>
      </c>
      <c r="U162" s="15">
        <v>2011</v>
      </c>
      <c r="V162" s="15" t="s">
        <v>296</v>
      </c>
      <c r="W162" s="22">
        <v>153945</v>
      </c>
    </row>
    <row r="163" spans="1:23" ht="13.5" thickBot="1" x14ac:dyDescent="0.25">
      <c r="A163" s="19" t="s">
        <v>295</v>
      </c>
      <c r="B163" s="14">
        <v>2012</v>
      </c>
      <c r="C163" s="14" t="s">
        <v>296</v>
      </c>
      <c r="D163" s="20">
        <v>1.6</v>
      </c>
      <c r="G163" s="19" t="s">
        <v>320</v>
      </c>
      <c r="H163" s="14">
        <v>2006</v>
      </c>
      <c r="I163" s="14" t="s">
        <v>297</v>
      </c>
      <c r="J163" s="20">
        <v>4.7</v>
      </c>
      <c r="N163" s="19" t="s">
        <v>328</v>
      </c>
      <c r="O163" s="14">
        <v>2012</v>
      </c>
      <c r="P163" s="14" t="s">
        <v>296</v>
      </c>
      <c r="Q163" s="20">
        <v>3612</v>
      </c>
      <c r="T163" s="19" t="s">
        <v>334</v>
      </c>
      <c r="U163" s="14">
        <v>2012</v>
      </c>
      <c r="V163" s="14" t="s">
        <v>297</v>
      </c>
      <c r="W163" s="20">
        <v>154356</v>
      </c>
    </row>
    <row r="164" spans="1:23" ht="13.5" thickBot="1" x14ac:dyDescent="0.25">
      <c r="A164" s="21" t="s">
        <v>295</v>
      </c>
      <c r="B164" s="15">
        <v>2013</v>
      </c>
      <c r="C164" s="15" t="s">
        <v>297</v>
      </c>
      <c r="D164" s="22">
        <v>1.7</v>
      </c>
      <c r="G164" s="21" t="s">
        <v>320</v>
      </c>
      <c r="H164" s="15">
        <v>2006</v>
      </c>
      <c r="I164" s="15" t="s">
        <v>298</v>
      </c>
      <c r="J164" s="22">
        <v>4.8</v>
      </c>
      <c r="N164" s="21" t="s">
        <v>328</v>
      </c>
      <c r="O164" s="15">
        <v>2013</v>
      </c>
      <c r="P164" s="15" t="s">
        <v>297</v>
      </c>
      <c r="Q164" s="22">
        <v>3611</v>
      </c>
      <c r="T164" s="21" t="s">
        <v>334</v>
      </c>
      <c r="U164" s="15">
        <v>2012</v>
      </c>
      <c r="V164" s="15" t="s">
        <v>298</v>
      </c>
      <c r="W164" s="22">
        <v>154825</v>
      </c>
    </row>
    <row r="165" spans="1:23" ht="13.5" thickBot="1" x14ac:dyDescent="0.25">
      <c r="A165" s="19" t="s">
        <v>295</v>
      </c>
      <c r="B165" s="14">
        <v>2013</v>
      </c>
      <c r="C165" s="14" t="s">
        <v>298</v>
      </c>
      <c r="D165" s="20">
        <v>1.7</v>
      </c>
      <c r="G165" s="19" t="s">
        <v>320</v>
      </c>
      <c r="H165" s="14">
        <v>2006</v>
      </c>
      <c r="I165" s="14" t="s">
        <v>299</v>
      </c>
      <c r="J165" s="20">
        <v>4.7</v>
      </c>
      <c r="N165" s="19" t="s">
        <v>328</v>
      </c>
      <c r="O165" s="14">
        <v>2013</v>
      </c>
      <c r="P165" s="14" t="s">
        <v>298</v>
      </c>
      <c r="Q165" s="20">
        <v>3899</v>
      </c>
      <c r="T165" s="19" t="s">
        <v>334</v>
      </c>
      <c r="U165" s="14">
        <v>2012</v>
      </c>
      <c r="V165" s="14" t="s">
        <v>299</v>
      </c>
      <c r="W165" s="20">
        <v>154707</v>
      </c>
    </row>
    <row r="166" spans="1:23" ht="13.5" thickBot="1" x14ac:dyDescent="0.25">
      <c r="A166" s="21" t="s">
        <v>295</v>
      </c>
      <c r="B166" s="15">
        <v>2013</v>
      </c>
      <c r="C166" s="15" t="s">
        <v>299</v>
      </c>
      <c r="D166" s="22">
        <v>1.6</v>
      </c>
      <c r="G166" s="21" t="s">
        <v>320</v>
      </c>
      <c r="H166" s="15">
        <v>2006</v>
      </c>
      <c r="I166" s="15" t="s">
        <v>300</v>
      </c>
      <c r="J166" s="22">
        <v>4.7</v>
      </c>
      <c r="N166" s="21" t="s">
        <v>328</v>
      </c>
      <c r="O166" s="15">
        <v>2013</v>
      </c>
      <c r="P166" s="15" t="s">
        <v>299</v>
      </c>
      <c r="Q166" s="22">
        <v>3875</v>
      </c>
      <c r="T166" s="21" t="s">
        <v>334</v>
      </c>
      <c r="U166" s="15">
        <v>2012</v>
      </c>
      <c r="V166" s="15" t="s">
        <v>300</v>
      </c>
      <c r="W166" s="22">
        <v>154451</v>
      </c>
    </row>
    <row r="167" spans="1:23" ht="13.5" thickBot="1" x14ac:dyDescent="0.25">
      <c r="A167" s="19" t="s">
        <v>295</v>
      </c>
      <c r="B167" s="14">
        <v>2013</v>
      </c>
      <c r="C167" s="14" t="s">
        <v>300</v>
      </c>
      <c r="D167" s="20">
        <v>1.6</v>
      </c>
      <c r="G167" s="19" t="s">
        <v>320</v>
      </c>
      <c r="H167" s="14">
        <v>2006</v>
      </c>
      <c r="I167" s="14" t="s">
        <v>301</v>
      </c>
      <c r="J167" s="20">
        <v>4.5999999999999996</v>
      </c>
      <c r="N167" s="19" t="s">
        <v>328</v>
      </c>
      <c r="O167" s="14">
        <v>2013</v>
      </c>
      <c r="P167" s="14" t="s">
        <v>300</v>
      </c>
      <c r="Q167" s="20">
        <v>3800</v>
      </c>
      <c r="T167" s="19" t="s">
        <v>334</v>
      </c>
      <c r="U167" s="14">
        <v>2012</v>
      </c>
      <c r="V167" s="14" t="s">
        <v>301</v>
      </c>
      <c r="W167" s="20">
        <v>154998</v>
      </c>
    </row>
    <row r="168" spans="1:23" ht="13.5" thickBot="1" x14ac:dyDescent="0.25">
      <c r="A168" s="21" t="s">
        <v>295</v>
      </c>
      <c r="B168" s="15">
        <v>2013</v>
      </c>
      <c r="C168" s="15" t="s">
        <v>301</v>
      </c>
      <c r="D168" s="22">
        <v>1.6</v>
      </c>
      <c r="G168" s="21" t="s">
        <v>320</v>
      </c>
      <c r="H168" s="15">
        <v>2006</v>
      </c>
      <c r="I168" s="15" t="s">
        <v>302</v>
      </c>
      <c r="J168" s="22">
        <v>4.5999999999999996</v>
      </c>
      <c r="N168" s="21" t="s">
        <v>328</v>
      </c>
      <c r="O168" s="15">
        <v>2013</v>
      </c>
      <c r="P168" s="15" t="s">
        <v>301</v>
      </c>
      <c r="Q168" s="22">
        <v>3907</v>
      </c>
      <c r="T168" s="21" t="s">
        <v>334</v>
      </c>
      <c r="U168" s="15">
        <v>2012</v>
      </c>
      <c r="V168" s="15" t="s">
        <v>302</v>
      </c>
      <c r="W168" s="22">
        <v>155149</v>
      </c>
    </row>
    <row r="169" spans="1:23" ht="13.5" thickBot="1" x14ac:dyDescent="0.25">
      <c r="A169" s="19" t="s">
        <v>295</v>
      </c>
      <c r="B169" s="14">
        <v>2013</v>
      </c>
      <c r="C169" s="14" t="s">
        <v>302</v>
      </c>
      <c r="D169" s="20">
        <v>1.6</v>
      </c>
      <c r="G169" s="19" t="s">
        <v>320</v>
      </c>
      <c r="H169" s="14">
        <v>2006</v>
      </c>
      <c r="I169" s="14" t="s">
        <v>303</v>
      </c>
      <c r="J169" s="20">
        <v>4.7</v>
      </c>
      <c r="N169" s="19" t="s">
        <v>328</v>
      </c>
      <c r="O169" s="14">
        <v>2013</v>
      </c>
      <c r="P169" s="14" t="s">
        <v>302</v>
      </c>
      <c r="Q169" s="20">
        <v>3869</v>
      </c>
      <c r="T169" s="19" t="s">
        <v>334</v>
      </c>
      <c r="U169" s="14">
        <v>2012</v>
      </c>
      <c r="V169" s="14" t="s">
        <v>303</v>
      </c>
      <c r="W169" s="20">
        <v>154995</v>
      </c>
    </row>
    <row r="170" spans="1:23" ht="13.5" thickBot="1" x14ac:dyDescent="0.25">
      <c r="A170" s="21" t="s">
        <v>295</v>
      </c>
      <c r="B170" s="15">
        <v>2013</v>
      </c>
      <c r="C170" s="15" t="s">
        <v>303</v>
      </c>
      <c r="D170" s="22">
        <v>1.7</v>
      </c>
      <c r="G170" s="21" t="s">
        <v>320</v>
      </c>
      <c r="H170" s="15">
        <v>2006</v>
      </c>
      <c r="I170" s="15" t="s">
        <v>304</v>
      </c>
      <c r="J170" s="22">
        <v>4.7</v>
      </c>
      <c r="N170" s="21" t="s">
        <v>328</v>
      </c>
      <c r="O170" s="15">
        <v>2013</v>
      </c>
      <c r="P170" s="15" t="s">
        <v>303</v>
      </c>
      <c r="Q170" s="22">
        <v>3689</v>
      </c>
      <c r="T170" s="21" t="s">
        <v>334</v>
      </c>
      <c r="U170" s="15">
        <v>2012</v>
      </c>
      <c r="V170" s="15" t="s">
        <v>304</v>
      </c>
      <c r="W170" s="22">
        <v>154647</v>
      </c>
    </row>
    <row r="171" spans="1:23" ht="13.5" thickBot="1" x14ac:dyDescent="0.25">
      <c r="A171" s="26" t="s">
        <v>308</v>
      </c>
      <c r="B171" s="27"/>
      <c r="C171" s="27"/>
      <c r="D171" s="28"/>
      <c r="G171" s="19" t="s">
        <v>320</v>
      </c>
      <c r="H171" s="14">
        <v>2006</v>
      </c>
      <c r="I171" s="14" t="s">
        <v>305</v>
      </c>
      <c r="J171" s="20">
        <v>4.5</v>
      </c>
      <c r="N171" s="32" t="s">
        <v>309</v>
      </c>
      <c r="O171" s="33"/>
      <c r="P171" s="33"/>
      <c r="Q171" s="34"/>
      <c r="T171" s="19" t="s">
        <v>334</v>
      </c>
      <c r="U171" s="14">
        <v>2012</v>
      </c>
      <c r="V171" s="14" t="s">
        <v>305</v>
      </c>
      <c r="W171" s="20">
        <v>155056</v>
      </c>
    </row>
    <row r="172" spans="1:23" ht="13.5" thickBot="1" x14ac:dyDescent="0.25">
      <c r="A172" s="29" t="s">
        <v>309</v>
      </c>
      <c r="B172" s="30"/>
      <c r="C172" s="30"/>
      <c r="D172" s="31"/>
      <c r="G172" s="21" t="s">
        <v>320</v>
      </c>
      <c r="H172" s="15">
        <v>2006</v>
      </c>
      <c r="I172" s="15" t="s">
        <v>306</v>
      </c>
      <c r="J172" s="22">
        <v>4.4000000000000004</v>
      </c>
      <c r="T172" s="21" t="s">
        <v>334</v>
      </c>
      <c r="U172" s="15">
        <v>2012</v>
      </c>
      <c r="V172" s="15" t="s">
        <v>306</v>
      </c>
      <c r="W172" s="22">
        <v>155576</v>
      </c>
    </row>
    <row r="173" spans="1:23" ht="13.5" thickBot="1" x14ac:dyDescent="0.25">
      <c r="G173" s="19" t="s">
        <v>320</v>
      </c>
      <c r="H173" s="14">
        <v>2006</v>
      </c>
      <c r="I173" s="14" t="s">
        <v>307</v>
      </c>
      <c r="J173" s="20">
        <v>4.5</v>
      </c>
      <c r="T173" s="19" t="s">
        <v>334</v>
      </c>
      <c r="U173" s="14">
        <v>2012</v>
      </c>
      <c r="V173" s="14" t="s">
        <v>307</v>
      </c>
      <c r="W173" s="20">
        <v>155319</v>
      </c>
    </row>
    <row r="174" spans="1:23" ht="13.5" thickBot="1" x14ac:dyDescent="0.25">
      <c r="G174" s="21" t="s">
        <v>320</v>
      </c>
      <c r="H174" s="15">
        <v>2006</v>
      </c>
      <c r="I174" s="15" t="s">
        <v>296</v>
      </c>
      <c r="J174" s="22">
        <v>4.4000000000000004</v>
      </c>
      <c r="T174" s="21" t="s">
        <v>334</v>
      </c>
      <c r="U174" s="15">
        <v>2012</v>
      </c>
      <c r="V174" s="15" t="s">
        <v>296</v>
      </c>
      <c r="W174" s="22">
        <v>155511</v>
      </c>
    </row>
    <row r="175" spans="1:23" ht="13.5" thickBot="1" x14ac:dyDescent="0.25">
      <c r="G175" s="19" t="s">
        <v>320</v>
      </c>
      <c r="H175" s="14">
        <v>2007</v>
      </c>
      <c r="I175" s="14" t="s">
        <v>297</v>
      </c>
      <c r="J175" s="20">
        <v>4.5999999999999996</v>
      </c>
      <c r="T175" s="19" t="s">
        <v>334</v>
      </c>
      <c r="U175" s="14">
        <v>2013</v>
      </c>
      <c r="V175" s="14" t="s">
        <v>297</v>
      </c>
      <c r="W175" s="20">
        <v>155654</v>
      </c>
    </row>
    <row r="176" spans="1:23" ht="13.5" thickBot="1" x14ac:dyDescent="0.25">
      <c r="G176" s="21" t="s">
        <v>320</v>
      </c>
      <c r="H176" s="15">
        <v>2007</v>
      </c>
      <c r="I176" s="15" t="s">
        <v>298</v>
      </c>
      <c r="J176" s="22">
        <v>4.5</v>
      </c>
      <c r="T176" s="21" t="s">
        <v>334</v>
      </c>
      <c r="U176" s="15">
        <v>2013</v>
      </c>
      <c r="V176" s="15" t="s">
        <v>298</v>
      </c>
      <c r="W176" s="22">
        <v>155524</v>
      </c>
    </row>
    <row r="177" spans="7:23" ht="13.5" thickBot="1" x14ac:dyDescent="0.25">
      <c r="G177" s="19" t="s">
        <v>320</v>
      </c>
      <c r="H177" s="14">
        <v>2007</v>
      </c>
      <c r="I177" s="14" t="s">
        <v>299</v>
      </c>
      <c r="J177" s="20">
        <v>4.4000000000000004</v>
      </c>
      <c r="T177" s="19" t="s">
        <v>334</v>
      </c>
      <c r="U177" s="14">
        <v>2013</v>
      </c>
      <c r="V177" s="14" t="s">
        <v>299</v>
      </c>
      <c r="W177" s="20">
        <v>155028</v>
      </c>
    </row>
    <row r="178" spans="7:23" ht="13.5" thickBot="1" x14ac:dyDescent="0.25">
      <c r="G178" s="21" t="s">
        <v>320</v>
      </c>
      <c r="H178" s="15">
        <v>2007</v>
      </c>
      <c r="I178" s="15" t="s">
        <v>300</v>
      </c>
      <c r="J178" s="22">
        <v>4.5</v>
      </c>
      <c r="T178" s="21" t="s">
        <v>334</v>
      </c>
      <c r="U178" s="15">
        <v>2013</v>
      </c>
      <c r="V178" s="15" t="s">
        <v>300</v>
      </c>
      <c r="W178" s="22">
        <v>155238</v>
      </c>
    </row>
    <row r="179" spans="7:23" ht="13.5" thickBot="1" x14ac:dyDescent="0.25">
      <c r="G179" s="19" t="s">
        <v>320</v>
      </c>
      <c r="H179" s="14">
        <v>2007</v>
      </c>
      <c r="I179" s="14" t="s">
        <v>301</v>
      </c>
      <c r="J179" s="20">
        <v>4.4000000000000004</v>
      </c>
      <c r="T179" s="19" t="s">
        <v>334</v>
      </c>
      <c r="U179" s="14">
        <v>2013</v>
      </c>
      <c r="V179" s="14" t="s">
        <v>301</v>
      </c>
      <c r="W179" s="20">
        <v>155658</v>
      </c>
    </row>
    <row r="180" spans="7:23" ht="13.5" thickBot="1" x14ac:dyDescent="0.25">
      <c r="G180" s="21" t="s">
        <v>320</v>
      </c>
      <c r="H180" s="15">
        <v>2007</v>
      </c>
      <c r="I180" s="15" t="s">
        <v>302</v>
      </c>
      <c r="J180" s="22">
        <v>4.5999999999999996</v>
      </c>
      <c r="T180" s="21" t="s">
        <v>334</v>
      </c>
      <c r="U180" s="15">
        <v>2013</v>
      </c>
      <c r="V180" s="15" t="s">
        <v>302</v>
      </c>
      <c r="W180" s="22">
        <v>155835</v>
      </c>
    </row>
    <row r="181" spans="7:23" ht="13.5" thickBot="1" x14ac:dyDescent="0.25">
      <c r="G181" s="19" t="s">
        <v>320</v>
      </c>
      <c r="H181" s="14">
        <v>2007</v>
      </c>
      <c r="I181" s="14" t="s">
        <v>303</v>
      </c>
      <c r="J181" s="20">
        <v>4.7</v>
      </c>
      <c r="T181" s="19" t="s">
        <v>334</v>
      </c>
      <c r="U181" s="14">
        <v>2013</v>
      </c>
      <c r="V181" s="14" t="s">
        <v>303</v>
      </c>
      <c r="W181" s="20">
        <v>155798</v>
      </c>
    </row>
    <row r="182" spans="7:23" ht="13.5" thickBot="1" x14ac:dyDescent="0.25">
      <c r="G182" s="21" t="s">
        <v>320</v>
      </c>
      <c r="H182" s="15">
        <v>2007</v>
      </c>
      <c r="I182" s="15" t="s">
        <v>304</v>
      </c>
      <c r="J182" s="22">
        <v>4.5999999999999996</v>
      </c>
      <c r="T182" s="21" t="s">
        <v>334</v>
      </c>
      <c r="U182" s="15">
        <v>2013</v>
      </c>
      <c r="V182" s="15" t="s">
        <v>304</v>
      </c>
      <c r="W182" s="22">
        <v>155486</v>
      </c>
    </row>
    <row r="183" spans="7:23" ht="13.5" thickBot="1" x14ac:dyDescent="0.25">
      <c r="G183" s="19" t="s">
        <v>320</v>
      </c>
      <c r="H183" s="14">
        <v>2007</v>
      </c>
      <c r="I183" s="14" t="s">
        <v>305</v>
      </c>
      <c r="J183" s="20">
        <v>4.7</v>
      </c>
      <c r="T183" s="32" t="s">
        <v>335</v>
      </c>
      <c r="U183" s="33"/>
      <c r="V183" s="33"/>
      <c r="W183" s="34"/>
    </row>
    <row r="184" spans="7:23" ht="13.5" thickBot="1" x14ac:dyDescent="0.25">
      <c r="G184" s="21" t="s">
        <v>320</v>
      </c>
      <c r="H184" s="15">
        <v>2007</v>
      </c>
      <c r="I184" s="15" t="s">
        <v>306</v>
      </c>
      <c r="J184" s="22">
        <v>4.7</v>
      </c>
    </row>
    <row r="185" spans="7:23" ht="13.5" thickBot="1" x14ac:dyDescent="0.25">
      <c r="G185" s="19" t="s">
        <v>320</v>
      </c>
      <c r="H185" s="14">
        <v>2007</v>
      </c>
      <c r="I185" s="14" t="s">
        <v>307</v>
      </c>
      <c r="J185" s="20">
        <v>4.7</v>
      </c>
    </row>
    <row r="186" spans="7:23" ht="13.5" thickBot="1" x14ac:dyDescent="0.25">
      <c r="G186" s="21" t="s">
        <v>320</v>
      </c>
      <c r="H186" s="15">
        <v>2007</v>
      </c>
      <c r="I186" s="15" t="s">
        <v>296</v>
      </c>
      <c r="J186" s="22">
        <v>5</v>
      </c>
    </row>
    <row r="187" spans="7:23" ht="13.5" thickBot="1" x14ac:dyDescent="0.25">
      <c r="G187" s="19" t="s">
        <v>320</v>
      </c>
      <c r="H187" s="14">
        <v>2008</v>
      </c>
      <c r="I187" s="14" t="s">
        <v>297</v>
      </c>
      <c r="J187" s="20">
        <v>5</v>
      </c>
    </row>
    <row r="188" spans="7:23" ht="13.5" thickBot="1" x14ac:dyDescent="0.25">
      <c r="G188" s="21" t="s">
        <v>320</v>
      </c>
      <c r="H188" s="15">
        <v>2008</v>
      </c>
      <c r="I188" s="15" t="s">
        <v>298</v>
      </c>
      <c r="J188" s="22">
        <v>4.9000000000000004</v>
      </c>
    </row>
    <row r="189" spans="7:23" ht="13.5" thickBot="1" x14ac:dyDescent="0.25">
      <c r="G189" s="19" t="s">
        <v>320</v>
      </c>
      <c r="H189" s="14">
        <v>2008</v>
      </c>
      <c r="I189" s="14" t="s">
        <v>299</v>
      </c>
      <c r="J189" s="20">
        <v>5.0999999999999996</v>
      </c>
    </row>
    <row r="190" spans="7:23" ht="13.5" thickBot="1" x14ac:dyDescent="0.25">
      <c r="G190" s="21" t="s">
        <v>320</v>
      </c>
      <c r="H190" s="15">
        <v>2008</v>
      </c>
      <c r="I190" s="15" t="s">
        <v>300</v>
      </c>
      <c r="J190" s="22">
        <v>5</v>
      </c>
    </row>
    <row r="191" spans="7:23" ht="13.5" thickBot="1" x14ac:dyDescent="0.25">
      <c r="G191" s="19" t="s">
        <v>320</v>
      </c>
      <c r="H191" s="14">
        <v>2008</v>
      </c>
      <c r="I191" s="14" t="s">
        <v>301</v>
      </c>
      <c r="J191" s="20">
        <v>5.4</v>
      </c>
    </row>
    <row r="192" spans="7:23" ht="13.5" thickBot="1" x14ac:dyDescent="0.25">
      <c r="G192" s="21" t="s">
        <v>320</v>
      </c>
      <c r="H192" s="15">
        <v>2008</v>
      </c>
      <c r="I192" s="15" t="s">
        <v>302</v>
      </c>
      <c r="J192" s="22">
        <v>5.6</v>
      </c>
    </row>
    <row r="193" spans="7:10" ht="13.5" thickBot="1" x14ac:dyDescent="0.25">
      <c r="G193" s="19" t="s">
        <v>320</v>
      </c>
      <c r="H193" s="14">
        <v>2008</v>
      </c>
      <c r="I193" s="14" t="s">
        <v>303</v>
      </c>
      <c r="J193" s="20">
        <v>5.8</v>
      </c>
    </row>
    <row r="194" spans="7:10" ht="13.5" thickBot="1" x14ac:dyDescent="0.25">
      <c r="G194" s="21" t="s">
        <v>320</v>
      </c>
      <c r="H194" s="15">
        <v>2008</v>
      </c>
      <c r="I194" s="15" t="s">
        <v>304</v>
      </c>
      <c r="J194" s="22">
        <v>6.1</v>
      </c>
    </row>
    <row r="195" spans="7:10" ht="13.5" thickBot="1" x14ac:dyDescent="0.25">
      <c r="G195" s="19" t="s">
        <v>320</v>
      </c>
      <c r="H195" s="14">
        <v>2008</v>
      </c>
      <c r="I195" s="14" t="s">
        <v>305</v>
      </c>
      <c r="J195" s="20">
        <v>6.1</v>
      </c>
    </row>
    <row r="196" spans="7:10" ht="13.5" thickBot="1" x14ac:dyDescent="0.25">
      <c r="G196" s="21" t="s">
        <v>320</v>
      </c>
      <c r="H196" s="15">
        <v>2008</v>
      </c>
      <c r="I196" s="15" t="s">
        <v>306</v>
      </c>
      <c r="J196" s="22">
        <v>6.5</v>
      </c>
    </row>
    <row r="197" spans="7:10" ht="13.5" thickBot="1" x14ac:dyDescent="0.25">
      <c r="G197" s="19" t="s">
        <v>320</v>
      </c>
      <c r="H197" s="14">
        <v>2008</v>
      </c>
      <c r="I197" s="14" t="s">
        <v>307</v>
      </c>
      <c r="J197" s="20">
        <v>6.8</v>
      </c>
    </row>
    <row r="198" spans="7:10" ht="13.5" thickBot="1" x14ac:dyDescent="0.25">
      <c r="G198" s="21" t="s">
        <v>320</v>
      </c>
      <c r="H198" s="15">
        <v>2008</v>
      </c>
      <c r="I198" s="15" t="s">
        <v>296</v>
      </c>
      <c r="J198" s="22">
        <v>7.3</v>
      </c>
    </row>
    <row r="199" spans="7:10" ht="13.5" thickBot="1" x14ac:dyDescent="0.25">
      <c r="G199" s="19" t="s">
        <v>320</v>
      </c>
      <c r="H199" s="14">
        <v>2009</v>
      </c>
      <c r="I199" s="14" t="s">
        <v>297</v>
      </c>
      <c r="J199" s="20">
        <v>7.8</v>
      </c>
    </row>
    <row r="200" spans="7:10" ht="13.5" thickBot="1" x14ac:dyDescent="0.25">
      <c r="G200" s="21" t="s">
        <v>320</v>
      </c>
      <c r="H200" s="15">
        <v>2009</v>
      </c>
      <c r="I200" s="15" t="s">
        <v>298</v>
      </c>
      <c r="J200" s="22">
        <v>8.3000000000000007</v>
      </c>
    </row>
    <row r="201" spans="7:10" ht="13.5" thickBot="1" x14ac:dyDescent="0.25">
      <c r="G201" s="19" t="s">
        <v>320</v>
      </c>
      <c r="H201" s="14">
        <v>2009</v>
      </c>
      <c r="I201" s="14" t="s">
        <v>299</v>
      </c>
      <c r="J201" s="20">
        <v>8.6999999999999993</v>
      </c>
    </row>
    <row r="202" spans="7:10" ht="13.5" thickBot="1" x14ac:dyDescent="0.25">
      <c r="G202" s="21" t="s">
        <v>320</v>
      </c>
      <c r="H202" s="15">
        <v>2009</v>
      </c>
      <c r="I202" s="15" t="s">
        <v>300</v>
      </c>
      <c r="J202" s="22">
        <v>9</v>
      </c>
    </row>
    <row r="203" spans="7:10" ht="13.5" thickBot="1" x14ac:dyDescent="0.25">
      <c r="G203" s="19" t="s">
        <v>320</v>
      </c>
      <c r="H203" s="14">
        <v>2009</v>
      </c>
      <c r="I203" s="14" t="s">
        <v>301</v>
      </c>
      <c r="J203" s="20">
        <v>9.4</v>
      </c>
    </row>
    <row r="204" spans="7:10" ht="13.5" thickBot="1" x14ac:dyDescent="0.25">
      <c r="G204" s="21" t="s">
        <v>320</v>
      </c>
      <c r="H204" s="15">
        <v>2009</v>
      </c>
      <c r="I204" s="15" t="s">
        <v>302</v>
      </c>
      <c r="J204" s="22">
        <v>9.5</v>
      </c>
    </row>
    <row r="205" spans="7:10" ht="13.5" thickBot="1" x14ac:dyDescent="0.25">
      <c r="G205" s="19" t="s">
        <v>320</v>
      </c>
      <c r="H205" s="14">
        <v>2009</v>
      </c>
      <c r="I205" s="14" t="s">
        <v>303</v>
      </c>
      <c r="J205" s="20">
        <v>9.5</v>
      </c>
    </row>
    <row r="206" spans="7:10" ht="13.5" thickBot="1" x14ac:dyDescent="0.25">
      <c r="G206" s="21" t="s">
        <v>320</v>
      </c>
      <c r="H206" s="15">
        <v>2009</v>
      </c>
      <c r="I206" s="15" t="s">
        <v>304</v>
      </c>
      <c r="J206" s="22">
        <v>9.6</v>
      </c>
    </row>
    <row r="207" spans="7:10" ht="13.5" thickBot="1" x14ac:dyDescent="0.25">
      <c r="G207" s="19" t="s">
        <v>320</v>
      </c>
      <c r="H207" s="14">
        <v>2009</v>
      </c>
      <c r="I207" s="14" t="s">
        <v>305</v>
      </c>
      <c r="J207" s="20">
        <v>9.8000000000000007</v>
      </c>
    </row>
    <row r="208" spans="7:10" ht="13.5" thickBot="1" x14ac:dyDescent="0.25">
      <c r="G208" s="21" t="s">
        <v>320</v>
      </c>
      <c r="H208" s="15">
        <v>2009</v>
      </c>
      <c r="I208" s="15" t="s">
        <v>306</v>
      </c>
      <c r="J208" s="22">
        <v>10</v>
      </c>
    </row>
    <row r="209" spans="7:10" ht="13.5" thickBot="1" x14ac:dyDescent="0.25">
      <c r="G209" s="19" t="s">
        <v>320</v>
      </c>
      <c r="H209" s="14">
        <v>2009</v>
      </c>
      <c r="I209" s="14" t="s">
        <v>307</v>
      </c>
      <c r="J209" s="20">
        <v>9.9</v>
      </c>
    </row>
    <row r="210" spans="7:10" ht="13.5" thickBot="1" x14ac:dyDescent="0.25">
      <c r="G210" s="21" t="s">
        <v>320</v>
      </c>
      <c r="H210" s="15">
        <v>2009</v>
      </c>
      <c r="I210" s="15" t="s">
        <v>296</v>
      </c>
      <c r="J210" s="22">
        <v>9.9</v>
      </c>
    </row>
    <row r="211" spans="7:10" ht="13.5" thickBot="1" x14ac:dyDescent="0.25">
      <c r="G211" s="19" t="s">
        <v>320</v>
      </c>
      <c r="H211" s="14">
        <v>2010</v>
      </c>
      <c r="I211" s="14" t="s">
        <v>297</v>
      </c>
      <c r="J211" s="20">
        <v>9.8000000000000007</v>
      </c>
    </row>
    <row r="212" spans="7:10" ht="13.5" thickBot="1" x14ac:dyDescent="0.25">
      <c r="G212" s="21" t="s">
        <v>320</v>
      </c>
      <c r="H212" s="15">
        <v>2010</v>
      </c>
      <c r="I212" s="15" t="s">
        <v>298</v>
      </c>
      <c r="J212" s="22">
        <v>9.8000000000000007</v>
      </c>
    </row>
    <row r="213" spans="7:10" ht="13.5" thickBot="1" x14ac:dyDescent="0.25">
      <c r="G213" s="19" t="s">
        <v>320</v>
      </c>
      <c r="H213" s="14">
        <v>2010</v>
      </c>
      <c r="I213" s="14" t="s">
        <v>299</v>
      </c>
      <c r="J213" s="20">
        <v>9.9</v>
      </c>
    </row>
    <row r="214" spans="7:10" ht="13.5" thickBot="1" x14ac:dyDescent="0.25">
      <c r="G214" s="21" t="s">
        <v>320</v>
      </c>
      <c r="H214" s="15">
        <v>2010</v>
      </c>
      <c r="I214" s="15" t="s">
        <v>300</v>
      </c>
      <c r="J214" s="22">
        <v>9.9</v>
      </c>
    </row>
    <row r="215" spans="7:10" ht="13.5" thickBot="1" x14ac:dyDescent="0.25">
      <c r="G215" s="19" t="s">
        <v>320</v>
      </c>
      <c r="H215" s="14">
        <v>2010</v>
      </c>
      <c r="I215" s="14" t="s">
        <v>301</v>
      </c>
      <c r="J215" s="20">
        <v>9.6</v>
      </c>
    </row>
    <row r="216" spans="7:10" ht="13.5" thickBot="1" x14ac:dyDescent="0.25">
      <c r="G216" s="21" t="s">
        <v>320</v>
      </c>
      <c r="H216" s="15">
        <v>2010</v>
      </c>
      <c r="I216" s="15" t="s">
        <v>302</v>
      </c>
      <c r="J216" s="22">
        <v>9.4</v>
      </c>
    </row>
    <row r="217" spans="7:10" ht="13.5" thickBot="1" x14ac:dyDescent="0.25">
      <c r="G217" s="19" t="s">
        <v>320</v>
      </c>
      <c r="H217" s="14">
        <v>2010</v>
      </c>
      <c r="I217" s="14" t="s">
        <v>303</v>
      </c>
      <c r="J217" s="20">
        <v>9.5</v>
      </c>
    </row>
    <row r="218" spans="7:10" ht="13.5" thickBot="1" x14ac:dyDescent="0.25">
      <c r="G218" s="21" t="s">
        <v>320</v>
      </c>
      <c r="H218" s="15">
        <v>2010</v>
      </c>
      <c r="I218" s="15" t="s">
        <v>304</v>
      </c>
      <c r="J218" s="22">
        <v>9.5</v>
      </c>
    </row>
    <row r="219" spans="7:10" ht="13.5" thickBot="1" x14ac:dyDescent="0.25">
      <c r="G219" s="19" t="s">
        <v>320</v>
      </c>
      <c r="H219" s="14">
        <v>2010</v>
      </c>
      <c r="I219" s="14" t="s">
        <v>305</v>
      </c>
      <c r="J219" s="20">
        <v>9.5</v>
      </c>
    </row>
    <row r="220" spans="7:10" ht="13.5" thickBot="1" x14ac:dyDescent="0.25">
      <c r="G220" s="21" t="s">
        <v>320</v>
      </c>
      <c r="H220" s="15">
        <v>2010</v>
      </c>
      <c r="I220" s="15" t="s">
        <v>306</v>
      </c>
      <c r="J220" s="22">
        <v>9.5</v>
      </c>
    </row>
    <row r="221" spans="7:10" ht="13.5" thickBot="1" x14ac:dyDescent="0.25">
      <c r="G221" s="19" t="s">
        <v>320</v>
      </c>
      <c r="H221" s="14">
        <v>2010</v>
      </c>
      <c r="I221" s="14" t="s">
        <v>307</v>
      </c>
      <c r="J221" s="20">
        <v>9.8000000000000007</v>
      </c>
    </row>
    <row r="222" spans="7:10" ht="13.5" thickBot="1" x14ac:dyDescent="0.25">
      <c r="G222" s="21" t="s">
        <v>320</v>
      </c>
      <c r="H222" s="15">
        <v>2010</v>
      </c>
      <c r="I222" s="15" t="s">
        <v>296</v>
      </c>
      <c r="J222" s="22">
        <v>9.3000000000000007</v>
      </c>
    </row>
    <row r="223" spans="7:10" ht="13.5" thickBot="1" x14ac:dyDescent="0.25">
      <c r="G223" s="19" t="s">
        <v>320</v>
      </c>
      <c r="H223" s="14">
        <v>2011</v>
      </c>
      <c r="I223" s="14" t="s">
        <v>297</v>
      </c>
      <c r="J223" s="20">
        <v>9.1</v>
      </c>
    </row>
    <row r="224" spans="7:10" ht="13.5" thickBot="1" x14ac:dyDescent="0.25">
      <c r="G224" s="21" t="s">
        <v>320</v>
      </c>
      <c r="H224" s="15">
        <v>2011</v>
      </c>
      <c r="I224" s="15" t="s">
        <v>298</v>
      </c>
      <c r="J224" s="22">
        <v>9</v>
      </c>
    </row>
    <row r="225" spans="7:10" ht="13.5" thickBot="1" x14ac:dyDescent="0.25">
      <c r="G225" s="19" t="s">
        <v>320</v>
      </c>
      <c r="H225" s="14">
        <v>2011</v>
      </c>
      <c r="I225" s="14" t="s">
        <v>299</v>
      </c>
      <c r="J225" s="20">
        <v>8.9</v>
      </c>
    </row>
    <row r="226" spans="7:10" ht="13.5" thickBot="1" x14ac:dyDescent="0.25">
      <c r="G226" s="21" t="s">
        <v>320</v>
      </c>
      <c r="H226" s="15">
        <v>2011</v>
      </c>
      <c r="I226" s="15" t="s">
        <v>300</v>
      </c>
      <c r="J226" s="22">
        <v>9</v>
      </c>
    </row>
    <row r="227" spans="7:10" ht="13.5" thickBot="1" x14ac:dyDescent="0.25">
      <c r="G227" s="19" t="s">
        <v>320</v>
      </c>
      <c r="H227" s="14">
        <v>2011</v>
      </c>
      <c r="I227" s="14" t="s">
        <v>301</v>
      </c>
      <c r="J227" s="20">
        <v>9</v>
      </c>
    </row>
    <row r="228" spans="7:10" ht="13.5" thickBot="1" x14ac:dyDescent="0.25">
      <c r="G228" s="21" t="s">
        <v>320</v>
      </c>
      <c r="H228" s="15">
        <v>2011</v>
      </c>
      <c r="I228" s="15" t="s">
        <v>302</v>
      </c>
      <c r="J228" s="22">
        <v>9.1</v>
      </c>
    </row>
    <row r="229" spans="7:10" ht="13.5" thickBot="1" x14ac:dyDescent="0.25">
      <c r="G229" s="19" t="s">
        <v>320</v>
      </c>
      <c r="H229" s="14">
        <v>2011</v>
      </c>
      <c r="I229" s="14" t="s">
        <v>303</v>
      </c>
      <c r="J229" s="20">
        <v>9</v>
      </c>
    </row>
    <row r="230" spans="7:10" ht="13.5" thickBot="1" x14ac:dyDescent="0.25">
      <c r="G230" s="21" t="s">
        <v>320</v>
      </c>
      <c r="H230" s="15">
        <v>2011</v>
      </c>
      <c r="I230" s="15" t="s">
        <v>304</v>
      </c>
      <c r="J230" s="22">
        <v>9</v>
      </c>
    </row>
    <row r="231" spans="7:10" ht="13.5" thickBot="1" x14ac:dyDescent="0.25">
      <c r="G231" s="19" t="s">
        <v>320</v>
      </c>
      <c r="H231" s="14">
        <v>2011</v>
      </c>
      <c r="I231" s="14" t="s">
        <v>305</v>
      </c>
      <c r="J231" s="20">
        <v>9</v>
      </c>
    </row>
    <row r="232" spans="7:10" ht="13.5" thickBot="1" x14ac:dyDescent="0.25">
      <c r="G232" s="21" t="s">
        <v>320</v>
      </c>
      <c r="H232" s="15">
        <v>2011</v>
      </c>
      <c r="I232" s="15" t="s">
        <v>306</v>
      </c>
      <c r="J232" s="22">
        <v>8.9</v>
      </c>
    </row>
    <row r="233" spans="7:10" ht="13.5" thickBot="1" x14ac:dyDescent="0.25">
      <c r="G233" s="19" t="s">
        <v>320</v>
      </c>
      <c r="H233" s="14">
        <v>2011</v>
      </c>
      <c r="I233" s="14" t="s">
        <v>307</v>
      </c>
      <c r="J233" s="20">
        <v>8.6</v>
      </c>
    </row>
    <row r="234" spans="7:10" ht="13.5" thickBot="1" x14ac:dyDescent="0.25">
      <c r="G234" s="21" t="s">
        <v>320</v>
      </c>
      <c r="H234" s="15">
        <v>2011</v>
      </c>
      <c r="I234" s="15" t="s">
        <v>296</v>
      </c>
      <c r="J234" s="22">
        <v>8.5</v>
      </c>
    </row>
    <row r="235" spans="7:10" ht="13.5" thickBot="1" x14ac:dyDescent="0.25">
      <c r="G235" s="19" t="s">
        <v>320</v>
      </c>
      <c r="H235" s="14">
        <v>2012</v>
      </c>
      <c r="I235" s="14" t="s">
        <v>297</v>
      </c>
      <c r="J235" s="20">
        <v>8.3000000000000007</v>
      </c>
    </row>
    <row r="236" spans="7:10" ht="13.5" thickBot="1" x14ac:dyDescent="0.25">
      <c r="G236" s="21" t="s">
        <v>320</v>
      </c>
      <c r="H236" s="15">
        <v>2012</v>
      </c>
      <c r="I236" s="15" t="s">
        <v>298</v>
      </c>
      <c r="J236" s="22">
        <v>8.3000000000000007</v>
      </c>
    </row>
    <row r="237" spans="7:10" ht="13.5" thickBot="1" x14ac:dyDescent="0.25">
      <c r="G237" s="19" t="s">
        <v>320</v>
      </c>
      <c r="H237" s="14">
        <v>2012</v>
      </c>
      <c r="I237" s="14" t="s">
        <v>299</v>
      </c>
      <c r="J237" s="20">
        <v>8.1999999999999993</v>
      </c>
    </row>
    <row r="238" spans="7:10" ht="13.5" thickBot="1" x14ac:dyDescent="0.25">
      <c r="G238" s="21" t="s">
        <v>320</v>
      </c>
      <c r="H238" s="15">
        <v>2012</v>
      </c>
      <c r="I238" s="15" t="s">
        <v>300</v>
      </c>
      <c r="J238" s="22">
        <v>8.1</v>
      </c>
    </row>
    <row r="239" spans="7:10" ht="13.5" thickBot="1" x14ac:dyDescent="0.25">
      <c r="G239" s="19" t="s">
        <v>320</v>
      </c>
      <c r="H239" s="14">
        <v>2012</v>
      </c>
      <c r="I239" s="14" t="s">
        <v>301</v>
      </c>
      <c r="J239" s="20">
        <v>8.1999999999999993</v>
      </c>
    </row>
    <row r="240" spans="7:10" ht="13.5" thickBot="1" x14ac:dyDescent="0.25">
      <c r="G240" s="21" t="s">
        <v>320</v>
      </c>
      <c r="H240" s="15">
        <v>2012</v>
      </c>
      <c r="I240" s="15" t="s">
        <v>302</v>
      </c>
      <c r="J240" s="22">
        <v>8.1999999999999993</v>
      </c>
    </row>
    <row r="241" spans="7:10" ht="13.5" thickBot="1" x14ac:dyDescent="0.25">
      <c r="G241" s="19" t="s">
        <v>320</v>
      </c>
      <c r="H241" s="14">
        <v>2012</v>
      </c>
      <c r="I241" s="14" t="s">
        <v>303</v>
      </c>
      <c r="J241" s="20">
        <v>8.1999999999999993</v>
      </c>
    </row>
    <row r="242" spans="7:10" ht="13.5" thickBot="1" x14ac:dyDescent="0.25">
      <c r="G242" s="21" t="s">
        <v>320</v>
      </c>
      <c r="H242" s="15">
        <v>2012</v>
      </c>
      <c r="I242" s="15" t="s">
        <v>304</v>
      </c>
      <c r="J242" s="22">
        <v>8.1</v>
      </c>
    </row>
    <row r="243" spans="7:10" ht="13.5" thickBot="1" x14ac:dyDescent="0.25">
      <c r="G243" s="19" t="s">
        <v>320</v>
      </c>
      <c r="H243" s="14">
        <v>2012</v>
      </c>
      <c r="I243" s="14" t="s">
        <v>305</v>
      </c>
      <c r="J243" s="20">
        <v>7.8</v>
      </c>
    </row>
    <row r="244" spans="7:10" ht="13.5" thickBot="1" x14ac:dyDescent="0.25">
      <c r="G244" s="21" t="s">
        <v>320</v>
      </c>
      <c r="H244" s="15">
        <v>2012</v>
      </c>
      <c r="I244" s="15" t="s">
        <v>306</v>
      </c>
      <c r="J244" s="22">
        <v>7.9</v>
      </c>
    </row>
    <row r="245" spans="7:10" ht="13.5" thickBot="1" x14ac:dyDescent="0.25">
      <c r="G245" s="19" t="s">
        <v>320</v>
      </c>
      <c r="H245" s="14">
        <v>2012</v>
      </c>
      <c r="I245" s="14" t="s">
        <v>307</v>
      </c>
      <c r="J245" s="20">
        <v>7.8</v>
      </c>
    </row>
    <row r="246" spans="7:10" ht="13.5" thickBot="1" x14ac:dyDescent="0.25">
      <c r="G246" s="21" t="s">
        <v>320</v>
      </c>
      <c r="H246" s="15">
        <v>2012</v>
      </c>
      <c r="I246" s="15" t="s">
        <v>296</v>
      </c>
      <c r="J246" s="22">
        <v>7.8</v>
      </c>
    </row>
    <row r="247" spans="7:10" ht="13.5" thickBot="1" x14ac:dyDescent="0.25">
      <c r="G247" s="19" t="s">
        <v>320</v>
      </c>
      <c r="H247" s="14">
        <v>2013</v>
      </c>
      <c r="I247" s="14" t="s">
        <v>297</v>
      </c>
      <c r="J247" s="20">
        <v>7.9</v>
      </c>
    </row>
    <row r="248" spans="7:10" ht="13.5" thickBot="1" x14ac:dyDescent="0.25">
      <c r="G248" s="21" t="s">
        <v>320</v>
      </c>
      <c r="H248" s="15">
        <v>2013</v>
      </c>
      <c r="I248" s="15" t="s">
        <v>298</v>
      </c>
      <c r="J248" s="22">
        <v>7.7</v>
      </c>
    </row>
    <row r="249" spans="7:10" ht="13.5" thickBot="1" x14ac:dyDescent="0.25">
      <c r="G249" s="19" t="s">
        <v>320</v>
      </c>
      <c r="H249" s="14">
        <v>2013</v>
      </c>
      <c r="I249" s="14" t="s">
        <v>299</v>
      </c>
      <c r="J249" s="20">
        <v>7.6</v>
      </c>
    </row>
    <row r="250" spans="7:10" ht="13.5" thickBot="1" x14ac:dyDescent="0.25">
      <c r="G250" s="21" t="s">
        <v>320</v>
      </c>
      <c r="H250" s="15">
        <v>2013</v>
      </c>
      <c r="I250" s="15" t="s">
        <v>300</v>
      </c>
      <c r="J250" s="22">
        <v>7.5</v>
      </c>
    </row>
    <row r="251" spans="7:10" ht="13.5" thickBot="1" x14ac:dyDescent="0.25">
      <c r="G251" s="19" t="s">
        <v>320</v>
      </c>
      <c r="H251" s="14">
        <v>2013</v>
      </c>
      <c r="I251" s="14" t="s">
        <v>301</v>
      </c>
      <c r="J251" s="20">
        <v>7.6</v>
      </c>
    </row>
    <row r="252" spans="7:10" ht="13.5" thickBot="1" x14ac:dyDescent="0.25">
      <c r="G252" s="21" t="s">
        <v>320</v>
      </c>
      <c r="H252" s="15">
        <v>2013</v>
      </c>
      <c r="I252" s="15" t="s">
        <v>302</v>
      </c>
      <c r="J252" s="22">
        <v>7.6</v>
      </c>
    </row>
    <row r="253" spans="7:10" ht="13.5" thickBot="1" x14ac:dyDescent="0.25">
      <c r="G253" s="19" t="s">
        <v>320</v>
      </c>
      <c r="H253" s="14">
        <v>2013</v>
      </c>
      <c r="I253" s="14" t="s">
        <v>303</v>
      </c>
      <c r="J253" s="20">
        <v>7.4</v>
      </c>
    </row>
    <row r="254" spans="7:10" ht="13.5" thickBot="1" x14ac:dyDescent="0.25">
      <c r="G254" s="23" t="s">
        <v>320</v>
      </c>
      <c r="H254" s="24">
        <v>2013</v>
      </c>
      <c r="I254" s="24" t="s">
        <v>304</v>
      </c>
      <c r="J254" s="25">
        <v>7.3</v>
      </c>
    </row>
  </sheetData>
  <mergeCells count="4">
    <mergeCell ref="A171:D171"/>
    <mergeCell ref="A172:D172"/>
    <mergeCell ref="N171:Q171"/>
    <mergeCell ref="T183:W183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3073" r:id="rId3" name="Control 1">
          <controlPr defaultSize="0" autoPict="0" r:id="rId4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476250</xdr:colOff>
                <xdr:row>17</xdr:row>
                <xdr:rowOff>0</xdr:rowOff>
              </to>
            </anchor>
          </controlPr>
        </control>
      </mc:Choice>
      <mc:Fallback>
        <control shapeId="3073" r:id="rId3" name="Control 1"/>
      </mc:Fallback>
    </mc:AlternateContent>
    <mc:AlternateContent xmlns:mc="http://schemas.openxmlformats.org/markup-compatibility/2006">
      <mc:Choice Requires="x14">
        <control shapeId="3074" r:id="rId5" name="Control 2">
          <controlPr defaultSize="0" autoPict="0" r:id="rId6">
            <anchor moveWithCells="1">
              <from>
                <xdr:col>1</xdr:col>
                <xdr:colOff>0</xdr:colOff>
                <xdr:row>16</xdr:row>
                <xdr:rowOff>0</xdr:rowOff>
              </from>
              <to>
                <xdr:col>2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74" r:id="rId5" name="Control 2"/>
      </mc:Fallback>
    </mc:AlternateContent>
    <mc:AlternateContent xmlns:mc="http://schemas.openxmlformats.org/markup-compatibility/2006">
      <mc:Choice Requires="x14">
        <control shapeId="3075" r:id="rId7" name="Control 3">
          <controlPr defaultSize="0" autoPict="0" r:id="rId8">
            <anchor moveWithCells="1">
              <from>
                <xdr:col>1</xdr:col>
                <xdr:colOff>0</xdr:colOff>
                <xdr:row>16</xdr:row>
                <xdr:rowOff>0</xdr:rowOff>
              </from>
              <to>
                <xdr:col>2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75" r:id="rId7" name="Control 3"/>
      </mc:Fallback>
    </mc:AlternateContent>
    <mc:AlternateContent xmlns:mc="http://schemas.openxmlformats.org/markup-compatibility/2006">
      <mc:Choice Requires="x14">
        <control shapeId="3076" r:id="rId9" name="Control 4">
          <controlPr defaultSize="0" autoPict="0" r:id="rId10">
            <anchor moveWithCells="1">
              <from>
                <xdr:col>1</xdr:col>
                <xdr:colOff>0</xdr:colOff>
                <xdr:row>16</xdr:row>
                <xdr:rowOff>0</xdr:rowOff>
              </from>
              <to>
                <xdr:col>2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76" r:id="rId9" name="Control 4"/>
      </mc:Fallback>
    </mc:AlternateContent>
    <mc:AlternateContent xmlns:mc="http://schemas.openxmlformats.org/markup-compatibility/2006">
      <mc:Choice Requires="x14">
        <control shapeId="3077" r:id="rId11" name="Control 5">
          <controlPr defaultSize="0" autoPict="0" r:id="rId12">
            <anchor moveWithCells="1">
              <from>
                <xdr:col>1</xdr:col>
                <xdr:colOff>0</xdr:colOff>
                <xdr:row>16</xdr:row>
                <xdr:rowOff>0</xdr:rowOff>
              </from>
              <to>
                <xdr:col>2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77" r:id="rId11" name="Control 5"/>
      </mc:Fallback>
    </mc:AlternateContent>
    <mc:AlternateContent xmlns:mc="http://schemas.openxmlformats.org/markup-compatibility/2006">
      <mc:Choice Requires="x14">
        <control shapeId="3078" r:id="rId13" name="Control 6">
          <controlPr defaultSize="0" autoPict="0" r:id="rId14">
            <anchor moveWithCells="1">
              <from>
                <xdr:col>1</xdr:col>
                <xdr:colOff>0</xdr:colOff>
                <xdr:row>16</xdr:row>
                <xdr:rowOff>0</xdr:rowOff>
              </from>
              <to>
                <xdr:col>2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78" r:id="rId13" name="Control 6"/>
      </mc:Fallback>
    </mc:AlternateContent>
    <mc:AlternateContent xmlns:mc="http://schemas.openxmlformats.org/markup-compatibility/2006">
      <mc:Choice Requires="x14">
        <control shapeId="3079" r:id="rId15" name="Control 7">
          <controlPr defaultSize="0" autoPict="0" r:id="rId16">
            <anchor moveWithCells="1">
              <from>
                <xdr:col>1</xdr:col>
                <xdr:colOff>0</xdr:colOff>
                <xdr:row>16</xdr:row>
                <xdr:rowOff>0</xdr:rowOff>
              </from>
              <to>
                <xdr:col>2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79" r:id="rId15" name="Control 7"/>
      </mc:Fallback>
    </mc:AlternateContent>
    <mc:AlternateContent xmlns:mc="http://schemas.openxmlformats.org/markup-compatibility/2006">
      <mc:Choice Requires="x14">
        <control shapeId="3080" r:id="rId17" name="Control 8">
          <controlPr defaultSize="0" autoPict="0" r:id="rId18">
            <anchor moveWithCells="1">
              <from>
                <xdr:col>1</xdr:col>
                <xdr:colOff>0</xdr:colOff>
                <xdr:row>16</xdr:row>
                <xdr:rowOff>0</xdr:rowOff>
              </from>
              <to>
                <xdr:col>2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80" r:id="rId17" name="Control 8"/>
      </mc:Fallback>
    </mc:AlternateContent>
    <mc:AlternateContent xmlns:mc="http://schemas.openxmlformats.org/markup-compatibility/2006">
      <mc:Choice Requires="x14">
        <control shapeId="3081" r:id="rId19" name="Control 9">
          <controlPr defaultSize="0" autoPict="0" r:id="rId20">
            <anchor moveWithCells="1">
              <from>
                <xdr:col>1</xdr:col>
                <xdr:colOff>0</xdr:colOff>
                <xdr:row>16</xdr:row>
                <xdr:rowOff>0</xdr:rowOff>
              </from>
              <to>
                <xdr:col>2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81" r:id="rId19" name="Control 9"/>
      </mc:Fallback>
    </mc:AlternateContent>
    <mc:AlternateContent xmlns:mc="http://schemas.openxmlformats.org/markup-compatibility/2006">
      <mc:Choice Requires="x14">
        <control shapeId="3082" r:id="rId21" name="Control 10">
          <controlPr defaultSize="0" autoPict="0" r:id="rId22">
            <anchor moveWithCells="1">
              <from>
                <xdr:col>1</xdr:col>
                <xdr:colOff>0</xdr:colOff>
                <xdr:row>16</xdr:row>
                <xdr:rowOff>0</xdr:rowOff>
              </from>
              <to>
                <xdr:col>2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82" r:id="rId21" name="Control 10"/>
      </mc:Fallback>
    </mc:AlternateContent>
    <mc:AlternateContent xmlns:mc="http://schemas.openxmlformats.org/markup-compatibility/2006">
      <mc:Choice Requires="x14">
        <control shapeId="3083" r:id="rId23" name="Control 11">
          <controlPr defaultSize="0" autoPict="0" r:id="rId24">
            <anchor moveWithCells="1">
              <from>
                <xdr:col>1</xdr:col>
                <xdr:colOff>0</xdr:colOff>
                <xdr:row>16</xdr:row>
                <xdr:rowOff>0</xdr:rowOff>
              </from>
              <to>
                <xdr:col>2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83" r:id="rId23" name="Control 11"/>
      </mc:Fallback>
    </mc:AlternateContent>
    <mc:AlternateContent xmlns:mc="http://schemas.openxmlformats.org/markup-compatibility/2006">
      <mc:Choice Requires="x14">
        <control shapeId="3084" r:id="rId25" name="Control 12">
          <controlPr defaultSize="0" autoPict="0" r:id="rId26">
            <anchor moveWithCells="1">
              <from>
                <xdr:col>1</xdr:col>
                <xdr:colOff>0</xdr:colOff>
                <xdr:row>16</xdr:row>
                <xdr:rowOff>0</xdr:rowOff>
              </from>
              <to>
                <xdr:col>2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84" r:id="rId25" name="Control 12"/>
      </mc:Fallback>
    </mc:AlternateContent>
    <mc:AlternateContent xmlns:mc="http://schemas.openxmlformats.org/markup-compatibility/2006">
      <mc:Choice Requires="x14">
        <control shapeId="3085" r:id="rId27" name="Control 13">
          <controlPr defaultSize="0" autoPict="0" r:id="rId28">
            <anchor moveWithCells="1">
              <from>
                <xdr:col>1</xdr:col>
                <xdr:colOff>0</xdr:colOff>
                <xdr:row>16</xdr:row>
                <xdr:rowOff>0</xdr:rowOff>
              </from>
              <to>
                <xdr:col>2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85" r:id="rId27" name="Control 13"/>
      </mc:Fallback>
    </mc:AlternateContent>
    <mc:AlternateContent xmlns:mc="http://schemas.openxmlformats.org/markup-compatibility/2006">
      <mc:Choice Requires="x14">
        <control shapeId="3086" r:id="rId29" name="Control 14">
          <controlPr defaultSize="0" autoPict="0" r:id="rId30">
            <anchor moveWithCells="1">
              <from>
                <xdr:col>1</xdr:col>
                <xdr:colOff>0</xdr:colOff>
                <xdr:row>16</xdr:row>
                <xdr:rowOff>0</xdr:rowOff>
              </from>
              <to>
                <xdr:col>2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86" r:id="rId29" name="Control 14"/>
      </mc:Fallback>
    </mc:AlternateContent>
    <mc:AlternateContent xmlns:mc="http://schemas.openxmlformats.org/markup-compatibility/2006">
      <mc:Choice Requires="x14">
        <control shapeId="3087" r:id="rId31" name="Control 15">
          <controlPr defaultSize="0" autoPict="0" r:id="rId4">
            <anchor moveWithCells="1">
              <from>
                <xdr:col>6</xdr:col>
                <xdr:colOff>0</xdr:colOff>
                <xdr:row>16</xdr:row>
                <xdr:rowOff>0</xdr:rowOff>
              </from>
              <to>
                <xdr:col>6</xdr:col>
                <xdr:colOff>476250</xdr:colOff>
                <xdr:row>17</xdr:row>
                <xdr:rowOff>0</xdr:rowOff>
              </to>
            </anchor>
          </controlPr>
        </control>
      </mc:Choice>
      <mc:Fallback>
        <control shapeId="3087" r:id="rId31" name="Control 15"/>
      </mc:Fallback>
    </mc:AlternateContent>
    <mc:AlternateContent xmlns:mc="http://schemas.openxmlformats.org/markup-compatibility/2006">
      <mc:Choice Requires="x14">
        <control shapeId="3088" r:id="rId32" name="Control 16">
          <controlPr defaultSize="0" autoPict="0" r:id="rId33">
            <anchor moveWithCells="1">
              <from>
                <xdr:col>7</xdr:col>
                <xdr:colOff>0</xdr:colOff>
                <xdr:row>16</xdr:row>
                <xdr:rowOff>0</xdr:rowOff>
              </from>
              <to>
                <xdr:col>8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88" r:id="rId32" name="Control 16"/>
      </mc:Fallback>
    </mc:AlternateContent>
    <mc:AlternateContent xmlns:mc="http://schemas.openxmlformats.org/markup-compatibility/2006">
      <mc:Choice Requires="x14">
        <control shapeId="3089" r:id="rId34" name="Control 17">
          <controlPr defaultSize="0" autoPict="0" r:id="rId35">
            <anchor moveWithCells="1">
              <from>
                <xdr:col>7</xdr:col>
                <xdr:colOff>0</xdr:colOff>
                <xdr:row>16</xdr:row>
                <xdr:rowOff>0</xdr:rowOff>
              </from>
              <to>
                <xdr:col>8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89" r:id="rId34" name="Control 17"/>
      </mc:Fallback>
    </mc:AlternateContent>
    <mc:AlternateContent xmlns:mc="http://schemas.openxmlformats.org/markup-compatibility/2006">
      <mc:Choice Requires="x14">
        <control shapeId="3090" r:id="rId36" name="Control 18">
          <controlPr defaultSize="0" autoPict="0" r:id="rId37">
            <anchor moveWithCells="1">
              <from>
                <xdr:col>7</xdr:col>
                <xdr:colOff>0</xdr:colOff>
                <xdr:row>16</xdr:row>
                <xdr:rowOff>0</xdr:rowOff>
              </from>
              <to>
                <xdr:col>8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90" r:id="rId36" name="Control 18"/>
      </mc:Fallback>
    </mc:AlternateContent>
    <mc:AlternateContent xmlns:mc="http://schemas.openxmlformats.org/markup-compatibility/2006">
      <mc:Choice Requires="x14">
        <control shapeId="3091" r:id="rId38" name="Control 19">
          <controlPr defaultSize="0" autoPict="0" r:id="rId39">
            <anchor moveWithCells="1">
              <from>
                <xdr:col>7</xdr:col>
                <xdr:colOff>0</xdr:colOff>
                <xdr:row>16</xdr:row>
                <xdr:rowOff>0</xdr:rowOff>
              </from>
              <to>
                <xdr:col>8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91" r:id="rId38" name="Control 19"/>
      </mc:Fallback>
    </mc:AlternateContent>
    <mc:AlternateContent xmlns:mc="http://schemas.openxmlformats.org/markup-compatibility/2006">
      <mc:Choice Requires="x14">
        <control shapeId="3092" r:id="rId40" name="Control 20">
          <controlPr defaultSize="0" autoPict="0" r:id="rId41">
            <anchor moveWithCells="1">
              <from>
                <xdr:col>7</xdr:col>
                <xdr:colOff>0</xdr:colOff>
                <xdr:row>16</xdr:row>
                <xdr:rowOff>0</xdr:rowOff>
              </from>
              <to>
                <xdr:col>8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92" r:id="rId40" name="Control 20"/>
      </mc:Fallback>
    </mc:AlternateContent>
    <mc:AlternateContent xmlns:mc="http://schemas.openxmlformats.org/markup-compatibility/2006">
      <mc:Choice Requires="x14">
        <control shapeId="3093" r:id="rId42" name="Control 21">
          <controlPr defaultSize="0" autoPict="0" r:id="rId43">
            <anchor moveWithCells="1">
              <from>
                <xdr:col>7</xdr:col>
                <xdr:colOff>0</xdr:colOff>
                <xdr:row>16</xdr:row>
                <xdr:rowOff>0</xdr:rowOff>
              </from>
              <to>
                <xdr:col>8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93" r:id="rId42" name="Control 21"/>
      </mc:Fallback>
    </mc:AlternateContent>
    <mc:AlternateContent xmlns:mc="http://schemas.openxmlformats.org/markup-compatibility/2006">
      <mc:Choice Requires="x14">
        <control shapeId="3094" r:id="rId44" name="Control 22">
          <controlPr defaultSize="0" autoPict="0" r:id="rId45">
            <anchor moveWithCells="1">
              <from>
                <xdr:col>7</xdr:col>
                <xdr:colOff>0</xdr:colOff>
                <xdr:row>16</xdr:row>
                <xdr:rowOff>0</xdr:rowOff>
              </from>
              <to>
                <xdr:col>8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94" r:id="rId44" name="Control 22"/>
      </mc:Fallback>
    </mc:AlternateContent>
    <mc:AlternateContent xmlns:mc="http://schemas.openxmlformats.org/markup-compatibility/2006">
      <mc:Choice Requires="x14">
        <control shapeId="3095" r:id="rId46" name="Control 23">
          <controlPr defaultSize="0" autoPict="0" r:id="rId47">
            <anchor moveWithCells="1">
              <from>
                <xdr:col>7</xdr:col>
                <xdr:colOff>0</xdr:colOff>
                <xdr:row>16</xdr:row>
                <xdr:rowOff>0</xdr:rowOff>
              </from>
              <to>
                <xdr:col>8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95" r:id="rId46" name="Control 23"/>
      </mc:Fallback>
    </mc:AlternateContent>
    <mc:AlternateContent xmlns:mc="http://schemas.openxmlformats.org/markup-compatibility/2006">
      <mc:Choice Requires="x14">
        <control shapeId="3096" r:id="rId48" name="Control 24">
          <controlPr defaultSize="0" autoPict="0" r:id="rId49">
            <anchor moveWithCells="1">
              <from>
                <xdr:col>7</xdr:col>
                <xdr:colOff>0</xdr:colOff>
                <xdr:row>16</xdr:row>
                <xdr:rowOff>0</xdr:rowOff>
              </from>
              <to>
                <xdr:col>8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96" r:id="rId48" name="Control 24"/>
      </mc:Fallback>
    </mc:AlternateContent>
    <mc:AlternateContent xmlns:mc="http://schemas.openxmlformats.org/markup-compatibility/2006">
      <mc:Choice Requires="x14">
        <control shapeId="3097" r:id="rId50" name="Control 25">
          <controlPr defaultSize="0" autoPict="0" r:id="rId51">
            <anchor moveWithCells="1">
              <from>
                <xdr:col>7</xdr:col>
                <xdr:colOff>0</xdr:colOff>
                <xdr:row>16</xdr:row>
                <xdr:rowOff>0</xdr:rowOff>
              </from>
              <to>
                <xdr:col>8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97" r:id="rId50" name="Control 25"/>
      </mc:Fallback>
    </mc:AlternateContent>
    <mc:AlternateContent xmlns:mc="http://schemas.openxmlformats.org/markup-compatibility/2006">
      <mc:Choice Requires="x14">
        <control shapeId="3098" r:id="rId52" name="Control 26">
          <controlPr defaultSize="0" autoPict="0" r:id="rId53">
            <anchor moveWithCells="1">
              <from>
                <xdr:col>7</xdr:col>
                <xdr:colOff>0</xdr:colOff>
                <xdr:row>16</xdr:row>
                <xdr:rowOff>0</xdr:rowOff>
              </from>
              <to>
                <xdr:col>8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98" r:id="rId52" name="Control 26"/>
      </mc:Fallback>
    </mc:AlternateContent>
    <mc:AlternateContent xmlns:mc="http://schemas.openxmlformats.org/markup-compatibility/2006">
      <mc:Choice Requires="x14">
        <control shapeId="3099" r:id="rId54" name="Control 27">
          <controlPr defaultSize="0" autoPict="0" r:id="rId55">
            <anchor moveWithCells="1">
              <from>
                <xdr:col>7</xdr:col>
                <xdr:colOff>0</xdr:colOff>
                <xdr:row>16</xdr:row>
                <xdr:rowOff>0</xdr:rowOff>
              </from>
              <to>
                <xdr:col>8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099" r:id="rId54" name="Control 27"/>
      </mc:Fallback>
    </mc:AlternateContent>
    <mc:AlternateContent xmlns:mc="http://schemas.openxmlformats.org/markup-compatibility/2006">
      <mc:Choice Requires="x14">
        <control shapeId="3100" r:id="rId56" name="Control 28">
          <controlPr defaultSize="0" autoPict="0" r:id="rId57">
            <anchor moveWithCells="1">
              <from>
                <xdr:col>7</xdr:col>
                <xdr:colOff>0</xdr:colOff>
                <xdr:row>16</xdr:row>
                <xdr:rowOff>0</xdr:rowOff>
              </from>
              <to>
                <xdr:col>8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00" r:id="rId56" name="Control 28"/>
      </mc:Fallback>
    </mc:AlternateContent>
    <mc:AlternateContent xmlns:mc="http://schemas.openxmlformats.org/markup-compatibility/2006">
      <mc:Choice Requires="x14">
        <control shapeId="3101" r:id="rId58" name="Control 29">
          <controlPr defaultSize="0" autoPict="0" r:id="rId4">
            <anchor moveWithCells="1">
              <from>
                <xdr:col>13</xdr:col>
                <xdr:colOff>0</xdr:colOff>
                <xdr:row>16</xdr:row>
                <xdr:rowOff>0</xdr:rowOff>
              </from>
              <to>
                <xdr:col>13</xdr:col>
                <xdr:colOff>476250</xdr:colOff>
                <xdr:row>17</xdr:row>
                <xdr:rowOff>0</xdr:rowOff>
              </to>
            </anchor>
          </controlPr>
        </control>
      </mc:Choice>
      <mc:Fallback>
        <control shapeId="3101" r:id="rId58" name="Control 29"/>
      </mc:Fallback>
    </mc:AlternateContent>
    <mc:AlternateContent xmlns:mc="http://schemas.openxmlformats.org/markup-compatibility/2006">
      <mc:Choice Requires="x14">
        <control shapeId="3102" r:id="rId59" name="Control 30">
          <controlPr defaultSize="0" autoPict="0" r:id="rId60">
            <anchor moveWithCells="1">
              <from>
                <xdr:col>14</xdr:col>
                <xdr:colOff>0</xdr:colOff>
                <xdr:row>16</xdr:row>
                <xdr:rowOff>0</xdr:rowOff>
              </from>
              <to>
                <xdr:col>15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02" r:id="rId59" name="Control 30"/>
      </mc:Fallback>
    </mc:AlternateContent>
    <mc:AlternateContent xmlns:mc="http://schemas.openxmlformats.org/markup-compatibility/2006">
      <mc:Choice Requires="x14">
        <control shapeId="3103" r:id="rId61" name="Control 31">
          <controlPr defaultSize="0" autoPict="0" r:id="rId62">
            <anchor moveWithCells="1">
              <from>
                <xdr:col>14</xdr:col>
                <xdr:colOff>0</xdr:colOff>
                <xdr:row>16</xdr:row>
                <xdr:rowOff>0</xdr:rowOff>
              </from>
              <to>
                <xdr:col>15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03" r:id="rId61" name="Control 31"/>
      </mc:Fallback>
    </mc:AlternateContent>
    <mc:AlternateContent xmlns:mc="http://schemas.openxmlformats.org/markup-compatibility/2006">
      <mc:Choice Requires="x14">
        <control shapeId="3104" r:id="rId63" name="Control 32">
          <controlPr defaultSize="0" autoPict="0" r:id="rId64">
            <anchor moveWithCells="1">
              <from>
                <xdr:col>14</xdr:col>
                <xdr:colOff>0</xdr:colOff>
                <xdr:row>16</xdr:row>
                <xdr:rowOff>0</xdr:rowOff>
              </from>
              <to>
                <xdr:col>15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04" r:id="rId63" name="Control 32"/>
      </mc:Fallback>
    </mc:AlternateContent>
    <mc:AlternateContent xmlns:mc="http://schemas.openxmlformats.org/markup-compatibility/2006">
      <mc:Choice Requires="x14">
        <control shapeId="3105" r:id="rId65" name="Control 33">
          <controlPr defaultSize="0" autoPict="0" r:id="rId66">
            <anchor moveWithCells="1">
              <from>
                <xdr:col>14</xdr:col>
                <xdr:colOff>0</xdr:colOff>
                <xdr:row>16</xdr:row>
                <xdr:rowOff>0</xdr:rowOff>
              </from>
              <to>
                <xdr:col>15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05" r:id="rId65" name="Control 33"/>
      </mc:Fallback>
    </mc:AlternateContent>
    <mc:AlternateContent xmlns:mc="http://schemas.openxmlformats.org/markup-compatibility/2006">
      <mc:Choice Requires="x14">
        <control shapeId="3106" r:id="rId67" name="Control 34">
          <controlPr defaultSize="0" autoPict="0" r:id="rId68">
            <anchor moveWithCells="1">
              <from>
                <xdr:col>14</xdr:col>
                <xdr:colOff>0</xdr:colOff>
                <xdr:row>16</xdr:row>
                <xdr:rowOff>0</xdr:rowOff>
              </from>
              <to>
                <xdr:col>15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06" r:id="rId67" name="Control 34"/>
      </mc:Fallback>
    </mc:AlternateContent>
    <mc:AlternateContent xmlns:mc="http://schemas.openxmlformats.org/markup-compatibility/2006">
      <mc:Choice Requires="x14">
        <control shapeId="3107" r:id="rId69" name="Control 35">
          <controlPr defaultSize="0" autoPict="0" r:id="rId70">
            <anchor moveWithCells="1">
              <from>
                <xdr:col>14</xdr:col>
                <xdr:colOff>0</xdr:colOff>
                <xdr:row>16</xdr:row>
                <xdr:rowOff>0</xdr:rowOff>
              </from>
              <to>
                <xdr:col>15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07" r:id="rId69" name="Control 35"/>
      </mc:Fallback>
    </mc:AlternateContent>
    <mc:AlternateContent xmlns:mc="http://schemas.openxmlformats.org/markup-compatibility/2006">
      <mc:Choice Requires="x14">
        <control shapeId="3108" r:id="rId71" name="Control 36">
          <controlPr defaultSize="0" autoPict="0" r:id="rId72">
            <anchor moveWithCells="1">
              <from>
                <xdr:col>14</xdr:col>
                <xdr:colOff>0</xdr:colOff>
                <xdr:row>16</xdr:row>
                <xdr:rowOff>0</xdr:rowOff>
              </from>
              <to>
                <xdr:col>15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08" r:id="rId71" name="Control 36"/>
      </mc:Fallback>
    </mc:AlternateContent>
    <mc:AlternateContent xmlns:mc="http://schemas.openxmlformats.org/markup-compatibility/2006">
      <mc:Choice Requires="x14">
        <control shapeId="3109" r:id="rId73" name="Control 37">
          <controlPr defaultSize="0" autoPict="0" r:id="rId74">
            <anchor moveWithCells="1">
              <from>
                <xdr:col>14</xdr:col>
                <xdr:colOff>0</xdr:colOff>
                <xdr:row>16</xdr:row>
                <xdr:rowOff>0</xdr:rowOff>
              </from>
              <to>
                <xdr:col>15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09" r:id="rId73" name="Control 37"/>
      </mc:Fallback>
    </mc:AlternateContent>
    <mc:AlternateContent xmlns:mc="http://schemas.openxmlformats.org/markup-compatibility/2006">
      <mc:Choice Requires="x14">
        <control shapeId="3110" r:id="rId75" name="Control 38">
          <controlPr defaultSize="0" autoPict="0" r:id="rId76">
            <anchor moveWithCells="1">
              <from>
                <xdr:col>14</xdr:col>
                <xdr:colOff>0</xdr:colOff>
                <xdr:row>16</xdr:row>
                <xdr:rowOff>0</xdr:rowOff>
              </from>
              <to>
                <xdr:col>15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10" r:id="rId75" name="Control 38"/>
      </mc:Fallback>
    </mc:AlternateContent>
    <mc:AlternateContent xmlns:mc="http://schemas.openxmlformats.org/markup-compatibility/2006">
      <mc:Choice Requires="x14">
        <control shapeId="3111" r:id="rId77" name="Control 39">
          <controlPr defaultSize="0" autoPict="0" r:id="rId78">
            <anchor moveWithCells="1">
              <from>
                <xdr:col>14</xdr:col>
                <xdr:colOff>0</xdr:colOff>
                <xdr:row>16</xdr:row>
                <xdr:rowOff>0</xdr:rowOff>
              </from>
              <to>
                <xdr:col>15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11" r:id="rId77" name="Control 39"/>
      </mc:Fallback>
    </mc:AlternateContent>
    <mc:AlternateContent xmlns:mc="http://schemas.openxmlformats.org/markup-compatibility/2006">
      <mc:Choice Requires="x14">
        <control shapeId="3112" r:id="rId79" name="Control 40">
          <controlPr defaultSize="0" autoPict="0" r:id="rId80">
            <anchor moveWithCells="1">
              <from>
                <xdr:col>14</xdr:col>
                <xdr:colOff>0</xdr:colOff>
                <xdr:row>16</xdr:row>
                <xdr:rowOff>0</xdr:rowOff>
              </from>
              <to>
                <xdr:col>15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12" r:id="rId79" name="Control 40"/>
      </mc:Fallback>
    </mc:AlternateContent>
    <mc:AlternateContent xmlns:mc="http://schemas.openxmlformats.org/markup-compatibility/2006">
      <mc:Choice Requires="x14">
        <control shapeId="3113" r:id="rId81" name="Control 41">
          <controlPr defaultSize="0" autoPict="0" r:id="rId82">
            <anchor moveWithCells="1">
              <from>
                <xdr:col>14</xdr:col>
                <xdr:colOff>0</xdr:colOff>
                <xdr:row>16</xdr:row>
                <xdr:rowOff>0</xdr:rowOff>
              </from>
              <to>
                <xdr:col>15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13" r:id="rId81" name="Control 41"/>
      </mc:Fallback>
    </mc:AlternateContent>
    <mc:AlternateContent xmlns:mc="http://schemas.openxmlformats.org/markup-compatibility/2006">
      <mc:Choice Requires="x14">
        <control shapeId="3114" r:id="rId83" name="Control 42">
          <controlPr defaultSize="0" autoPict="0" r:id="rId84">
            <anchor moveWithCells="1">
              <from>
                <xdr:col>14</xdr:col>
                <xdr:colOff>0</xdr:colOff>
                <xdr:row>16</xdr:row>
                <xdr:rowOff>0</xdr:rowOff>
              </from>
              <to>
                <xdr:col>15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14" r:id="rId83" name="Control 42"/>
      </mc:Fallback>
    </mc:AlternateContent>
    <mc:AlternateContent xmlns:mc="http://schemas.openxmlformats.org/markup-compatibility/2006">
      <mc:Choice Requires="x14">
        <control shapeId="3115" r:id="rId85" name="Control 43">
          <controlPr defaultSize="0" autoPict="0" r:id="rId4">
            <anchor moveWithCells="1">
              <from>
                <xdr:col>19</xdr:col>
                <xdr:colOff>0</xdr:colOff>
                <xdr:row>16</xdr:row>
                <xdr:rowOff>0</xdr:rowOff>
              </from>
              <to>
                <xdr:col>19</xdr:col>
                <xdr:colOff>476250</xdr:colOff>
                <xdr:row>17</xdr:row>
                <xdr:rowOff>0</xdr:rowOff>
              </to>
            </anchor>
          </controlPr>
        </control>
      </mc:Choice>
      <mc:Fallback>
        <control shapeId="3115" r:id="rId85" name="Control 43"/>
      </mc:Fallback>
    </mc:AlternateContent>
    <mc:AlternateContent xmlns:mc="http://schemas.openxmlformats.org/markup-compatibility/2006">
      <mc:Choice Requires="x14">
        <control shapeId="3116" r:id="rId86" name="Control 44">
          <controlPr defaultSize="0" autoPict="0" r:id="rId87">
            <anchor moveWithCells="1">
              <from>
                <xdr:col>20</xdr:col>
                <xdr:colOff>0</xdr:colOff>
                <xdr:row>16</xdr:row>
                <xdr:rowOff>0</xdr:rowOff>
              </from>
              <to>
                <xdr:col>21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16" r:id="rId86" name="Control 44"/>
      </mc:Fallback>
    </mc:AlternateContent>
    <mc:AlternateContent xmlns:mc="http://schemas.openxmlformats.org/markup-compatibility/2006">
      <mc:Choice Requires="x14">
        <control shapeId="3117" r:id="rId88" name="Control 45">
          <controlPr defaultSize="0" autoPict="0" r:id="rId89">
            <anchor moveWithCells="1">
              <from>
                <xdr:col>20</xdr:col>
                <xdr:colOff>0</xdr:colOff>
                <xdr:row>16</xdr:row>
                <xdr:rowOff>0</xdr:rowOff>
              </from>
              <to>
                <xdr:col>21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17" r:id="rId88" name="Control 45"/>
      </mc:Fallback>
    </mc:AlternateContent>
    <mc:AlternateContent xmlns:mc="http://schemas.openxmlformats.org/markup-compatibility/2006">
      <mc:Choice Requires="x14">
        <control shapeId="3118" r:id="rId90" name="Control 46">
          <controlPr defaultSize="0" autoPict="0" r:id="rId91">
            <anchor moveWithCells="1">
              <from>
                <xdr:col>20</xdr:col>
                <xdr:colOff>0</xdr:colOff>
                <xdr:row>16</xdr:row>
                <xdr:rowOff>0</xdr:rowOff>
              </from>
              <to>
                <xdr:col>21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18" r:id="rId90" name="Control 46"/>
      </mc:Fallback>
    </mc:AlternateContent>
    <mc:AlternateContent xmlns:mc="http://schemas.openxmlformats.org/markup-compatibility/2006">
      <mc:Choice Requires="x14">
        <control shapeId="3119" r:id="rId92" name="Control 47">
          <controlPr defaultSize="0" autoPict="0" r:id="rId93">
            <anchor moveWithCells="1">
              <from>
                <xdr:col>20</xdr:col>
                <xdr:colOff>0</xdr:colOff>
                <xdr:row>16</xdr:row>
                <xdr:rowOff>0</xdr:rowOff>
              </from>
              <to>
                <xdr:col>21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19" r:id="rId92" name="Control 47"/>
      </mc:Fallback>
    </mc:AlternateContent>
    <mc:AlternateContent xmlns:mc="http://schemas.openxmlformats.org/markup-compatibility/2006">
      <mc:Choice Requires="x14">
        <control shapeId="3120" r:id="rId94" name="Control 48">
          <controlPr defaultSize="0" autoPict="0" r:id="rId95">
            <anchor moveWithCells="1">
              <from>
                <xdr:col>20</xdr:col>
                <xdr:colOff>0</xdr:colOff>
                <xdr:row>16</xdr:row>
                <xdr:rowOff>0</xdr:rowOff>
              </from>
              <to>
                <xdr:col>21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20" r:id="rId94" name="Control 48"/>
      </mc:Fallback>
    </mc:AlternateContent>
    <mc:AlternateContent xmlns:mc="http://schemas.openxmlformats.org/markup-compatibility/2006">
      <mc:Choice Requires="x14">
        <control shapeId="3121" r:id="rId96" name="Control 49">
          <controlPr defaultSize="0" autoPict="0" r:id="rId97">
            <anchor moveWithCells="1">
              <from>
                <xdr:col>20</xdr:col>
                <xdr:colOff>0</xdr:colOff>
                <xdr:row>16</xdr:row>
                <xdr:rowOff>0</xdr:rowOff>
              </from>
              <to>
                <xdr:col>21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21" r:id="rId96" name="Control 49"/>
      </mc:Fallback>
    </mc:AlternateContent>
    <mc:AlternateContent xmlns:mc="http://schemas.openxmlformats.org/markup-compatibility/2006">
      <mc:Choice Requires="x14">
        <control shapeId="3122" r:id="rId98" name="Control 50">
          <controlPr defaultSize="0" autoPict="0" r:id="rId99">
            <anchor moveWithCells="1">
              <from>
                <xdr:col>20</xdr:col>
                <xdr:colOff>0</xdr:colOff>
                <xdr:row>16</xdr:row>
                <xdr:rowOff>0</xdr:rowOff>
              </from>
              <to>
                <xdr:col>21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22" r:id="rId98" name="Control 50"/>
      </mc:Fallback>
    </mc:AlternateContent>
    <mc:AlternateContent xmlns:mc="http://schemas.openxmlformats.org/markup-compatibility/2006">
      <mc:Choice Requires="x14">
        <control shapeId="3123" r:id="rId100" name="Control 51">
          <controlPr defaultSize="0" autoPict="0" r:id="rId101">
            <anchor moveWithCells="1">
              <from>
                <xdr:col>20</xdr:col>
                <xdr:colOff>0</xdr:colOff>
                <xdr:row>16</xdr:row>
                <xdr:rowOff>0</xdr:rowOff>
              </from>
              <to>
                <xdr:col>21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23" r:id="rId100" name="Control 51"/>
      </mc:Fallback>
    </mc:AlternateContent>
    <mc:AlternateContent xmlns:mc="http://schemas.openxmlformats.org/markup-compatibility/2006">
      <mc:Choice Requires="x14">
        <control shapeId="3124" r:id="rId102" name="Control 52">
          <controlPr defaultSize="0" autoPict="0" r:id="rId103">
            <anchor moveWithCells="1">
              <from>
                <xdr:col>20</xdr:col>
                <xdr:colOff>0</xdr:colOff>
                <xdr:row>16</xdr:row>
                <xdr:rowOff>0</xdr:rowOff>
              </from>
              <to>
                <xdr:col>21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24" r:id="rId102" name="Control 52"/>
      </mc:Fallback>
    </mc:AlternateContent>
    <mc:AlternateContent xmlns:mc="http://schemas.openxmlformats.org/markup-compatibility/2006">
      <mc:Choice Requires="x14">
        <control shapeId="3125" r:id="rId104" name="Control 53">
          <controlPr defaultSize="0" autoPict="0" r:id="rId105">
            <anchor moveWithCells="1">
              <from>
                <xdr:col>20</xdr:col>
                <xdr:colOff>0</xdr:colOff>
                <xdr:row>16</xdr:row>
                <xdr:rowOff>0</xdr:rowOff>
              </from>
              <to>
                <xdr:col>21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25" r:id="rId104" name="Control 53"/>
      </mc:Fallback>
    </mc:AlternateContent>
    <mc:AlternateContent xmlns:mc="http://schemas.openxmlformats.org/markup-compatibility/2006">
      <mc:Choice Requires="x14">
        <control shapeId="3126" r:id="rId106" name="Control 54">
          <controlPr defaultSize="0" autoPict="0" r:id="rId107">
            <anchor moveWithCells="1">
              <from>
                <xdr:col>20</xdr:col>
                <xdr:colOff>0</xdr:colOff>
                <xdr:row>16</xdr:row>
                <xdr:rowOff>0</xdr:rowOff>
              </from>
              <to>
                <xdr:col>21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26" r:id="rId106" name="Control 54"/>
      </mc:Fallback>
    </mc:AlternateContent>
    <mc:AlternateContent xmlns:mc="http://schemas.openxmlformats.org/markup-compatibility/2006">
      <mc:Choice Requires="x14">
        <control shapeId="3127" r:id="rId108" name="Control 55">
          <controlPr defaultSize="0" autoPict="0" r:id="rId109">
            <anchor moveWithCells="1">
              <from>
                <xdr:col>20</xdr:col>
                <xdr:colOff>0</xdr:colOff>
                <xdr:row>16</xdr:row>
                <xdr:rowOff>0</xdr:rowOff>
              </from>
              <to>
                <xdr:col>21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27" r:id="rId108" name="Control 55"/>
      </mc:Fallback>
    </mc:AlternateContent>
    <mc:AlternateContent xmlns:mc="http://schemas.openxmlformats.org/markup-compatibility/2006">
      <mc:Choice Requires="x14">
        <control shapeId="3128" r:id="rId110" name="Control 56">
          <controlPr defaultSize="0" autoPict="0" r:id="rId111">
            <anchor moveWithCells="1">
              <from>
                <xdr:col>20</xdr:col>
                <xdr:colOff>0</xdr:colOff>
                <xdr:row>16</xdr:row>
                <xdr:rowOff>0</xdr:rowOff>
              </from>
              <to>
                <xdr:col>21</xdr:col>
                <xdr:colOff>304800</xdr:colOff>
                <xdr:row>17</xdr:row>
                <xdr:rowOff>57150</xdr:rowOff>
              </to>
            </anchor>
          </controlPr>
        </control>
      </mc:Choice>
      <mc:Fallback>
        <control shapeId="3128" r:id="rId110" name="Control 56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3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2.75" x14ac:dyDescent="0.2"/>
  <cols>
    <col min="1" max="1" width="10.140625" bestFit="1" customWidth="1"/>
    <col min="2" max="3" width="16.42578125" bestFit="1" customWidth="1"/>
    <col min="4" max="4" width="16.42578125" customWidth="1"/>
    <col min="5" max="6" width="15.140625" bestFit="1" customWidth="1"/>
    <col min="7" max="7" width="15.140625" customWidth="1"/>
    <col min="8" max="8" width="19.42578125" bestFit="1" customWidth="1"/>
    <col min="9" max="9" width="27" bestFit="1" customWidth="1"/>
    <col min="10" max="10" width="36" bestFit="1" customWidth="1"/>
    <col min="11" max="11" width="39.42578125" bestFit="1" customWidth="1"/>
  </cols>
  <sheetData>
    <row r="1" spans="1:11" x14ac:dyDescent="0.2">
      <c r="B1" s="2" t="s">
        <v>278</v>
      </c>
      <c r="C1" s="2" t="s">
        <v>279</v>
      </c>
      <c r="D1" s="2" t="s">
        <v>340</v>
      </c>
      <c r="E1" s="5" t="s">
        <v>280</v>
      </c>
      <c r="F1" s="5" t="s">
        <v>281</v>
      </c>
      <c r="G1" s="5" t="s">
        <v>341</v>
      </c>
      <c r="H1" s="2" t="s">
        <v>310</v>
      </c>
      <c r="I1" s="2" t="s">
        <v>321</v>
      </c>
      <c r="J1" s="2" t="s">
        <v>322</v>
      </c>
      <c r="K1" s="2" t="s">
        <v>323</v>
      </c>
    </row>
    <row r="2" spans="1:11" x14ac:dyDescent="0.2">
      <c r="A2" s="1">
        <f>DATE(1994,1,1)</f>
        <v>34335</v>
      </c>
      <c r="B2">
        <f>'raw FF data'!L33</f>
        <v>3.4</v>
      </c>
      <c r="C2">
        <f>'raw FF data'!P33</f>
        <v>25.1</v>
      </c>
      <c r="D2">
        <f>'raw FF data'!N33</f>
        <v>1.4</v>
      </c>
      <c r="E2">
        <v>3.2917979620726001</v>
      </c>
      <c r="F2">
        <v>24.8196545966609</v>
      </c>
      <c r="G2">
        <v>1.3987888583725101</v>
      </c>
      <c r="H2" t="e">
        <f>NA()</f>
        <v>#N/A</v>
      </c>
      <c r="I2">
        <f>'raw BLS data'!J19</f>
        <v>6.6</v>
      </c>
      <c r="J2">
        <f>E2*( 1 - (I2/100) )/F2</f>
        <v>0.12387518466874395</v>
      </c>
      <c r="K2" t="e">
        <f>H2*( 1 - (I2/100) )/F2</f>
        <v>#N/A</v>
      </c>
    </row>
    <row r="3" spans="1:11" x14ac:dyDescent="0.2">
      <c r="A3" s="1">
        <f>DATE(YEAR(A2),MONTH(A2)+1,1)</f>
        <v>34366</v>
      </c>
      <c r="B3">
        <f>'raw FF data'!L34</f>
        <v>2.7</v>
      </c>
      <c r="C3">
        <f>'raw FF data'!P34</f>
        <v>24.8</v>
      </c>
      <c r="D3">
        <f>'raw FF data'!N34</f>
        <v>1.2</v>
      </c>
      <c r="E3">
        <v>2.8930373841152299</v>
      </c>
      <c r="F3">
        <v>26.083321291747598</v>
      </c>
      <c r="G3">
        <v>1.3474182662874401</v>
      </c>
      <c r="H3" t="e">
        <f>NA()</f>
        <v>#N/A</v>
      </c>
      <c r="I3">
        <f>'raw BLS data'!J20</f>
        <v>6.6</v>
      </c>
      <c r="J3">
        <f t="shared" ref="J3:J66" si="0">E3*( 1 - (I3/100) )/F3</f>
        <v>0.10359481779716952</v>
      </c>
      <c r="K3" t="e">
        <f t="shared" ref="K3:K66" si="1">H3*( 1 - (I3/100) )/F3</f>
        <v>#N/A</v>
      </c>
    </row>
    <row r="4" spans="1:11" x14ac:dyDescent="0.2">
      <c r="A4" s="1">
        <f t="shared" ref="A4:A67" si="2">DATE(YEAR(A3),MONTH(A3)+1,1)</f>
        <v>34394</v>
      </c>
      <c r="B4">
        <f>'raw FF data'!L35</f>
        <v>2.9</v>
      </c>
      <c r="C4">
        <f>'raw FF data'!P35</f>
        <v>28.4</v>
      </c>
      <c r="D4">
        <f>'raw FF data'!N35</f>
        <v>1.4</v>
      </c>
      <c r="E4">
        <v>3.27810814709304</v>
      </c>
      <c r="F4">
        <v>28.5440533001759</v>
      </c>
      <c r="G4">
        <v>1.5220962458802401</v>
      </c>
      <c r="H4" t="e">
        <f>NA()</f>
        <v>#N/A</v>
      </c>
      <c r="I4">
        <f>'raw BLS data'!J21</f>
        <v>6.5</v>
      </c>
      <c r="J4">
        <f t="shared" si="0"/>
        <v>0.10737897261119199</v>
      </c>
      <c r="K4" t="e">
        <f t="shared" si="1"/>
        <v>#N/A</v>
      </c>
    </row>
    <row r="5" spans="1:11" x14ac:dyDescent="0.2">
      <c r="A5" s="1">
        <f t="shared" si="2"/>
        <v>34425</v>
      </c>
      <c r="B5">
        <f>'raw FF data'!L36</f>
        <v>2.8</v>
      </c>
      <c r="C5">
        <f>'raw FF data'!P36</f>
        <v>29.5</v>
      </c>
      <c r="D5">
        <f>'raw FF data'!N36</f>
        <v>1.2</v>
      </c>
      <c r="E5">
        <v>2.8560582336646001</v>
      </c>
      <c r="F5">
        <v>27.5514601557758</v>
      </c>
      <c r="G5">
        <v>1.25062081529979</v>
      </c>
      <c r="H5" t="e">
        <f>NA()</f>
        <v>#N/A</v>
      </c>
      <c r="I5">
        <f>'raw BLS data'!J22</f>
        <v>6.4</v>
      </c>
      <c r="J5">
        <f t="shared" si="0"/>
        <v>9.7028269703144918E-2</v>
      </c>
      <c r="K5" t="e">
        <f t="shared" si="1"/>
        <v>#N/A</v>
      </c>
    </row>
    <row r="6" spans="1:11" x14ac:dyDescent="0.2">
      <c r="A6" s="1">
        <f t="shared" si="2"/>
        <v>34455</v>
      </c>
      <c r="B6">
        <f>'raw FF data'!L37</f>
        <v>3.5</v>
      </c>
      <c r="C6">
        <f>'raw FF data'!P37</f>
        <v>27.4</v>
      </c>
      <c r="D6">
        <f>'raw FF data'!N37</f>
        <v>1.7</v>
      </c>
      <c r="E6">
        <v>3.2420075242925299</v>
      </c>
      <c r="F6">
        <v>26.889006067350898</v>
      </c>
      <c r="G6">
        <v>1.62977170165914</v>
      </c>
      <c r="H6" t="e">
        <f>NA()</f>
        <v>#N/A</v>
      </c>
      <c r="I6">
        <f>'raw BLS data'!J23</f>
        <v>6.1</v>
      </c>
      <c r="J6">
        <f t="shared" si="0"/>
        <v>0.11321523219138477</v>
      </c>
      <c r="K6" t="e">
        <f t="shared" si="1"/>
        <v>#N/A</v>
      </c>
    </row>
    <row r="7" spans="1:11" x14ac:dyDescent="0.2">
      <c r="A7" s="1">
        <f t="shared" si="2"/>
        <v>34486</v>
      </c>
      <c r="B7">
        <f>'raw FF data'!L38</f>
        <v>3</v>
      </c>
      <c r="C7">
        <f>'raw FF data'!P38</f>
        <v>29.3</v>
      </c>
      <c r="D7">
        <f>'raw FF data'!N38</f>
        <v>1.6</v>
      </c>
      <c r="E7">
        <v>2.8348145294501501</v>
      </c>
      <c r="F7">
        <v>27.6157914280905</v>
      </c>
      <c r="G7">
        <v>1.5713786932257101</v>
      </c>
      <c r="H7" t="e">
        <f>NA()</f>
        <v>#N/A</v>
      </c>
      <c r="I7">
        <f>'raw BLS data'!J24</f>
        <v>6.1</v>
      </c>
      <c r="J7">
        <f t="shared" si="0"/>
        <v>9.639017046044325E-2</v>
      </c>
      <c r="K7" t="e">
        <f t="shared" si="1"/>
        <v>#N/A</v>
      </c>
    </row>
    <row r="8" spans="1:11" x14ac:dyDescent="0.2">
      <c r="A8" s="1">
        <f t="shared" si="2"/>
        <v>34516</v>
      </c>
      <c r="B8">
        <f>'raw FF data'!L39</f>
        <v>2.9</v>
      </c>
      <c r="C8">
        <f>'raw FF data'!P39</f>
        <v>26.3</v>
      </c>
      <c r="D8">
        <f>'raw FF data'!N39</f>
        <v>1.5</v>
      </c>
      <c r="E8">
        <v>2.5567081266687701</v>
      </c>
      <c r="F8">
        <v>25.017465143285602</v>
      </c>
      <c r="G8">
        <v>1.5786076257720101</v>
      </c>
      <c r="H8" t="e">
        <f>NA()</f>
        <v>#N/A</v>
      </c>
      <c r="I8">
        <f>'raw BLS data'!J25</f>
        <v>6.1</v>
      </c>
      <c r="J8">
        <f t="shared" si="0"/>
        <v>9.5962916993862918E-2</v>
      </c>
      <c r="K8" t="e">
        <f t="shared" si="1"/>
        <v>#N/A</v>
      </c>
    </row>
    <row r="9" spans="1:11" x14ac:dyDescent="0.2">
      <c r="A9" s="1">
        <f t="shared" si="2"/>
        <v>34547</v>
      </c>
      <c r="B9">
        <f>'raw FF data'!L40</f>
        <v>4.2</v>
      </c>
      <c r="C9">
        <f>'raw FF data'!P40</f>
        <v>31.6</v>
      </c>
      <c r="D9">
        <f>'raw FF data'!N40</f>
        <v>1.6</v>
      </c>
      <c r="E9">
        <v>3.7540401729759898</v>
      </c>
      <c r="F9">
        <v>28.751026009667601</v>
      </c>
      <c r="G9">
        <v>1.68200083294804</v>
      </c>
      <c r="H9" t="e">
        <f>NA()</f>
        <v>#N/A</v>
      </c>
      <c r="I9">
        <f>'raw BLS data'!J26</f>
        <v>6</v>
      </c>
      <c r="J9">
        <f t="shared" si="0"/>
        <v>0.12273641161226258</v>
      </c>
      <c r="K9" t="e">
        <f t="shared" si="1"/>
        <v>#N/A</v>
      </c>
    </row>
    <row r="10" spans="1:11" x14ac:dyDescent="0.2">
      <c r="A10" s="1">
        <f t="shared" si="2"/>
        <v>34578</v>
      </c>
      <c r="B10">
        <f>'raw FF data'!L41</f>
        <v>2.8</v>
      </c>
      <c r="C10">
        <f>'raw FF data'!P41</f>
        <v>27.5</v>
      </c>
      <c r="D10">
        <f>'raw FF data'!N41</f>
        <v>1</v>
      </c>
      <c r="E10">
        <v>2.6791150738537799</v>
      </c>
      <c r="F10">
        <v>25.824314715475801</v>
      </c>
      <c r="G10">
        <v>1.0520540037914199</v>
      </c>
      <c r="H10" t="e">
        <f>NA()</f>
        <v>#N/A</v>
      </c>
      <c r="I10">
        <f>'raw BLS data'!J27</f>
        <v>5.9</v>
      </c>
      <c r="J10">
        <f t="shared" si="0"/>
        <v>9.7623008094213343E-2</v>
      </c>
      <c r="K10" t="e">
        <f t="shared" si="1"/>
        <v>#N/A</v>
      </c>
    </row>
    <row r="11" spans="1:11" x14ac:dyDescent="0.2">
      <c r="A11" s="1">
        <f t="shared" si="2"/>
        <v>34608</v>
      </c>
      <c r="B11">
        <f>'raw FF data'!L42</f>
        <v>2.4</v>
      </c>
      <c r="C11">
        <f>'raw FF data'!P42</f>
        <v>26.4</v>
      </c>
      <c r="D11">
        <f>'raw FF data'!N42</f>
        <v>1.4</v>
      </c>
      <c r="E11">
        <v>2.46897501500281</v>
      </c>
      <c r="F11">
        <v>26.538001165885401</v>
      </c>
      <c r="G11">
        <v>1.3946172290821699</v>
      </c>
      <c r="H11" t="e">
        <f>NA()</f>
        <v>#N/A</v>
      </c>
      <c r="I11">
        <f>'raw BLS data'!J28</f>
        <v>5.8</v>
      </c>
      <c r="J11">
        <f t="shared" si="0"/>
        <v>8.7639398671910146E-2</v>
      </c>
      <c r="K11" t="e">
        <f t="shared" si="1"/>
        <v>#N/A</v>
      </c>
    </row>
    <row r="12" spans="1:11" x14ac:dyDescent="0.2">
      <c r="A12" s="1">
        <f t="shared" si="2"/>
        <v>34639</v>
      </c>
      <c r="B12">
        <f>'raw FF data'!L43</f>
        <v>2.2999999999999998</v>
      </c>
      <c r="C12">
        <f>'raw FF data'!P43</f>
        <v>26.4</v>
      </c>
      <c r="D12">
        <f>'raw FF data'!N43</f>
        <v>1.4</v>
      </c>
      <c r="E12">
        <v>2.8766786430803601</v>
      </c>
      <c r="F12">
        <v>31.5825055904184</v>
      </c>
      <c r="G12">
        <v>1.57325383596494</v>
      </c>
      <c r="H12" t="e">
        <f>NA()</f>
        <v>#N/A</v>
      </c>
      <c r="I12">
        <f>'raw BLS data'!J29</f>
        <v>5.6</v>
      </c>
      <c r="J12">
        <f t="shared" si="0"/>
        <v>8.5983825168441427E-2</v>
      </c>
      <c r="K12" t="e">
        <f t="shared" si="1"/>
        <v>#N/A</v>
      </c>
    </row>
    <row r="13" spans="1:11" x14ac:dyDescent="0.2">
      <c r="A13" s="1">
        <f t="shared" si="2"/>
        <v>34669</v>
      </c>
      <c r="B13">
        <f>'raw FF data'!L44</f>
        <v>2.5</v>
      </c>
      <c r="C13">
        <f>'raw FF data'!P44</f>
        <v>22.2</v>
      </c>
      <c r="D13">
        <f>'raw FF data'!N44</f>
        <v>2</v>
      </c>
      <c r="E13">
        <v>2.5821700022619201</v>
      </c>
      <c r="F13">
        <v>26.137401647143601</v>
      </c>
      <c r="G13">
        <v>1.4069473316902299</v>
      </c>
      <c r="H13" t="e">
        <f>NA()</f>
        <v>#N/A</v>
      </c>
      <c r="I13">
        <f>'raw BLS data'!J30</f>
        <v>5.5</v>
      </c>
      <c r="J13">
        <f t="shared" si="0"/>
        <v>9.335857806677518E-2</v>
      </c>
      <c r="K13" t="e">
        <f t="shared" si="1"/>
        <v>#N/A</v>
      </c>
    </row>
    <row r="14" spans="1:11" x14ac:dyDescent="0.2">
      <c r="A14" s="1">
        <f t="shared" si="2"/>
        <v>34700</v>
      </c>
      <c r="B14">
        <f>'raw FF data'!L45</f>
        <v>2.9</v>
      </c>
      <c r="C14">
        <f>'raw FF data'!P45</f>
        <v>30.5</v>
      </c>
      <c r="D14">
        <f>'raw FF data'!N45</f>
        <v>1.4</v>
      </c>
      <c r="E14">
        <v>2.83108378111034</v>
      </c>
      <c r="F14">
        <v>30.315138422824599</v>
      </c>
      <c r="G14">
        <v>1.40080131330102</v>
      </c>
      <c r="H14" t="e">
        <f>NA()</f>
        <v>#N/A</v>
      </c>
      <c r="I14">
        <f>'raw BLS data'!J31</f>
        <v>5.6</v>
      </c>
      <c r="J14">
        <f t="shared" si="0"/>
        <v>8.8158696559207328E-2</v>
      </c>
      <c r="K14" t="e">
        <f t="shared" si="1"/>
        <v>#N/A</v>
      </c>
    </row>
    <row r="15" spans="1:11" x14ac:dyDescent="0.2">
      <c r="A15" s="1">
        <f t="shared" si="2"/>
        <v>34731</v>
      </c>
      <c r="B15">
        <f>'raw FF data'!L46</f>
        <v>2.5</v>
      </c>
      <c r="C15">
        <f>'raw FF data'!P46</f>
        <v>27.1</v>
      </c>
      <c r="D15">
        <f>'raw FF data'!N46</f>
        <v>1.2</v>
      </c>
      <c r="E15">
        <v>2.6774078674427999</v>
      </c>
      <c r="F15">
        <v>28.405150845876602</v>
      </c>
      <c r="G15">
        <v>1.3358855528587701</v>
      </c>
      <c r="H15" t="e">
        <f>NA()</f>
        <v>#N/A</v>
      </c>
      <c r="I15">
        <f>'raw BLS data'!J32</f>
        <v>5.4</v>
      </c>
      <c r="J15">
        <f t="shared" si="0"/>
        <v>8.916790677661772E-2</v>
      </c>
      <c r="K15" t="e">
        <f t="shared" si="1"/>
        <v>#N/A</v>
      </c>
    </row>
    <row r="16" spans="1:11" x14ac:dyDescent="0.2">
      <c r="A16" s="1">
        <f t="shared" si="2"/>
        <v>34759</v>
      </c>
      <c r="B16">
        <f>'raw FF data'!L47</f>
        <v>2.2999999999999998</v>
      </c>
      <c r="C16">
        <f>'raw FF data'!P47</f>
        <v>27.9</v>
      </c>
      <c r="D16">
        <f>'raw FF data'!N47</f>
        <v>1.3</v>
      </c>
      <c r="E16">
        <v>2.6080895856954398</v>
      </c>
      <c r="F16">
        <v>28.002905499473101</v>
      </c>
      <c r="G16">
        <v>1.4213019491729799</v>
      </c>
      <c r="H16" t="e">
        <f>NA()</f>
        <v>#N/A</v>
      </c>
      <c r="I16">
        <f>'raw BLS data'!J33</f>
        <v>5.4</v>
      </c>
      <c r="J16">
        <f t="shared" si="0"/>
        <v>8.8107026898130603E-2</v>
      </c>
      <c r="K16" t="e">
        <f t="shared" si="1"/>
        <v>#N/A</v>
      </c>
    </row>
    <row r="17" spans="1:11" x14ac:dyDescent="0.2">
      <c r="A17" s="1">
        <f t="shared" si="2"/>
        <v>34790</v>
      </c>
      <c r="B17">
        <f>'raw FF data'!L48</f>
        <v>2.5</v>
      </c>
      <c r="C17">
        <f>'raw FF data'!P48</f>
        <v>28.1</v>
      </c>
      <c r="D17">
        <f>'raw FF data'!N48</f>
        <v>1.2</v>
      </c>
      <c r="E17">
        <v>2.56002155596597</v>
      </c>
      <c r="F17">
        <v>26.398602919411701</v>
      </c>
      <c r="G17">
        <v>1.25779418741196</v>
      </c>
      <c r="H17" t="e">
        <f>NA()</f>
        <v>#N/A</v>
      </c>
      <c r="I17">
        <f>'raw BLS data'!J34</f>
        <v>5.8</v>
      </c>
      <c r="J17">
        <f t="shared" si="0"/>
        <v>9.1351057973854524E-2</v>
      </c>
      <c r="K17" t="e">
        <f t="shared" si="1"/>
        <v>#N/A</v>
      </c>
    </row>
    <row r="18" spans="1:11" x14ac:dyDescent="0.2">
      <c r="A18" s="3">
        <f t="shared" si="2"/>
        <v>34820</v>
      </c>
      <c r="B18" s="4">
        <f>B$17+( (MONTH($A18)-4)*(B$22-B$17)/5 )</f>
        <v>2.56</v>
      </c>
      <c r="C18" s="4">
        <f>C$17+( (MONTH($A18)-4)*(C$22-C$17)/5 )</f>
        <v>28.42</v>
      </c>
      <c r="D18" s="4">
        <f>D$17+( (MONTH($A18)-4)*(D$22-D$17)/5 )</f>
        <v>1.22</v>
      </c>
      <c r="E18">
        <v>2.3743556875137299</v>
      </c>
      <c r="F18">
        <v>27.8334971440709</v>
      </c>
      <c r="G18">
        <v>1.1668607936769499</v>
      </c>
      <c r="H18" t="e">
        <f>NA()</f>
        <v>#N/A</v>
      </c>
      <c r="I18">
        <f>'raw BLS data'!J35</f>
        <v>5.6</v>
      </c>
      <c r="J18">
        <f t="shared" si="0"/>
        <v>8.052857164915847E-2</v>
      </c>
      <c r="K18" t="e">
        <f t="shared" si="1"/>
        <v>#N/A</v>
      </c>
    </row>
    <row r="19" spans="1:11" x14ac:dyDescent="0.2">
      <c r="A19" s="3">
        <f t="shared" si="2"/>
        <v>34851</v>
      </c>
      <c r="B19" s="4">
        <f t="shared" ref="B19:D21" si="3">B$17+( (MONTH($A19)-4)*(B$22-B$17)/5 )</f>
        <v>2.62</v>
      </c>
      <c r="C19" s="4">
        <f t="shared" si="3"/>
        <v>28.740000000000002</v>
      </c>
      <c r="D19" s="4">
        <f t="shared" si="3"/>
        <v>1.24</v>
      </c>
      <c r="E19">
        <v>2.45549823521293</v>
      </c>
      <c r="F19">
        <v>26.9993083223079</v>
      </c>
      <c r="G19">
        <v>1.21309460881015</v>
      </c>
      <c r="H19" t="e">
        <f>NA()</f>
        <v>#N/A</v>
      </c>
      <c r="I19">
        <f>'raw BLS data'!J36</f>
        <v>5.6</v>
      </c>
      <c r="J19">
        <f t="shared" si="0"/>
        <v>8.5853693226866493E-2</v>
      </c>
      <c r="K19" t="e">
        <f t="shared" si="1"/>
        <v>#N/A</v>
      </c>
    </row>
    <row r="20" spans="1:11" x14ac:dyDescent="0.2">
      <c r="A20" s="3">
        <f t="shared" si="2"/>
        <v>34881</v>
      </c>
      <c r="B20" s="4">
        <f t="shared" si="3"/>
        <v>2.6799999999999997</v>
      </c>
      <c r="C20" s="4">
        <f t="shared" si="3"/>
        <v>29.06</v>
      </c>
      <c r="D20" s="4">
        <f t="shared" si="3"/>
        <v>1.26</v>
      </c>
      <c r="E20">
        <v>2.3637486188374099</v>
      </c>
      <c r="F20">
        <v>27.7762003113526</v>
      </c>
      <c r="G20">
        <v>1.3225066403025301</v>
      </c>
      <c r="H20" t="e">
        <f>NA()</f>
        <v>#N/A</v>
      </c>
      <c r="I20">
        <f>'raw BLS data'!J37</f>
        <v>5.7</v>
      </c>
      <c r="J20">
        <f t="shared" si="0"/>
        <v>8.0249095361421399E-2</v>
      </c>
      <c r="K20" t="e">
        <f t="shared" si="1"/>
        <v>#N/A</v>
      </c>
    </row>
    <row r="21" spans="1:11" x14ac:dyDescent="0.2">
      <c r="A21" s="3">
        <f t="shared" si="2"/>
        <v>34912</v>
      </c>
      <c r="B21" s="4">
        <f t="shared" si="3"/>
        <v>2.7399999999999998</v>
      </c>
      <c r="C21" s="4">
        <f t="shared" si="3"/>
        <v>29.38</v>
      </c>
      <c r="D21" s="4">
        <f t="shared" si="3"/>
        <v>1.28</v>
      </c>
      <c r="E21">
        <v>2.4396916513972702</v>
      </c>
      <c r="F21">
        <v>26.5906837571635</v>
      </c>
      <c r="G21">
        <v>1.3481498856604699</v>
      </c>
      <c r="H21" t="e">
        <f>NA()</f>
        <v>#N/A</v>
      </c>
      <c r="I21">
        <f>'raw BLS data'!J38</f>
        <v>5.7</v>
      </c>
      <c r="J21">
        <f t="shared" si="0"/>
        <v>8.652012292266982E-2</v>
      </c>
      <c r="K21" t="e">
        <f t="shared" si="1"/>
        <v>#N/A</v>
      </c>
    </row>
    <row r="22" spans="1:11" x14ac:dyDescent="0.2">
      <c r="A22" s="1">
        <f t="shared" si="2"/>
        <v>34943</v>
      </c>
      <c r="B22">
        <f>'raw FF data'!L53</f>
        <v>2.8</v>
      </c>
      <c r="C22">
        <f>'raw FF data'!P53</f>
        <v>29.7</v>
      </c>
      <c r="D22">
        <f>'raw FF data'!N53</f>
        <v>1.3</v>
      </c>
      <c r="E22">
        <v>2.6596799389911601</v>
      </c>
      <c r="F22">
        <v>27.9474441102772</v>
      </c>
      <c r="G22">
        <v>1.3642426441903599</v>
      </c>
      <c r="H22" t="e">
        <f>NA()</f>
        <v>#N/A</v>
      </c>
      <c r="I22">
        <f>'raw BLS data'!J39</f>
        <v>5.6</v>
      </c>
      <c r="J22">
        <f t="shared" si="0"/>
        <v>8.983783463348527E-2</v>
      </c>
      <c r="K22" t="e">
        <f t="shared" si="1"/>
        <v>#N/A</v>
      </c>
    </row>
    <row r="23" spans="1:11" x14ac:dyDescent="0.2">
      <c r="A23" s="1">
        <f t="shared" si="2"/>
        <v>34973</v>
      </c>
      <c r="B23">
        <f>'raw FF data'!L54</f>
        <v>3.1</v>
      </c>
      <c r="C23">
        <f>'raw FF data'!P54</f>
        <v>28.9</v>
      </c>
      <c r="D23">
        <f>'raw FF data'!N54</f>
        <v>1.4</v>
      </c>
      <c r="E23">
        <v>3.2069440908375899</v>
      </c>
      <c r="F23">
        <v>29.145481978839801</v>
      </c>
      <c r="G23">
        <v>1.40576636077244</v>
      </c>
      <c r="H23" t="e">
        <f>NA()</f>
        <v>#N/A</v>
      </c>
      <c r="I23">
        <f>'raw BLS data'!J40</f>
        <v>5.5</v>
      </c>
      <c r="J23">
        <f t="shared" si="0"/>
        <v>0.10398051293307728</v>
      </c>
      <c r="K23" t="e">
        <f t="shared" si="1"/>
        <v>#N/A</v>
      </c>
    </row>
    <row r="24" spans="1:11" x14ac:dyDescent="0.2">
      <c r="A24" s="1">
        <f t="shared" si="2"/>
        <v>35004</v>
      </c>
      <c r="B24">
        <f>'raw FF data'!L55</f>
        <v>2</v>
      </c>
      <c r="C24">
        <f>'raw FF data'!P55</f>
        <v>22.2</v>
      </c>
      <c r="D24">
        <f>'raw FF data'!N55</f>
        <v>1.1000000000000001</v>
      </c>
      <c r="E24">
        <v>2.4875256660936098</v>
      </c>
      <c r="F24">
        <v>26.531462823231902</v>
      </c>
      <c r="G24">
        <v>1.22300774782202</v>
      </c>
      <c r="H24" t="e">
        <f>NA()</f>
        <v>#N/A</v>
      </c>
      <c r="I24">
        <f>'raw BLS data'!J41</f>
        <v>5.6</v>
      </c>
      <c r="J24">
        <f t="shared" si="0"/>
        <v>8.8507152599824904E-2</v>
      </c>
      <c r="K24" t="e">
        <f t="shared" si="1"/>
        <v>#N/A</v>
      </c>
    </row>
    <row r="25" spans="1:11" x14ac:dyDescent="0.2">
      <c r="A25" s="1">
        <f t="shared" si="2"/>
        <v>35034</v>
      </c>
      <c r="B25">
        <f>'raw FF data'!L56</f>
        <v>2.5</v>
      </c>
      <c r="C25">
        <f>'raw FF data'!P56</f>
        <v>22.7</v>
      </c>
      <c r="D25">
        <f>'raw FF data'!N56</f>
        <v>1.9</v>
      </c>
      <c r="E25">
        <v>2.5853931220828601</v>
      </c>
      <c r="F25">
        <v>26.5412695937693</v>
      </c>
      <c r="G25">
        <v>1.34920304925497</v>
      </c>
      <c r="H25" t="e">
        <f>NA()</f>
        <v>#N/A</v>
      </c>
      <c r="I25">
        <f>'raw BLS data'!J42</f>
        <v>5.6</v>
      </c>
      <c r="J25">
        <f t="shared" si="0"/>
        <v>9.1955326350295088E-2</v>
      </c>
      <c r="K25" t="e">
        <f t="shared" si="1"/>
        <v>#N/A</v>
      </c>
    </row>
    <row r="26" spans="1:11" x14ac:dyDescent="0.2">
      <c r="A26" s="1">
        <f t="shared" si="2"/>
        <v>35065</v>
      </c>
      <c r="B26">
        <f>'raw FF data'!L57</f>
        <v>2.5</v>
      </c>
      <c r="C26">
        <f>'raw FF data'!P57</f>
        <v>29.1</v>
      </c>
      <c r="D26">
        <f>'raw FF data'!N57</f>
        <v>1.4</v>
      </c>
      <c r="E26">
        <v>2.4794311306250201</v>
      </c>
      <c r="F26">
        <v>29.050188287139999</v>
      </c>
      <c r="G26">
        <v>1.4008525429982599</v>
      </c>
      <c r="H26" t="e">
        <f>NA()</f>
        <v>#N/A</v>
      </c>
      <c r="I26">
        <f>'raw BLS data'!J43</f>
        <v>5.6</v>
      </c>
      <c r="J26">
        <f t="shared" si="0"/>
        <v>8.0570320721334299E-2</v>
      </c>
      <c r="K26" t="e">
        <f t="shared" si="1"/>
        <v>#N/A</v>
      </c>
    </row>
    <row r="27" spans="1:11" x14ac:dyDescent="0.2">
      <c r="A27" s="1">
        <f t="shared" si="2"/>
        <v>35096</v>
      </c>
      <c r="B27">
        <f>'raw FF data'!L58</f>
        <v>2.5</v>
      </c>
      <c r="C27">
        <f>'raw FF data'!P58</f>
        <v>25.5</v>
      </c>
      <c r="D27">
        <f>'raw FF data'!N58</f>
        <v>1.3</v>
      </c>
      <c r="E27">
        <v>2.6584982908949999</v>
      </c>
      <c r="F27">
        <v>26.679340750897801</v>
      </c>
      <c r="G27">
        <v>1.4253650654413501</v>
      </c>
      <c r="H27" t="e">
        <f>NA()</f>
        <v>#N/A</v>
      </c>
      <c r="I27">
        <f>'raw BLS data'!J44</f>
        <v>5.5</v>
      </c>
      <c r="J27">
        <f t="shared" si="0"/>
        <v>9.416577824589735E-2</v>
      </c>
      <c r="K27" t="e">
        <f t="shared" si="1"/>
        <v>#N/A</v>
      </c>
    </row>
    <row r="28" spans="1:11" x14ac:dyDescent="0.2">
      <c r="A28" s="1">
        <f t="shared" si="2"/>
        <v>35125</v>
      </c>
      <c r="B28">
        <f>'raw FF data'!L59</f>
        <v>2.2000000000000002</v>
      </c>
      <c r="C28">
        <f>'raw FF data'!P59</f>
        <v>25.2</v>
      </c>
      <c r="D28">
        <f>'raw FF data'!N59</f>
        <v>1.2</v>
      </c>
      <c r="E28">
        <v>2.5143459132296102</v>
      </c>
      <c r="F28">
        <v>25.2383467328869</v>
      </c>
      <c r="G28">
        <v>1.3215328351917801</v>
      </c>
      <c r="H28" t="e">
        <f>NA()</f>
        <v>#N/A</v>
      </c>
      <c r="I28">
        <f>'raw BLS data'!J45</f>
        <v>5.5</v>
      </c>
      <c r="J28">
        <f t="shared" si="0"/>
        <v>9.4144712137814238E-2</v>
      </c>
      <c r="K28" t="e">
        <f t="shared" si="1"/>
        <v>#N/A</v>
      </c>
    </row>
    <row r="29" spans="1:11" x14ac:dyDescent="0.2">
      <c r="A29" s="1">
        <f t="shared" si="2"/>
        <v>35156</v>
      </c>
      <c r="B29">
        <f>'raw FF data'!L60</f>
        <v>2.7</v>
      </c>
      <c r="C29">
        <f>'raw FF data'!P60</f>
        <v>31.7</v>
      </c>
      <c r="D29">
        <f>'raw FF data'!N60</f>
        <v>1.4</v>
      </c>
      <c r="E29">
        <v>2.7778105200184902</v>
      </c>
      <c r="F29">
        <v>29.9370205785306</v>
      </c>
      <c r="G29">
        <v>1.47018822686549</v>
      </c>
      <c r="H29" t="e">
        <f>NA()</f>
        <v>#N/A</v>
      </c>
      <c r="I29">
        <f>'raw BLS data'!J46</f>
        <v>5.6</v>
      </c>
      <c r="J29">
        <f t="shared" si="0"/>
        <v>8.7592321487663632E-2</v>
      </c>
      <c r="K29" t="e">
        <f t="shared" si="1"/>
        <v>#N/A</v>
      </c>
    </row>
    <row r="30" spans="1:11" x14ac:dyDescent="0.2">
      <c r="A30" s="1">
        <f t="shared" si="2"/>
        <v>35186</v>
      </c>
      <c r="B30">
        <f>'raw FF data'!L61</f>
        <v>2.8</v>
      </c>
      <c r="C30">
        <f>'raw FF data'!P61</f>
        <v>27.8</v>
      </c>
      <c r="D30">
        <f>'raw FF data'!N61</f>
        <v>1.4</v>
      </c>
      <c r="E30">
        <v>2.6227864154696898</v>
      </c>
      <c r="F30">
        <v>27.147591115764499</v>
      </c>
      <c r="G30">
        <v>1.3448424185469201</v>
      </c>
      <c r="H30" t="e">
        <f>NA()</f>
        <v>#N/A</v>
      </c>
      <c r="I30">
        <f>'raw BLS data'!J47</f>
        <v>5.6</v>
      </c>
      <c r="J30">
        <f t="shared" si="0"/>
        <v>9.1201844231609763E-2</v>
      </c>
      <c r="K30" t="e">
        <f t="shared" si="1"/>
        <v>#N/A</v>
      </c>
    </row>
    <row r="31" spans="1:11" x14ac:dyDescent="0.2">
      <c r="A31" s="1">
        <f t="shared" si="2"/>
        <v>35217</v>
      </c>
      <c r="B31">
        <f>'raw FF data'!L62</f>
        <v>2.9</v>
      </c>
      <c r="C31">
        <f>'raw FF data'!P62</f>
        <v>29.1</v>
      </c>
      <c r="D31">
        <f>'raw FF data'!N62</f>
        <v>1.4</v>
      </c>
      <c r="E31">
        <v>2.6698080803565198</v>
      </c>
      <c r="F31">
        <v>27.4111892859822</v>
      </c>
      <c r="G31">
        <v>1.35913501186729</v>
      </c>
      <c r="H31" t="e">
        <f>NA()</f>
        <v>#N/A</v>
      </c>
      <c r="I31">
        <f>'raw BLS data'!J48</f>
        <v>5.3</v>
      </c>
      <c r="J31">
        <f t="shared" si="0"/>
        <v>9.2236357413013628E-2</v>
      </c>
      <c r="K31" t="e">
        <f t="shared" si="1"/>
        <v>#N/A</v>
      </c>
    </row>
    <row r="32" spans="1:11" x14ac:dyDescent="0.2">
      <c r="A32" s="1">
        <f t="shared" si="2"/>
        <v>35247</v>
      </c>
      <c r="B32">
        <f>'raw FF data'!L63</f>
        <v>3.1</v>
      </c>
      <c r="C32">
        <f>'raw FF data'!P63</f>
        <v>31.5</v>
      </c>
      <c r="D32">
        <f>'raw FF data'!N63</f>
        <v>1.1000000000000001</v>
      </c>
      <c r="E32">
        <v>2.7446122550776599</v>
      </c>
      <c r="F32">
        <v>30.173543719696902</v>
      </c>
      <c r="G32">
        <v>1.1479353274181201</v>
      </c>
      <c r="H32" t="e">
        <f>NA()</f>
        <v>#N/A</v>
      </c>
      <c r="I32">
        <f>'raw BLS data'!J49</f>
        <v>5.5</v>
      </c>
      <c r="J32">
        <f t="shared" si="0"/>
        <v>8.5958036786884975E-2</v>
      </c>
      <c r="K32" t="e">
        <f t="shared" si="1"/>
        <v>#N/A</v>
      </c>
    </row>
    <row r="33" spans="1:11" x14ac:dyDescent="0.2">
      <c r="A33" s="1">
        <f t="shared" si="2"/>
        <v>35278</v>
      </c>
      <c r="B33">
        <f>'raw FF data'!L64</f>
        <v>2.9</v>
      </c>
      <c r="C33">
        <f>'raw FF data'!P64</f>
        <v>30.7</v>
      </c>
      <c r="D33">
        <f>'raw FF data'!N64</f>
        <v>1.2</v>
      </c>
      <c r="E33">
        <v>2.54735592319693</v>
      </c>
      <c r="F33">
        <v>27.591070124566201</v>
      </c>
      <c r="G33">
        <v>1.26999315128829</v>
      </c>
      <c r="H33" t="e">
        <f>NA()</f>
        <v>#N/A</v>
      </c>
      <c r="I33">
        <f>'raw BLS data'!J50</f>
        <v>5.0999999999999996</v>
      </c>
      <c r="J33">
        <f t="shared" si="0"/>
        <v>8.7616781813818628E-2</v>
      </c>
      <c r="K33" t="e">
        <f t="shared" si="1"/>
        <v>#N/A</v>
      </c>
    </row>
    <row r="34" spans="1:11" x14ac:dyDescent="0.2">
      <c r="A34" s="1">
        <f t="shared" si="2"/>
        <v>35309</v>
      </c>
      <c r="B34">
        <f>'raw FF data'!L65</f>
        <v>2.6</v>
      </c>
      <c r="C34">
        <f>'raw FF data'!P65</f>
        <v>30.4</v>
      </c>
      <c r="D34">
        <f>'raw FF data'!N65</f>
        <v>1.2</v>
      </c>
      <c r="E34">
        <v>2.4410461783504598</v>
      </c>
      <c r="F34">
        <v>28.758968668329199</v>
      </c>
      <c r="G34">
        <v>1.2526194545318099</v>
      </c>
      <c r="H34" t="e">
        <f>NA()</f>
        <v>#N/A</v>
      </c>
      <c r="I34">
        <f>'raw BLS data'!J51</f>
        <v>5.2</v>
      </c>
      <c r="J34">
        <f t="shared" si="0"/>
        <v>8.0465742835369836E-2</v>
      </c>
      <c r="K34" t="e">
        <f t="shared" si="1"/>
        <v>#N/A</v>
      </c>
    </row>
    <row r="35" spans="1:11" x14ac:dyDescent="0.2">
      <c r="A35" s="1">
        <f t="shared" si="2"/>
        <v>35339</v>
      </c>
      <c r="B35">
        <f>'raw FF data'!L66</f>
        <v>2.6</v>
      </c>
      <c r="C35">
        <f>'raw FF data'!P66</f>
        <v>28.7</v>
      </c>
      <c r="D35">
        <f>'raw FF data'!N66</f>
        <v>1.4</v>
      </c>
      <c r="E35">
        <v>2.7076408994269601</v>
      </c>
      <c r="F35">
        <v>28.917081891653901</v>
      </c>
      <c r="G35">
        <v>1.41517951140205</v>
      </c>
      <c r="H35" t="e">
        <f>NA()</f>
        <v>#N/A</v>
      </c>
      <c r="I35">
        <f>'raw BLS data'!J52</f>
        <v>5.2</v>
      </c>
      <c r="J35">
        <f t="shared" si="0"/>
        <v>8.8765650084409273E-2</v>
      </c>
      <c r="K35" t="e">
        <f t="shared" si="1"/>
        <v>#N/A</v>
      </c>
    </row>
    <row r="36" spans="1:11" x14ac:dyDescent="0.2">
      <c r="A36" s="1">
        <f t="shared" si="2"/>
        <v>35370</v>
      </c>
      <c r="B36">
        <f>'raw FF data'!L67</f>
        <v>1.9</v>
      </c>
      <c r="C36">
        <f>'raw FF data'!P67</f>
        <v>22.7</v>
      </c>
      <c r="D36">
        <f>'raw FF data'!N67</f>
        <v>1.1000000000000001</v>
      </c>
      <c r="E36">
        <v>2.35763554562915</v>
      </c>
      <c r="F36">
        <v>27.1190000049105</v>
      </c>
      <c r="G36">
        <v>1.2145074787138901</v>
      </c>
      <c r="H36" t="e">
        <f>NA()</f>
        <v>#N/A</v>
      </c>
      <c r="I36">
        <f>'raw BLS data'!J53</f>
        <v>5.4</v>
      </c>
      <c r="J36">
        <f t="shared" si="0"/>
        <v>8.2242089522523917E-2</v>
      </c>
      <c r="K36" t="e">
        <f t="shared" si="1"/>
        <v>#N/A</v>
      </c>
    </row>
    <row r="37" spans="1:11" x14ac:dyDescent="0.2">
      <c r="A37" s="1">
        <f t="shared" si="2"/>
        <v>35400</v>
      </c>
      <c r="B37">
        <f>'raw FF data'!L68</f>
        <v>2.6</v>
      </c>
      <c r="C37">
        <f>'raw FF data'!P68</f>
        <v>25.1</v>
      </c>
      <c r="D37">
        <f>'raw FF data'!N68</f>
        <v>1.9</v>
      </c>
      <c r="E37">
        <v>2.6970885521761399</v>
      </c>
      <c r="F37">
        <v>29.256276664054798</v>
      </c>
      <c r="G37">
        <v>1.36051206936856</v>
      </c>
      <c r="H37" t="e">
        <f>NA()</f>
        <v>#N/A</v>
      </c>
      <c r="I37">
        <f>'raw BLS data'!J54</f>
        <v>5.4</v>
      </c>
      <c r="J37">
        <f t="shared" si="0"/>
        <v>8.7210201067500034E-2</v>
      </c>
      <c r="K37" t="e">
        <f t="shared" si="1"/>
        <v>#N/A</v>
      </c>
    </row>
    <row r="38" spans="1:11" x14ac:dyDescent="0.2">
      <c r="A38" s="1">
        <f t="shared" si="2"/>
        <v>35431</v>
      </c>
      <c r="B38">
        <f>'raw FF data'!L69</f>
        <v>2.5</v>
      </c>
      <c r="C38">
        <f>'raw FF data'!P69</f>
        <v>27.1</v>
      </c>
      <c r="D38">
        <f>'raw FF data'!N69</f>
        <v>1.3</v>
      </c>
      <c r="E38">
        <v>2.5429776276699099</v>
      </c>
      <c r="F38">
        <v>27.023025658953699</v>
      </c>
      <c r="G38">
        <v>1.3047251878941799</v>
      </c>
      <c r="H38" t="e">
        <f>NA()</f>
        <v>#N/A</v>
      </c>
      <c r="I38">
        <f>'raw BLS data'!J55</f>
        <v>5.3</v>
      </c>
      <c r="J38">
        <f t="shared" si="0"/>
        <v>8.9116586861748448E-2</v>
      </c>
      <c r="K38" t="e">
        <f t="shared" si="1"/>
        <v>#N/A</v>
      </c>
    </row>
    <row r="39" spans="1:11" x14ac:dyDescent="0.2">
      <c r="A39" s="1">
        <f t="shared" si="2"/>
        <v>35462</v>
      </c>
      <c r="B39">
        <f>'raw FF data'!L70</f>
        <v>2.5</v>
      </c>
      <c r="C39">
        <f>'raw FF data'!P70</f>
        <v>26.7</v>
      </c>
      <c r="D39">
        <f>'raw FF data'!N70</f>
        <v>1.2</v>
      </c>
      <c r="E39">
        <v>2.6434506726779898</v>
      </c>
      <c r="F39">
        <v>27.9473604359966</v>
      </c>
      <c r="G39">
        <v>1.3008758517635299</v>
      </c>
      <c r="H39" t="e">
        <f>NA()</f>
        <v>#N/A</v>
      </c>
      <c r="I39">
        <f>'raw BLS data'!J56</f>
        <v>5.2</v>
      </c>
      <c r="J39">
        <f t="shared" si="0"/>
        <v>8.9668261996971338E-2</v>
      </c>
      <c r="K39" t="e">
        <f t="shared" si="1"/>
        <v>#N/A</v>
      </c>
    </row>
    <row r="40" spans="1:11" x14ac:dyDescent="0.2">
      <c r="A40" s="1">
        <f t="shared" si="2"/>
        <v>35490</v>
      </c>
      <c r="B40">
        <f>'raw FF data'!L71</f>
        <v>2.2000000000000002</v>
      </c>
      <c r="C40">
        <f>'raw FF data'!P71</f>
        <v>27.1</v>
      </c>
      <c r="D40">
        <f>'raw FF data'!N71</f>
        <v>1.1000000000000001</v>
      </c>
      <c r="E40">
        <v>2.52646159987823</v>
      </c>
      <c r="F40">
        <v>27.142703103758599</v>
      </c>
      <c r="G40">
        <v>1.2330761453228301</v>
      </c>
      <c r="H40" t="e">
        <f>NA()</f>
        <v>#N/A</v>
      </c>
      <c r="I40">
        <f>'raw BLS data'!J57</f>
        <v>5.2</v>
      </c>
      <c r="J40">
        <f t="shared" si="0"/>
        <v>8.8240496443145397E-2</v>
      </c>
      <c r="K40" t="e">
        <f t="shared" si="1"/>
        <v>#N/A</v>
      </c>
    </row>
    <row r="41" spans="1:11" x14ac:dyDescent="0.2">
      <c r="A41" s="1">
        <f t="shared" si="2"/>
        <v>35521</v>
      </c>
      <c r="B41">
        <f>'raw FF data'!L72</f>
        <v>2.6</v>
      </c>
      <c r="C41">
        <f>'raw FF data'!P72</f>
        <v>34.700000000000003</v>
      </c>
      <c r="D41">
        <f>'raw FF data'!N72</f>
        <v>1.2</v>
      </c>
      <c r="E41">
        <v>2.6980189476433498</v>
      </c>
      <c r="F41">
        <v>32.861493484757297</v>
      </c>
      <c r="G41">
        <v>1.2651909013925</v>
      </c>
      <c r="H41" t="e">
        <f>NA()</f>
        <v>#N/A</v>
      </c>
      <c r="I41">
        <f>'raw BLS data'!J58</f>
        <v>5.0999999999999996</v>
      </c>
      <c r="J41">
        <f t="shared" si="0"/>
        <v>7.7915508694124988E-2</v>
      </c>
      <c r="K41" t="e">
        <f t="shared" si="1"/>
        <v>#N/A</v>
      </c>
    </row>
    <row r="42" spans="1:11" x14ac:dyDescent="0.2">
      <c r="A42" s="1">
        <f t="shared" si="2"/>
        <v>35551</v>
      </c>
      <c r="B42">
        <f>'raw FF data'!L73</f>
        <v>2.8</v>
      </c>
      <c r="C42">
        <f>'raw FF data'!P73</f>
        <v>28.9</v>
      </c>
      <c r="D42">
        <f>'raw FF data'!N73</f>
        <v>1.4</v>
      </c>
      <c r="E42">
        <v>2.6242587370515098</v>
      </c>
      <c r="F42">
        <v>28.199018199134802</v>
      </c>
      <c r="G42">
        <v>1.3400829630794799</v>
      </c>
      <c r="H42" t="e">
        <f>NA()</f>
        <v>#N/A</v>
      </c>
      <c r="I42">
        <f>'raw BLS data'!J59</f>
        <v>4.9000000000000004</v>
      </c>
      <c r="J42">
        <f t="shared" si="0"/>
        <v>8.8502019514018315E-2</v>
      </c>
      <c r="K42" t="e">
        <f t="shared" si="1"/>
        <v>#N/A</v>
      </c>
    </row>
    <row r="43" spans="1:11" x14ac:dyDescent="0.2">
      <c r="A43" s="1">
        <f t="shared" si="2"/>
        <v>35582</v>
      </c>
      <c r="B43">
        <f>'raw FF data'!L74</f>
        <v>2.8</v>
      </c>
      <c r="C43">
        <f>'raw FF data'!P74</f>
        <v>29.5</v>
      </c>
      <c r="D43">
        <f>'raw FF data'!N74</f>
        <v>1.3</v>
      </c>
      <c r="E43">
        <v>2.5277064884035298</v>
      </c>
      <c r="F43">
        <v>28.036507935771699</v>
      </c>
      <c r="G43">
        <v>1.2406408223116401</v>
      </c>
      <c r="H43" t="e">
        <f>NA()</f>
        <v>#N/A</v>
      </c>
      <c r="I43">
        <f>'raw BLS data'!J60</f>
        <v>5</v>
      </c>
      <c r="J43">
        <f t="shared" si="0"/>
        <v>8.5649795241422161E-2</v>
      </c>
      <c r="K43" t="e">
        <f t="shared" si="1"/>
        <v>#N/A</v>
      </c>
    </row>
    <row r="44" spans="1:11" x14ac:dyDescent="0.2">
      <c r="A44" s="1">
        <f t="shared" si="2"/>
        <v>35612</v>
      </c>
      <c r="B44">
        <f>'raw FF data'!L75</f>
        <v>3</v>
      </c>
      <c r="C44">
        <f>'raw FF data'!P75</f>
        <v>30.9</v>
      </c>
      <c r="D44">
        <f>'raw FF data'!N75</f>
        <v>1.2</v>
      </c>
      <c r="E44">
        <v>2.67527058536592</v>
      </c>
      <c r="F44">
        <v>29.4313392652953</v>
      </c>
      <c r="G44">
        <v>1.23403759884505</v>
      </c>
      <c r="H44" t="e">
        <f>NA()</f>
        <v>#N/A</v>
      </c>
      <c r="I44">
        <f>'raw BLS data'!J61</f>
        <v>4.9000000000000004</v>
      </c>
      <c r="J44">
        <f t="shared" si="0"/>
        <v>8.6444667153934993E-2</v>
      </c>
      <c r="K44" t="e">
        <f t="shared" si="1"/>
        <v>#N/A</v>
      </c>
    </row>
    <row r="45" spans="1:11" x14ac:dyDescent="0.2">
      <c r="A45" s="1">
        <f t="shared" si="2"/>
        <v>35643</v>
      </c>
      <c r="B45">
        <f>'raw FF data'!L76</f>
        <v>3</v>
      </c>
      <c r="C45">
        <f>'raw FF data'!P76</f>
        <v>29.9</v>
      </c>
      <c r="D45">
        <f>'raw FF data'!N76</f>
        <v>1.1000000000000001</v>
      </c>
      <c r="E45">
        <v>2.57984182541156</v>
      </c>
      <c r="F45">
        <v>26.711859172955698</v>
      </c>
      <c r="G45">
        <v>1.1687008117473501</v>
      </c>
      <c r="H45" t="e">
        <f>NA()</f>
        <v>#N/A</v>
      </c>
      <c r="I45">
        <f>'raw BLS data'!J62</f>
        <v>4.8</v>
      </c>
      <c r="J45">
        <f t="shared" si="0"/>
        <v>9.1944533021437194E-2</v>
      </c>
      <c r="K45" t="e">
        <f t="shared" si="1"/>
        <v>#N/A</v>
      </c>
    </row>
    <row r="46" spans="1:11" x14ac:dyDescent="0.2">
      <c r="A46" s="1">
        <f t="shared" si="2"/>
        <v>35674</v>
      </c>
      <c r="B46">
        <f>'raw FF data'!L77</f>
        <v>3.2</v>
      </c>
      <c r="C46">
        <f>'raw FF data'!P77</f>
        <v>35.1</v>
      </c>
      <c r="D46">
        <f>'raw FF data'!N77</f>
        <v>1.2</v>
      </c>
      <c r="E46">
        <v>3.0031054617091599</v>
      </c>
      <c r="F46">
        <v>33.369446057979097</v>
      </c>
      <c r="G46">
        <v>1.25973013342266</v>
      </c>
      <c r="H46" t="e">
        <f>NA()</f>
        <v>#N/A</v>
      </c>
      <c r="I46">
        <f>'raw BLS data'!J63</f>
        <v>4.9000000000000004</v>
      </c>
      <c r="J46">
        <f t="shared" si="0"/>
        <v>8.5585876646655124E-2</v>
      </c>
      <c r="K46" t="e">
        <f t="shared" si="1"/>
        <v>#N/A</v>
      </c>
    </row>
    <row r="47" spans="1:11" x14ac:dyDescent="0.2">
      <c r="A47" s="1">
        <f t="shared" si="2"/>
        <v>35704</v>
      </c>
      <c r="B47">
        <f>'raw FF data'!L78</f>
        <v>2.5</v>
      </c>
      <c r="C47">
        <f>'raw FF data'!P78</f>
        <v>28.3</v>
      </c>
      <c r="D47">
        <f>'raw FF data'!N78</f>
        <v>1.1000000000000001</v>
      </c>
      <c r="E47">
        <v>2.6139257481056499</v>
      </c>
      <c r="F47">
        <v>28.447913950605301</v>
      </c>
      <c r="G47">
        <v>1.1146942683893499</v>
      </c>
      <c r="H47" t="e">
        <f>NA()</f>
        <v>#N/A</v>
      </c>
      <c r="I47">
        <f>'raw BLS data'!J64</f>
        <v>4.7</v>
      </c>
      <c r="J47">
        <f t="shared" si="0"/>
        <v>8.7566042356215734E-2</v>
      </c>
      <c r="K47" t="e">
        <f t="shared" si="1"/>
        <v>#N/A</v>
      </c>
    </row>
    <row r="48" spans="1:11" x14ac:dyDescent="0.2">
      <c r="A48" s="1">
        <f t="shared" si="2"/>
        <v>35735</v>
      </c>
      <c r="B48">
        <f>'raw FF data'!L79</f>
        <v>2.2000000000000002</v>
      </c>
      <c r="C48">
        <f>'raw FF data'!P79</f>
        <v>27.9</v>
      </c>
      <c r="D48">
        <f>'raw FF data'!N79</f>
        <v>1.2</v>
      </c>
      <c r="E48">
        <v>2.7487677560164898</v>
      </c>
      <c r="F48">
        <v>33.313937052397797</v>
      </c>
      <c r="G48">
        <v>1.3264615335871399</v>
      </c>
      <c r="H48" t="e">
        <f>NA()</f>
        <v>#N/A</v>
      </c>
      <c r="I48">
        <f>'raw BLS data'!J65</f>
        <v>4.5999999999999996</v>
      </c>
      <c r="J48">
        <f t="shared" si="0"/>
        <v>7.8715536837186503E-2</v>
      </c>
      <c r="K48" t="e">
        <f t="shared" si="1"/>
        <v>#N/A</v>
      </c>
    </row>
    <row r="49" spans="1:11" x14ac:dyDescent="0.2">
      <c r="A49" s="1">
        <f t="shared" si="2"/>
        <v>35765</v>
      </c>
      <c r="B49">
        <f>'raw FF data'!L80</f>
        <v>2.5</v>
      </c>
      <c r="C49">
        <f>'raw FF data'!P80</f>
        <v>24.8</v>
      </c>
      <c r="D49">
        <f>'raw FF data'!N80</f>
        <v>1.7</v>
      </c>
      <c r="E49">
        <v>2.59637468660573</v>
      </c>
      <c r="F49">
        <v>28.9620716744319</v>
      </c>
      <c r="G49">
        <v>1.227289402794</v>
      </c>
      <c r="H49" t="e">
        <f>NA()</f>
        <v>#N/A</v>
      </c>
      <c r="I49">
        <f>'raw BLS data'!J66</f>
        <v>4.7</v>
      </c>
      <c r="J49">
        <f t="shared" si="0"/>
        <v>8.543398083361714E-2</v>
      </c>
      <c r="K49" t="e">
        <f t="shared" si="1"/>
        <v>#N/A</v>
      </c>
    </row>
    <row r="50" spans="1:11" x14ac:dyDescent="0.2">
      <c r="A50" s="1">
        <f t="shared" si="2"/>
        <v>35796</v>
      </c>
      <c r="B50">
        <f>'raw FF data'!L81</f>
        <v>2.5</v>
      </c>
      <c r="C50">
        <f>'raw FF data'!P81</f>
        <v>29.2</v>
      </c>
      <c r="D50">
        <f>'raw FF data'!N81</f>
        <v>1.2</v>
      </c>
      <c r="E50">
        <v>2.5833434229841399</v>
      </c>
      <c r="F50">
        <v>28.9444724553634</v>
      </c>
      <c r="G50">
        <v>1.1986509719909499</v>
      </c>
      <c r="H50" t="e">
        <f>NA()</f>
        <v>#N/A</v>
      </c>
      <c r="I50">
        <f>'raw BLS data'!J67</f>
        <v>4.5999999999999996</v>
      </c>
      <c r="J50">
        <f t="shared" si="0"/>
        <v>8.5146123472366025E-2</v>
      </c>
      <c r="K50" t="e">
        <f t="shared" si="1"/>
        <v>#N/A</v>
      </c>
    </row>
    <row r="51" spans="1:11" x14ac:dyDescent="0.2">
      <c r="A51" s="1">
        <f t="shared" si="2"/>
        <v>35827</v>
      </c>
      <c r="B51">
        <f>'raw FF data'!L82</f>
        <v>2.4</v>
      </c>
      <c r="C51">
        <f>'raw FF data'!P82</f>
        <v>28.5</v>
      </c>
      <c r="D51">
        <f>'raw FF data'!N82</f>
        <v>1.2</v>
      </c>
      <c r="E51">
        <v>2.5223044324427701</v>
      </c>
      <c r="F51">
        <v>29.8665079412722</v>
      </c>
      <c r="G51">
        <v>1.3024932768759401</v>
      </c>
      <c r="H51" t="e">
        <f>NA()</f>
        <v>#N/A</v>
      </c>
      <c r="I51">
        <f>'raw BLS data'!J68</f>
        <v>4.5999999999999996</v>
      </c>
      <c r="J51">
        <f t="shared" si="0"/>
        <v>8.0567786273573444E-2</v>
      </c>
      <c r="K51" t="e">
        <f t="shared" si="1"/>
        <v>#N/A</v>
      </c>
    </row>
    <row r="52" spans="1:11" x14ac:dyDescent="0.2">
      <c r="A52" s="1">
        <f t="shared" si="2"/>
        <v>35855</v>
      </c>
      <c r="B52">
        <f>'raw FF data'!L83</f>
        <v>2.7</v>
      </c>
      <c r="C52">
        <f>'raw FF data'!P83</f>
        <v>34.299999999999997</v>
      </c>
      <c r="D52">
        <f>'raw FF data'!N83</f>
        <v>1.1000000000000001</v>
      </c>
      <c r="E52">
        <v>3.11549061599634</v>
      </c>
      <c r="F52">
        <v>34.409020199083301</v>
      </c>
      <c r="G52">
        <v>1.24898046809615</v>
      </c>
      <c r="H52" t="e">
        <f>NA()</f>
        <v>#N/A</v>
      </c>
      <c r="I52">
        <f>'raw BLS data'!J69</f>
        <v>4.7</v>
      </c>
      <c r="J52">
        <f t="shared" si="0"/>
        <v>8.6287332213069279E-2</v>
      </c>
      <c r="K52" t="e">
        <f t="shared" si="1"/>
        <v>#N/A</v>
      </c>
    </row>
    <row r="53" spans="1:11" x14ac:dyDescent="0.2">
      <c r="A53" s="1">
        <f t="shared" si="2"/>
        <v>35886</v>
      </c>
      <c r="B53">
        <f>'raw FF data'!L84</f>
        <v>2.4</v>
      </c>
      <c r="C53">
        <f>'raw FF data'!P84</f>
        <v>31.4</v>
      </c>
      <c r="D53">
        <f>'raw FF data'!N84</f>
        <v>1.1000000000000001</v>
      </c>
      <c r="E53">
        <v>2.5254680132815199</v>
      </c>
      <c r="F53">
        <v>29.798784302218401</v>
      </c>
      <c r="G53">
        <v>1.1751745009753001</v>
      </c>
      <c r="H53" t="e">
        <f>NA()</f>
        <v>#N/A</v>
      </c>
      <c r="I53">
        <f>'raw BLS data'!J70</f>
        <v>4.3</v>
      </c>
      <c r="J53">
        <f t="shared" si="0"/>
        <v>8.110642582591826E-2</v>
      </c>
      <c r="K53" t="e">
        <f t="shared" si="1"/>
        <v>#N/A</v>
      </c>
    </row>
    <row r="54" spans="1:11" x14ac:dyDescent="0.2">
      <c r="A54" s="1">
        <f t="shared" si="2"/>
        <v>35916</v>
      </c>
      <c r="B54">
        <f>'raw FF data'!L85</f>
        <v>2.8</v>
      </c>
      <c r="C54">
        <f>'raw FF data'!P85</f>
        <v>32.5</v>
      </c>
      <c r="D54">
        <f>'raw FF data'!N85</f>
        <v>1.1000000000000001</v>
      </c>
      <c r="E54">
        <v>2.6190490427630699</v>
      </c>
      <c r="F54">
        <v>31.8214344626656</v>
      </c>
      <c r="G54">
        <v>1.04216313094789</v>
      </c>
      <c r="H54" t="e">
        <f>NA()</f>
        <v>#N/A</v>
      </c>
      <c r="I54">
        <f>'raw BLS data'!J71</f>
        <v>4.4000000000000004</v>
      </c>
      <c r="J54">
        <f t="shared" si="0"/>
        <v>7.868315577725081E-2</v>
      </c>
      <c r="K54" t="e">
        <f t="shared" si="1"/>
        <v>#N/A</v>
      </c>
    </row>
    <row r="55" spans="1:11" x14ac:dyDescent="0.2">
      <c r="A55" s="1">
        <f t="shared" si="2"/>
        <v>35947</v>
      </c>
      <c r="B55">
        <f>'raw FF data'!L86</f>
        <v>3.1</v>
      </c>
      <c r="C55">
        <f>'raw FF data'!P86</f>
        <v>33.700000000000003</v>
      </c>
      <c r="D55">
        <f>'raw FF data'!N86</f>
        <v>1.5</v>
      </c>
      <c r="E55">
        <v>2.75841786371375</v>
      </c>
      <c r="F55">
        <v>32.398372352086</v>
      </c>
      <c r="G55">
        <v>1.4138310785499499</v>
      </c>
      <c r="H55" t="e">
        <f>NA()</f>
        <v>#N/A</v>
      </c>
      <c r="I55">
        <f>'raw BLS data'!J72</f>
        <v>4.5</v>
      </c>
      <c r="J55">
        <f t="shared" si="0"/>
        <v>8.1309302554423535E-2</v>
      </c>
      <c r="K55" t="e">
        <f t="shared" si="1"/>
        <v>#N/A</v>
      </c>
    </row>
    <row r="56" spans="1:11" x14ac:dyDescent="0.2">
      <c r="A56" s="1">
        <f t="shared" si="2"/>
        <v>35977</v>
      </c>
      <c r="B56">
        <f>'raw FF data'!L87</f>
        <v>2.9</v>
      </c>
      <c r="C56">
        <f>'raw FF data'!P87</f>
        <v>30.9</v>
      </c>
      <c r="D56">
        <f>'raw FF data'!N87</f>
        <v>1.2</v>
      </c>
      <c r="E56">
        <v>2.60923742846887</v>
      </c>
      <c r="F56">
        <v>29.086084358327</v>
      </c>
      <c r="G56">
        <v>1.2034501688547301</v>
      </c>
      <c r="H56" t="e">
        <f>NA()</f>
        <v>#N/A</v>
      </c>
      <c r="I56">
        <f>'raw BLS data'!J73</f>
        <v>4.5</v>
      </c>
      <c r="J56">
        <f t="shared" si="0"/>
        <v>8.5670580937938862E-2</v>
      </c>
      <c r="K56" t="e">
        <f t="shared" si="1"/>
        <v>#N/A</v>
      </c>
    </row>
    <row r="57" spans="1:11" x14ac:dyDescent="0.2">
      <c r="A57" s="1">
        <f t="shared" si="2"/>
        <v>36008</v>
      </c>
      <c r="B57">
        <f>'raw FF data'!L88</f>
        <v>3</v>
      </c>
      <c r="C57">
        <f>'raw FF data'!P88</f>
        <v>33.200000000000003</v>
      </c>
      <c r="D57">
        <f>'raw FF data'!N88</f>
        <v>1.2</v>
      </c>
      <c r="E57">
        <v>2.5163774279420301</v>
      </c>
      <c r="F57">
        <v>29.535794725361001</v>
      </c>
      <c r="G57">
        <v>1.29005898146175</v>
      </c>
      <c r="H57" t="e">
        <f>NA()</f>
        <v>#N/A</v>
      </c>
      <c r="I57">
        <f>'raw BLS data'!J74</f>
        <v>4.5</v>
      </c>
      <c r="J57">
        <f t="shared" si="0"/>
        <v>8.1363662837931866E-2</v>
      </c>
      <c r="K57" t="e">
        <f t="shared" si="1"/>
        <v>#N/A</v>
      </c>
    </row>
    <row r="58" spans="1:11" x14ac:dyDescent="0.2">
      <c r="A58" s="1">
        <f t="shared" si="2"/>
        <v>36039</v>
      </c>
      <c r="B58">
        <f>'raw FF data'!L89</f>
        <v>2.9</v>
      </c>
      <c r="C58">
        <f>'raw FF data'!P89</f>
        <v>36.799999999999997</v>
      </c>
      <c r="D58">
        <f>'raw FF data'!N89</f>
        <v>1.2</v>
      </c>
      <c r="E58">
        <v>2.72981634745065</v>
      </c>
      <c r="F58">
        <v>35.048834403195499</v>
      </c>
      <c r="G58">
        <v>1.26476030980976</v>
      </c>
      <c r="H58" t="e">
        <f>NA()</f>
        <v>#N/A</v>
      </c>
      <c r="I58">
        <f>'raw BLS data'!J75</f>
        <v>4.5999999999999996</v>
      </c>
      <c r="J58">
        <f t="shared" si="0"/>
        <v>7.4303321060813471E-2</v>
      </c>
      <c r="K58" t="e">
        <f t="shared" si="1"/>
        <v>#N/A</v>
      </c>
    </row>
    <row r="59" spans="1:11" x14ac:dyDescent="0.2">
      <c r="A59" s="1">
        <f t="shared" si="2"/>
        <v>36069</v>
      </c>
      <c r="B59">
        <f>'raw FF data'!L90</f>
        <v>2.2999999999999998</v>
      </c>
      <c r="C59">
        <f>'raw FF data'!P90</f>
        <v>28.9</v>
      </c>
      <c r="D59">
        <f>'raw FF data'!N90</f>
        <v>1.2</v>
      </c>
      <c r="E59">
        <v>2.40731280958869</v>
      </c>
      <c r="F59">
        <v>29.0229736329178</v>
      </c>
      <c r="G59">
        <v>1.2112255870089901</v>
      </c>
      <c r="H59" t="e">
        <f>NA()</f>
        <v>#N/A</v>
      </c>
      <c r="I59">
        <f>'raw BLS data'!J76</f>
        <v>4.5</v>
      </c>
      <c r="J59">
        <f t="shared" si="0"/>
        <v>7.9212549418082229E-2</v>
      </c>
      <c r="K59" t="e">
        <f t="shared" si="1"/>
        <v>#N/A</v>
      </c>
    </row>
    <row r="60" spans="1:11" x14ac:dyDescent="0.2">
      <c r="A60" s="1">
        <f t="shared" si="2"/>
        <v>36100</v>
      </c>
      <c r="B60">
        <f>'raw FF data'!L91</f>
        <v>2.1</v>
      </c>
      <c r="C60">
        <f>'raw FF data'!P91</f>
        <v>25.9</v>
      </c>
      <c r="D60">
        <f>'raw FF data'!N91</f>
        <v>1.2</v>
      </c>
      <c r="E60">
        <v>2.64470886593468</v>
      </c>
      <c r="F60">
        <v>30.768198510198498</v>
      </c>
      <c r="G60">
        <v>1.3335599830639699</v>
      </c>
      <c r="H60" t="e">
        <f>NA()</f>
        <v>#N/A</v>
      </c>
      <c r="I60">
        <f>'raw BLS data'!J77</f>
        <v>4.4000000000000004</v>
      </c>
      <c r="J60">
        <f t="shared" si="0"/>
        <v>8.2173861267682086E-2</v>
      </c>
      <c r="K60" t="e">
        <f t="shared" si="1"/>
        <v>#N/A</v>
      </c>
    </row>
    <row r="61" spans="1:11" x14ac:dyDescent="0.2">
      <c r="A61" s="1">
        <f t="shared" si="2"/>
        <v>36130</v>
      </c>
      <c r="B61">
        <f>'raw FF data'!L92</f>
        <v>2.4</v>
      </c>
      <c r="C61">
        <f>'raw FF data'!P92</f>
        <v>27.1</v>
      </c>
      <c r="D61">
        <f>'raw FF data'!N92</f>
        <v>1.5</v>
      </c>
      <c r="E61">
        <v>2.50700297953663</v>
      </c>
      <c r="F61">
        <v>31.641525174315898</v>
      </c>
      <c r="G61">
        <v>1.0887761058181999</v>
      </c>
      <c r="H61" t="e">
        <f>NA()</f>
        <v>#N/A</v>
      </c>
      <c r="I61">
        <f>'raw BLS data'!J78</f>
        <v>4.4000000000000004</v>
      </c>
      <c r="J61">
        <f t="shared" si="0"/>
        <v>7.5745237792218256E-2</v>
      </c>
      <c r="K61" t="e">
        <f t="shared" si="1"/>
        <v>#N/A</v>
      </c>
    </row>
    <row r="62" spans="1:11" x14ac:dyDescent="0.2">
      <c r="A62" s="1">
        <f t="shared" si="2"/>
        <v>36161</v>
      </c>
      <c r="B62">
        <f>'raw FF data'!L93</f>
        <v>2.4</v>
      </c>
      <c r="C62">
        <f>'raw FF data'!P93</f>
        <v>30.3</v>
      </c>
      <c r="D62">
        <f>'raw FF data'!N93</f>
        <v>1.2</v>
      </c>
      <c r="E62">
        <v>2.4925691342031402</v>
      </c>
      <c r="F62">
        <v>30.0510242394746</v>
      </c>
      <c r="G62">
        <v>1.1890134184040799</v>
      </c>
      <c r="H62" t="e">
        <f>NA()</f>
        <v>#N/A</v>
      </c>
      <c r="I62">
        <f>'raw BLS data'!J79</f>
        <v>4.3</v>
      </c>
      <c r="J62">
        <f t="shared" si="0"/>
        <v>7.9377948732242951E-2</v>
      </c>
      <c r="K62" t="e">
        <f t="shared" si="1"/>
        <v>#N/A</v>
      </c>
    </row>
    <row r="63" spans="1:11" x14ac:dyDescent="0.2">
      <c r="A63" s="1">
        <f t="shared" si="2"/>
        <v>36192</v>
      </c>
      <c r="B63">
        <f>'raw FF data'!L94</f>
        <v>2.4</v>
      </c>
      <c r="C63">
        <f>'raw FF data'!P94</f>
        <v>31.4</v>
      </c>
      <c r="D63">
        <f>'raw FF data'!N94</f>
        <v>0.9</v>
      </c>
      <c r="E63">
        <v>2.5297892260336501</v>
      </c>
      <c r="F63">
        <v>33.057862353612798</v>
      </c>
      <c r="G63">
        <v>0.98963968838405403</v>
      </c>
      <c r="H63" t="e">
        <f>NA()</f>
        <v>#N/A</v>
      </c>
      <c r="I63">
        <f>'raw BLS data'!J80</f>
        <v>4.4000000000000004</v>
      </c>
      <c r="J63">
        <f t="shared" si="0"/>
        <v>7.3158950031863179E-2</v>
      </c>
      <c r="K63" t="e">
        <f t="shared" si="1"/>
        <v>#N/A</v>
      </c>
    </row>
    <row r="64" spans="1:11" x14ac:dyDescent="0.2">
      <c r="A64" s="1">
        <f t="shared" si="2"/>
        <v>36220</v>
      </c>
      <c r="B64">
        <f>'raw FF data'!L95</f>
        <v>2.8</v>
      </c>
      <c r="C64">
        <f>'raw FF data'!P95</f>
        <v>31.2</v>
      </c>
      <c r="D64">
        <f>'raw FF data'!N95</f>
        <v>1.1000000000000001</v>
      </c>
      <c r="E64">
        <v>3.2394930527355799</v>
      </c>
      <c r="F64">
        <v>31.2670761950233</v>
      </c>
      <c r="G64">
        <v>1.2622428110145201</v>
      </c>
      <c r="H64" t="e">
        <f>NA()</f>
        <v>#N/A</v>
      </c>
      <c r="I64">
        <f>'raw BLS data'!J81</f>
        <v>4.2</v>
      </c>
      <c r="J64">
        <f t="shared" si="0"/>
        <v>9.9255661935369929E-2</v>
      </c>
      <c r="K64" t="e">
        <f t="shared" si="1"/>
        <v>#N/A</v>
      </c>
    </row>
    <row r="65" spans="1:11" x14ac:dyDescent="0.2">
      <c r="A65" s="1">
        <f t="shared" si="2"/>
        <v>36251</v>
      </c>
      <c r="B65">
        <f>'raw FF data'!L96</f>
        <v>2.2999999999999998</v>
      </c>
      <c r="C65">
        <f>'raw FF data'!P96</f>
        <v>32.5</v>
      </c>
      <c r="D65">
        <f>'raw FF data'!N96</f>
        <v>1.2</v>
      </c>
      <c r="E65">
        <v>2.4471027531451801</v>
      </c>
      <c r="F65">
        <v>30.905780273278499</v>
      </c>
      <c r="G65">
        <v>1.30414339689638</v>
      </c>
      <c r="H65" t="e">
        <f>NA()</f>
        <v>#N/A</v>
      </c>
      <c r="I65">
        <f>'raw BLS data'!J82</f>
        <v>4.3</v>
      </c>
      <c r="J65">
        <f t="shared" si="0"/>
        <v>7.5774735795450923E-2</v>
      </c>
      <c r="K65" t="e">
        <f t="shared" si="1"/>
        <v>#N/A</v>
      </c>
    </row>
    <row r="66" spans="1:11" x14ac:dyDescent="0.2">
      <c r="A66" s="1">
        <f t="shared" si="2"/>
        <v>36281</v>
      </c>
      <c r="B66">
        <f>'raw FF data'!L97</f>
        <v>2.6</v>
      </c>
      <c r="C66">
        <f>'raw FF data'!P97</f>
        <v>31.1</v>
      </c>
      <c r="D66">
        <f>'raw FF data'!N97</f>
        <v>1.2</v>
      </c>
      <c r="E66">
        <v>2.40540004130753</v>
      </c>
      <c r="F66">
        <v>30.7212470177688</v>
      </c>
      <c r="G66">
        <v>1.1235209701751401</v>
      </c>
      <c r="H66" t="e">
        <f>NA()</f>
        <v>#N/A</v>
      </c>
      <c r="I66">
        <f>'raw BLS data'!J83</f>
        <v>4.2</v>
      </c>
      <c r="J66">
        <f t="shared" si="0"/>
        <v>7.5009104879101812E-2</v>
      </c>
      <c r="K66" t="e">
        <f t="shared" si="1"/>
        <v>#N/A</v>
      </c>
    </row>
    <row r="67" spans="1:11" x14ac:dyDescent="0.2">
      <c r="A67" s="1">
        <f t="shared" si="2"/>
        <v>36312</v>
      </c>
      <c r="B67">
        <f>'raw FF data'!L98</f>
        <v>3</v>
      </c>
      <c r="C67">
        <f>'raw FF data'!P98</f>
        <v>35.9</v>
      </c>
      <c r="D67">
        <f>'raw FF data'!N98</f>
        <v>1.3</v>
      </c>
      <c r="E67">
        <v>2.6471884013423899</v>
      </c>
      <c r="F67">
        <v>34.803015629871197</v>
      </c>
      <c r="G67">
        <v>1.21971849855173</v>
      </c>
      <c r="H67" t="e">
        <f>NA()</f>
        <v>#N/A</v>
      </c>
      <c r="I67">
        <f>'raw BLS data'!J84</f>
        <v>4.3</v>
      </c>
      <c r="J67">
        <f t="shared" ref="J67:J130" si="4">E67*( 1 - (I67/100) )/F67</f>
        <v>7.2791373225436856E-2</v>
      </c>
      <c r="K67" t="e">
        <f t="shared" ref="K67:K130" si="5">H67*( 1 - (I67/100) )/F67</f>
        <v>#N/A</v>
      </c>
    </row>
    <row r="68" spans="1:11" x14ac:dyDescent="0.2">
      <c r="A68" s="1">
        <f t="shared" ref="A68:A131" si="6">DATE(YEAR(A67),MONTH(A67)+1,1)</f>
        <v>36342</v>
      </c>
      <c r="B68">
        <f>'raw FF data'!L99</f>
        <v>2.8</v>
      </c>
      <c r="C68">
        <f>'raw FF data'!P99</f>
        <v>32.299999999999997</v>
      </c>
      <c r="D68">
        <f>'raw FF data'!N99</f>
        <v>1.2</v>
      </c>
      <c r="E68">
        <v>2.5297271530341701</v>
      </c>
      <c r="F68">
        <v>30.072621819975499</v>
      </c>
      <c r="G68">
        <v>1.1652742737306101</v>
      </c>
      <c r="H68" t="e">
        <f>NA()</f>
        <v>#N/A</v>
      </c>
      <c r="I68">
        <f>'raw BLS data'!J85</f>
        <v>4.3</v>
      </c>
      <c r="J68">
        <f t="shared" si="4"/>
        <v>8.0503419354198261E-2</v>
      </c>
      <c r="K68" t="e">
        <f t="shared" si="5"/>
        <v>#N/A</v>
      </c>
    </row>
    <row r="69" spans="1:11" x14ac:dyDescent="0.2">
      <c r="A69" s="1">
        <f t="shared" si="6"/>
        <v>36373</v>
      </c>
      <c r="B69">
        <f>'raw FF data'!L100</f>
        <v>3.6</v>
      </c>
      <c r="C69">
        <f>'raw FF data'!P100</f>
        <v>38.799999999999997</v>
      </c>
      <c r="D69">
        <f>'raw FF data'!N100</f>
        <v>1.1000000000000001</v>
      </c>
      <c r="E69">
        <v>2.96869896148403</v>
      </c>
      <c r="F69">
        <v>34.169146125975502</v>
      </c>
      <c r="G69">
        <v>1.1913196816146601</v>
      </c>
      <c r="H69" t="e">
        <f>NA()</f>
        <v>#N/A</v>
      </c>
      <c r="I69">
        <f>'raw BLS data'!J86</f>
        <v>4.2</v>
      </c>
      <c r="J69">
        <f t="shared" si="4"/>
        <v>8.3233382380008367E-2</v>
      </c>
      <c r="K69" t="e">
        <f t="shared" si="5"/>
        <v>#N/A</v>
      </c>
    </row>
    <row r="70" spans="1:11" x14ac:dyDescent="0.2">
      <c r="A70" s="1">
        <f t="shared" si="6"/>
        <v>36404</v>
      </c>
      <c r="B70">
        <f>'raw FF data'!L101</f>
        <v>2.8</v>
      </c>
      <c r="C70">
        <f>'raw FF data'!P101</f>
        <v>31.4</v>
      </c>
      <c r="D70">
        <f>'raw FF data'!N101</f>
        <v>1.1000000000000001</v>
      </c>
      <c r="E70">
        <v>2.6752633822798799</v>
      </c>
      <c r="F70">
        <v>29.8498980094584</v>
      </c>
      <c r="G70">
        <v>1.1724380738920099</v>
      </c>
      <c r="H70" t="e">
        <f>NA()</f>
        <v>#N/A</v>
      </c>
      <c r="I70">
        <f>'raw BLS data'!J87</f>
        <v>4.2</v>
      </c>
      <c r="J70">
        <f t="shared" si="4"/>
        <v>8.5859667574476453E-2</v>
      </c>
      <c r="K70" t="e">
        <f t="shared" si="5"/>
        <v>#N/A</v>
      </c>
    </row>
    <row r="71" spans="1:11" x14ac:dyDescent="0.2">
      <c r="A71" s="1">
        <f t="shared" si="6"/>
        <v>36434</v>
      </c>
      <c r="B71">
        <f>'raw FF data'!L102</f>
        <v>2.5</v>
      </c>
      <c r="C71">
        <f>'raw FF data'!P102</f>
        <v>32</v>
      </c>
      <c r="D71">
        <f>'raw FF data'!N102</f>
        <v>1</v>
      </c>
      <c r="E71">
        <v>2.60384981264037</v>
      </c>
      <c r="F71">
        <v>32.260120408063003</v>
      </c>
      <c r="G71">
        <v>0.99337960397144298</v>
      </c>
      <c r="H71" t="e">
        <f>NA()</f>
        <v>#N/A</v>
      </c>
      <c r="I71">
        <f>'raw BLS data'!J88</f>
        <v>4.0999999999999996</v>
      </c>
      <c r="J71">
        <f t="shared" si="4"/>
        <v>7.7404917859450972E-2</v>
      </c>
      <c r="K71" t="e">
        <f t="shared" si="5"/>
        <v>#N/A</v>
      </c>
    </row>
    <row r="72" spans="1:11" x14ac:dyDescent="0.2">
      <c r="A72" s="1">
        <f t="shared" si="6"/>
        <v>36465</v>
      </c>
      <c r="B72">
        <f>'raw FF data'!L103</f>
        <v>2.5</v>
      </c>
      <c r="C72">
        <f>'raw FF data'!P103</f>
        <v>28.9</v>
      </c>
      <c r="D72">
        <f>'raw FF data'!N103</f>
        <v>1</v>
      </c>
      <c r="E72">
        <v>3.1852365764797299</v>
      </c>
      <c r="F72">
        <v>34.105005097414903</v>
      </c>
      <c r="G72">
        <v>1.1253799841865999</v>
      </c>
      <c r="H72" t="e">
        <f>NA()</f>
        <v>#N/A</v>
      </c>
      <c r="I72">
        <f>'raw BLS data'!J89</f>
        <v>4.0999999999999996</v>
      </c>
      <c r="J72">
        <f t="shared" si="4"/>
        <v>8.9565794466795065E-2</v>
      </c>
      <c r="K72" t="e">
        <f t="shared" si="5"/>
        <v>#N/A</v>
      </c>
    </row>
    <row r="73" spans="1:11" x14ac:dyDescent="0.2">
      <c r="A73" s="1">
        <f t="shared" si="6"/>
        <v>36495</v>
      </c>
      <c r="B73">
        <f>'raw FF data'!L104</f>
        <v>2.5</v>
      </c>
      <c r="C73">
        <f>'raw FF data'!P104</f>
        <v>31.2</v>
      </c>
      <c r="D73">
        <f>'raw FF data'!N104</f>
        <v>1.6</v>
      </c>
      <c r="E73">
        <v>2.6131793490724302</v>
      </c>
      <c r="F73">
        <v>36.464274913247301</v>
      </c>
      <c r="G73">
        <v>1.17090889803438</v>
      </c>
      <c r="H73" t="e">
        <f>NA()</f>
        <v>#N/A</v>
      </c>
      <c r="I73">
        <f>'raw BLS data'!J90</f>
        <v>4</v>
      </c>
      <c r="J73">
        <f t="shared" si="4"/>
        <v>6.8797533505819172E-2</v>
      </c>
      <c r="K73" t="e">
        <f t="shared" si="5"/>
        <v>#N/A</v>
      </c>
    </row>
    <row r="74" spans="1:11" x14ac:dyDescent="0.2">
      <c r="A74" s="1">
        <f t="shared" si="6"/>
        <v>36526</v>
      </c>
      <c r="B74">
        <f>'raw FF data'!L105</f>
        <v>2.5</v>
      </c>
      <c r="C74">
        <f>'raw FF data'!P105</f>
        <v>30.6</v>
      </c>
      <c r="D74">
        <f>'raw FF data'!N105</f>
        <v>1.1000000000000001</v>
      </c>
      <c r="E74">
        <v>2.5791978135139599</v>
      </c>
      <c r="F74">
        <v>30.5860446749452</v>
      </c>
      <c r="G74">
        <v>1.07873830003937</v>
      </c>
      <c r="H74" t="e">
        <f>NA()</f>
        <v>#N/A</v>
      </c>
      <c r="I74">
        <f>'raw BLS data'!J91</f>
        <v>4</v>
      </c>
      <c r="J74">
        <f t="shared" si="4"/>
        <v>8.0952928934994353E-2</v>
      </c>
      <c r="K74" t="e">
        <f t="shared" si="5"/>
        <v>#N/A</v>
      </c>
    </row>
    <row r="75" spans="1:11" x14ac:dyDescent="0.2">
      <c r="A75" s="1">
        <f t="shared" si="6"/>
        <v>36557</v>
      </c>
      <c r="B75">
        <f>'raw FF data'!L106</f>
        <v>2.7</v>
      </c>
      <c r="C75">
        <f>'raw FF data'!P106</f>
        <v>32.299999999999997</v>
      </c>
      <c r="D75">
        <f>'raw FF data'!N106</f>
        <v>1</v>
      </c>
      <c r="E75">
        <v>2.8522298924709601</v>
      </c>
      <c r="F75">
        <v>34.242951635513897</v>
      </c>
      <c r="G75">
        <v>1.1124188984590799</v>
      </c>
      <c r="H75" t="e">
        <f>NA()</f>
        <v>#N/A</v>
      </c>
      <c r="I75">
        <f>'raw BLS data'!J92</f>
        <v>4.0999999999999996</v>
      </c>
      <c r="J75">
        <f t="shared" si="4"/>
        <v>7.9878875395859292E-2</v>
      </c>
      <c r="K75" t="e">
        <f t="shared" si="5"/>
        <v>#N/A</v>
      </c>
    </row>
    <row r="76" spans="1:11" x14ac:dyDescent="0.2">
      <c r="A76" s="1">
        <f t="shared" si="6"/>
        <v>36586</v>
      </c>
      <c r="B76">
        <f>'raw FF data'!L107</f>
        <v>2.5</v>
      </c>
      <c r="C76">
        <f>'raw FF data'!P107</f>
        <v>35.200000000000003</v>
      </c>
      <c r="D76">
        <f>'raw FF data'!N107</f>
        <v>0.9</v>
      </c>
      <c r="E76">
        <v>2.9192329336495102</v>
      </c>
      <c r="F76">
        <v>34.9124325126663</v>
      </c>
      <c r="G76">
        <v>1.0328468499098999</v>
      </c>
      <c r="H76" t="e">
        <f>NA()</f>
        <v>#N/A</v>
      </c>
      <c r="I76">
        <f>'raw BLS data'!J93</f>
        <v>4</v>
      </c>
      <c r="J76">
        <f t="shared" si="4"/>
        <v>8.0271221871658194E-2</v>
      </c>
      <c r="K76" t="e">
        <f t="shared" si="5"/>
        <v>#N/A</v>
      </c>
    </row>
    <row r="77" spans="1:11" x14ac:dyDescent="0.2">
      <c r="A77" s="1">
        <f t="shared" si="6"/>
        <v>36617</v>
      </c>
      <c r="B77">
        <f>'raw FF data'!L108</f>
        <v>2.6</v>
      </c>
      <c r="C77">
        <f>'raw FF data'!P108</f>
        <v>32</v>
      </c>
      <c r="D77">
        <f>'raw FF data'!N108</f>
        <v>1</v>
      </c>
      <c r="E77">
        <v>2.7788367590330498</v>
      </c>
      <c r="F77">
        <v>30.646432397107201</v>
      </c>
      <c r="G77">
        <v>1.09979085372987</v>
      </c>
      <c r="H77" t="e">
        <f>NA()</f>
        <v>#N/A</v>
      </c>
      <c r="I77">
        <f>'raw BLS data'!J94</f>
        <v>3.8</v>
      </c>
      <c r="J77">
        <f t="shared" si="4"/>
        <v>8.7228455421849635E-2</v>
      </c>
      <c r="K77" t="e">
        <f t="shared" si="5"/>
        <v>#N/A</v>
      </c>
    </row>
    <row r="78" spans="1:11" x14ac:dyDescent="0.2">
      <c r="A78" s="1">
        <f t="shared" si="6"/>
        <v>36647</v>
      </c>
      <c r="B78">
        <f>'raw FF data'!L109</f>
        <v>3.2</v>
      </c>
      <c r="C78">
        <f>'raw FF data'!P109</f>
        <v>35.4</v>
      </c>
      <c r="D78">
        <f>'raw FF data'!N109</f>
        <v>1.3</v>
      </c>
      <c r="E78">
        <v>2.9486720627601399</v>
      </c>
      <c r="F78">
        <v>35.043392643668199</v>
      </c>
      <c r="G78">
        <v>1.2127391591287</v>
      </c>
      <c r="H78" t="e">
        <f>NA()</f>
        <v>#N/A</v>
      </c>
      <c r="I78">
        <f>'raw BLS data'!J95</f>
        <v>4</v>
      </c>
      <c r="J78">
        <f t="shared" si="4"/>
        <v>8.0777714904301731E-2</v>
      </c>
      <c r="K78" t="e">
        <f t="shared" si="5"/>
        <v>#N/A</v>
      </c>
    </row>
    <row r="79" spans="1:11" x14ac:dyDescent="0.2">
      <c r="A79" s="1">
        <f t="shared" si="6"/>
        <v>36678</v>
      </c>
      <c r="B79">
        <f>'raw FF data'!L110</f>
        <v>3</v>
      </c>
      <c r="C79">
        <f>'raw FF data'!P110</f>
        <v>33.700000000000003</v>
      </c>
      <c r="D79">
        <f>'raw FF data'!N110</f>
        <v>1.3</v>
      </c>
      <c r="E79">
        <v>2.64368067098648</v>
      </c>
      <c r="F79">
        <v>32.868877161136098</v>
      </c>
      <c r="G79">
        <v>1.22529004969209</v>
      </c>
      <c r="H79" t="e">
        <f>NA()</f>
        <v>#N/A</v>
      </c>
      <c r="I79">
        <f>'raw BLS data'!J96</f>
        <v>4</v>
      </c>
      <c r="J79">
        <f t="shared" si="4"/>
        <v>7.7213877179469134E-2</v>
      </c>
      <c r="K79" t="e">
        <f t="shared" si="5"/>
        <v>#N/A</v>
      </c>
    </row>
    <row r="80" spans="1:11" x14ac:dyDescent="0.2">
      <c r="A80" s="1">
        <f t="shared" si="6"/>
        <v>36708</v>
      </c>
      <c r="B80">
        <f>'raw FF data'!L111</f>
        <v>2.7</v>
      </c>
      <c r="C80">
        <f>'raw FF data'!P111</f>
        <v>32.4</v>
      </c>
      <c r="D80">
        <f>'raw FF data'!N111</f>
        <v>1.3</v>
      </c>
      <c r="E80">
        <v>2.4345097619446698</v>
      </c>
      <c r="F80">
        <v>30.006847486536099</v>
      </c>
      <c r="G80">
        <v>1.23214532264182</v>
      </c>
      <c r="H80" t="e">
        <f>NA()</f>
        <v>#N/A</v>
      </c>
      <c r="I80">
        <f>'raw BLS data'!J97</f>
        <v>4</v>
      </c>
      <c r="J80">
        <f t="shared" si="4"/>
        <v>7.7886534815612987E-2</v>
      </c>
      <c r="K80" t="e">
        <f t="shared" si="5"/>
        <v>#N/A</v>
      </c>
    </row>
    <row r="81" spans="1:11" x14ac:dyDescent="0.2">
      <c r="A81" s="1">
        <f t="shared" si="6"/>
        <v>36739</v>
      </c>
      <c r="B81">
        <f>'raw FF data'!L112</f>
        <v>3.5</v>
      </c>
      <c r="C81">
        <f>'raw FF data'!P112</f>
        <v>39.1</v>
      </c>
      <c r="D81">
        <f>'raw FF data'!N112</f>
        <v>1.1000000000000001</v>
      </c>
      <c r="E81">
        <v>2.8460548216574701</v>
      </c>
      <c r="F81">
        <v>34.118428957783401</v>
      </c>
      <c r="G81">
        <v>1.20688666121689</v>
      </c>
      <c r="H81" t="e">
        <f>NA()</f>
        <v>#N/A</v>
      </c>
      <c r="I81">
        <f>'raw BLS data'!J98</f>
        <v>4.0999999999999996</v>
      </c>
      <c r="J81">
        <f t="shared" si="4"/>
        <v>7.9996842098055229E-2</v>
      </c>
      <c r="K81" t="e">
        <f t="shared" si="5"/>
        <v>#N/A</v>
      </c>
    </row>
    <row r="82" spans="1:11" x14ac:dyDescent="0.2">
      <c r="A82" s="1">
        <f t="shared" si="6"/>
        <v>36770</v>
      </c>
      <c r="B82">
        <f>'raw FF data'!L113</f>
        <v>2.7</v>
      </c>
      <c r="C82">
        <f>'raw FF data'!P113</f>
        <v>34.4</v>
      </c>
      <c r="D82">
        <f>'raw FF data'!N113</f>
        <v>1</v>
      </c>
      <c r="E82">
        <v>2.6046343663499898</v>
      </c>
      <c r="F82">
        <v>32.601351398511703</v>
      </c>
      <c r="G82">
        <v>1.06938929707062</v>
      </c>
      <c r="H82" t="e">
        <f>NA()</f>
        <v>#N/A</v>
      </c>
      <c r="I82">
        <f>'raw BLS data'!J99</f>
        <v>3.9</v>
      </c>
      <c r="J82">
        <f t="shared" si="4"/>
        <v>7.6777603341210213E-2</v>
      </c>
      <c r="K82" t="e">
        <f t="shared" si="5"/>
        <v>#N/A</v>
      </c>
    </row>
    <row r="83" spans="1:11" x14ac:dyDescent="0.2">
      <c r="A83" s="1">
        <f t="shared" si="6"/>
        <v>36800</v>
      </c>
      <c r="B83">
        <f>'raw FF data'!L114</f>
        <v>2.7</v>
      </c>
      <c r="C83">
        <f>'raw FF data'!P114</f>
        <v>32.4</v>
      </c>
      <c r="D83">
        <f>'raw FF data'!N114</f>
        <v>1.2</v>
      </c>
      <c r="E83">
        <v>2.7997548517012398</v>
      </c>
      <c r="F83">
        <v>32.815406472448203</v>
      </c>
      <c r="G83">
        <v>1.16846908235793</v>
      </c>
      <c r="H83" t="e">
        <f>NA()</f>
        <v>#N/A</v>
      </c>
      <c r="I83">
        <f>'raw BLS data'!J100</f>
        <v>3.9</v>
      </c>
      <c r="J83">
        <f t="shared" si="4"/>
        <v>8.19908909171638E-2</v>
      </c>
      <c r="K83" t="e">
        <f t="shared" si="5"/>
        <v>#N/A</v>
      </c>
    </row>
    <row r="84" spans="1:11" x14ac:dyDescent="0.2">
      <c r="A84" s="1">
        <f t="shared" si="6"/>
        <v>36831</v>
      </c>
      <c r="B84">
        <f>'raw FF data'!L115</f>
        <v>1.9</v>
      </c>
      <c r="C84">
        <f>'raw FF data'!P115</f>
        <v>25.2</v>
      </c>
      <c r="D84">
        <f>'raw FF data'!N115</f>
        <v>0.9</v>
      </c>
      <c r="E84">
        <v>2.4474804854176302</v>
      </c>
      <c r="F84">
        <v>29.551241515267499</v>
      </c>
      <c r="G84">
        <v>1.0286032006693</v>
      </c>
      <c r="H84" t="e">
        <f>NA()</f>
        <v>#N/A</v>
      </c>
      <c r="I84">
        <f>'raw BLS data'!J101</f>
        <v>3.9</v>
      </c>
      <c r="J84">
        <f t="shared" si="4"/>
        <v>7.9591537474700644E-2</v>
      </c>
      <c r="K84" t="e">
        <f t="shared" si="5"/>
        <v>#N/A</v>
      </c>
    </row>
    <row r="85" spans="1:11" x14ac:dyDescent="0.2">
      <c r="A85" s="1">
        <f t="shared" si="6"/>
        <v>36861</v>
      </c>
      <c r="B85">
        <f>'raw FF data'!L116</f>
        <v>2.6</v>
      </c>
      <c r="C85">
        <f>'raw FF data'!P116</f>
        <v>26.9</v>
      </c>
      <c r="D85">
        <f>'raw FF data'!N116</f>
        <v>1.6</v>
      </c>
      <c r="E85">
        <v>2.73322303008164</v>
      </c>
      <c r="F85">
        <v>31.481018090179202</v>
      </c>
      <c r="G85">
        <v>1.1714530018986</v>
      </c>
      <c r="H85">
        <f>'raw BLS data'!D19</f>
        <v>2.2999999999999998</v>
      </c>
      <c r="I85">
        <f>'raw BLS data'!J102</f>
        <v>3.9</v>
      </c>
      <c r="J85">
        <f t="shared" si="4"/>
        <v>8.3435272785153572E-2</v>
      </c>
      <c r="K85">
        <f t="shared" si="5"/>
        <v>7.0210562875332283E-2</v>
      </c>
    </row>
    <row r="86" spans="1:11" x14ac:dyDescent="0.2">
      <c r="A86" s="1">
        <f t="shared" si="6"/>
        <v>36892</v>
      </c>
      <c r="B86">
        <f>'raw FF data'!L117</f>
        <v>2.8</v>
      </c>
      <c r="C86">
        <f>'raw FF data'!P117</f>
        <v>32.9</v>
      </c>
      <c r="D86">
        <f>'raw FF data'!N117</f>
        <v>1.3</v>
      </c>
      <c r="E86">
        <v>2.88881218220987</v>
      </c>
      <c r="F86">
        <v>33.185825201960299</v>
      </c>
      <c r="G86">
        <v>1.2626442645798399</v>
      </c>
      <c r="H86">
        <f>'raw BLS data'!D20</f>
        <v>2.5</v>
      </c>
      <c r="I86">
        <f>'raw BLS data'!J103</f>
        <v>4.2</v>
      </c>
      <c r="J86">
        <f t="shared" si="4"/>
        <v>8.3393498691531093E-2</v>
      </c>
      <c r="K86">
        <f t="shared" si="5"/>
        <v>7.2169367054296621E-2</v>
      </c>
    </row>
    <row r="87" spans="1:11" x14ac:dyDescent="0.2">
      <c r="A87" s="1">
        <f t="shared" si="6"/>
        <v>36923</v>
      </c>
      <c r="B87">
        <f>'raw FF data'!L118</f>
        <v>2.4</v>
      </c>
      <c r="C87">
        <f>'raw FF data'!P118</f>
        <v>28.5</v>
      </c>
      <c r="D87">
        <f>'raw FF data'!N118</f>
        <v>1</v>
      </c>
      <c r="E87">
        <v>2.5343082101960199</v>
      </c>
      <c r="F87">
        <v>30.4386310495224</v>
      </c>
      <c r="G87">
        <v>1.11779263923156</v>
      </c>
      <c r="H87">
        <f>'raw BLS data'!D21</f>
        <v>2.5</v>
      </c>
      <c r="I87">
        <f>'raw BLS data'!J104</f>
        <v>4.2</v>
      </c>
      <c r="J87">
        <f t="shared" si="4"/>
        <v>7.9762695681607584E-2</v>
      </c>
      <c r="K87">
        <f t="shared" si="5"/>
        <v>7.8682907785945874E-2</v>
      </c>
    </row>
    <row r="88" spans="1:11" x14ac:dyDescent="0.2">
      <c r="A88" s="1">
        <f t="shared" si="6"/>
        <v>36951</v>
      </c>
      <c r="B88">
        <f>'raw FF data'!L119</f>
        <v>2.1</v>
      </c>
      <c r="C88">
        <f>'raw FF data'!P119</f>
        <v>30.4</v>
      </c>
      <c r="D88">
        <f>'raw FF data'!N119</f>
        <v>1.1000000000000001</v>
      </c>
      <c r="E88">
        <v>2.4805475781931001</v>
      </c>
      <c r="F88">
        <v>29.825100243429301</v>
      </c>
      <c r="G88">
        <v>1.2760137584396101</v>
      </c>
      <c r="H88">
        <f>'raw BLS data'!D22</f>
        <v>2.4</v>
      </c>
      <c r="I88">
        <f>'raw BLS data'!J105</f>
        <v>4.3</v>
      </c>
      <c r="J88">
        <f t="shared" si="4"/>
        <v>7.9593497187114448E-2</v>
      </c>
      <c r="K88">
        <f t="shared" si="5"/>
        <v>7.7008961621378033E-2</v>
      </c>
    </row>
    <row r="89" spans="1:11" x14ac:dyDescent="0.2">
      <c r="A89" s="1">
        <f t="shared" si="6"/>
        <v>36982</v>
      </c>
      <c r="B89">
        <f>'raw FF data'!L120</f>
        <v>2.2000000000000002</v>
      </c>
      <c r="C89">
        <f>'raw FF data'!P120</f>
        <v>34.299999999999997</v>
      </c>
      <c r="D89">
        <f>'raw FF data'!N120</f>
        <v>1</v>
      </c>
      <c r="E89">
        <v>2.3227031925846</v>
      </c>
      <c r="F89">
        <v>33.051430368631202</v>
      </c>
      <c r="G89">
        <v>1.1049667373127401</v>
      </c>
      <c r="H89">
        <f>'raw BLS data'!D23</f>
        <v>2.4</v>
      </c>
      <c r="I89">
        <f>'raw BLS data'!J106</f>
        <v>4.4000000000000004</v>
      </c>
      <c r="J89">
        <f t="shared" si="4"/>
        <v>6.7183302729867236E-2</v>
      </c>
      <c r="K89">
        <f t="shared" si="5"/>
        <v>6.9419083362201262E-2</v>
      </c>
    </row>
    <row r="90" spans="1:11" x14ac:dyDescent="0.2">
      <c r="A90" s="1">
        <f t="shared" si="6"/>
        <v>37012</v>
      </c>
      <c r="B90">
        <f>'raw FF data'!L121</f>
        <v>2.7</v>
      </c>
      <c r="C90">
        <f>'raw FF data'!P121</f>
        <v>33.299999999999997</v>
      </c>
      <c r="D90">
        <f>'raw FF data'!N121</f>
        <v>1.4</v>
      </c>
      <c r="E90">
        <v>2.4658388626920398</v>
      </c>
      <c r="F90">
        <v>32.914345730552299</v>
      </c>
      <c r="G90">
        <v>1.3109432086986399</v>
      </c>
      <c r="H90">
        <f>'raw BLS data'!D24</f>
        <v>2.2999999999999998</v>
      </c>
      <c r="I90">
        <f>'raw BLS data'!J107</f>
        <v>4.3</v>
      </c>
      <c r="J90">
        <f t="shared" si="4"/>
        <v>7.1695418493639446E-2</v>
      </c>
      <c r="K90">
        <f t="shared" si="5"/>
        <v>6.6873575978660824E-2</v>
      </c>
    </row>
    <row r="91" spans="1:11" x14ac:dyDescent="0.2">
      <c r="A91" s="1">
        <f t="shared" si="6"/>
        <v>37043</v>
      </c>
      <c r="B91">
        <f>'raw FF data'!L122</f>
        <v>2.8</v>
      </c>
      <c r="C91">
        <f>'raw FF data'!P122</f>
        <v>27</v>
      </c>
      <c r="D91">
        <f>'raw FF data'!N122</f>
        <v>1.3</v>
      </c>
      <c r="E91">
        <v>2.4749381713955398</v>
      </c>
      <c r="F91">
        <v>26.407176594850501</v>
      </c>
      <c r="G91">
        <v>1.22523348340761</v>
      </c>
      <c r="H91">
        <f>'raw BLS data'!D25</f>
        <v>2.2000000000000002</v>
      </c>
      <c r="I91">
        <f>'raw BLS data'!J108</f>
        <v>4.5</v>
      </c>
      <c r="J91">
        <f t="shared" si="4"/>
        <v>8.9504682380305831E-2</v>
      </c>
      <c r="K91">
        <f t="shared" si="5"/>
        <v>7.9561705222575857E-2</v>
      </c>
    </row>
    <row r="92" spans="1:11" x14ac:dyDescent="0.2">
      <c r="A92" s="1">
        <f t="shared" si="6"/>
        <v>37073</v>
      </c>
      <c r="B92">
        <f>'raw FF data'!L123</f>
        <v>3.2</v>
      </c>
      <c r="C92">
        <f>'raw FF data'!P123</f>
        <v>33.4</v>
      </c>
      <c r="D92">
        <f>'raw FF data'!N123</f>
        <v>1.4</v>
      </c>
      <c r="E92">
        <v>2.8716647169878602</v>
      </c>
      <c r="F92">
        <v>30.9968790482455</v>
      </c>
      <c r="G92">
        <v>1.3078941342982999</v>
      </c>
      <c r="H92">
        <f>'raw BLS data'!D26</f>
        <v>2.2000000000000002</v>
      </c>
      <c r="I92">
        <f>'raw BLS data'!J109</f>
        <v>4.5999999999999996</v>
      </c>
      <c r="J92">
        <f t="shared" si="4"/>
        <v>8.838206374720442E-2</v>
      </c>
      <c r="K92">
        <f t="shared" si="5"/>
        <v>6.7710042573424736E-2</v>
      </c>
    </row>
    <row r="93" spans="1:11" x14ac:dyDescent="0.2">
      <c r="A93" s="1">
        <f t="shared" si="6"/>
        <v>37104</v>
      </c>
      <c r="B93">
        <f>'raw FF data'!L124</f>
        <v>2.9</v>
      </c>
      <c r="C93">
        <f>'raw FF data'!P124</f>
        <v>31.3</v>
      </c>
      <c r="D93">
        <f>'raw FF data'!N124</f>
        <v>1.1000000000000001</v>
      </c>
      <c r="E93">
        <v>2.35599183512335</v>
      </c>
      <c r="F93">
        <v>26.890659684797001</v>
      </c>
      <c r="G93">
        <v>1.2132546407845799</v>
      </c>
      <c r="H93">
        <f>'raw BLS data'!D27</f>
        <v>2.2000000000000002</v>
      </c>
      <c r="I93">
        <f>'raw BLS data'!J110</f>
        <v>4.9000000000000004</v>
      </c>
      <c r="J93">
        <f t="shared" si="4"/>
        <v>8.3320686865448301E-2</v>
      </c>
      <c r="K93">
        <f t="shared" si="5"/>
        <v>7.7803967047444869E-2</v>
      </c>
    </row>
    <row r="94" spans="1:11" x14ac:dyDescent="0.2">
      <c r="A94" s="1">
        <f t="shared" si="6"/>
        <v>37135</v>
      </c>
      <c r="B94">
        <f>'raw FF data'!L125</f>
        <v>2.4</v>
      </c>
      <c r="C94">
        <f>'raw FF data'!P125</f>
        <v>28.3</v>
      </c>
      <c r="D94">
        <f>'raw FF data'!N125</f>
        <v>1.3</v>
      </c>
      <c r="E94">
        <v>2.34408127364226</v>
      </c>
      <c r="F94">
        <v>26.970625998924401</v>
      </c>
      <c r="G94">
        <v>1.4065626427657001</v>
      </c>
      <c r="H94">
        <f>'raw BLS data'!D28</f>
        <v>2.1</v>
      </c>
      <c r="I94">
        <f>'raw BLS data'!J111</f>
        <v>5</v>
      </c>
      <c r="J94">
        <f t="shared" si="4"/>
        <v>8.2566760224584909E-2</v>
      </c>
      <c r="K94">
        <f t="shared" si="5"/>
        <v>7.3969362078565082E-2</v>
      </c>
    </row>
    <row r="95" spans="1:11" x14ac:dyDescent="0.2">
      <c r="A95" s="1">
        <f t="shared" si="6"/>
        <v>37165</v>
      </c>
      <c r="B95">
        <f>'raw FF data'!L126</f>
        <v>2.2999999999999998</v>
      </c>
      <c r="C95">
        <f>'raw FF data'!P126</f>
        <v>29.3</v>
      </c>
      <c r="D95">
        <f>'raw FF data'!N126</f>
        <v>1.6</v>
      </c>
      <c r="E95">
        <v>2.3801854848767601</v>
      </c>
      <c r="F95">
        <v>29.778986767487901</v>
      </c>
      <c r="G95">
        <v>1.52443079002559</v>
      </c>
      <c r="H95">
        <f>'raw BLS data'!D29</f>
        <v>2.2000000000000002</v>
      </c>
      <c r="I95">
        <f>'raw BLS data'!J112</f>
        <v>5.3</v>
      </c>
      <c r="J95">
        <f t="shared" si="4"/>
        <v>7.569215406076886E-2</v>
      </c>
      <c r="K95">
        <f t="shared" si="5"/>
        <v>6.9962084884453296E-2</v>
      </c>
    </row>
    <row r="96" spans="1:11" x14ac:dyDescent="0.2">
      <c r="A96" s="1">
        <f t="shared" si="6"/>
        <v>37196</v>
      </c>
      <c r="B96">
        <f>'raw FF data'!L127</f>
        <v>1.8</v>
      </c>
      <c r="C96">
        <f>'raw FF data'!P127</f>
        <v>24.3</v>
      </c>
      <c r="D96">
        <f>'raw FF data'!N127</f>
        <v>1.2</v>
      </c>
      <c r="E96">
        <v>2.33203073936133</v>
      </c>
      <c r="F96">
        <v>28.4385037533707</v>
      </c>
      <c r="G96">
        <v>1.39437442727899</v>
      </c>
      <c r="H96">
        <f>'raw BLS data'!D30</f>
        <v>2</v>
      </c>
      <c r="I96">
        <f>'raw BLS data'!J113</f>
        <v>5.5</v>
      </c>
      <c r="J96">
        <f t="shared" si="4"/>
        <v>7.7492440101925283E-2</v>
      </c>
      <c r="K96">
        <f t="shared" si="5"/>
        <v>6.645919266325627E-2</v>
      </c>
    </row>
    <row r="97" spans="1:11" x14ac:dyDescent="0.2">
      <c r="A97" s="1">
        <f t="shared" si="6"/>
        <v>37226</v>
      </c>
      <c r="B97">
        <f>'raw FF data'!L128</f>
        <v>2.2000000000000002</v>
      </c>
      <c r="C97">
        <f>'raw FF data'!P128</f>
        <v>22.2</v>
      </c>
      <c r="D97">
        <f>'raw FF data'!N128</f>
        <v>1.9</v>
      </c>
      <c r="E97">
        <v>2.3032444487057302</v>
      </c>
      <c r="F97">
        <v>26.075127281758</v>
      </c>
      <c r="G97">
        <v>1.3873903103908301</v>
      </c>
      <c r="H97">
        <f>'raw BLS data'!D31</f>
        <v>2</v>
      </c>
      <c r="I97">
        <f>'raw BLS data'!J114</f>
        <v>5.7</v>
      </c>
      <c r="J97">
        <f t="shared" si="4"/>
        <v>8.329621910029919E-2</v>
      </c>
      <c r="K97">
        <f t="shared" si="5"/>
        <v>7.2329464766196325E-2</v>
      </c>
    </row>
    <row r="98" spans="1:11" x14ac:dyDescent="0.2">
      <c r="A98" s="1">
        <f t="shared" si="6"/>
        <v>37257</v>
      </c>
      <c r="B98">
        <f>'raw FF data'!L129</f>
        <v>2.4</v>
      </c>
      <c r="C98">
        <f>'raw FF data'!P129</f>
        <v>29.6</v>
      </c>
      <c r="D98">
        <f>'raw FF data'!N129</f>
        <v>1.5</v>
      </c>
      <c r="E98">
        <v>2.4707444739318198</v>
      </c>
      <c r="F98">
        <v>29.9211486414695</v>
      </c>
      <c r="G98">
        <v>1.4483142316919499</v>
      </c>
      <c r="H98">
        <f>'raw BLS data'!D32</f>
        <v>2.2000000000000002</v>
      </c>
      <c r="I98">
        <f>'raw BLS data'!J115</f>
        <v>5.7</v>
      </c>
      <c r="J98">
        <f t="shared" si="4"/>
        <v>7.7868402274120674E-2</v>
      </c>
      <c r="K98">
        <f t="shared" si="5"/>
        <v>6.9335573472092196E-2</v>
      </c>
    </row>
    <row r="99" spans="1:11" x14ac:dyDescent="0.2">
      <c r="A99" s="1">
        <f t="shared" si="6"/>
        <v>37288</v>
      </c>
      <c r="B99">
        <f>'raw FF data'!L130</f>
        <v>2.2000000000000002</v>
      </c>
      <c r="C99">
        <f>'raw FF data'!P130</f>
        <v>25.7</v>
      </c>
      <c r="D99">
        <f>'raw FF data'!N130</f>
        <v>1.2</v>
      </c>
      <c r="E99">
        <v>2.3216492230388801</v>
      </c>
      <c r="F99">
        <v>27.445278499015298</v>
      </c>
      <c r="G99">
        <v>1.33748339101155</v>
      </c>
      <c r="H99">
        <f>'raw BLS data'!D33</f>
        <v>2.1</v>
      </c>
      <c r="I99">
        <f>'raw BLS data'!J116</f>
        <v>5.7</v>
      </c>
      <c r="J99">
        <f t="shared" si="4"/>
        <v>7.9770194986515205E-2</v>
      </c>
      <c r="K99">
        <f t="shared" si="5"/>
        <v>7.2154487340000961E-2</v>
      </c>
    </row>
    <row r="100" spans="1:11" x14ac:dyDescent="0.2">
      <c r="A100" s="1">
        <f t="shared" si="6"/>
        <v>37316</v>
      </c>
      <c r="B100">
        <f>'raw FF data'!L131</f>
        <v>1.9</v>
      </c>
      <c r="C100">
        <f>'raw FF data'!P131</f>
        <v>25.1</v>
      </c>
      <c r="D100">
        <f>'raw FF data'!N131</f>
        <v>1.2</v>
      </c>
      <c r="E100">
        <v>2.2739588289069199</v>
      </c>
      <c r="F100">
        <v>24.3849023308222</v>
      </c>
      <c r="G100">
        <v>1.40332193901839</v>
      </c>
      <c r="H100">
        <f>'raw BLS data'!D34</f>
        <v>2</v>
      </c>
      <c r="I100">
        <f>'raw BLS data'!J117</f>
        <v>5.7</v>
      </c>
      <c r="J100">
        <f t="shared" si="4"/>
        <v>8.7937328867165626E-2</v>
      </c>
      <c r="K100">
        <f t="shared" si="5"/>
        <v>7.7342938446635492E-2</v>
      </c>
    </row>
    <row r="101" spans="1:11" x14ac:dyDescent="0.2">
      <c r="A101" s="1">
        <f t="shared" si="6"/>
        <v>37347</v>
      </c>
      <c r="B101">
        <f>'raw FF data'!L132</f>
        <v>2.4</v>
      </c>
      <c r="C101">
        <f>'raw FF data'!P132</f>
        <v>26.8</v>
      </c>
      <c r="D101">
        <f>'raw FF data'!N132</f>
        <v>1.3</v>
      </c>
      <c r="E101">
        <v>2.51482492115414</v>
      </c>
      <c r="F101">
        <v>25.995077879849902</v>
      </c>
      <c r="G101">
        <v>1.4464961512775401</v>
      </c>
      <c r="H101">
        <f>'raw BLS data'!D35</f>
        <v>2.1</v>
      </c>
      <c r="I101">
        <f>'raw BLS data'!J118</f>
        <v>5.9</v>
      </c>
      <c r="J101">
        <f t="shared" si="4"/>
        <v>9.1034551300205976E-2</v>
      </c>
      <c r="K101">
        <f t="shared" si="5"/>
        <v>7.6018237342222961E-2</v>
      </c>
    </row>
    <row r="102" spans="1:11" x14ac:dyDescent="0.2">
      <c r="A102" s="1">
        <f t="shared" si="6"/>
        <v>37377</v>
      </c>
      <c r="B102">
        <f>'raw FF data'!L133</f>
        <v>2.5</v>
      </c>
      <c r="C102">
        <f>'raw FF data'!P133</f>
        <v>23.2</v>
      </c>
      <c r="D102">
        <f>'raw FF data'!N133</f>
        <v>1.4</v>
      </c>
      <c r="E102">
        <v>2.2603856819010799</v>
      </c>
      <c r="F102">
        <v>22.905924250354399</v>
      </c>
      <c r="G102">
        <v>1.31225601765275</v>
      </c>
      <c r="H102">
        <f>'raw BLS data'!D36</f>
        <v>2</v>
      </c>
      <c r="I102">
        <f>'raw BLS data'!J119</f>
        <v>5.8</v>
      </c>
      <c r="J102">
        <f t="shared" si="4"/>
        <v>9.2957755778742393E-2</v>
      </c>
      <c r="K102">
        <f t="shared" si="5"/>
        <v>8.2249464348545145E-2</v>
      </c>
    </row>
    <row r="103" spans="1:11" x14ac:dyDescent="0.2">
      <c r="A103" s="1">
        <f t="shared" si="6"/>
        <v>37408</v>
      </c>
      <c r="B103">
        <f>'raw FF data'!L134</f>
        <v>2.6</v>
      </c>
      <c r="C103">
        <f>'raw FF data'!P134</f>
        <v>23.7</v>
      </c>
      <c r="D103">
        <f>'raw FF data'!N134</f>
        <v>1.3</v>
      </c>
      <c r="E103">
        <v>2.3171691462491899</v>
      </c>
      <c r="F103">
        <v>23.394072536527599</v>
      </c>
      <c r="G103">
        <v>1.22081527371381</v>
      </c>
      <c r="H103">
        <f>'raw BLS data'!D37</f>
        <v>2</v>
      </c>
      <c r="I103">
        <f>'raw BLS data'!J120</f>
        <v>5.8</v>
      </c>
      <c r="J103">
        <f t="shared" si="4"/>
        <v>9.3304546797422533E-2</v>
      </c>
      <c r="K103">
        <f t="shared" si="5"/>
        <v>8.053322041548408E-2</v>
      </c>
    </row>
    <row r="104" spans="1:11" x14ac:dyDescent="0.2">
      <c r="A104" s="1">
        <f t="shared" si="6"/>
        <v>37438</v>
      </c>
      <c r="B104">
        <f>'raw FF data'!L135</f>
        <v>2.7</v>
      </c>
      <c r="C104">
        <f>'raw FF data'!P135</f>
        <v>29.3</v>
      </c>
      <c r="D104">
        <f>'raw FF data'!N135</f>
        <v>1.5</v>
      </c>
      <c r="E104">
        <v>2.4115972489998998</v>
      </c>
      <c r="F104">
        <v>27.149724348539898</v>
      </c>
      <c r="G104">
        <v>1.4022789620968199</v>
      </c>
      <c r="H104">
        <f>'raw BLS data'!D38</f>
        <v>2</v>
      </c>
      <c r="I104">
        <f>'raw BLS data'!J121</f>
        <v>5.8</v>
      </c>
      <c r="J104">
        <f t="shared" si="4"/>
        <v>8.3673947455016356E-2</v>
      </c>
      <c r="K104">
        <f t="shared" si="5"/>
        <v>6.9392969733827914E-2</v>
      </c>
    </row>
    <row r="105" spans="1:11" x14ac:dyDescent="0.2">
      <c r="A105" s="1">
        <f t="shared" si="6"/>
        <v>37469</v>
      </c>
      <c r="B105">
        <f>'raw FF data'!L136</f>
        <v>2.7</v>
      </c>
      <c r="C105">
        <f>'raw FF data'!P136</f>
        <v>30</v>
      </c>
      <c r="D105">
        <f>'raw FF data'!N136</f>
        <v>1.2</v>
      </c>
      <c r="E105">
        <v>2.1949124270485698</v>
      </c>
      <c r="F105">
        <v>25.4983725742409</v>
      </c>
      <c r="G105">
        <v>1.32356321355715</v>
      </c>
      <c r="H105">
        <f>'raw BLS data'!D39</f>
        <v>2</v>
      </c>
      <c r="I105">
        <f>'raw BLS data'!J122</f>
        <v>5.7</v>
      </c>
      <c r="J105">
        <f t="shared" si="4"/>
        <v>8.1173902870874518E-2</v>
      </c>
      <c r="K105">
        <f t="shared" si="5"/>
        <v>7.396550483795522E-2</v>
      </c>
    </row>
    <row r="106" spans="1:11" x14ac:dyDescent="0.2">
      <c r="A106" s="1">
        <f t="shared" si="6"/>
        <v>37500</v>
      </c>
      <c r="B106">
        <f>'raw FF data'!L137</f>
        <v>2.2000000000000002</v>
      </c>
      <c r="C106">
        <f>'raw FF data'!P137</f>
        <v>24.4</v>
      </c>
      <c r="D106">
        <f>'raw FF data'!N137</f>
        <v>1.2</v>
      </c>
      <c r="E106">
        <v>2.1522840017704898</v>
      </c>
      <c r="F106">
        <v>23.436916726492001</v>
      </c>
      <c r="G106">
        <v>1.3057786344626101</v>
      </c>
      <c r="H106">
        <f>'raw BLS data'!D40</f>
        <v>2</v>
      </c>
      <c r="I106">
        <f>'raw BLS data'!J123</f>
        <v>5.7</v>
      </c>
      <c r="J106">
        <f t="shared" si="4"/>
        <v>8.6598584504735732E-2</v>
      </c>
      <c r="K106">
        <f t="shared" si="5"/>
        <v>8.0471335970066116E-2</v>
      </c>
    </row>
    <row r="107" spans="1:11" x14ac:dyDescent="0.2">
      <c r="A107" s="1">
        <f t="shared" si="6"/>
        <v>37530</v>
      </c>
      <c r="B107">
        <f>'raw FF data'!L138</f>
        <v>2.2999999999999998</v>
      </c>
      <c r="C107">
        <f>'raw FF data'!P138</f>
        <v>24.3</v>
      </c>
      <c r="D107">
        <f>'raw FF data'!N138</f>
        <v>1.6</v>
      </c>
      <c r="E107">
        <v>2.3973303677360698</v>
      </c>
      <c r="F107">
        <v>24.694948713592801</v>
      </c>
      <c r="G107">
        <v>1.5252849966407001</v>
      </c>
      <c r="H107">
        <f>'raw BLS data'!D41</f>
        <v>2</v>
      </c>
      <c r="I107">
        <f>'raw BLS data'!J124</f>
        <v>5.7</v>
      </c>
      <c r="J107">
        <f t="shared" si="4"/>
        <v>9.1544330097384247E-2</v>
      </c>
      <c r="K107">
        <f t="shared" si="5"/>
        <v>7.637189377768952E-2</v>
      </c>
    </row>
    <row r="108" spans="1:11" x14ac:dyDescent="0.2">
      <c r="A108" s="1">
        <f t="shared" si="6"/>
        <v>37561</v>
      </c>
      <c r="B108">
        <f>'raw FF data'!L139</f>
        <v>1.5</v>
      </c>
      <c r="C108">
        <f>'raw FF data'!P139</f>
        <v>20.2</v>
      </c>
      <c r="D108">
        <f>'raw FF data'!N139</f>
        <v>1.1000000000000001</v>
      </c>
      <c r="E108">
        <v>1.92727151666038</v>
      </c>
      <c r="F108">
        <v>23.609065126281799</v>
      </c>
      <c r="G108">
        <v>1.2672326552108599</v>
      </c>
      <c r="H108">
        <f>'raw BLS data'!D42</f>
        <v>1.9</v>
      </c>
      <c r="I108">
        <f>'raw BLS data'!J125</f>
        <v>5.9</v>
      </c>
      <c r="J108">
        <f t="shared" si="4"/>
        <v>7.6816362167536456E-2</v>
      </c>
      <c r="K108">
        <f t="shared" si="5"/>
        <v>7.572938574385546E-2</v>
      </c>
    </row>
    <row r="109" spans="1:11" x14ac:dyDescent="0.2">
      <c r="A109" s="1">
        <f t="shared" si="6"/>
        <v>37591</v>
      </c>
      <c r="B109">
        <f>'raw FF data'!L140</f>
        <v>2.2999999999999998</v>
      </c>
      <c r="C109">
        <f>'raw FF data'!P140</f>
        <v>20</v>
      </c>
      <c r="D109">
        <f>'raw FF data'!N140</f>
        <v>1.8</v>
      </c>
      <c r="E109">
        <v>2.4239622026394199</v>
      </c>
      <c r="F109">
        <v>23.564421788084999</v>
      </c>
      <c r="G109">
        <v>1.31137820457585</v>
      </c>
      <c r="H109">
        <f>'raw BLS data'!D43</f>
        <v>2</v>
      </c>
      <c r="I109">
        <f>'raw BLS data'!J126</f>
        <v>6</v>
      </c>
      <c r="J109">
        <f t="shared" si="4"/>
        <v>9.6693417346363941E-2</v>
      </c>
      <c r="K109">
        <f t="shared" si="5"/>
        <v>7.9781291342807065E-2</v>
      </c>
    </row>
    <row r="110" spans="1:11" x14ac:dyDescent="0.2">
      <c r="A110" s="1">
        <f t="shared" si="6"/>
        <v>37622</v>
      </c>
      <c r="B110">
        <f>'raw FF data'!L141</f>
        <v>2</v>
      </c>
      <c r="C110">
        <f>'raw FF data'!P141</f>
        <v>23.8</v>
      </c>
      <c r="D110">
        <f>'raw FF data'!N141</f>
        <v>1.2</v>
      </c>
      <c r="E110">
        <v>2.0537450143351901</v>
      </c>
      <c r="F110">
        <v>23.952795271839001</v>
      </c>
      <c r="G110">
        <v>1.16179358056931</v>
      </c>
      <c r="H110">
        <f>'raw BLS data'!D44</f>
        <v>1.9</v>
      </c>
      <c r="I110">
        <f>'raw BLS data'!J127</f>
        <v>5.8</v>
      </c>
      <c r="J110">
        <f t="shared" si="4"/>
        <v>8.0768352150459299E-2</v>
      </c>
      <c r="K110">
        <f t="shared" si="5"/>
        <v>7.4721967924313418E-2</v>
      </c>
    </row>
    <row r="111" spans="1:11" x14ac:dyDescent="0.2">
      <c r="A111" s="1">
        <f t="shared" si="6"/>
        <v>37653</v>
      </c>
      <c r="B111">
        <f>'raw FF data'!L142</f>
        <v>2</v>
      </c>
      <c r="C111">
        <f>'raw FF data'!P142</f>
        <v>21.7</v>
      </c>
      <c r="D111">
        <f>'raw FF data'!N142</f>
        <v>1.3</v>
      </c>
      <c r="E111">
        <v>2.1069507112759398</v>
      </c>
      <c r="F111">
        <v>23.1612752941795</v>
      </c>
      <c r="G111">
        <v>1.4324813733614601</v>
      </c>
      <c r="H111">
        <f>'raw BLS data'!D45</f>
        <v>1.9</v>
      </c>
      <c r="I111">
        <f>'raw BLS data'!J128</f>
        <v>5.9</v>
      </c>
      <c r="J111">
        <f t="shared" si="4"/>
        <v>8.5601530750290894E-2</v>
      </c>
      <c r="K111">
        <f t="shared" si="5"/>
        <v>7.7193504126661996E-2</v>
      </c>
    </row>
    <row r="112" spans="1:11" x14ac:dyDescent="0.2">
      <c r="A112" s="1">
        <f t="shared" si="6"/>
        <v>37681</v>
      </c>
      <c r="B112">
        <f>'raw FF data'!L143</f>
        <v>1.7</v>
      </c>
      <c r="C112">
        <f>'raw FF data'!P143</f>
        <v>25.5</v>
      </c>
      <c r="D112">
        <f>'raw FF data'!N143</f>
        <v>1.1000000000000001</v>
      </c>
      <c r="E112">
        <v>2.04760081706524</v>
      </c>
      <c r="F112">
        <v>24.690347397141601</v>
      </c>
      <c r="G112">
        <v>1.29482834229366</v>
      </c>
      <c r="H112">
        <f>'raw BLS data'!D46</f>
        <v>1.9</v>
      </c>
      <c r="I112">
        <f>'raw BLS data'!J129</f>
        <v>5.9</v>
      </c>
      <c r="J112">
        <f t="shared" si="4"/>
        <v>7.803828507821868E-2</v>
      </c>
      <c r="K112">
        <f t="shared" si="5"/>
        <v>7.2412913890672309E-2</v>
      </c>
    </row>
    <row r="113" spans="1:11" x14ac:dyDescent="0.2">
      <c r="A113" s="1">
        <f t="shared" si="6"/>
        <v>37712</v>
      </c>
      <c r="B113">
        <f>'raw FF data'!L144</f>
        <v>2.2999999999999998</v>
      </c>
      <c r="C113">
        <f>'raw FF data'!P144</f>
        <v>24.1</v>
      </c>
      <c r="D113">
        <f>'raw FF data'!N144</f>
        <v>1.4</v>
      </c>
      <c r="E113">
        <v>2.3931613887730601</v>
      </c>
      <c r="F113">
        <v>23.3916263688299</v>
      </c>
      <c r="G113">
        <v>1.5656759716206301</v>
      </c>
      <c r="H113">
        <f>'raw BLS data'!D47</f>
        <v>1.8</v>
      </c>
      <c r="I113">
        <f>'raw BLS data'!J130</f>
        <v>6</v>
      </c>
      <c r="J113">
        <f t="shared" si="4"/>
        <v>9.616995714519036E-2</v>
      </c>
      <c r="K113">
        <f t="shared" si="5"/>
        <v>7.2333576696259339E-2</v>
      </c>
    </row>
    <row r="114" spans="1:11" x14ac:dyDescent="0.2">
      <c r="A114" s="1">
        <f t="shared" si="6"/>
        <v>37742</v>
      </c>
      <c r="B114">
        <f>'raw FF data'!L145</f>
        <v>2.2999999999999998</v>
      </c>
      <c r="C114">
        <f>'raw FF data'!P145</f>
        <v>22.8</v>
      </c>
      <c r="D114">
        <f>'raw FF data'!N145</f>
        <v>1.4</v>
      </c>
      <c r="E114">
        <v>2.0570501846668798</v>
      </c>
      <c r="F114">
        <v>22.584717519431301</v>
      </c>
      <c r="G114">
        <v>1.32238472169169</v>
      </c>
      <c r="H114">
        <f>'raw BLS data'!D48</f>
        <v>1.8</v>
      </c>
      <c r="I114">
        <f>'raw BLS data'!J131</f>
        <v>6.1</v>
      </c>
      <c r="J114">
        <f t="shared" si="4"/>
        <v>8.5525538308828863E-2</v>
      </c>
      <c r="K114">
        <f t="shared" si="5"/>
        <v>7.4838217416082195E-2</v>
      </c>
    </row>
    <row r="115" spans="1:11" x14ac:dyDescent="0.2">
      <c r="A115" s="1">
        <f t="shared" si="6"/>
        <v>37773</v>
      </c>
      <c r="B115">
        <f>'raw FF data'!L146</f>
        <v>2.2999999999999998</v>
      </c>
      <c r="C115">
        <f>'raw FF data'!P146</f>
        <v>23</v>
      </c>
      <c r="D115">
        <f>'raw FF data'!N146</f>
        <v>1.4</v>
      </c>
      <c r="E115">
        <v>2.0646894229806199</v>
      </c>
      <c r="F115">
        <v>22.997914145086298</v>
      </c>
      <c r="G115">
        <v>1.3005446812464601</v>
      </c>
      <c r="H115">
        <f>'raw BLS data'!D49</f>
        <v>1.8</v>
      </c>
      <c r="I115">
        <f>'raw BLS data'!J132</f>
        <v>6.3</v>
      </c>
      <c r="J115">
        <f t="shared" si="4"/>
        <v>8.4121280613885061E-2</v>
      </c>
      <c r="K115">
        <f t="shared" si="5"/>
        <v>7.3337085674804847E-2</v>
      </c>
    </row>
    <row r="116" spans="1:11" x14ac:dyDescent="0.2">
      <c r="A116" s="1">
        <f t="shared" si="6"/>
        <v>37803</v>
      </c>
      <c r="B116">
        <f>'raw FF data'!L147</f>
        <v>2.4</v>
      </c>
      <c r="C116">
        <f>'raw FF data'!P147</f>
        <v>26.8</v>
      </c>
      <c r="D116">
        <f>'raw FF data'!N147</f>
        <v>1.3</v>
      </c>
      <c r="E116">
        <v>2.1510599225318101</v>
      </c>
      <c r="F116">
        <v>24.698514547559899</v>
      </c>
      <c r="G116">
        <v>1.2263712927242501</v>
      </c>
      <c r="H116">
        <f>'raw BLS data'!D50</f>
        <v>1.8</v>
      </c>
      <c r="I116">
        <f>'raw BLS data'!J133</f>
        <v>6.2</v>
      </c>
      <c r="J116">
        <f t="shared" si="4"/>
        <v>8.169293758333239E-2</v>
      </c>
      <c r="K116">
        <f t="shared" si="5"/>
        <v>6.8360386481899016E-2</v>
      </c>
    </row>
    <row r="117" spans="1:11" x14ac:dyDescent="0.2">
      <c r="A117" s="1">
        <f t="shared" si="6"/>
        <v>37834</v>
      </c>
      <c r="B117">
        <f>'raw FF data'!L148</f>
        <v>2.6</v>
      </c>
      <c r="C117">
        <f>'raw FF data'!P148</f>
        <v>27.7</v>
      </c>
      <c r="D117">
        <f>'raw FF data'!N148</f>
        <v>1.1000000000000001</v>
      </c>
      <c r="E117">
        <v>2.1249319885207201</v>
      </c>
      <c r="F117">
        <v>23.371811899528701</v>
      </c>
      <c r="G117">
        <v>1.1906229888859201</v>
      </c>
      <c r="H117">
        <f>'raw BLS data'!D51</f>
        <v>1.8</v>
      </c>
      <c r="I117">
        <f>'raw BLS data'!J134</f>
        <v>6.1</v>
      </c>
      <c r="J117">
        <f t="shared" si="4"/>
        <v>8.5372548170353543E-2</v>
      </c>
      <c r="K117">
        <f t="shared" si="5"/>
        <v>7.2317884777862829E-2</v>
      </c>
    </row>
    <row r="118" spans="1:11" x14ac:dyDescent="0.2">
      <c r="A118" s="1">
        <f t="shared" si="6"/>
        <v>37865</v>
      </c>
      <c r="B118">
        <f>'raw FF data'!L149</f>
        <v>2.2000000000000002</v>
      </c>
      <c r="C118">
        <f>'raw FF data'!P149</f>
        <v>26.1</v>
      </c>
      <c r="D118">
        <f>'raw FF data'!N149</f>
        <v>1.2</v>
      </c>
      <c r="E118">
        <v>2.1521292879517402</v>
      </c>
      <c r="F118">
        <v>25.099703544341999</v>
      </c>
      <c r="G118">
        <v>1.3182866421335799</v>
      </c>
      <c r="H118">
        <f>'raw BLS data'!D52</f>
        <v>1.9</v>
      </c>
      <c r="I118">
        <f>'raw BLS data'!J135</f>
        <v>6.1</v>
      </c>
      <c r="J118">
        <f t="shared" si="4"/>
        <v>8.0512879278298324E-2</v>
      </c>
      <c r="K118">
        <f t="shared" si="5"/>
        <v>7.1080520805679948E-2</v>
      </c>
    </row>
    <row r="119" spans="1:11" x14ac:dyDescent="0.2">
      <c r="A119" s="1">
        <f t="shared" si="6"/>
        <v>37895</v>
      </c>
      <c r="B119">
        <f>'raw FF data'!L150</f>
        <v>1.9</v>
      </c>
      <c r="C119">
        <f>'raw FF data'!P150</f>
        <v>22.5</v>
      </c>
      <c r="D119">
        <f>'raw FF data'!N150</f>
        <v>1.1000000000000001</v>
      </c>
      <c r="E119">
        <v>1.9998455200715199</v>
      </c>
      <c r="F119">
        <v>22.8802022308899</v>
      </c>
      <c r="G119">
        <v>1.0697936664479499</v>
      </c>
      <c r="H119">
        <f>'raw BLS data'!D53</f>
        <v>1.9</v>
      </c>
      <c r="I119">
        <f>'raw BLS data'!J136</f>
        <v>6</v>
      </c>
      <c r="J119">
        <f t="shared" si="4"/>
        <v>8.2160759327961311E-2</v>
      </c>
      <c r="K119">
        <f t="shared" si="5"/>
        <v>7.8058750616669503E-2</v>
      </c>
    </row>
    <row r="120" spans="1:11" x14ac:dyDescent="0.2">
      <c r="A120" s="1">
        <f t="shared" si="6"/>
        <v>37926</v>
      </c>
      <c r="B120">
        <f>'raw FF data'!L151</f>
        <v>1.6</v>
      </c>
      <c r="C120">
        <f>'raw FF data'!P151</f>
        <v>22.6</v>
      </c>
      <c r="D120">
        <f>'raw FF data'!N151</f>
        <v>1.3</v>
      </c>
      <c r="E120">
        <v>2.00821939701027</v>
      </c>
      <c r="F120">
        <v>26.406040919273799</v>
      </c>
      <c r="G120">
        <v>1.4566495157755901</v>
      </c>
      <c r="H120">
        <f>'raw BLS data'!D54</f>
        <v>1.9</v>
      </c>
      <c r="I120">
        <f>'raw BLS data'!J137</f>
        <v>5.8</v>
      </c>
      <c r="J120">
        <f t="shared" si="4"/>
        <v>7.1640526414654196E-2</v>
      </c>
      <c r="K120">
        <f t="shared" si="5"/>
        <v>6.77799449554599E-2</v>
      </c>
    </row>
    <row r="121" spans="1:11" x14ac:dyDescent="0.2">
      <c r="A121" s="1">
        <f t="shared" si="6"/>
        <v>37956</v>
      </c>
      <c r="B121">
        <f>'raw FF data'!L152</f>
        <v>1.9</v>
      </c>
      <c r="C121">
        <f>'raw FF data'!P152</f>
        <v>20.7</v>
      </c>
      <c r="D121">
        <f>'raw FF data'!N152</f>
        <v>1.7</v>
      </c>
      <c r="E121">
        <v>2.0003405133276901</v>
      </c>
      <c r="F121">
        <v>24.535155188241099</v>
      </c>
      <c r="G121">
        <v>1.24750191277527</v>
      </c>
      <c r="H121">
        <f>'raw BLS data'!D55</f>
        <v>1.9</v>
      </c>
      <c r="I121">
        <f>'raw BLS data'!J138</f>
        <v>5.7</v>
      </c>
      <c r="J121">
        <f t="shared" si="4"/>
        <v>7.6882379165551962E-2</v>
      </c>
      <c r="K121">
        <f t="shared" si="5"/>
        <v>7.3025827073582295E-2</v>
      </c>
    </row>
    <row r="122" spans="1:11" x14ac:dyDescent="0.2">
      <c r="A122" s="1">
        <f t="shared" si="6"/>
        <v>37987</v>
      </c>
      <c r="B122">
        <f>'raw FF data'!L153</f>
        <v>2</v>
      </c>
      <c r="C122">
        <f>'raw FF data'!P153</f>
        <v>23.2</v>
      </c>
      <c r="D122">
        <f>'raw FF data'!N153</f>
        <v>1.3</v>
      </c>
      <c r="E122">
        <v>2.0563678761763402</v>
      </c>
      <c r="F122">
        <v>23.2512502224813</v>
      </c>
      <c r="G122">
        <v>1.2720323557125199</v>
      </c>
      <c r="H122">
        <f>'raw BLS data'!D56</f>
        <v>1.8</v>
      </c>
      <c r="I122">
        <f>'raw BLS data'!J139</f>
        <v>5.7</v>
      </c>
      <c r="J122">
        <f t="shared" si="4"/>
        <v>8.3400027468602422E-2</v>
      </c>
      <c r="K122">
        <f t="shared" si="5"/>
        <v>7.3002526047343821E-2</v>
      </c>
    </row>
    <row r="123" spans="1:11" x14ac:dyDescent="0.2">
      <c r="A123" s="1">
        <f t="shared" si="6"/>
        <v>38018</v>
      </c>
      <c r="B123">
        <f>'raw FF data'!L154</f>
        <v>2.1</v>
      </c>
      <c r="C123">
        <f>'raw FF data'!P154</f>
        <v>20.5</v>
      </c>
      <c r="D123">
        <f>'raw FF data'!N154</f>
        <v>1.1000000000000001</v>
      </c>
      <c r="E123">
        <v>2.20554204620879</v>
      </c>
      <c r="F123">
        <v>21.872341099521499</v>
      </c>
      <c r="G123">
        <v>1.1907121062849599</v>
      </c>
      <c r="H123">
        <f>'raw BLS data'!D57</f>
        <v>1.9</v>
      </c>
      <c r="I123">
        <f>'raw BLS data'!J140</f>
        <v>5.6</v>
      </c>
      <c r="J123">
        <f t="shared" si="4"/>
        <v>9.5190161956035246E-2</v>
      </c>
      <c r="K123">
        <f t="shared" si="5"/>
        <v>8.2003110313565761E-2</v>
      </c>
    </row>
    <row r="124" spans="1:11" x14ac:dyDescent="0.2">
      <c r="A124" s="1">
        <f t="shared" si="6"/>
        <v>38047</v>
      </c>
      <c r="B124">
        <f>'raw FF data'!L155</f>
        <v>2.2000000000000002</v>
      </c>
      <c r="C124">
        <f>'raw FF data'!P155</f>
        <v>26.6</v>
      </c>
      <c r="D124">
        <f>'raw FF data'!N155</f>
        <v>1</v>
      </c>
      <c r="E124">
        <v>2.6531137809736598</v>
      </c>
      <c r="F124">
        <v>25.612599242062601</v>
      </c>
      <c r="G124">
        <v>1.1764939504227501</v>
      </c>
      <c r="H124">
        <f>'raw BLS data'!D58</f>
        <v>2</v>
      </c>
      <c r="I124">
        <f>'raw BLS data'!J141</f>
        <v>5.8</v>
      </c>
      <c r="J124">
        <f t="shared" si="4"/>
        <v>9.7578272242388867E-2</v>
      </c>
      <c r="K124">
        <f t="shared" si="5"/>
        <v>7.3557548072121406E-2</v>
      </c>
    </row>
    <row r="125" spans="1:11" x14ac:dyDescent="0.2">
      <c r="A125" s="1">
        <f t="shared" si="6"/>
        <v>38078</v>
      </c>
      <c r="B125">
        <f>'raw FF data'!L156</f>
        <v>2.2000000000000002</v>
      </c>
      <c r="C125">
        <f>'raw FF data'!P156</f>
        <v>27</v>
      </c>
      <c r="D125">
        <f>'raw FF data'!N156</f>
        <v>1.1000000000000001</v>
      </c>
      <c r="E125">
        <v>2.3073192999179502</v>
      </c>
      <c r="F125">
        <v>26.212067443173499</v>
      </c>
      <c r="G125">
        <v>1.2351638314590501</v>
      </c>
      <c r="H125">
        <f>'raw BLS data'!D59</f>
        <v>2</v>
      </c>
      <c r="I125">
        <f>'raw BLS data'!J142</f>
        <v>5.6</v>
      </c>
      <c r="J125">
        <f t="shared" si="4"/>
        <v>8.3095674305148998E-2</v>
      </c>
      <c r="K125">
        <f t="shared" si="5"/>
        <v>7.2027893415622143E-2</v>
      </c>
    </row>
    <row r="126" spans="1:11" x14ac:dyDescent="0.2">
      <c r="A126" s="1">
        <f t="shared" si="6"/>
        <v>38108</v>
      </c>
      <c r="B126">
        <f>'raw FF data'!L157</f>
        <v>2.2000000000000002</v>
      </c>
      <c r="C126">
        <f>'raw FF data'!P157</f>
        <v>24.3</v>
      </c>
      <c r="D126">
        <f>'raw FF data'!N157</f>
        <v>1.2</v>
      </c>
      <c r="E126">
        <v>1.94678572416137</v>
      </c>
      <c r="F126">
        <v>24.284019235243601</v>
      </c>
      <c r="G126">
        <v>1.1336200404713299</v>
      </c>
      <c r="H126">
        <f>'raw BLS data'!D60</f>
        <v>1.9</v>
      </c>
      <c r="I126">
        <f>'raw BLS data'!J143</f>
        <v>5.6</v>
      </c>
      <c r="J126">
        <f t="shared" si="4"/>
        <v>7.5677988301918672E-2</v>
      </c>
      <c r="K126">
        <f t="shared" si="5"/>
        <v>7.3859272743324669E-2</v>
      </c>
    </row>
    <row r="127" spans="1:11" x14ac:dyDescent="0.2">
      <c r="A127" s="1">
        <f t="shared" si="6"/>
        <v>38139</v>
      </c>
      <c r="B127">
        <f>'raw FF data'!L158</f>
        <v>2.6</v>
      </c>
      <c r="C127">
        <f>'raw FF data'!P158</f>
        <v>27.8</v>
      </c>
      <c r="D127">
        <f>'raw FF data'!N158</f>
        <v>1.5</v>
      </c>
      <c r="E127">
        <v>2.3525837352902998</v>
      </c>
      <c r="F127">
        <v>28.0544054929412</v>
      </c>
      <c r="G127">
        <v>1.3698492554635899</v>
      </c>
      <c r="H127">
        <f>'raw BLS data'!D61</f>
        <v>2</v>
      </c>
      <c r="I127">
        <f>'raw BLS data'!J144</f>
        <v>5.6</v>
      </c>
      <c r="J127">
        <f t="shared" si="4"/>
        <v>7.9161864494787848E-2</v>
      </c>
      <c r="K127">
        <f t="shared" si="5"/>
        <v>6.7297808198966885E-2</v>
      </c>
    </row>
    <row r="128" spans="1:11" x14ac:dyDescent="0.2">
      <c r="A128" s="1">
        <f t="shared" si="6"/>
        <v>38169</v>
      </c>
      <c r="B128">
        <f>'raw FF data'!L159</f>
        <v>2.5</v>
      </c>
      <c r="C128">
        <f>'raw FF data'!P159</f>
        <v>25.8</v>
      </c>
      <c r="D128">
        <f>'raw FF data'!N159</f>
        <v>1.3</v>
      </c>
      <c r="E128">
        <v>2.2597827847886398</v>
      </c>
      <c r="F128">
        <v>23.545119903848601</v>
      </c>
      <c r="G128">
        <v>1.24789680938755</v>
      </c>
      <c r="H128">
        <f>'raw BLS data'!D62</f>
        <v>2</v>
      </c>
      <c r="I128">
        <f>'raw BLS data'!J145</f>
        <v>5.5</v>
      </c>
      <c r="J128">
        <f t="shared" si="4"/>
        <v>9.0697976495596619E-2</v>
      </c>
      <c r="K128">
        <f t="shared" si="5"/>
        <v>8.0271411133950837E-2</v>
      </c>
    </row>
    <row r="129" spans="1:11" x14ac:dyDescent="0.2">
      <c r="A129" s="1">
        <f t="shared" si="6"/>
        <v>38200</v>
      </c>
      <c r="B129">
        <f>'raw FF data'!L160</f>
        <v>2.7</v>
      </c>
      <c r="C129">
        <f>'raw FF data'!P160</f>
        <v>32.4</v>
      </c>
      <c r="D129">
        <f>'raw FF data'!N160</f>
        <v>1.2</v>
      </c>
      <c r="E129">
        <v>2.2080643328255198</v>
      </c>
      <c r="F129">
        <v>27.289699279933501</v>
      </c>
      <c r="G129">
        <v>1.2744262600815099</v>
      </c>
      <c r="H129">
        <f>'raw BLS data'!D63</f>
        <v>2</v>
      </c>
      <c r="I129">
        <f>'raw BLS data'!J146</f>
        <v>5.4</v>
      </c>
      <c r="J129">
        <f t="shared" si="4"/>
        <v>7.6542758402211003E-2</v>
      </c>
      <c r="K129">
        <f t="shared" si="5"/>
        <v>6.9330188676399743E-2</v>
      </c>
    </row>
    <row r="130" spans="1:11" x14ac:dyDescent="0.2">
      <c r="A130" s="1">
        <f t="shared" si="6"/>
        <v>38231</v>
      </c>
      <c r="B130">
        <f>'raw FF data'!L161</f>
        <v>2.4</v>
      </c>
      <c r="C130">
        <f>'raw FF data'!P161</f>
        <v>29.1</v>
      </c>
      <c r="D130">
        <f>'raw FF data'!N161</f>
        <v>1.1000000000000001</v>
      </c>
      <c r="E130">
        <v>2.3339357158398299</v>
      </c>
      <c r="F130">
        <v>27.934247367121301</v>
      </c>
      <c r="G130">
        <v>1.2189603086702201</v>
      </c>
      <c r="H130">
        <f>'raw BLS data'!D64</f>
        <v>2</v>
      </c>
      <c r="I130">
        <f>'raw BLS data'!J147</f>
        <v>5.4</v>
      </c>
      <c r="J130">
        <f t="shared" si="4"/>
        <v>7.9039293887802689E-2</v>
      </c>
      <c r="K130">
        <f t="shared" si="5"/>
        <v>6.7730480622395076E-2</v>
      </c>
    </row>
    <row r="131" spans="1:11" x14ac:dyDescent="0.2">
      <c r="A131" s="1">
        <f t="shared" si="6"/>
        <v>38261</v>
      </c>
      <c r="B131">
        <f>'raw FF data'!L162</f>
        <v>2</v>
      </c>
      <c r="C131">
        <f>'raw FF data'!P162</f>
        <v>25.7</v>
      </c>
      <c r="D131">
        <f>'raw FF data'!N162</f>
        <v>1.3</v>
      </c>
      <c r="E131">
        <v>2.1378623230938301</v>
      </c>
      <c r="F131">
        <v>26.192277016214199</v>
      </c>
      <c r="G131">
        <v>1.3145554987650001</v>
      </c>
      <c r="H131">
        <f>'raw BLS data'!D65</f>
        <v>2</v>
      </c>
      <c r="I131">
        <f>'raw BLS data'!J148</f>
        <v>5.5</v>
      </c>
      <c r="J131">
        <f t="shared" ref="J131:J194" si="7">E131*( 1 - (I131/100) )/F131</f>
        <v>7.7132656090687535E-2</v>
      </c>
      <c r="K131">
        <f t="shared" ref="K131:K194" si="8">H131*( 1 - (I131/100) )/F131</f>
        <v>7.2158674819680815E-2</v>
      </c>
    </row>
    <row r="132" spans="1:11" x14ac:dyDescent="0.2">
      <c r="A132" s="1">
        <f t="shared" ref="A132:A195" si="9">DATE(YEAR(A131),MONTH(A131)+1,1)</f>
        <v>38292</v>
      </c>
      <c r="B132">
        <f>'raw FF data'!L163</f>
        <v>2</v>
      </c>
      <c r="C132">
        <f>'raw FF data'!P163</f>
        <v>23.2</v>
      </c>
      <c r="D132">
        <f>'raw FF data'!N163</f>
        <v>1.1000000000000001</v>
      </c>
      <c r="E132">
        <v>2.4416586935266098</v>
      </c>
      <c r="F132">
        <v>27.074673735786501</v>
      </c>
      <c r="G132">
        <v>1.1851583629396201</v>
      </c>
      <c r="H132">
        <f>'raw BLS data'!D66</f>
        <v>2.2000000000000002</v>
      </c>
      <c r="I132">
        <f>'raw BLS data'!J149</f>
        <v>5.4</v>
      </c>
      <c r="J132">
        <f t="shared" si="7"/>
        <v>8.5312537710219405E-2</v>
      </c>
      <c r="K132">
        <f t="shared" si="8"/>
        <v>7.6868885671893858E-2</v>
      </c>
    </row>
    <row r="133" spans="1:11" x14ac:dyDescent="0.2">
      <c r="A133" s="1">
        <f t="shared" si="9"/>
        <v>38322</v>
      </c>
      <c r="B133">
        <f>'raw FF data'!L164</f>
        <v>2.2000000000000002</v>
      </c>
      <c r="C133">
        <f>'raw FF data'!P164</f>
        <v>20.8</v>
      </c>
      <c r="D133">
        <f>'raw FF data'!N164</f>
        <v>1.7</v>
      </c>
      <c r="E133">
        <v>2.3305478333743399</v>
      </c>
      <c r="F133">
        <v>24.8500412671305</v>
      </c>
      <c r="G133">
        <v>1.2609637568130501</v>
      </c>
      <c r="H133">
        <f>'raw BLS data'!D67</f>
        <v>2.1</v>
      </c>
      <c r="I133">
        <f>'raw BLS data'!J150</f>
        <v>5.4</v>
      </c>
      <c r="J133">
        <f t="shared" si="7"/>
        <v>8.8720104191066712E-2</v>
      </c>
      <c r="K133">
        <f t="shared" si="8"/>
        <v>7.9943529213679976E-2</v>
      </c>
    </row>
    <row r="134" spans="1:11" x14ac:dyDescent="0.2">
      <c r="A134" s="1">
        <f t="shared" si="9"/>
        <v>38353</v>
      </c>
      <c r="B134">
        <f>'raw FF data'!L165</f>
        <v>2.2000000000000002</v>
      </c>
      <c r="C134">
        <f>'raw FF data'!P165</f>
        <v>25.2</v>
      </c>
      <c r="D134">
        <f>'raw FF data'!N165</f>
        <v>1.2</v>
      </c>
      <c r="E134">
        <v>2.2608052593355401</v>
      </c>
      <c r="F134">
        <v>25.244729004681499</v>
      </c>
      <c r="G134">
        <v>1.1813616572404499</v>
      </c>
      <c r="H134">
        <f>'raw BLS data'!D68</f>
        <v>2.1</v>
      </c>
      <c r="I134">
        <f>'raw BLS data'!J151</f>
        <v>5.3</v>
      </c>
      <c r="J134">
        <f t="shared" si="7"/>
        <v>8.4809093422778384E-2</v>
      </c>
      <c r="K134">
        <f t="shared" si="8"/>
        <v>7.8776840885525293E-2</v>
      </c>
    </row>
    <row r="135" spans="1:11" x14ac:dyDescent="0.2">
      <c r="A135" s="1">
        <f t="shared" si="9"/>
        <v>38384</v>
      </c>
      <c r="B135">
        <f>'raw FF data'!L166</f>
        <v>2.1</v>
      </c>
      <c r="C135">
        <f>'raw FF data'!P166</f>
        <v>23.2</v>
      </c>
      <c r="D135">
        <f>'raw FF data'!N166</f>
        <v>1.1000000000000001</v>
      </c>
      <c r="E135">
        <v>2.18577045431035</v>
      </c>
      <c r="F135">
        <v>24.670089311295001</v>
      </c>
      <c r="G135">
        <v>1.16822902583573</v>
      </c>
      <c r="H135">
        <f>'raw BLS data'!D69</f>
        <v>2</v>
      </c>
      <c r="I135">
        <f>'raw BLS data'!J152</f>
        <v>5.4</v>
      </c>
      <c r="J135">
        <f t="shared" si="7"/>
        <v>8.3815620757841894E-2</v>
      </c>
      <c r="K135">
        <f t="shared" si="8"/>
        <v>7.66920612295377E-2</v>
      </c>
    </row>
    <row r="136" spans="1:11" x14ac:dyDescent="0.2">
      <c r="A136" s="1">
        <f t="shared" si="9"/>
        <v>38412</v>
      </c>
      <c r="B136">
        <f>'raw FF data'!L167</f>
        <v>2.2000000000000002</v>
      </c>
      <c r="C136">
        <f>'raw FF data'!P167</f>
        <v>29.6</v>
      </c>
      <c r="D136">
        <f>'raw FF data'!N167</f>
        <v>1</v>
      </c>
      <c r="E136">
        <v>2.6262474068344401</v>
      </c>
      <c r="F136">
        <v>28.156616500034801</v>
      </c>
      <c r="G136">
        <v>1.17756061081653</v>
      </c>
      <c r="H136">
        <f>'raw BLS data'!D70</f>
        <v>2.1</v>
      </c>
      <c r="I136">
        <f>'raw BLS data'!J153</f>
        <v>5.2</v>
      </c>
      <c r="J136">
        <f t="shared" si="7"/>
        <v>8.8422646296154664E-2</v>
      </c>
      <c r="K136">
        <f t="shared" si="8"/>
        <v>7.0704518065852817E-2</v>
      </c>
    </row>
    <row r="137" spans="1:11" x14ac:dyDescent="0.2">
      <c r="A137" s="1">
        <f t="shared" si="9"/>
        <v>38443</v>
      </c>
      <c r="B137">
        <f>'raw FF data'!L168</f>
        <v>2</v>
      </c>
      <c r="C137">
        <f>'raw FF data'!P168</f>
        <v>25.4</v>
      </c>
      <c r="D137">
        <f>'raw FF data'!N168</f>
        <v>1</v>
      </c>
      <c r="E137">
        <v>2.1137239656155198</v>
      </c>
      <c r="F137">
        <v>24.8248314499976</v>
      </c>
      <c r="G137">
        <v>1.1256957651453301</v>
      </c>
      <c r="H137">
        <f>'raw BLS data'!D71</f>
        <v>2.1</v>
      </c>
      <c r="I137">
        <f>'raw BLS data'!J154</f>
        <v>5.2</v>
      </c>
      <c r="J137">
        <f t="shared" si="7"/>
        <v>8.0717982856786177E-2</v>
      </c>
      <c r="K137">
        <f t="shared" si="8"/>
        <v>8.0193897952938256E-2</v>
      </c>
    </row>
    <row r="138" spans="1:11" x14ac:dyDescent="0.2">
      <c r="A138" s="1">
        <f t="shared" si="9"/>
        <v>38473</v>
      </c>
      <c r="B138">
        <f>'raw FF data'!L169</f>
        <v>2.6</v>
      </c>
      <c r="C138">
        <f>'raw FF data'!P169</f>
        <v>28</v>
      </c>
      <c r="D138">
        <f>'raw FF data'!N169</f>
        <v>1.4</v>
      </c>
      <c r="E138">
        <v>2.2838912651695198</v>
      </c>
      <c r="F138">
        <v>28.289951584774499</v>
      </c>
      <c r="G138">
        <v>1.3243315685212</v>
      </c>
      <c r="H138">
        <f>'raw BLS data'!D72</f>
        <v>2.1</v>
      </c>
      <c r="I138">
        <f>'raw BLS data'!J155</f>
        <v>5.0999999999999996</v>
      </c>
      <c r="J138">
        <f t="shared" si="7"/>
        <v>7.6614228347155033E-2</v>
      </c>
      <c r="K138">
        <f t="shared" si="8"/>
        <v>7.0445507622309542E-2</v>
      </c>
    </row>
    <row r="139" spans="1:11" x14ac:dyDescent="0.2">
      <c r="A139" s="1">
        <f t="shared" si="9"/>
        <v>38504</v>
      </c>
      <c r="B139">
        <f>'raw FF data'!L170</f>
        <v>2.2999999999999998</v>
      </c>
      <c r="C139">
        <f>'raw FF data'!P170</f>
        <v>25.6</v>
      </c>
      <c r="D139">
        <f>'raw FF data'!N170</f>
        <v>1.3</v>
      </c>
      <c r="E139">
        <v>2.10453061349993</v>
      </c>
      <c r="F139">
        <v>25.786615980428</v>
      </c>
      <c r="G139">
        <v>1.1663614691490301</v>
      </c>
      <c r="H139">
        <f>'raw BLS data'!D73</f>
        <v>2.1</v>
      </c>
      <c r="I139">
        <f>'raw BLS data'!J156</f>
        <v>5</v>
      </c>
      <c r="J139">
        <f t="shared" si="7"/>
        <v>7.7532627171490898E-2</v>
      </c>
      <c r="K139">
        <f t="shared" si="8"/>
        <v>7.7365715668709756E-2</v>
      </c>
    </row>
    <row r="140" spans="1:11" x14ac:dyDescent="0.2">
      <c r="A140" s="1">
        <f t="shared" si="9"/>
        <v>38534</v>
      </c>
      <c r="B140">
        <f>'raw FF data'!L171</f>
        <v>2.2999999999999998</v>
      </c>
      <c r="C140">
        <f>'raw FF data'!P171</f>
        <v>29.3</v>
      </c>
      <c r="D140">
        <f>'raw FF data'!N171</f>
        <v>1.2</v>
      </c>
      <c r="E140">
        <v>2.1123827098610399</v>
      </c>
      <c r="F140">
        <v>26.6898082584615</v>
      </c>
      <c r="G140">
        <v>1.1646528971010399</v>
      </c>
      <c r="H140">
        <f>'raw BLS data'!D74</f>
        <v>2.1</v>
      </c>
      <c r="I140">
        <f>'raw BLS data'!J157</f>
        <v>5</v>
      </c>
      <c r="J140">
        <f t="shared" si="7"/>
        <v>7.5188384829695476E-2</v>
      </c>
      <c r="K140">
        <f t="shared" si="8"/>
        <v>7.4747633279363207E-2</v>
      </c>
    </row>
    <row r="141" spans="1:11" x14ac:dyDescent="0.2">
      <c r="A141" s="1">
        <f t="shared" si="9"/>
        <v>38565</v>
      </c>
      <c r="B141">
        <f>'raw FF data'!L172</f>
        <v>2.8</v>
      </c>
      <c r="C141">
        <f>'raw FF data'!P172</f>
        <v>31.7</v>
      </c>
      <c r="D141">
        <f>'raw FF data'!N172</f>
        <v>1.2</v>
      </c>
      <c r="E141">
        <v>2.3055833339297398</v>
      </c>
      <c r="F141">
        <v>26.6160968815324</v>
      </c>
      <c r="G141">
        <v>1.25835269046998</v>
      </c>
      <c r="H141">
        <f>'raw BLS data'!D75</f>
        <v>2.2000000000000002</v>
      </c>
      <c r="I141">
        <f>'raw BLS data'!J158</f>
        <v>4.9000000000000004</v>
      </c>
      <c r="J141">
        <f t="shared" si="7"/>
        <v>8.2379086622897238E-2</v>
      </c>
      <c r="K141">
        <f t="shared" si="8"/>
        <v>7.8606566894925706E-2</v>
      </c>
    </row>
    <row r="142" spans="1:11" x14ac:dyDescent="0.2">
      <c r="A142" s="1">
        <f t="shared" si="9"/>
        <v>38596</v>
      </c>
      <c r="B142">
        <f>'raw FF data'!L173</f>
        <v>2.2999999999999998</v>
      </c>
      <c r="C142">
        <f>'raw FF data'!P173</f>
        <v>28</v>
      </c>
      <c r="D142">
        <f>'raw FF data'!N173</f>
        <v>1</v>
      </c>
      <c r="E142">
        <v>2.2252408322670498</v>
      </c>
      <c r="F142">
        <v>26.726535095835501</v>
      </c>
      <c r="G142">
        <v>1.12254892172862</v>
      </c>
      <c r="H142">
        <f>'raw BLS data'!D76</f>
        <v>2.2999999999999998</v>
      </c>
      <c r="I142">
        <f>'raw BLS data'!J159</f>
        <v>5</v>
      </c>
      <c r="J142">
        <f t="shared" si="7"/>
        <v>7.9096627492992719E-2</v>
      </c>
      <c r="K142">
        <f t="shared" si="8"/>
        <v>8.1753956963185395E-2</v>
      </c>
    </row>
    <row r="143" spans="1:11" x14ac:dyDescent="0.2">
      <c r="A143" s="1">
        <f t="shared" si="9"/>
        <v>38626</v>
      </c>
      <c r="B143">
        <f>'raw FF data'!L174</f>
        <v>2.1</v>
      </c>
      <c r="C143">
        <f>'raw FF data'!P174</f>
        <v>26.7</v>
      </c>
      <c r="D143">
        <f>'raw FF data'!N174</f>
        <v>1</v>
      </c>
      <c r="E143">
        <v>2.2745743134550902</v>
      </c>
      <c r="F143">
        <v>27.344325168938202</v>
      </c>
      <c r="G143">
        <v>1.0515499919925899</v>
      </c>
      <c r="H143">
        <f>'raw BLS data'!D77</f>
        <v>2.2000000000000002</v>
      </c>
      <c r="I143">
        <f>'raw BLS data'!J160</f>
        <v>5</v>
      </c>
      <c r="J143">
        <f t="shared" si="7"/>
        <v>7.9023548192622764E-2</v>
      </c>
      <c r="K143">
        <f t="shared" si="8"/>
        <v>7.6432677972032612E-2</v>
      </c>
    </row>
    <row r="144" spans="1:11" x14ac:dyDescent="0.2">
      <c r="A144" s="1">
        <f t="shared" si="9"/>
        <v>38657</v>
      </c>
      <c r="B144">
        <f>'raw FF data'!L175</f>
        <v>1.8</v>
      </c>
      <c r="C144">
        <f>'raw FF data'!P175</f>
        <v>21.8</v>
      </c>
      <c r="D144">
        <f>'raw FF data'!N175</f>
        <v>1.1000000000000001</v>
      </c>
      <c r="E144">
        <v>2.1295646218890401</v>
      </c>
      <c r="F144">
        <v>25.460250161033901</v>
      </c>
      <c r="G144">
        <v>1.1495093606403299</v>
      </c>
      <c r="H144">
        <f>'raw BLS data'!D78</f>
        <v>2.2000000000000002</v>
      </c>
      <c r="I144">
        <f>'raw BLS data'!J161</f>
        <v>5</v>
      </c>
      <c r="J144">
        <f t="shared" si="7"/>
        <v>7.9460585736539899E-2</v>
      </c>
      <c r="K144">
        <f t="shared" si="8"/>
        <v>8.2088745663570814E-2</v>
      </c>
    </row>
    <row r="145" spans="1:11" x14ac:dyDescent="0.2">
      <c r="A145" s="1">
        <f t="shared" si="9"/>
        <v>38687</v>
      </c>
      <c r="B145">
        <f>'raw FF data'!L176</f>
        <v>2</v>
      </c>
      <c r="C145">
        <f>'raw FF data'!P176</f>
        <v>23.4</v>
      </c>
      <c r="D145">
        <f>'raw FF data'!N176</f>
        <v>1.5</v>
      </c>
      <c r="E145">
        <v>2.1133311399707</v>
      </c>
      <c r="F145">
        <v>28.137280090765501</v>
      </c>
      <c r="G145">
        <v>1.12319700455468</v>
      </c>
      <c r="H145">
        <f>'raw BLS data'!D79</f>
        <v>2.1</v>
      </c>
      <c r="I145">
        <f>'raw BLS data'!J162</f>
        <v>4.9000000000000004</v>
      </c>
      <c r="J145">
        <f t="shared" si="7"/>
        <v>7.1427583178934675E-2</v>
      </c>
      <c r="K145">
        <f t="shared" si="8"/>
        <v>7.0977009631269836E-2</v>
      </c>
    </row>
    <row r="146" spans="1:11" x14ac:dyDescent="0.2">
      <c r="A146" s="1">
        <f t="shared" si="9"/>
        <v>38718</v>
      </c>
      <c r="B146">
        <f>'raw FF data'!L177</f>
        <v>2.2999999999999998</v>
      </c>
      <c r="C146">
        <f>'raw FF data'!P177</f>
        <v>26.6</v>
      </c>
      <c r="D146">
        <f>'raw FF data'!N177</f>
        <v>1.1000000000000001</v>
      </c>
      <c r="E146">
        <v>2.3395474980884901</v>
      </c>
      <c r="F146">
        <v>26.850949169560899</v>
      </c>
      <c r="G146">
        <v>1.07627847554233</v>
      </c>
      <c r="H146">
        <f>'raw BLS data'!D80</f>
        <v>2.1</v>
      </c>
      <c r="I146">
        <f>'raw BLS data'!J163</f>
        <v>4.7</v>
      </c>
      <c r="J146">
        <f t="shared" si="7"/>
        <v>8.3035752352690187E-2</v>
      </c>
      <c r="K146">
        <f t="shared" si="8"/>
        <v>7.4533678022404445E-2</v>
      </c>
    </row>
    <row r="147" spans="1:11" x14ac:dyDescent="0.2">
      <c r="A147" s="1">
        <f t="shared" si="9"/>
        <v>38749</v>
      </c>
      <c r="B147">
        <f>'raw FF data'!L178</f>
        <v>2.2000000000000002</v>
      </c>
      <c r="C147">
        <f>'raw FF data'!P178</f>
        <v>25.5</v>
      </c>
      <c r="D147">
        <f>'raw FF data'!N178</f>
        <v>1.1000000000000001</v>
      </c>
      <c r="E147">
        <v>2.2785440834126298</v>
      </c>
      <c r="F147">
        <v>26.942264637826099</v>
      </c>
      <c r="G147">
        <v>1.1501482835105901</v>
      </c>
      <c r="H147">
        <f>'raw BLS data'!D81</f>
        <v>2.2000000000000002</v>
      </c>
      <c r="I147">
        <f>'raw BLS data'!J164</f>
        <v>4.8</v>
      </c>
      <c r="J147">
        <f t="shared" si="7"/>
        <v>8.051193901359617E-2</v>
      </c>
      <c r="K147">
        <f t="shared" si="8"/>
        <v>7.7736598172208876E-2</v>
      </c>
    </row>
    <row r="148" spans="1:11" x14ac:dyDescent="0.2">
      <c r="A148" s="1">
        <f t="shared" si="9"/>
        <v>38777</v>
      </c>
      <c r="B148">
        <f>'raw FF data'!L179</f>
        <v>1.9</v>
      </c>
      <c r="C148">
        <f>'raw FF data'!P179</f>
        <v>27.8</v>
      </c>
      <c r="D148">
        <f>'raw FF data'!N179</f>
        <v>1</v>
      </c>
      <c r="E148">
        <v>2.2346437836896</v>
      </c>
      <c r="F148">
        <v>25.978623196706</v>
      </c>
      <c r="G148">
        <v>1.1724213420974201</v>
      </c>
      <c r="H148">
        <f>'raw BLS data'!D82</f>
        <v>2.2000000000000002</v>
      </c>
      <c r="I148">
        <f>'raw BLS data'!J165</f>
        <v>4.7</v>
      </c>
      <c r="J148">
        <f t="shared" si="7"/>
        <v>8.1975688616408915E-2</v>
      </c>
      <c r="K148">
        <f t="shared" si="8"/>
        <v>8.0704815806629873E-2</v>
      </c>
    </row>
    <row r="149" spans="1:11" x14ac:dyDescent="0.2">
      <c r="A149" s="1">
        <f t="shared" si="9"/>
        <v>38808</v>
      </c>
      <c r="B149">
        <f>'raw FF data'!L180</f>
        <v>2.1</v>
      </c>
      <c r="C149">
        <f>'raw FF data'!P180</f>
        <v>28.2</v>
      </c>
      <c r="D149">
        <f>'raw FF data'!N180</f>
        <v>1</v>
      </c>
      <c r="E149">
        <v>2.2552085358387401</v>
      </c>
      <c r="F149">
        <v>27.846364283897898</v>
      </c>
      <c r="G149">
        <v>1.1384325065248899</v>
      </c>
      <c r="H149">
        <f>'raw BLS data'!D83</f>
        <v>2</v>
      </c>
      <c r="I149">
        <f>'raw BLS data'!J166</f>
        <v>4.7</v>
      </c>
      <c r="J149">
        <f t="shared" si="7"/>
        <v>7.7181125433207723E-2</v>
      </c>
      <c r="K149">
        <f t="shared" si="8"/>
        <v>6.8446996547486108E-2</v>
      </c>
    </row>
    <row r="150" spans="1:11" x14ac:dyDescent="0.2">
      <c r="A150" s="1">
        <f t="shared" si="9"/>
        <v>38838</v>
      </c>
      <c r="B150">
        <f>'raw FF data'!L181</f>
        <v>2.6</v>
      </c>
      <c r="C150">
        <f>'raw FF data'!P181</f>
        <v>30.1</v>
      </c>
      <c r="D150">
        <f>'raw FF data'!N181</f>
        <v>1.2</v>
      </c>
      <c r="E150">
        <v>2.2801049750887299</v>
      </c>
      <c r="F150">
        <v>30.6060115427819</v>
      </c>
      <c r="G150">
        <v>1.1308689947858199</v>
      </c>
      <c r="H150">
        <f>'raw BLS data'!D84</f>
        <v>2.2000000000000002</v>
      </c>
      <c r="I150">
        <f>'raw BLS data'!J167</f>
        <v>4.5999999999999996</v>
      </c>
      <c r="J150">
        <f t="shared" si="7"/>
        <v>7.1071663264390642E-2</v>
      </c>
      <c r="K150">
        <f t="shared" si="8"/>
        <v>6.857476339464362E-2</v>
      </c>
    </row>
    <row r="151" spans="1:11" x14ac:dyDescent="0.2">
      <c r="A151" s="1">
        <f t="shared" si="9"/>
        <v>38869</v>
      </c>
      <c r="B151">
        <f>'raw FF data'!L182</f>
        <v>2.5</v>
      </c>
      <c r="C151">
        <f>'raw FF data'!P182</f>
        <v>28.7</v>
      </c>
      <c r="D151">
        <f>'raw FF data'!N182</f>
        <v>1.3</v>
      </c>
      <c r="E151">
        <v>2.3126585477642001</v>
      </c>
      <c r="F151">
        <v>28.603367507762499</v>
      </c>
      <c r="G151">
        <v>1.15742080561551</v>
      </c>
      <c r="H151">
        <f>'raw BLS data'!D85</f>
        <v>2.2000000000000002</v>
      </c>
      <c r="I151">
        <f>'raw BLS data'!J168</f>
        <v>4.5999999999999996</v>
      </c>
      <c r="J151">
        <f t="shared" si="7"/>
        <v>7.7133444304007162E-2</v>
      </c>
      <c r="K151">
        <f t="shared" si="8"/>
        <v>7.3375975728396992E-2</v>
      </c>
    </row>
    <row r="152" spans="1:11" x14ac:dyDescent="0.2">
      <c r="A152" s="1">
        <f t="shared" si="9"/>
        <v>38899</v>
      </c>
      <c r="B152">
        <f>'raw FF data'!L183</f>
        <v>2.4</v>
      </c>
      <c r="C152">
        <f>'raw FF data'!P183</f>
        <v>28</v>
      </c>
      <c r="D152">
        <f>'raw FF data'!N183</f>
        <v>1.1000000000000001</v>
      </c>
      <c r="E152">
        <v>2.2366564233612198</v>
      </c>
      <c r="F152">
        <v>25.6854052428919</v>
      </c>
      <c r="G152">
        <v>1.07629233469416</v>
      </c>
      <c r="H152">
        <f>'raw BLS data'!D86</f>
        <v>2.2000000000000002</v>
      </c>
      <c r="I152">
        <f>'raw BLS data'!J169</f>
        <v>4.7</v>
      </c>
      <c r="J152">
        <f t="shared" si="7"/>
        <v>8.298617644170192E-2</v>
      </c>
      <c r="K152">
        <f t="shared" si="8"/>
        <v>8.1626121144427216E-2</v>
      </c>
    </row>
    <row r="153" spans="1:11" x14ac:dyDescent="0.2">
      <c r="A153" s="1">
        <f t="shared" si="9"/>
        <v>38930</v>
      </c>
      <c r="B153">
        <f>'raw FF data'!L184</f>
        <v>2.8</v>
      </c>
      <c r="C153">
        <f>'raw FF data'!P184</f>
        <v>36.200000000000003</v>
      </c>
      <c r="D153">
        <f>'raw FF data'!N184</f>
        <v>1.1000000000000001</v>
      </c>
      <c r="E153">
        <v>2.3247265685080101</v>
      </c>
      <c r="F153">
        <v>30.4255412095801</v>
      </c>
      <c r="G153">
        <v>1.14927598470225</v>
      </c>
      <c r="H153">
        <f>'raw BLS data'!D87</f>
        <v>2.2000000000000002</v>
      </c>
      <c r="I153">
        <f>'raw BLS data'!J170</f>
        <v>4.7</v>
      </c>
      <c r="J153">
        <f t="shared" si="7"/>
        <v>7.2815941203062298E-2</v>
      </c>
      <c r="K153">
        <f t="shared" si="8"/>
        <v>6.8909209718177267E-2</v>
      </c>
    </row>
    <row r="154" spans="1:11" x14ac:dyDescent="0.2">
      <c r="A154" s="1">
        <f t="shared" si="9"/>
        <v>38961</v>
      </c>
      <c r="B154">
        <f>'raw FF data'!L185</f>
        <v>2.2000000000000002</v>
      </c>
      <c r="C154">
        <f>'raw FF data'!P185</f>
        <v>27.3</v>
      </c>
      <c r="D154">
        <f>'raw FF data'!N185</f>
        <v>1</v>
      </c>
      <c r="E154">
        <v>2.1163815558380401</v>
      </c>
      <c r="F154">
        <v>25.996279661014899</v>
      </c>
      <c r="G154">
        <v>1.1259799698784201</v>
      </c>
      <c r="H154">
        <f>'raw BLS data'!D88</f>
        <v>2.1</v>
      </c>
      <c r="I154">
        <f>'raw BLS data'!J171</f>
        <v>4.5</v>
      </c>
      <c r="J154">
        <f t="shared" si="7"/>
        <v>7.7747447410958584E-2</v>
      </c>
      <c r="K154">
        <f t="shared" si="8"/>
        <v>7.7145654153256832E-2</v>
      </c>
    </row>
    <row r="155" spans="1:11" x14ac:dyDescent="0.2">
      <c r="A155" s="1">
        <f t="shared" si="9"/>
        <v>38991</v>
      </c>
      <c r="B155">
        <f>'raw FF data'!L186</f>
        <v>2.1</v>
      </c>
      <c r="C155">
        <f>'raw FF data'!P186</f>
        <v>28.5</v>
      </c>
      <c r="D155">
        <f>'raw FF data'!N186</f>
        <v>1</v>
      </c>
      <c r="E155">
        <v>2.3014496720836801</v>
      </c>
      <c r="F155">
        <v>29.3494084503895</v>
      </c>
      <c r="G155">
        <v>1.0860081823821399</v>
      </c>
      <c r="H155">
        <f>'raw BLS data'!D89</f>
        <v>2.2000000000000002</v>
      </c>
      <c r="I155">
        <f>'raw BLS data'!J172</f>
        <v>4.4000000000000004</v>
      </c>
      <c r="J155">
        <f t="shared" si="7"/>
        <v>7.4965254929449845E-2</v>
      </c>
      <c r="K155">
        <f t="shared" si="8"/>
        <v>7.1660728820314212E-2</v>
      </c>
    </row>
    <row r="156" spans="1:11" x14ac:dyDescent="0.2">
      <c r="A156" s="1">
        <f t="shared" si="9"/>
        <v>39022</v>
      </c>
      <c r="B156">
        <f>'raw FF data'!L187</f>
        <v>1.9</v>
      </c>
      <c r="C156">
        <f>'raw FF data'!P187</f>
        <v>24.7</v>
      </c>
      <c r="D156">
        <f>'raw FF data'!N187</f>
        <v>1.2</v>
      </c>
      <c r="E156">
        <v>2.2018096035988202</v>
      </c>
      <c r="F156">
        <v>28.7908524630156</v>
      </c>
      <c r="G156">
        <v>1.2165647494326799</v>
      </c>
      <c r="H156">
        <f>'raw BLS data'!D90</f>
        <v>2.2999999999999998</v>
      </c>
      <c r="I156">
        <f>'raw BLS data'!J173</f>
        <v>4.5</v>
      </c>
      <c r="J156">
        <f t="shared" si="7"/>
        <v>7.3034592294132783E-2</v>
      </c>
      <c r="K156">
        <f t="shared" si="8"/>
        <v>7.6291593061428062E-2</v>
      </c>
    </row>
    <row r="157" spans="1:11" x14ac:dyDescent="0.2">
      <c r="A157" s="1">
        <f t="shared" si="9"/>
        <v>39052</v>
      </c>
      <c r="B157">
        <f>'raw FF data'!L188</f>
        <v>2.1</v>
      </c>
      <c r="C157">
        <f>'raw FF data'!P188</f>
        <v>23.6</v>
      </c>
      <c r="D157">
        <f>'raw FF data'!N188</f>
        <v>1.5</v>
      </c>
      <c r="E157">
        <v>2.2184098138328898</v>
      </c>
      <c r="F157">
        <v>28.4048327814487</v>
      </c>
      <c r="G157">
        <v>1.1391239827291499</v>
      </c>
      <c r="H157">
        <f>'raw BLS data'!D91</f>
        <v>2.2999999999999998</v>
      </c>
      <c r="I157">
        <f>'raw BLS data'!J174</f>
        <v>4.4000000000000004</v>
      </c>
      <c r="J157">
        <f t="shared" si="7"/>
        <v>7.4663343324074927E-2</v>
      </c>
      <c r="K157">
        <f t="shared" si="8"/>
        <v>7.7409362586920216E-2</v>
      </c>
    </row>
    <row r="158" spans="1:11" x14ac:dyDescent="0.2">
      <c r="A158" s="1">
        <f t="shared" si="9"/>
        <v>39083</v>
      </c>
      <c r="B158">
        <f>'raw FF data'!L189</f>
        <v>1.9</v>
      </c>
      <c r="C158">
        <f>'raw FF data'!P189</f>
        <v>28.9</v>
      </c>
      <c r="D158">
        <f>'raw FF data'!N189</f>
        <v>1.4</v>
      </c>
      <c r="E158">
        <v>1.9028129097697499</v>
      </c>
      <c r="F158">
        <v>29.373032771180899</v>
      </c>
      <c r="G158">
        <v>1.3570103346220399</v>
      </c>
      <c r="H158">
        <f>'raw BLS data'!D92</f>
        <v>2.2000000000000002</v>
      </c>
      <c r="I158">
        <f>'raw BLS data'!J175</f>
        <v>4.5999999999999996</v>
      </c>
      <c r="J158">
        <f t="shared" si="7"/>
        <v>6.1801024431545636E-2</v>
      </c>
      <c r="K158">
        <f t="shared" si="8"/>
        <v>7.1453295829200861E-2</v>
      </c>
    </row>
    <row r="159" spans="1:11" x14ac:dyDescent="0.2">
      <c r="A159" s="1">
        <f t="shared" si="9"/>
        <v>39114</v>
      </c>
      <c r="B159">
        <f>'raw FF data'!L190</f>
        <v>2</v>
      </c>
      <c r="C159">
        <f>'raw FF data'!P190</f>
        <v>29.8</v>
      </c>
      <c r="D159">
        <f>'raw FF data'!N190</f>
        <v>1.1000000000000001</v>
      </c>
      <c r="E159">
        <v>2.0527278967367901</v>
      </c>
      <c r="F159">
        <v>31.127856419313002</v>
      </c>
      <c r="G159">
        <v>1.13636007679055</v>
      </c>
      <c r="H159">
        <f>'raw BLS data'!D93</f>
        <v>2.2000000000000002</v>
      </c>
      <c r="I159">
        <f>'raw BLS data'!J176</f>
        <v>4.5</v>
      </c>
      <c r="J159">
        <f t="shared" si="7"/>
        <v>6.2977518110349212E-2</v>
      </c>
      <c r="K159">
        <f t="shared" si="8"/>
        <v>6.7495813772015897E-2</v>
      </c>
    </row>
    <row r="160" spans="1:11" x14ac:dyDescent="0.2">
      <c r="A160" s="1">
        <f t="shared" si="9"/>
        <v>39142</v>
      </c>
      <c r="B160">
        <f>'raw FF data'!L191</f>
        <v>1.7</v>
      </c>
      <c r="C160">
        <f>'raw FF data'!P191</f>
        <v>26.7</v>
      </c>
      <c r="D160">
        <f>'raw FF data'!N191</f>
        <v>1</v>
      </c>
      <c r="E160">
        <v>1.9562308232227399</v>
      </c>
      <c r="F160">
        <v>24.6572742276797</v>
      </c>
      <c r="G160">
        <v>1.1668210122529199</v>
      </c>
      <c r="H160">
        <f>'raw BLS data'!D94</f>
        <v>2.2000000000000002</v>
      </c>
      <c r="I160">
        <f>'raw BLS data'!J177</f>
        <v>4.4000000000000004</v>
      </c>
      <c r="J160">
        <f t="shared" si="7"/>
        <v>7.5846042418652407E-2</v>
      </c>
      <c r="K160">
        <f t="shared" si="8"/>
        <v>8.5297343922914048E-2</v>
      </c>
    </row>
    <row r="161" spans="1:11" x14ac:dyDescent="0.2">
      <c r="A161" s="1">
        <f t="shared" si="9"/>
        <v>39173</v>
      </c>
      <c r="B161">
        <f>'raw FF data'!L192</f>
        <v>1.8</v>
      </c>
      <c r="C161">
        <f>'raw FF data'!P192</f>
        <v>29.7</v>
      </c>
      <c r="D161">
        <f>'raw FF data'!N192</f>
        <v>1</v>
      </c>
      <c r="E161">
        <v>1.9471016612211001</v>
      </c>
      <c r="F161">
        <v>29.6499819717347</v>
      </c>
      <c r="G161">
        <v>1.13832736349721</v>
      </c>
      <c r="H161">
        <f>'raw BLS data'!D95</f>
        <v>2.1</v>
      </c>
      <c r="I161">
        <f>'raw BLS data'!J178</f>
        <v>4.5</v>
      </c>
      <c r="J161">
        <f t="shared" si="7"/>
        <v>6.2714442397934445E-2</v>
      </c>
      <c r="K161">
        <f t="shared" si="8"/>
        <v>6.7639164229908857E-2</v>
      </c>
    </row>
    <row r="162" spans="1:11" x14ac:dyDescent="0.2">
      <c r="A162" s="1">
        <f t="shared" si="9"/>
        <v>39203</v>
      </c>
      <c r="B162">
        <f>'raw FF data'!L193</f>
        <v>2.4</v>
      </c>
      <c r="C162">
        <f>'raw FF data'!P193</f>
        <v>26.9</v>
      </c>
      <c r="D162">
        <f>'raw FF data'!N193</f>
        <v>1.3</v>
      </c>
      <c r="E162">
        <v>2.1235764761334002</v>
      </c>
      <c r="F162">
        <v>27.3718763154207</v>
      </c>
      <c r="G162">
        <v>1.23593676865559</v>
      </c>
      <c r="H162">
        <f>'raw BLS data'!D96</f>
        <v>2.2000000000000002</v>
      </c>
      <c r="I162">
        <f>'raw BLS data'!J179</f>
        <v>4.4000000000000004</v>
      </c>
      <c r="J162">
        <f t="shared" si="7"/>
        <v>7.4168796022207495E-2</v>
      </c>
      <c r="K162">
        <f t="shared" si="8"/>
        <v>7.6837991512299239E-2</v>
      </c>
    </row>
    <row r="163" spans="1:11" x14ac:dyDescent="0.2">
      <c r="A163" s="1">
        <f t="shared" si="9"/>
        <v>39234</v>
      </c>
      <c r="B163">
        <f>'raw FF data'!L194</f>
        <v>2.1</v>
      </c>
      <c r="C163">
        <f>'raw FF data'!P194</f>
        <v>25.6</v>
      </c>
      <c r="D163">
        <f>'raw FF data'!N194</f>
        <v>1.3</v>
      </c>
      <c r="E163">
        <v>1.9628799400614001</v>
      </c>
      <c r="F163">
        <v>25.3247188415063</v>
      </c>
      <c r="G163">
        <v>1.1595549505131499</v>
      </c>
      <c r="H163">
        <f>'raw BLS data'!D97</f>
        <v>2.1</v>
      </c>
      <c r="I163">
        <f>'raw BLS data'!J180</f>
        <v>4.5999999999999996</v>
      </c>
      <c r="J163">
        <f t="shared" si="7"/>
        <v>7.3943070189173135E-2</v>
      </c>
      <c r="K163">
        <f t="shared" si="8"/>
        <v>7.9108479448012664E-2</v>
      </c>
    </row>
    <row r="164" spans="1:11" x14ac:dyDescent="0.2">
      <c r="A164" s="1">
        <f t="shared" si="9"/>
        <v>39264</v>
      </c>
      <c r="B164">
        <f>'raw FF data'!L195</f>
        <v>2.1</v>
      </c>
      <c r="C164">
        <f>'raw FF data'!P195</f>
        <v>31.4</v>
      </c>
      <c r="D164">
        <f>'raw FF data'!N195</f>
        <v>1.2</v>
      </c>
      <c r="E164">
        <v>1.9778049154878401</v>
      </c>
      <c r="F164">
        <v>29.103256321021401</v>
      </c>
      <c r="G164">
        <v>1.1715682115747701</v>
      </c>
      <c r="H164">
        <f>'raw BLS data'!D98</f>
        <v>2.1</v>
      </c>
      <c r="I164">
        <f>'raw BLS data'!J181</f>
        <v>4.7</v>
      </c>
      <c r="J164">
        <f t="shared" si="7"/>
        <v>6.4764164658044743E-2</v>
      </c>
      <c r="K164">
        <f t="shared" si="8"/>
        <v>6.8765500943427177E-2</v>
      </c>
    </row>
    <row r="165" spans="1:11" x14ac:dyDescent="0.2">
      <c r="A165" s="1">
        <f t="shared" si="9"/>
        <v>39295</v>
      </c>
      <c r="B165">
        <f>'raw FF data'!L196</f>
        <v>2.2000000000000002</v>
      </c>
      <c r="C165">
        <f>'raw FF data'!P196</f>
        <v>29.1</v>
      </c>
      <c r="D165">
        <f>'raw FF data'!N196</f>
        <v>1.1000000000000001</v>
      </c>
      <c r="E165">
        <v>1.84819888632012</v>
      </c>
      <c r="F165">
        <v>24.495817145381402</v>
      </c>
      <c r="G165">
        <v>1.1576479055795099</v>
      </c>
      <c r="H165">
        <f>'raw BLS data'!D99</f>
        <v>2.1</v>
      </c>
      <c r="I165">
        <f>'raw BLS data'!J182</f>
        <v>4.5999999999999996</v>
      </c>
      <c r="J165">
        <f t="shared" si="7"/>
        <v>7.1978890399328269E-2</v>
      </c>
      <c r="K165">
        <f t="shared" si="8"/>
        <v>8.1785391689933234E-2</v>
      </c>
    </row>
    <row r="166" spans="1:11" x14ac:dyDescent="0.2">
      <c r="A166" s="1">
        <f t="shared" si="9"/>
        <v>39326</v>
      </c>
      <c r="B166">
        <f>'raw FF data'!L197</f>
        <v>2</v>
      </c>
      <c r="C166">
        <f>'raw FF data'!P197</f>
        <v>27.9</v>
      </c>
      <c r="D166">
        <f>'raw FF data'!N197</f>
        <v>1</v>
      </c>
      <c r="E166">
        <v>1.92916496108489</v>
      </c>
      <c r="F166">
        <v>26.454047340464498</v>
      </c>
      <c r="G166">
        <v>1.1213853593298899</v>
      </c>
      <c r="H166">
        <f>'raw BLS data'!D100</f>
        <v>1.9</v>
      </c>
      <c r="I166">
        <f>'raw BLS data'!J183</f>
        <v>4.7</v>
      </c>
      <c r="J166">
        <f t="shared" si="7"/>
        <v>6.9497653204154977E-2</v>
      </c>
      <c r="K166">
        <f t="shared" si="8"/>
        <v>6.8446993259527689E-2</v>
      </c>
    </row>
    <row r="167" spans="1:11" x14ac:dyDescent="0.2">
      <c r="A167" s="1">
        <f t="shared" si="9"/>
        <v>39356</v>
      </c>
      <c r="B167">
        <f>'raw FF data'!L198</f>
        <v>1.7</v>
      </c>
      <c r="C167">
        <f>'raw FF data'!P198</f>
        <v>25.2</v>
      </c>
      <c r="D167">
        <f>'raw FF data'!N198</f>
        <v>1.1000000000000001</v>
      </c>
      <c r="E167">
        <v>1.8698910936777999</v>
      </c>
      <c r="F167">
        <v>26.105090782094798</v>
      </c>
      <c r="G167">
        <v>1.21666275732576</v>
      </c>
      <c r="H167">
        <f>'raw BLS data'!D101</f>
        <v>2.1</v>
      </c>
      <c r="I167">
        <f>'raw BLS data'!J184</f>
        <v>4.7</v>
      </c>
      <c r="J167">
        <f t="shared" si="7"/>
        <v>6.8262785490759606E-2</v>
      </c>
      <c r="K167">
        <f t="shared" si="8"/>
        <v>7.6663207828132518E-2</v>
      </c>
    </row>
    <row r="168" spans="1:11" x14ac:dyDescent="0.2">
      <c r="A168" s="1">
        <f t="shared" si="9"/>
        <v>39387</v>
      </c>
      <c r="B168">
        <f>'raw FF data'!L199</f>
        <v>1.7</v>
      </c>
      <c r="C168">
        <f>'raw FF data'!P199</f>
        <v>23.6</v>
      </c>
      <c r="D168">
        <f>'raw FF data'!N199</f>
        <v>1.2</v>
      </c>
      <c r="E168">
        <v>1.94381561114281</v>
      </c>
      <c r="F168">
        <v>27.5742650116328</v>
      </c>
      <c r="G168">
        <v>1.1880808285517299</v>
      </c>
      <c r="H168">
        <f>'raw BLS data'!D102</f>
        <v>2</v>
      </c>
      <c r="I168">
        <f>'raw BLS data'!J185</f>
        <v>4.7</v>
      </c>
      <c r="J168">
        <f t="shared" si="7"/>
        <v>6.7180622099540968E-2</v>
      </c>
      <c r="K168">
        <f t="shared" si="8"/>
        <v>6.9122422635595634E-2</v>
      </c>
    </row>
    <row r="169" spans="1:11" x14ac:dyDescent="0.2">
      <c r="A169" s="1">
        <f t="shared" si="9"/>
        <v>39417</v>
      </c>
      <c r="B169">
        <f>'raw FF data'!L200</f>
        <v>1.8</v>
      </c>
      <c r="C169">
        <f>'raw FF data'!P200</f>
        <v>22.3</v>
      </c>
      <c r="D169">
        <f>'raw FF data'!N200</f>
        <v>1.5</v>
      </c>
      <c r="E169">
        <v>1.8844302072077199</v>
      </c>
      <c r="F169">
        <v>26.761000449318701</v>
      </c>
      <c r="G169">
        <v>1.14921007228809</v>
      </c>
      <c r="H169">
        <f>'raw BLS data'!D103</f>
        <v>2.1</v>
      </c>
      <c r="I169">
        <f>'raw BLS data'!J186</f>
        <v>5</v>
      </c>
      <c r="J169">
        <f t="shared" si="7"/>
        <v>6.6896179768679398E-2</v>
      </c>
      <c r="K169">
        <f t="shared" si="8"/>
        <v>7.4548782426061722E-2</v>
      </c>
    </row>
    <row r="170" spans="1:11" x14ac:dyDescent="0.2">
      <c r="A170" s="1">
        <f t="shared" si="9"/>
        <v>39448</v>
      </c>
      <c r="B170">
        <f>'raw FF data'!L201</f>
        <v>1.9</v>
      </c>
      <c r="C170">
        <f>'raw FF data'!P201</f>
        <v>27.4</v>
      </c>
      <c r="D170">
        <f>'raw FF data'!N201</f>
        <v>1.3</v>
      </c>
      <c r="E170">
        <v>1.8897898240647899</v>
      </c>
      <c r="F170">
        <v>27.852864106061801</v>
      </c>
      <c r="G170">
        <v>1.2503543286004399</v>
      </c>
      <c r="H170">
        <f>'raw BLS data'!D104</f>
        <v>2.1</v>
      </c>
      <c r="I170">
        <f>'raw BLS data'!J187</f>
        <v>5</v>
      </c>
      <c r="J170">
        <f t="shared" si="7"/>
        <v>6.4456578900653427E-2</v>
      </c>
      <c r="K170">
        <f t="shared" si="8"/>
        <v>7.1626386155591623E-2</v>
      </c>
    </row>
    <row r="171" spans="1:11" x14ac:dyDescent="0.2">
      <c r="A171" s="1">
        <f t="shared" si="9"/>
        <v>39479</v>
      </c>
      <c r="B171">
        <f>'raw FF data'!L202</f>
        <v>1.8</v>
      </c>
      <c r="C171">
        <f>'raw FF data'!P202</f>
        <v>25.2</v>
      </c>
      <c r="D171">
        <f>'raw FF data'!N202</f>
        <v>1.3</v>
      </c>
      <c r="E171">
        <v>1.8293487928535399</v>
      </c>
      <c r="F171">
        <v>26.092170587620998</v>
      </c>
      <c r="G171">
        <v>1.33512757159861</v>
      </c>
      <c r="H171">
        <f>'raw BLS data'!D105</f>
        <v>2.1</v>
      </c>
      <c r="I171">
        <f>'raw BLS data'!J188</f>
        <v>4.9000000000000004</v>
      </c>
      <c r="J171">
        <f t="shared" si="7"/>
        <v>6.6675583626189139E-2</v>
      </c>
      <c r="K171">
        <f t="shared" si="8"/>
        <v>7.6540201716582809E-2</v>
      </c>
    </row>
    <row r="172" spans="1:11" x14ac:dyDescent="0.2">
      <c r="A172" s="1">
        <f t="shared" si="9"/>
        <v>39508</v>
      </c>
      <c r="B172">
        <f>'raw FF data'!L203</f>
        <v>1.6</v>
      </c>
      <c r="C172">
        <f>'raw FF data'!P203</f>
        <v>26.5</v>
      </c>
      <c r="D172">
        <f>'raw FF data'!N203</f>
        <v>1.1000000000000001</v>
      </c>
      <c r="E172">
        <v>1.7970220010301301</v>
      </c>
      <c r="F172">
        <v>24.3588866888769</v>
      </c>
      <c r="G172">
        <v>1.2797941553249601</v>
      </c>
      <c r="H172">
        <f>'raw BLS data'!D106</f>
        <v>1.9</v>
      </c>
      <c r="I172">
        <f>'raw BLS data'!J189</f>
        <v>5.0999999999999996</v>
      </c>
      <c r="J172">
        <f t="shared" si="7"/>
        <v>7.0010337531408007E-2</v>
      </c>
      <c r="K172">
        <f t="shared" si="8"/>
        <v>7.4022266412666432E-2</v>
      </c>
    </row>
    <row r="173" spans="1:11" x14ac:dyDescent="0.2">
      <c r="A173" s="1">
        <f t="shared" si="9"/>
        <v>39539</v>
      </c>
      <c r="B173">
        <f>'raw FF data'!L204</f>
        <v>1.9</v>
      </c>
      <c r="C173">
        <f>'raw FF data'!P204</f>
        <v>28.1</v>
      </c>
      <c r="D173">
        <f>'raw FF data'!N204</f>
        <v>1.2</v>
      </c>
      <c r="E173">
        <v>2.07040605916132</v>
      </c>
      <c r="F173">
        <v>28.282041164148399</v>
      </c>
      <c r="G173">
        <v>1.3654583642265601</v>
      </c>
      <c r="H173">
        <f>'raw BLS data'!D107</f>
        <v>2.1</v>
      </c>
      <c r="I173">
        <f>'raw BLS data'!J190</f>
        <v>5</v>
      </c>
      <c r="J173">
        <f t="shared" si="7"/>
        <v>6.954539613274334E-2</v>
      </c>
      <c r="K173">
        <f t="shared" si="8"/>
        <v>7.0539463132136035E-2</v>
      </c>
    </row>
    <row r="174" spans="1:11" x14ac:dyDescent="0.2">
      <c r="A174" s="1">
        <f t="shared" si="9"/>
        <v>39569</v>
      </c>
      <c r="B174">
        <f>'raw FF data'!L205</f>
        <v>1.9</v>
      </c>
      <c r="C174">
        <f>'raw FF data'!P205</f>
        <v>23.1</v>
      </c>
      <c r="D174">
        <f>'raw FF data'!N205</f>
        <v>1.2</v>
      </c>
      <c r="E174">
        <v>1.6929327366696301</v>
      </c>
      <c r="F174">
        <v>23.324039263342801</v>
      </c>
      <c r="G174">
        <v>1.1494897910511599</v>
      </c>
      <c r="H174">
        <f>'raw BLS data'!D108</f>
        <v>1.9</v>
      </c>
      <c r="I174">
        <f>'raw BLS data'!J191</f>
        <v>5.4</v>
      </c>
      <c r="J174">
        <f t="shared" si="7"/>
        <v>6.8663680025890211E-2</v>
      </c>
      <c r="K174">
        <f t="shared" si="8"/>
        <v>7.7062123747359726E-2</v>
      </c>
    </row>
    <row r="175" spans="1:11" x14ac:dyDescent="0.2">
      <c r="A175" s="1">
        <f t="shared" si="9"/>
        <v>39600</v>
      </c>
      <c r="B175">
        <f>'raw FF data'!L206</f>
        <v>1.8</v>
      </c>
      <c r="C175">
        <f>'raw FF data'!P206</f>
        <v>23.2</v>
      </c>
      <c r="D175">
        <f>'raw FF data'!N206</f>
        <v>1.3</v>
      </c>
      <c r="E175">
        <v>1.69973550978027</v>
      </c>
      <c r="F175">
        <v>22.9003375346777</v>
      </c>
      <c r="G175">
        <v>1.16921413241925</v>
      </c>
      <c r="H175">
        <f>'raw BLS data'!D109</f>
        <v>1.9</v>
      </c>
      <c r="I175">
        <f>'raw BLS data'!J192</f>
        <v>5.6</v>
      </c>
      <c r="J175">
        <f t="shared" si="7"/>
        <v>7.0066666869115959E-2</v>
      </c>
      <c r="K175">
        <f t="shared" si="8"/>
        <v>7.8321989677399881E-2</v>
      </c>
    </row>
    <row r="176" spans="1:11" x14ac:dyDescent="0.2">
      <c r="A176" s="1">
        <f t="shared" si="9"/>
        <v>39630</v>
      </c>
      <c r="B176">
        <f>'raw FF data'!L207</f>
        <v>2.1</v>
      </c>
      <c r="C176">
        <f>'raw FF data'!P207</f>
        <v>25.8</v>
      </c>
      <c r="D176">
        <f>'raw FF data'!N207</f>
        <v>1.5</v>
      </c>
      <c r="E176">
        <v>1.9935648755187301</v>
      </c>
      <c r="F176">
        <v>24.109396612825499</v>
      </c>
      <c r="G176">
        <v>1.46152046147269</v>
      </c>
      <c r="H176">
        <f>'raw BLS data'!D110</f>
        <v>1.8</v>
      </c>
      <c r="I176">
        <f>'raw BLS data'!J193</f>
        <v>5.8</v>
      </c>
      <c r="J176">
        <f t="shared" si="7"/>
        <v>7.7892372957174508E-2</v>
      </c>
      <c r="K176">
        <f t="shared" si="8"/>
        <v>7.0329424963625597E-2</v>
      </c>
    </row>
    <row r="177" spans="1:11" x14ac:dyDescent="0.2">
      <c r="A177" s="1">
        <f t="shared" si="9"/>
        <v>39661</v>
      </c>
      <c r="B177">
        <f>'raw FF data'!L208</f>
        <v>2</v>
      </c>
      <c r="C177">
        <f>'raw FF data'!P208</f>
        <v>26.9</v>
      </c>
      <c r="D177">
        <f>'raw FF data'!N208</f>
        <v>1.3</v>
      </c>
      <c r="E177">
        <v>1.6956269179327299</v>
      </c>
      <c r="F177">
        <v>22.769607377807901</v>
      </c>
      <c r="G177">
        <v>1.38001891300507</v>
      </c>
      <c r="H177">
        <f>'raw BLS data'!D111</f>
        <v>1.8</v>
      </c>
      <c r="I177">
        <f>'raw BLS data'!J194</f>
        <v>6.1</v>
      </c>
      <c r="J177">
        <f t="shared" si="7"/>
        <v>6.9926268359402813E-2</v>
      </c>
      <c r="K177">
        <f t="shared" si="8"/>
        <v>7.42305289658763E-2</v>
      </c>
    </row>
    <row r="178" spans="1:11" x14ac:dyDescent="0.2">
      <c r="A178" s="1">
        <f t="shared" si="9"/>
        <v>39692</v>
      </c>
      <c r="B178">
        <f>'raw FF data'!L209</f>
        <v>1.9</v>
      </c>
      <c r="C178">
        <f>'raw FF data'!P209</f>
        <v>25</v>
      </c>
      <c r="D178">
        <f>'raw FF data'!N209</f>
        <v>1.5</v>
      </c>
      <c r="E178">
        <v>1.84074651100177</v>
      </c>
      <c r="F178">
        <v>23.686226654787099</v>
      </c>
      <c r="G178">
        <v>1.6629968253062299</v>
      </c>
      <c r="H178">
        <f>'raw BLS data'!D112</f>
        <v>1.8</v>
      </c>
      <c r="I178">
        <f>'raw BLS data'!J195</f>
        <v>6.1</v>
      </c>
      <c r="J178">
        <f t="shared" si="7"/>
        <v>7.29732514605205E-2</v>
      </c>
      <c r="K178">
        <f t="shared" si="8"/>
        <v>7.135792562630075E-2</v>
      </c>
    </row>
    <row r="179" spans="1:11" x14ac:dyDescent="0.2">
      <c r="A179" s="1">
        <f t="shared" si="9"/>
        <v>39722</v>
      </c>
      <c r="B179">
        <f>'raw FF data'!L210</f>
        <v>1.5</v>
      </c>
      <c r="C179">
        <f>'raw FF data'!P210</f>
        <v>19.899999999999999</v>
      </c>
      <c r="D179">
        <f>'raw FF data'!N210</f>
        <v>1.4</v>
      </c>
      <c r="E179">
        <v>1.6543720261014101</v>
      </c>
      <c r="F179">
        <v>20.710025164562801</v>
      </c>
      <c r="G179">
        <v>1.5541662969940799</v>
      </c>
      <c r="H179">
        <f>'raw BLS data'!D113</f>
        <v>1.8</v>
      </c>
      <c r="I179">
        <f>'raw BLS data'!J196</f>
        <v>6.5</v>
      </c>
      <c r="J179">
        <f t="shared" si="7"/>
        <v>7.4690292846752951E-2</v>
      </c>
      <c r="K179">
        <f t="shared" si="8"/>
        <v>8.1264990584357363E-2</v>
      </c>
    </row>
    <row r="180" spans="1:11" x14ac:dyDescent="0.2">
      <c r="A180" s="1">
        <f t="shared" si="9"/>
        <v>39753</v>
      </c>
      <c r="B180">
        <f>'raw FF data'!L211</f>
        <v>1.5</v>
      </c>
      <c r="C180">
        <f>'raw FF data'!P211</f>
        <v>17.399999999999999</v>
      </c>
      <c r="D180">
        <f>'raw FF data'!N211</f>
        <v>1.6</v>
      </c>
      <c r="E180">
        <v>1.7183377324916</v>
      </c>
      <c r="F180">
        <v>20.414700043553701</v>
      </c>
      <c r="G180">
        <v>1.5501788764614299</v>
      </c>
      <c r="H180">
        <f>'raw BLS data'!D114</f>
        <v>1.6</v>
      </c>
      <c r="I180">
        <f>'raw BLS data'!J197</f>
        <v>6.8</v>
      </c>
      <c r="J180">
        <f t="shared" si="7"/>
        <v>7.8447920531062115E-2</v>
      </c>
      <c r="K180">
        <f t="shared" si="8"/>
        <v>7.3045403401402045E-2</v>
      </c>
    </row>
    <row r="181" spans="1:11" x14ac:dyDescent="0.2">
      <c r="A181" s="1">
        <f t="shared" si="9"/>
        <v>39783</v>
      </c>
      <c r="B181">
        <f>'raw FF data'!L212</f>
        <v>1.5</v>
      </c>
      <c r="C181">
        <f>'raw FF data'!P212</f>
        <v>16.7</v>
      </c>
      <c r="D181">
        <f>'raw FF data'!N212</f>
        <v>2.2999999999999998</v>
      </c>
      <c r="E181">
        <v>1.54965304450649</v>
      </c>
      <c r="F181">
        <v>19.927701584629599</v>
      </c>
      <c r="G181">
        <v>1.7814188423549899</v>
      </c>
      <c r="H181">
        <f>'raw BLS data'!D115</f>
        <v>1.6</v>
      </c>
      <c r="I181">
        <f>'raw BLS data'!J198</f>
        <v>7.3</v>
      </c>
      <c r="J181">
        <f t="shared" si="7"/>
        <v>7.2087007433186509E-2</v>
      </c>
      <c r="K181">
        <f t="shared" si="8"/>
        <v>7.4429055137196776E-2</v>
      </c>
    </row>
    <row r="182" spans="1:11" x14ac:dyDescent="0.2">
      <c r="A182" s="1">
        <f t="shared" si="9"/>
        <v>39814</v>
      </c>
      <c r="B182">
        <f>'raw FF data'!L213</f>
        <v>1.7</v>
      </c>
      <c r="C182">
        <f>'raw FF data'!P213</f>
        <v>17.899999999999999</v>
      </c>
      <c r="D182">
        <f>'raw FF data'!N213</f>
        <v>1.9</v>
      </c>
      <c r="E182">
        <v>1.6860928544509299</v>
      </c>
      <c r="F182">
        <v>18.0629406235362</v>
      </c>
      <c r="G182">
        <v>1.82129603713834</v>
      </c>
      <c r="H182">
        <f>'raw BLS data'!D116</f>
        <v>1.5</v>
      </c>
      <c r="I182">
        <f>'raw BLS data'!J199</f>
        <v>7.8</v>
      </c>
      <c r="J182">
        <f t="shared" si="7"/>
        <v>8.606448109440866E-2</v>
      </c>
      <c r="K182">
        <f t="shared" si="8"/>
        <v>7.6565606277747306E-2</v>
      </c>
    </row>
    <row r="183" spans="1:11" x14ac:dyDescent="0.2">
      <c r="A183" s="1">
        <f t="shared" si="9"/>
        <v>39845</v>
      </c>
      <c r="B183">
        <f>'raw FF data'!L214</f>
        <v>1.5</v>
      </c>
      <c r="C183">
        <f>'raw FF data'!P214</f>
        <v>17.399999999999999</v>
      </c>
      <c r="D183">
        <f>'raw FF data'!N214</f>
        <v>1.7</v>
      </c>
      <c r="E183">
        <v>1.5045062243440901</v>
      </c>
      <c r="F183">
        <v>17.8075826115419</v>
      </c>
      <c r="G183">
        <v>1.74590269770533</v>
      </c>
      <c r="H183">
        <f>'raw BLS data'!D117</f>
        <v>1.4</v>
      </c>
      <c r="I183">
        <f>'raw BLS data'!J200</f>
        <v>8.3000000000000007</v>
      </c>
      <c r="J183">
        <f t="shared" si="7"/>
        <v>7.7474424115788101E-2</v>
      </c>
      <c r="K183">
        <f t="shared" si="8"/>
        <v>7.209288470002162E-2</v>
      </c>
    </row>
    <row r="184" spans="1:11" x14ac:dyDescent="0.2">
      <c r="A184" s="1">
        <f t="shared" si="9"/>
        <v>39873</v>
      </c>
      <c r="B184">
        <f>'raw FF data'!L215</f>
        <v>1.4</v>
      </c>
      <c r="C184">
        <f>'raw FF data'!P215</f>
        <v>20.6</v>
      </c>
      <c r="D184">
        <f>'raw FF data'!N215</f>
        <v>1.5</v>
      </c>
      <c r="E184">
        <v>1.53865637707484</v>
      </c>
      <c r="F184">
        <v>19.003460207130999</v>
      </c>
      <c r="G184">
        <v>1.75332506889242</v>
      </c>
      <c r="H184">
        <f>'raw BLS data'!D118</f>
        <v>1.4</v>
      </c>
      <c r="I184">
        <f>'raw BLS data'!J201</f>
        <v>8.6999999999999993</v>
      </c>
      <c r="J184">
        <f t="shared" si="7"/>
        <v>7.392302543629313E-2</v>
      </c>
      <c r="K184">
        <f t="shared" si="8"/>
        <v>6.726143481597939E-2</v>
      </c>
    </row>
    <row r="185" spans="1:11" x14ac:dyDescent="0.2">
      <c r="A185" s="1">
        <f t="shared" si="9"/>
        <v>39904</v>
      </c>
      <c r="B185">
        <f>'raw FF data'!L216</f>
        <v>1.6</v>
      </c>
      <c r="C185">
        <f>'raw FF data'!P216</f>
        <v>15.9</v>
      </c>
      <c r="D185">
        <f>'raw FF data'!N216</f>
        <v>1.5</v>
      </c>
      <c r="E185">
        <v>1.7538941866536899</v>
      </c>
      <c r="F185">
        <v>16.077187255263301</v>
      </c>
      <c r="G185">
        <v>1.69777253962617</v>
      </c>
      <c r="H185">
        <f>'raw BLS data'!D119</f>
        <v>1.3</v>
      </c>
      <c r="I185">
        <f>'raw BLS data'!J202</f>
        <v>9</v>
      </c>
      <c r="J185">
        <f t="shared" si="7"/>
        <v>9.9273814785751771E-2</v>
      </c>
      <c r="K185">
        <f t="shared" si="8"/>
        <v>7.3582522938688361E-2</v>
      </c>
    </row>
    <row r="186" spans="1:11" x14ac:dyDescent="0.2">
      <c r="A186" s="1">
        <f t="shared" si="9"/>
        <v>39934</v>
      </c>
      <c r="B186">
        <f>'raw FF data'!L217</f>
        <v>1.6</v>
      </c>
      <c r="C186">
        <f>'raw FF data'!P217</f>
        <v>16.3</v>
      </c>
      <c r="D186">
        <f>'raw FF data'!N217</f>
        <v>1.8</v>
      </c>
      <c r="E186">
        <v>1.42968632864956</v>
      </c>
      <c r="F186">
        <v>16.4294921998465</v>
      </c>
      <c r="G186">
        <v>1.74393508203772</v>
      </c>
      <c r="H186">
        <f>'raw BLS data'!D120</f>
        <v>1.3</v>
      </c>
      <c r="I186">
        <f>'raw BLS data'!J203</f>
        <v>9.4</v>
      </c>
      <c r="J186">
        <f t="shared" si="7"/>
        <v>7.8839674288204917E-2</v>
      </c>
      <c r="K186">
        <f t="shared" si="8"/>
        <v>7.1688156010750251E-2</v>
      </c>
    </row>
    <row r="187" spans="1:11" x14ac:dyDescent="0.2">
      <c r="A187" s="1">
        <f t="shared" si="9"/>
        <v>39965</v>
      </c>
      <c r="B187">
        <f>'raw FF data'!L218</f>
        <v>1.6</v>
      </c>
      <c r="C187">
        <f>'raw FF data'!P218</f>
        <v>18.600000000000001</v>
      </c>
      <c r="D187">
        <f>'raw FF data'!N218</f>
        <v>2</v>
      </c>
      <c r="E187">
        <v>1.5279410909092099</v>
      </c>
      <c r="F187">
        <v>18.341601837582299</v>
      </c>
      <c r="G187">
        <v>1.81522433335417</v>
      </c>
      <c r="H187">
        <f>'raw BLS data'!D121</f>
        <v>1.3</v>
      </c>
      <c r="I187">
        <f>'raw BLS data'!J204</f>
        <v>9.5</v>
      </c>
      <c r="J187">
        <f t="shared" si="7"/>
        <v>7.5390726476216391E-2</v>
      </c>
      <c r="K187">
        <f t="shared" si="8"/>
        <v>6.4143797821918078E-2</v>
      </c>
    </row>
    <row r="188" spans="1:11" x14ac:dyDescent="0.2">
      <c r="A188" s="1">
        <f t="shared" si="9"/>
        <v>39995</v>
      </c>
      <c r="B188">
        <f>'raw FF data'!L219</f>
        <v>1.5</v>
      </c>
      <c r="C188">
        <f>'raw FF data'!P219</f>
        <v>17</v>
      </c>
      <c r="D188">
        <f>'raw FF data'!N219</f>
        <v>1.6</v>
      </c>
      <c r="E188">
        <v>1.4248881985328601</v>
      </c>
      <c r="F188">
        <v>15.9521965305732</v>
      </c>
      <c r="G188">
        <v>1.53945519407822</v>
      </c>
      <c r="H188">
        <f>'raw BLS data'!D122</f>
        <v>1.3</v>
      </c>
      <c r="I188">
        <f>'raw BLS data'!J205</f>
        <v>9.5</v>
      </c>
      <c r="J188">
        <f t="shared" si="7"/>
        <v>8.0836756066840085E-2</v>
      </c>
      <c r="K188">
        <f t="shared" si="8"/>
        <v>7.3751598893931486E-2</v>
      </c>
    </row>
    <row r="189" spans="1:11" x14ac:dyDescent="0.2">
      <c r="A189" s="1">
        <f t="shared" si="9"/>
        <v>40026</v>
      </c>
      <c r="B189">
        <f>'raw FF data'!L220</f>
        <v>1.7</v>
      </c>
      <c r="C189">
        <f>'raw FF data'!P220</f>
        <v>20.399999999999999</v>
      </c>
      <c r="D189">
        <f>'raw FF data'!N220</f>
        <v>1.7</v>
      </c>
      <c r="E189">
        <v>1.45963074087109</v>
      </c>
      <c r="F189">
        <v>17.304325284855</v>
      </c>
      <c r="G189">
        <v>1.8318078462337199</v>
      </c>
      <c r="H189">
        <f>'raw BLS data'!D123</f>
        <v>1.3</v>
      </c>
      <c r="I189">
        <f>'raw BLS data'!J206</f>
        <v>9.6</v>
      </c>
      <c r="J189">
        <f t="shared" si="7"/>
        <v>7.6252969591499561E-2</v>
      </c>
      <c r="K189">
        <f t="shared" si="8"/>
        <v>6.7913656305834263E-2</v>
      </c>
    </row>
    <row r="190" spans="1:11" x14ac:dyDescent="0.2">
      <c r="A190" s="1">
        <f t="shared" si="9"/>
        <v>40057</v>
      </c>
      <c r="B190">
        <f>'raw FF data'!L221</f>
        <v>1.5</v>
      </c>
      <c r="C190">
        <f>'raw FF data'!P221</f>
        <v>16.600000000000001</v>
      </c>
      <c r="D190">
        <f>'raw FF data'!N221</f>
        <v>1.6</v>
      </c>
      <c r="E190">
        <v>1.46043363170659</v>
      </c>
      <c r="F190">
        <v>15.7431066540454</v>
      </c>
      <c r="G190">
        <v>1.7487081908175801</v>
      </c>
      <c r="H190">
        <f>'raw BLS data'!D124</f>
        <v>1.2</v>
      </c>
      <c r="I190">
        <f>'raw BLS data'!J207</f>
        <v>9.8000000000000007</v>
      </c>
      <c r="J190">
        <f t="shared" si="7"/>
        <v>8.3675424726976852E-2</v>
      </c>
      <c r="K190">
        <f t="shared" si="8"/>
        <v>6.8753901233455914E-2</v>
      </c>
    </row>
    <row r="191" spans="1:11" x14ac:dyDescent="0.2">
      <c r="A191" s="1">
        <f t="shared" si="9"/>
        <v>40087</v>
      </c>
      <c r="B191">
        <f>'raw FF data'!L222</f>
        <v>1.3</v>
      </c>
      <c r="C191">
        <f>'raw FF data'!P222</f>
        <v>16.2</v>
      </c>
      <c r="D191">
        <f>'raw FF data'!N222</f>
        <v>1.5</v>
      </c>
      <c r="E191">
        <v>1.4389928499329101</v>
      </c>
      <c r="F191">
        <v>16.944041571419</v>
      </c>
      <c r="G191">
        <v>1.65868171794216</v>
      </c>
      <c r="H191">
        <f>'raw BLS data'!D125</f>
        <v>1.3</v>
      </c>
      <c r="I191">
        <f>'raw BLS data'!J208</f>
        <v>10</v>
      </c>
      <c r="J191">
        <f t="shared" si="7"/>
        <v>7.6433568666649576E-2</v>
      </c>
      <c r="K191">
        <f t="shared" si="8"/>
        <v>6.9050822088015981E-2</v>
      </c>
    </row>
    <row r="192" spans="1:11" x14ac:dyDescent="0.2">
      <c r="A192" s="1">
        <f t="shared" si="9"/>
        <v>40118</v>
      </c>
      <c r="B192">
        <f>'raw FF data'!L223</f>
        <v>1.3</v>
      </c>
      <c r="C192">
        <f>'raw FF data'!P223</f>
        <v>13</v>
      </c>
      <c r="D192">
        <f>'raw FF data'!N223</f>
        <v>1.8</v>
      </c>
      <c r="E192">
        <v>1.48628566968027</v>
      </c>
      <c r="F192">
        <v>15.3190259981252</v>
      </c>
      <c r="G192">
        <v>1.7188464790962701</v>
      </c>
      <c r="H192">
        <f>'raw BLS data'!D126</f>
        <v>1.4</v>
      </c>
      <c r="I192">
        <f>'raw BLS data'!J209</f>
        <v>9.9</v>
      </c>
      <c r="J192">
        <f t="shared" si="7"/>
        <v>8.7417006051547438E-2</v>
      </c>
      <c r="K192">
        <f t="shared" si="8"/>
        <v>8.2342049693914926E-2</v>
      </c>
    </row>
    <row r="193" spans="1:11" x14ac:dyDescent="0.2">
      <c r="A193" s="1">
        <f t="shared" si="9"/>
        <v>40148</v>
      </c>
      <c r="B193">
        <f>'raw FF data'!L224</f>
        <v>1.5</v>
      </c>
      <c r="C193">
        <f>'raw FF data'!P224</f>
        <v>13.2</v>
      </c>
      <c r="D193">
        <f>'raw FF data'!N224</f>
        <v>2</v>
      </c>
      <c r="E193">
        <v>1.5338314635238199</v>
      </c>
      <c r="F193">
        <v>15.6924415703722</v>
      </c>
      <c r="G193">
        <v>1.54772305791784</v>
      </c>
      <c r="H193">
        <f>'raw BLS data'!D127</f>
        <v>1.3</v>
      </c>
      <c r="I193">
        <f>'raw BLS data'!J210</f>
        <v>9.9</v>
      </c>
      <c r="J193">
        <f t="shared" si="7"/>
        <v>8.8066738527431285E-2</v>
      </c>
      <c r="K193">
        <f t="shared" si="8"/>
        <v>7.4641029870804135E-2</v>
      </c>
    </row>
    <row r="194" spans="1:11" x14ac:dyDescent="0.2">
      <c r="A194" s="1">
        <f t="shared" si="9"/>
        <v>40179</v>
      </c>
      <c r="B194">
        <f>'raw FF data'!L225</f>
        <v>1.5</v>
      </c>
      <c r="C194">
        <f>'raw FF data'!P225</f>
        <v>16.3</v>
      </c>
      <c r="D194">
        <f>'raw FF data'!N225</f>
        <v>1.6</v>
      </c>
      <c r="E194">
        <v>1.4852421205995301</v>
      </c>
      <c r="F194">
        <v>16.3364132565743</v>
      </c>
      <c r="G194">
        <v>1.53939951303449</v>
      </c>
      <c r="H194">
        <f>'raw BLS data'!D128</f>
        <v>1.3</v>
      </c>
      <c r="I194">
        <f>'raw BLS data'!J211</f>
        <v>9.8000000000000007</v>
      </c>
      <c r="J194">
        <f t="shared" si="7"/>
        <v>8.2006274678540117E-2</v>
      </c>
      <c r="K194">
        <f t="shared" si="8"/>
        <v>7.1778301735119732E-2</v>
      </c>
    </row>
    <row r="195" spans="1:11" x14ac:dyDescent="0.2">
      <c r="A195" s="1">
        <f t="shared" si="9"/>
        <v>40210</v>
      </c>
      <c r="B195">
        <f>'raw FF data'!L226</f>
        <v>1.6</v>
      </c>
      <c r="C195">
        <f>'raw FF data'!P226</f>
        <v>17.600000000000001</v>
      </c>
      <c r="D195">
        <f>'raw FF data'!N226</f>
        <v>1.5</v>
      </c>
      <c r="E195">
        <v>1.59108402631545</v>
      </c>
      <c r="F195">
        <v>17.8465356755739</v>
      </c>
      <c r="G195">
        <v>1.5605100713165001</v>
      </c>
      <c r="H195">
        <f>'raw BLS data'!D129</f>
        <v>1.4</v>
      </c>
      <c r="I195">
        <f>'raw BLS data'!J212</f>
        <v>9.8000000000000007</v>
      </c>
      <c r="J195">
        <f t="shared" ref="J195:J235" si="10">E195*( 1 - (I195/100) )/F195</f>
        <v>8.0416603974338835E-2</v>
      </c>
      <c r="K195">
        <f t="shared" ref="K195:K235" si="11">H195*( 1 - (I195/100) )/F195</f>
        <v>7.0758830898949326E-2</v>
      </c>
    </row>
    <row r="196" spans="1:11" x14ac:dyDescent="0.2">
      <c r="A196" s="1">
        <f t="shared" ref="A196:A235" si="12">DATE(YEAR(A195),MONTH(A195)+1,1)</f>
        <v>40238</v>
      </c>
      <c r="B196">
        <f>'raw FF data'!L227</f>
        <v>1.5</v>
      </c>
      <c r="C196">
        <f>'raw FF data'!P227</f>
        <v>20</v>
      </c>
      <c r="D196">
        <f>'raw FF data'!N227</f>
        <v>1.3</v>
      </c>
      <c r="E196">
        <v>1.6273696994220701</v>
      </c>
      <c r="F196">
        <v>18.423801390965</v>
      </c>
      <c r="G196">
        <v>1.5231675811876499</v>
      </c>
      <c r="H196">
        <f>'raw BLS data'!D130</f>
        <v>1.4</v>
      </c>
      <c r="I196">
        <f>'raw BLS data'!J213</f>
        <v>9.9</v>
      </c>
      <c r="J196">
        <f t="shared" si="10"/>
        <v>7.9585101253769303E-2</v>
      </c>
      <c r="K196">
        <f t="shared" si="11"/>
        <v>6.8465783647591219E-2</v>
      </c>
    </row>
    <row r="197" spans="1:11" x14ac:dyDescent="0.2">
      <c r="A197" s="1">
        <f t="shared" si="12"/>
        <v>40269</v>
      </c>
      <c r="B197">
        <f>'raw FF data'!L228</f>
        <v>1.4</v>
      </c>
      <c r="C197">
        <f>'raw FF data'!P228</f>
        <v>16.399999999999999</v>
      </c>
      <c r="D197">
        <f>'raw FF data'!N228</f>
        <v>1.4</v>
      </c>
      <c r="E197">
        <v>1.5417649711066601</v>
      </c>
      <c r="F197">
        <v>16.6523012812746</v>
      </c>
      <c r="G197">
        <v>1.58580966518525</v>
      </c>
      <c r="H197">
        <f>'raw BLS data'!D131</f>
        <v>1.5</v>
      </c>
      <c r="I197">
        <f>'raw BLS data'!J214</f>
        <v>9.9</v>
      </c>
      <c r="J197">
        <f t="shared" si="10"/>
        <v>8.3419715719962886E-2</v>
      </c>
      <c r="K197">
        <f t="shared" si="11"/>
        <v>8.1159953640747101E-2</v>
      </c>
    </row>
    <row r="198" spans="1:11" x14ac:dyDescent="0.2">
      <c r="A198" s="1">
        <f t="shared" si="12"/>
        <v>40299</v>
      </c>
      <c r="B198">
        <f>'raw FF data'!L229</f>
        <v>1.4</v>
      </c>
      <c r="C198">
        <f>'raw FF data'!P229</f>
        <v>14.7</v>
      </c>
      <c r="D198">
        <f>'raw FF data'!N229</f>
        <v>1.5</v>
      </c>
      <c r="E198">
        <v>1.2427942424654901</v>
      </c>
      <c r="F198">
        <v>14.8672223402833</v>
      </c>
      <c r="G198">
        <v>1.45689051682101</v>
      </c>
      <c r="H198">
        <f>'raw BLS data'!D132</f>
        <v>1.4</v>
      </c>
      <c r="I198">
        <f>'raw BLS data'!J215</f>
        <v>9.6</v>
      </c>
      <c r="J198">
        <f t="shared" si="10"/>
        <v>7.5567982335521769E-2</v>
      </c>
      <c r="K198">
        <f t="shared" si="11"/>
        <v>8.5126863043596859E-2</v>
      </c>
    </row>
    <row r="199" spans="1:11" x14ac:dyDescent="0.2">
      <c r="A199" s="1">
        <f t="shared" si="12"/>
        <v>40330</v>
      </c>
      <c r="B199">
        <f>'raw FF data'!L230</f>
        <v>1.8</v>
      </c>
      <c r="C199">
        <f>'raw FF data'!P230</f>
        <v>18.399999999999999</v>
      </c>
      <c r="D199">
        <f>'raw FF data'!N230</f>
        <v>1.7</v>
      </c>
      <c r="E199">
        <v>1.7415219909161901</v>
      </c>
      <c r="F199">
        <v>18.1133796358551</v>
      </c>
      <c r="G199">
        <v>1.5593782677966901</v>
      </c>
      <c r="H199">
        <f>'raw BLS data'!D133</f>
        <v>1.5</v>
      </c>
      <c r="I199">
        <f>'raw BLS data'!J216</f>
        <v>9.4</v>
      </c>
      <c r="J199">
        <f t="shared" si="10"/>
        <v>8.7107925494301727E-2</v>
      </c>
      <c r="K199">
        <f t="shared" si="11"/>
        <v>7.5027412184851719E-2</v>
      </c>
    </row>
    <row r="200" spans="1:11" x14ac:dyDescent="0.2">
      <c r="A200" s="1">
        <f t="shared" si="12"/>
        <v>40360</v>
      </c>
      <c r="B200">
        <f>'raw FF data'!L231</f>
        <v>1.6</v>
      </c>
      <c r="C200">
        <f>'raw FF data'!P231</f>
        <v>17.3</v>
      </c>
      <c r="D200">
        <f>'raw FF data'!N231</f>
        <v>1.7</v>
      </c>
      <c r="E200">
        <v>1.52123548243925</v>
      </c>
      <c r="F200">
        <v>16.250482758214201</v>
      </c>
      <c r="G200">
        <v>1.61902414732698</v>
      </c>
      <c r="H200">
        <f>'raw BLS data'!D134</f>
        <v>1.4</v>
      </c>
      <c r="I200">
        <f>'raw BLS data'!J217</f>
        <v>9.5</v>
      </c>
      <c r="J200">
        <f t="shared" si="10"/>
        <v>8.47185977236046E-2</v>
      </c>
      <c r="K200">
        <f t="shared" si="11"/>
        <v>7.7966914512712801E-2</v>
      </c>
    </row>
    <row r="201" spans="1:11" x14ac:dyDescent="0.2">
      <c r="A201" s="1">
        <f t="shared" si="12"/>
        <v>40391</v>
      </c>
      <c r="B201">
        <f>'raw FF data'!L232</f>
        <v>1.8</v>
      </c>
      <c r="C201">
        <f>'raw FF data'!P232</f>
        <v>19.100000000000001</v>
      </c>
      <c r="D201">
        <f>'raw FF data'!N232</f>
        <v>1.4</v>
      </c>
      <c r="E201">
        <v>1.55674665773004</v>
      </c>
      <c r="F201">
        <v>16.297928785421998</v>
      </c>
      <c r="G201">
        <v>1.5114625038513201</v>
      </c>
      <c r="H201">
        <f>'raw BLS data'!D135</f>
        <v>1.4</v>
      </c>
      <c r="I201">
        <f>'raw BLS data'!J218</f>
        <v>9.5</v>
      </c>
      <c r="J201">
        <f t="shared" si="10"/>
        <v>8.6443850859494784E-2</v>
      </c>
      <c r="K201">
        <f t="shared" si="11"/>
        <v>7.7739939637808023E-2</v>
      </c>
    </row>
    <row r="202" spans="1:11" x14ac:dyDescent="0.2">
      <c r="A202" s="1">
        <f t="shared" si="12"/>
        <v>40422</v>
      </c>
      <c r="B202">
        <f>'raw FF data'!L233</f>
        <v>1.5</v>
      </c>
      <c r="C202">
        <f>'raw FF data'!P233</f>
        <v>17</v>
      </c>
      <c r="D202">
        <f>'raw FF data'!N233</f>
        <v>1.4</v>
      </c>
      <c r="E202">
        <v>1.4716548026691301</v>
      </c>
      <c r="F202">
        <v>16.0819509325265</v>
      </c>
      <c r="G202">
        <v>1.51122636443317</v>
      </c>
      <c r="H202">
        <f>'raw BLS data'!D136</f>
        <v>1.5</v>
      </c>
      <c r="I202">
        <f>'raw BLS data'!J219</f>
        <v>9.5</v>
      </c>
      <c r="J202">
        <f t="shared" si="10"/>
        <v>8.2816295237031129E-2</v>
      </c>
      <c r="K202">
        <f t="shared" si="11"/>
        <v>8.4411400438636625E-2</v>
      </c>
    </row>
    <row r="203" spans="1:11" x14ac:dyDescent="0.2">
      <c r="A203" s="1">
        <f t="shared" si="12"/>
        <v>40452</v>
      </c>
      <c r="B203">
        <f>'raw FF data'!L234</f>
        <v>1.4</v>
      </c>
      <c r="C203">
        <f>'raw FF data'!P234</f>
        <v>15.8</v>
      </c>
      <c r="D203">
        <f>'raw FF data'!N234</f>
        <v>1.7</v>
      </c>
      <c r="E203">
        <v>1.55008213002258</v>
      </c>
      <c r="F203">
        <v>16.613556157006201</v>
      </c>
      <c r="G203">
        <v>1.87352323147568</v>
      </c>
      <c r="H203">
        <f>'raw BLS data'!D137</f>
        <v>1.4</v>
      </c>
      <c r="I203">
        <f>'raw BLS data'!J220</f>
        <v>9.5</v>
      </c>
      <c r="J203">
        <f t="shared" si="10"/>
        <v>8.4438534075008467E-2</v>
      </c>
      <c r="K203">
        <f t="shared" si="11"/>
        <v>7.6263022078249379E-2</v>
      </c>
    </row>
    <row r="204" spans="1:11" x14ac:dyDescent="0.2">
      <c r="A204" s="1">
        <f t="shared" si="12"/>
        <v>40483</v>
      </c>
      <c r="B204">
        <f>'raw FF data'!L235</f>
        <v>1.3</v>
      </c>
      <c r="C204">
        <f>'raw FF data'!P235</f>
        <v>15.4</v>
      </c>
      <c r="D204">
        <f>'raw FF data'!N235</f>
        <v>1.6</v>
      </c>
      <c r="E204">
        <v>1.4916159765399899</v>
      </c>
      <c r="F204">
        <v>18.143931938929398</v>
      </c>
      <c r="G204">
        <v>1.5036985963456799</v>
      </c>
      <c r="H204">
        <f>'raw BLS data'!D138</f>
        <v>1.4</v>
      </c>
      <c r="I204">
        <f>'raw BLS data'!J221</f>
        <v>9.8000000000000007</v>
      </c>
      <c r="J204">
        <f t="shared" si="10"/>
        <v>7.4153585637758951E-2</v>
      </c>
      <c r="K204">
        <f t="shared" si="11"/>
        <v>6.9599026509273423E-2</v>
      </c>
    </row>
    <row r="205" spans="1:11" x14ac:dyDescent="0.2">
      <c r="A205" s="1">
        <f t="shared" si="12"/>
        <v>40513</v>
      </c>
      <c r="B205">
        <f>'raw FF data'!L236</f>
        <v>1.5</v>
      </c>
      <c r="C205">
        <f>'raw FF data'!P236</f>
        <v>13.4</v>
      </c>
      <c r="D205">
        <f>'raw FF data'!N236</f>
        <v>2</v>
      </c>
      <c r="E205">
        <v>1.5186070098855999</v>
      </c>
      <c r="F205">
        <v>15.8834506401305</v>
      </c>
      <c r="G205">
        <v>1.55293669742705</v>
      </c>
      <c r="H205">
        <f>'raw BLS data'!D139</f>
        <v>1.5</v>
      </c>
      <c r="I205">
        <f>'raw BLS data'!J222</f>
        <v>9.3000000000000007</v>
      </c>
      <c r="J205">
        <f t="shared" si="10"/>
        <v>8.6717715764244196E-2</v>
      </c>
      <c r="K205">
        <f t="shared" si="11"/>
        <v>8.5655191105805079E-2</v>
      </c>
    </row>
    <row r="206" spans="1:11" x14ac:dyDescent="0.2">
      <c r="A206" s="1">
        <f t="shared" si="12"/>
        <v>40544</v>
      </c>
      <c r="B206">
        <f>'raw FF data'!L237</f>
        <v>1.3</v>
      </c>
      <c r="C206">
        <f>'raw FF data'!P237</f>
        <v>15.4</v>
      </c>
      <c r="D206">
        <f>'raw FF data'!N237</f>
        <v>1.3</v>
      </c>
      <c r="E206">
        <v>1.2879232102565501</v>
      </c>
      <c r="F206">
        <v>15.391865860661101</v>
      </c>
      <c r="G206">
        <v>1.26869684197004</v>
      </c>
      <c r="H206">
        <f>'raw BLS data'!D140</f>
        <v>1.4</v>
      </c>
      <c r="I206">
        <f>'raw BLS data'!J223</f>
        <v>9.1</v>
      </c>
      <c r="J206">
        <f t="shared" si="10"/>
        <v>7.606109673261667E-2</v>
      </c>
      <c r="K206">
        <f t="shared" si="11"/>
        <v>8.268003447538752E-2</v>
      </c>
    </row>
    <row r="207" spans="1:11" x14ac:dyDescent="0.2">
      <c r="A207" s="1">
        <f t="shared" si="12"/>
        <v>40575</v>
      </c>
      <c r="B207">
        <f>'raw FF data'!L238</f>
        <v>1.6</v>
      </c>
      <c r="C207">
        <f>'raw FF data'!P238</f>
        <v>16.600000000000001</v>
      </c>
      <c r="D207">
        <f>'raw FF data'!N238</f>
        <v>1.4</v>
      </c>
      <c r="E207">
        <v>1.5768897634932</v>
      </c>
      <c r="F207">
        <v>16.738533184891001</v>
      </c>
      <c r="G207">
        <v>1.4761662189425</v>
      </c>
      <c r="H207">
        <f>'raw BLS data'!D141</f>
        <v>1.5</v>
      </c>
      <c r="I207">
        <f>'raw BLS data'!J224</f>
        <v>9</v>
      </c>
      <c r="J207">
        <f t="shared" si="10"/>
        <v>8.572852047000655E-2</v>
      </c>
      <c r="K207">
        <f t="shared" si="11"/>
        <v>8.1548364179969732E-2</v>
      </c>
    </row>
    <row r="208" spans="1:11" x14ac:dyDescent="0.2">
      <c r="A208" s="1">
        <f t="shared" si="12"/>
        <v>40603</v>
      </c>
      <c r="B208">
        <f>'raw FF data'!L239</f>
        <v>1.5</v>
      </c>
      <c r="C208">
        <f>'raw FF data'!P239</f>
        <v>19</v>
      </c>
      <c r="D208">
        <f>'raw FF data'!N239</f>
        <v>1.4</v>
      </c>
      <c r="E208">
        <v>1.6193110195465901</v>
      </c>
      <c r="F208">
        <v>17.4281823866068</v>
      </c>
      <c r="G208">
        <v>1.6429489664105701</v>
      </c>
      <c r="H208">
        <f>'raw BLS data'!D142</f>
        <v>1.5</v>
      </c>
      <c r="I208">
        <f>'raw BLS data'!J225</f>
        <v>8.9</v>
      </c>
      <c r="J208">
        <f t="shared" si="10"/>
        <v>8.4644072805928325E-2</v>
      </c>
      <c r="K208">
        <f t="shared" si="11"/>
        <v>7.8407487923131167E-2</v>
      </c>
    </row>
    <row r="209" spans="1:11" x14ac:dyDescent="0.2">
      <c r="A209" s="1">
        <f t="shared" si="12"/>
        <v>40634</v>
      </c>
      <c r="B209">
        <f>'raw FF data'!L240</f>
        <v>1.4</v>
      </c>
      <c r="C209">
        <f>'raw FF data'!P240</f>
        <v>15.5</v>
      </c>
      <c r="D209">
        <f>'raw FF data'!N240</f>
        <v>1.3</v>
      </c>
      <c r="E209">
        <v>1.5483961401233499</v>
      </c>
      <c r="F209">
        <v>15.828148369252199</v>
      </c>
      <c r="G209">
        <v>1.4675644750964201</v>
      </c>
      <c r="H209">
        <f>'raw BLS data'!D143</f>
        <v>1.4</v>
      </c>
      <c r="I209">
        <f>'raw BLS data'!J226</f>
        <v>9</v>
      </c>
      <c r="J209">
        <f t="shared" si="10"/>
        <v>8.9021182682963343E-2</v>
      </c>
      <c r="K209">
        <f t="shared" si="11"/>
        <v>8.0489515910457068E-2</v>
      </c>
    </row>
    <row r="210" spans="1:11" x14ac:dyDescent="0.2">
      <c r="A210" s="1">
        <f t="shared" si="12"/>
        <v>40664</v>
      </c>
      <c r="B210">
        <f>'raw FF data'!L241</f>
        <v>1.8</v>
      </c>
      <c r="C210">
        <f>'raw FF data'!P241</f>
        <v>19</v>
      </c>
      <c r="D210">
        <f>'raw FF data'!N241</f>
        <v>1.5</v>
      </c>
      <c r="E210">
        <v>1.58094239807623</v>
      </c>
      <c r="F210">
        <v>19.329801603506201</v>
      </c>
      <c r="G210">
        <v>1.4540703081294399</v>
      </c>
      <c r="H210">
        <f>'raw BLS data'!D144</f>
        <v>1.5</v>
      </c>
      <c r="I210">
        <f>'raw BLS data'!J227</f>
        <v>9</v>
      </c>
      <c r="J210">
        <f t="shared" si="10"/>
        <v>7.4426919207924699E-2</v>
      </c>
      <c r="K210">
        <f t="shared" si="11"/>
        <v>7.0616348165332687E-2</v>
      </c>
    </row>
    <row r="211" spans="1:11" x14ac:dyDescent="0.2">
      <c r="A211" s="1">
        <f t="shared" si="12"/>
        <v>40695</v>
      </c>
      <c r="B211">
        <f>'raw FF data'!L242</f>
        <v>1.6</v>
      </c>
      <c r="C211">
        <f>'raw FF data'!P242</f>
        <v>17.399999999999999</v>
      </c>
      <c r="D211">
        <f>'raw FF data'!N242</f>
        <v>1.5</v>
      </c>
      <c r="E211">
        <v>1.5688053477225601</v>
      </c>
      <c r="F211">
        <v>17.048552796636798</v>
      </c>
      <c r="G211">
        <v>1.38566999216719</v>
      </c>
      <c r="H211">
        <f>'raw BLS data'!D145</f>
        <v>1.4</v>
      </c>
      <c r="I211">
        <f>'raw BLS data'!J228</f>
        <v>9.1</v>
      </c>
      <c r="J211">
        <f t="shared" si="10"/>
        <v>8.364604773732616E-2</v>
      </c>
      <c r="K211">
        <f t="shared" si="11"/>
        <v>7.4645632106148524E-2</v>
      </c>
    </row>
    <row r="212" spans="1:11" x14ac:dyDescent="0.2">
      <c r="A212" s="1">
        <f t="shared" si="12"/>
        <v>40725</v>
      </c>
      <c r="B212">
        <f>'raw FF data'!L243</f>
        <v>1.6</v>
      </c>
      <c r="C212">
        <f>'raw FF data'!P243</f>
        <v>17.8</v>
      </c>
      <c r="D212">
        <f>'raw FF data'!N243</f>
        <v>1.4</v>
      </c>
      <c r="E212">
        <v>1.5152563441842699</v>
      </c>
      <c r="F212">
        <v>16.755770138771599</v>
      </c>
      <c r="G212">
        <v>1.3162708363219899</v>
      </c>
      <c r="H212">
        <f>'raw BLS data'!D146</f>
        <v>1.5</v>
      </c>
      <c r="I212">
        <f>'raw BLS data'!J229</f>
        <v>9</v>
      </c>
      <c r="J212">
        <f t="shared" si="10"/>
        <v>8.2293040653324129E-2</v>
      </c>
      <c r="K212">
        <f t="shared" si="11"/>
        <v>8.14644739510655E-2</v>
      </c>
    </row>
    <row r="213" spans="1:11" x14ac:dyDescent="0.2">
      <c r="A213" s="1">
        <f t="shared" si="12"/>
        <v>40756</v>
      </c>
      <c r="B213">
        <f>'raw FF data'!L244</f>
        <v>1.9</v>
      </c>
      <c r="C213">
        <f>'raw FF data'!P244</f>
        <v>19.3</v>
      </c>
      <c r="D213">
        <f>'raw FF data'!N244</f>
        <v>1.7</v>
      </c>
      <c r="E213">
        <v>1.6514005927595199</v>
      </c>
      <c r="F213">
        <v>16.5207569365129</v>
      </c>
      <c r="G213">
        <v>1.84442255584833</v>
      </c>
      <c r="H213">
        <f>'raw BLS data'!D147</f>
        <v>1.5</v>
      </c>
      <c r="I213">
        <f>'raw BLS data'!J230</f>
        <v>9</v>
      </c>
      <c r="J213">
        <f t="shared" si="10"/>
        <v>9.0962813942855547E-2</v>
      </c>
      <c r="K213">
        <f t="shared" si="11"/>
        <v>8.262333289240413E-2</v>
      </c>
    </row>
    <row r="214" spans="1:11" x14ac:dyDescent="0.2">
      <c r="A214" s="1">
        <f t="shared" si="12"/>
        <v>40787</v>
      </c>
      <c r="B214">
        <f>'raw FF data'!L245</f>
        <v>1.6</v>
      </c>
      <c r="C214">
        <f>'raw FF data'!P245</f>
        <v>19.2</v>
      </c>
      <c r="D214">
        <f>'raw FF data'!N245</f>
        <v>1.3</v>
      </c>
      <c r="E214">
        <v>1.5851811265759601</v>
      </c>
      <c r="F214">
        <v>18.0544692136991</v>
      </c>
      <c r="G214">
        <v>1.3933239602015399</v>
      </c>
      <c r="H214">
        <f>'raw BLS data'!D148</f>
        <v>1.5</v>
      </c>
      <c r="I214">
        <f>'raw BLS data'!J231</f>
        <v>9</v>
      </c>
      <c r="J214">
        <f t="shared" si="10"/>
        <v>7.9897935968651676E-2</v>
      </c>
      <c r="K214">
        <f t="shared" si="11"/>
        <v>7.5604548870607927E-2</v>
      </c>
    </row>
    <row r="215" spans="1:11" x14ac:dyDescent="0.2">
      <c r="A215" s="1">
        <f t="shared" si="12"/>
        <v>40817</v>
      </c>
      <c r="B215">
        <f>'raw FF data'!L246</f>
        <v>1.5</v>
      </c>
      <c r="C215">
        <f>'raw FF data'!P246</f>
        <v>17.100000000000001</v>
      </c>
      <c r="D215">
        <f>'raw FF data'!N246</f>
        <v>1.3</v>
      </c>
      <c r="E215">
        <v>1.6563634556200799</v>
      </c>
      <c r="F215">
        <v>18.059033099488801</v>
      </c>
      <c r="G215">
        <v>1.4347086764666299</v>
      </c>
      <c r="H215">
        <f>'raw BLS data'!D149</f>
        <v>1.5</v>
      </c>
      <c r="I215">
        <f>'raw BLS data'!J232</f>
        <v>8.9</v>
      </c>
      <c r="J215">
        <f t="shared" si="10"/>
        <v>8.3556362057534903E-2</v>
      </c>
      <c r="K215">
        <f t="shared" si="11"/>
        <v>7.5668502985283395E-2</v>
      </c>
    </row>
    <row r="216" spans="1:11" x14ac:dyDescent="0.2">
      <c r="A216" s="1">
        <f t="shared" si="12"/>
        <v>40848</v>
      </c>
      <c r="B216">
        <f>'raw FF data'!L247</f>
        <v>1.3</v>
      </c>
      <c r="C216">
        <f>'raw FF data'!P247</f>
        <v>16</v>
      </c>
      <c r="D216">
        <f>'raw FF data'!N247</f>
        <v>1.5</v>
      </c>
      <c r="E216">
        <v>1.4900153162326399</v>
      </c>
      <c r="F216">
        <v>18.8739594999928</v>
      </c>
      <c r="G216">
        <v>1.3932650569935701</v>
      </c>
      <c r="H216">
        <f>'raw BLS data'!D150</f>
        <v>1.5</v>
      </c>
      <c r="I216">
        <f>'raw BLS data'!J233</f>
        <v>8.6</v>
      </c>
      <c r="J216">
        <f t="shared" si="10"/>
        <v>7.2156242522251487E-2</v>
      </c>
      <c r="K216">
        <f t="shared" si="11"/>
        <v>7.263976591666009E-2</v>
      </c>
    </row>
    <row r="217" spans="1:11" x14ac:dyDescent="0.2">
      <c r="A217" s="1">
        <f t="shared" si="12"/>
        <v>40878</v>
      </c>
      <c r="B217">
        <f>'raw FF data'!L248</f>
        <v>1.7</v>
      </c>
      <c r="C217">
        <f>'raw FF data'!P248</f>
        <v>15.7</v>
      </c>
      <c r="D217">
        <f>'raw FF data'!N248</f>
        <v>1.7</v>
      </c>
      <c r="E217">
        <v>1.7132845903274101</v>
      </c>
      <c r="F217">
        <v>18.587459774653698</v>
      </c>
      <c r="G217">
        <v>1.31777727545184</v>
      </c>
      <c r="H217">
        <f>'raw BLS data'!D151</f>
        <v>1.5</v>
      </c>
      <c r="I217">
        <f>'raw BLS data'!J234</f>
        <v>8.5</v>
      </c>
      <c r="J217">
        <f t="shared" si="10"/>
        <v>8.4339410503379952E-2</v>
      </c>
      <c r="K217">
        <f t="shared" si="11"/>
        <v>7.384010599832333E-2</v>
      </c>
    </row>
    <row r="218" spans="1:11" x14ac:dyDescent="0.2">
      <c r="A218" s="1">
        <f t="shared" si="12"/>
        <v>40909</v>
      </c>
      <c r="B218">
        <f>'raw FF data'!L249</f>
        <v>1.6</v>
      </c>
      <c r="C218">
        <f>'raw FF data'!P249</f>
        <v>18.7</v>
      </c>
      <c r="D218">
        <f>'raw FF data'!N249</f>
        <v>1.4</v>
      </c>
      <c r="E218">
        <v>1.5912513747392101</v>
      </c>
      <c r="F218">
        <v>18.7075919048938</v>
      </c>
      <c r="G218">
        <v>1.38446153181936</v>
      </c>
      <c r="H218">
        <f>'raw BLS data'!D152</f>
        <v>1.5</v>
      </c>
      <c r="I218">
        <f>'raw BLS data'!J235</f>
        <v>8.3000000000000007</v>
      </c>
      <c r="J218">
        <f t="shared" si="10"/>
        <v>7.79992164707283E-2</v>
      </c>
      <c r="K218">
        <f t="shared" si="11"/>
        <v>7.3526299215463276E-2</v>
      </c>
    </row>
    <row r="219" spans="1:11" x14ac:dyDescent="0.2">
      <c r="A219" s="1">
        <f t="shared" si="12"/>
        <v>40940</v>
      </c>
      <c r="B219">
        <f>'raw FF data'!L250</f>
        <v>1.6</v>
      </c>
      <c r="C219">
        <f>'raw FF data'!P250</f>
        <v>18.7</v>
      </c>
      <c r="D219">
        <f>'raw FF data'!N250</f>
        <v>1.3</v>
      </c>
      <c r="E219">
        <v>1.5677224534376899</v>
      </c>
      <c r="F219">
        <v>18.832071808421698</v>
      </c>
      <c r="G219">
        <v>1.3911796744396701</v>
      </c>
      <c r="H219">
        <f>'raw BLS data'!D153</f>
        <v>1.6</v>
      </c>
      <c r="I219">
        <f>'raw BLS data'!J236</f>
        <v>8.3000000000000007</v>
      </c>
      <c r="J219">
        <f t="shared" si="10"/>
        <v>7.6337935858946049E-2</v>
      </c>
      <c r="K219">
        <f t="shared" si="11"/>
        <v>7.7909643448994731E-2</v>
      </c>
    </row>
    <row r="220" spans="1:11" x14ac:dyDescent="0.2">
      <c r="A220" s="1">
        <f t="shared" si="12"/>
        <v>40969</v>
      </c>
      <c r="B220">
        <f>'raw FF data'!L251</f>
        <v>1.4</v>
      </c>
      <c r="C220">
        <f>'raw FF data'!P251</f>
        <v>18.399999999999999</v>
      </c>
      <c r="D220">
        <f>'raw FF data'!N251</f>
        <v>1.1000000000000001</v>
      </c>
      <c r="E220">
        <v>1.5132351976609799</v>
      </c>
      <c r="F220">
        <v>16.751628999725401</v>
      </c>
      <c r="G220">
        <v>1.2848744732791499</v>
      </c>
      <c r="H220">
        <f>'raw BLS data'!D154</f>
        <v>1.6</v>
      </c>
      <c r="I220">
        <f>'raw BLS data'!J237</f>
        <v>8.1999999999999993</v>
      </c>
      <c r="J220">
        <f t="shared" si="10"/>
        <v>8.2926258185132384E-2</v>
      </c>
      <c r="K220">
        <f t="shared" si="11"/>
        <v>8.7681024933400645E-2</v>
      </c>
    </row>
    <row r="221" spans="1:11" x14ac:dyDescent="0.2">
      <c r="A221" s="1">
        <f t="shared" si="12"/>
        <v>41000</v>
      </c>
      <c r="B221">
        <f>'raw FF data'!L252</f>
        <v>1.3</v>
      </c>
      <c r="C221">
        <f>'raw FF data'!P252</f>
        <v>17.8</v>
      </c>
      <c r="D221">
        <f>'raw FF data'!N252</f>
        <v>1.2</v>
      </c>
      <c r="E221">
        <v>1.4388855384081201</v>
      </c>
      <c r="F221">
        <v>18.344215750653699</v>
      </c>
      <c r="G221">
        <v>1.35308305399197</v>
      </c>
      <c r="H221">
        <f>'raw BLS data'!D155</f>
        <v>1.6</v>
      </c>
      <c r="I221">
        <f>'raw BLS data'!J238</f>
        <v>8.1</v>
      </c>
      <c r="J221">
        <f t="shared" si="10"/>
        <v>7.2084619357463714E-2</v>
      </c>
      <c r="K221">
        <f t="shared" si="11"/>
        <v>8.0156056818487989E-2</v>
      </c>
    </row>
    <row r="222" spans="1:11" x14ac:dyDescent="0.2">
      <c r="A222" s="1">
        <f t="shared" si="12"/>
        <v>41030</v>
      </c>
      <c r="B222">
        <f>'raw FF data'!L253</f>
        <v>1.9</v>
      </c>
      <c r="C222">
        <f>'raw FF data'!P253</f>
        <v>18.5</v>
      </c>
      <c r="D222">
        <f>'raw FF data'!N253</f>
        <v>1.5</v>
      </c>
      <c r="E222">
        <v>1.6489167026093701</v>
      </c>
      <c r="F222">
        <v>18.818972769798101</v>
      </c>
      <c r="G222">
        <v>1.4431784431497301</v>
      </c>
      <c r="H222">
        <f>'raw BLS data'!D156</f>
        <v>1.6</v>
      </c>
      <c r="I222">
        <f>'raw BLS data'!J239</f>
        <v>8.1999999999999993</v>
      </c>
      <c r="J222">
        <f t="shared" si="10"/>
        <v>8.0435077488644549E-2</v>
      </c>
      <c r="K222">
        <f t="shared" si="11"/>
        <v>7.8048893420857954E-2</v>
      </c>
    </row>
    <row r="223" spans="1:11" x14ac:dyDescent="0.2">
      <c r="A223" s="1">
        <f t="shared" si="12"/>
        <v>41061</v>
      </c>
      <c r="B223">
        <f>'raw FF data'!L254</f>
        <v>1.6</v>
      </c>
      <c r="C223">
        <f>'raw FF data'!P254</f>
        <v>17.5</v>
      </c>
      <c r="D223">
        <f>'raw FF data'!N254</f>
        <v>1.5</v>
      </c>
      <c r="E223">
        <v>1.58512027236723</v>
      </c>
      <c r="F223">
        <v>17.031919091174998</v>
      </c>
      <c r="G223">
        <v>1.39539240010691</v>
      </c>
      <c r="H223">
        <f>'raw BLS data'!D157</f>
        <v>1.6</v>
      </c>
      <c r="I223">
        <f>'raw BLS data'!J240</f>
        <v>8.1999999999999993</v>
      </c>
      <c r="J223">
        <f t="shared" si="10"/>
        <v>8.5436080470056408E-2</v>
      </c>
      <c r="K223">
        <f t="shared" si="11"/>
        <v>8.6238079933168024E-2</v>
      </c>
    </row>
    <row r="224" spans="1:11" x14ac:dyDescent="0.2">
      <c r="A224" s="1">
        <f t="shared" si="12"/>
        <v>41091</v>
      </c>
      <c r="B224">
        <f>'raw FF data'!L255</f>
        <v>1.8</v>
      </c>
      <c r="C224">
        <f>'raw FF data'!P255</f>
        <v>19.600000000000001</v>
      </c>
      <c r="D224">
        <f>'raw FF data'!N255</f>
        <v>1.6</v>
      </c>
      <c r="E224">
        <v>1.7035534209423999</v>
      </c>
      <c r="F224">
        <v>18.5309533958341</v>
      </c>
      <c r="G224">
        <v>1.4955478803564299</v>
      </c>
      <c r="H224">
        <f>'raw BLS data'!D158</f>
        <v>1.6</v>
      </c>
      <c r="I224">
        <f>'raw BLS data'!J241</f>
        <v>8.1999999999999993</v>
      </c>
      <c r="J224">
        <f t="shared" si="10"/>
        <v>8.4391882436911814E-2</v>
      </c>
      <c r="K224">
        <f t="shared" si="11"/>
        <v>7.9261976900238576E-2</v>
      </c>
    </row>
    <row r="225" spans="1:11" x14ac:dyDescent="0.2">
      <c r="A225" s="1">
        <f t="shared" si="12"/>
        <v>41122</v>
      </c>
      <c r="B225">
        <f>'raw FF data'!L256</f>
        <v>1.7</v>
      </c>
      <c r="C225">
        <f>'raw FF data'!P256</f>
        <v>21.6</v>
      </c>
      <c r="D225">
        <f>'raw FF data'!N256</f>
        <v>1.2</v>
      </c>
      <c r="E225">
        <v>1.47909788300067</v>
      </c>
      <c r="F225">
        <v>18.5095016429396</v>
      </c>
      <c r="G225">
        <v>1.3017629136904101</v>
      </c>
      <c r="H225">
        <f>'raw BLS data'!D159</f>
        <v>1.6</v>
      </c>
      <c r="I225">
        <f>'raw BLS data'!J242</f>
        <v>8.1</v>
      </c>
      <c r="J225">
        <f t="shared" si="10"/>
        <v>7.3437469073950656E-2</v>
      </c>
      <c r="K225">
        <f t="shared" si="11"/>
        <v>7.9440280368698116E-2</v>
      </c>
    </row>
    <row r="226" spans="1:11" x14ac:dyDescent="0.2">
      <c r="A226" s="1">
        <f t="shared" si="12"/>
        <v>41153</v>
      </c>
      <c r="B226">
        <f>'raw FF data'!L257</f>
        <v>1.6</v>
      </c>
      <c r="C226">
        <f>'raw FF data'!P257</f>
        <v>19.7</v>
      </c>
      <c r="D226">
        <f>'raw FF data'!N257</f>
        <v>1.3</v>
      </c>
      <c r="E226">
        <v>1.5976488216508999</v>
      </c>
      <c r="F226">
        <v>18.500647906654201</v>
      </c>
      <c r="G226">
        <v>1.3931341022050301</v>
      </c>
      <c r="H226">
        <f>'raw BLS data'!D160</f>
        <v>1.5</v>
      </c>
      <c r="I226">
        <f>'raw BLS data'!J243</f>
        <v>7.8</v>
      </c>
      <c r="J226">
        <f t="shared" si="10"/>
        <v>7.9620574424981008E-2</v>
      </c>
      <c r="K226">
        <f t="shared" si="11"/>
        <v>7.4754138718707841E-2</v>
      </c>
    </row>
    <row r="227" spans="1:11" x14ac:dyDescent="0.2">
      <c r="A227" s="1">
        <f t="shared" si="12"/>
        <v>41183</v>
      </c>
      <c r="B227">
        <f>'raw FF data'!L258</f>
        <v>1.4</v>
      </c>
      <c r="C227">
        <f>'raw FF data'!P258</f>
        <v>16.3</v>
      </c>
      <c r="D227">
        <f>'raw FF data'!N258</f>
        <v>1.2</v>
      </c>
      <c r="E227">
        <v>1.54109271039256</v>
      </c>
      <c r="F227">
        <v>17.2386435183789</v>
      </c>
      <c r="G227">
        <v>1.3211824202106801</v>
      </c>
      <c r="H227">
        <f>'raw BLS data'!D161</f>
        <v>1.5</v>
      </c>
      <c r="I227">
        <f>'raw BLS data'!J244</f>
        <v>7.9</v>
      </c>
      <c r="J227">
        <f t="shared" si="10"/>
        <v>8.23351550113742E-2</v>
      </c>
      <c r="K227">
        <f t="shared" si="11"/>
        <v>8.0139716244327461E-2</v>
      </c>
    </row>
    <row r="228" spans="1:11" x14ac:dyDescent="0.2">
      <c r="A228" s="1">
        <f t="shared" si="12"/>
        <v>41214</v>
      </c>
      <c r="B228">
        <f>'raw FF data'!L259</f>
        <v>1.5</v>
      </c>
      <c r="C228">
        <f>'raw FF data'!P259</f>
        <v>14.7</v>
      </c>
      <c r="D228">
        <f>'raw FF data'!N259</f>
        <v>1.5</v>
      </c>
      <c r="E228">
        <v>1.7229448149334601</v>
      </c>
      <c r="F228">
        <v>17.3947747451213</v>
      </c>
      <c r="G228">
        <v>1.3853476668400799</v>
      </c>
      <c r="H228">
        <f>'raw BLS data'!D162</f>
        <v>1.6</v>
      </c>
      <c r="I228">
        <f>'raw BLS data'!J245</f>
        <v>7.8</v>
      </c>
      <c r="J228">
        <f t="shared" si="10"/>
        <v>9.1323695917027686E-2</v>
      </c>
      <c r="K228">
        <f t="shared" si="11"/>
        <v>8.4807076930602299E-2</v>
      </c>
    </row>
    <row r="229" spans="1:11" x14ac:dyDescent="0.2">
      <c r="A229" s="1">
        <f t="shared" si="12"/>
        <v>41244</v>
      </c>
      <c r="B229">
        <f>'raw FF data'!L260</f>
        <v>1.5</v>
      </c>
      <c r="C229">
        <f>'raw FF data'!P260</f>
        <v>16.100000000000001</v>
      </c>
      <c r="D229">
        <f>'raw FF data'!N260</f>
        <v>1.8</v>
      </c>
      <c r="E229">
        <v>1.5028259087709099</v>
      </c>
      <c r="F229">
        <v>19.029264916576398</v>
      </c>
      <c r="G229">
        <v>1.3990253886749799</v>
      </c>
      <c r="H229">
        <f>'raw BLS data'!D163</f>
        <v>1.6</v>
      </c>
      <c r="I229">
        <f>'raw BLS data'!J246</f>
        <v>7.8</v>
      </c>
      <c r="J229">
        <f t="shared" si="10"/>
        <v>7.2814451528276203E-2</v>
      </c>
      <c r="K229">
        <f t="shared" si="11"/>
        <v>7.7522700244451001E-2</v>
      </c>
    </row>
    <row r="230" spans="1:11" x14ac:dyDescent="0.2">
      <c r="A230" s="1">
        <f t="shared" si="12"/>
        <v>41275</v>
      </c>
      <c r="B230">
        <f>'raw FF data'!L261</f>
        <v>1.6</v>
      </c>
      <c r="C230">
        <f>'raw FF data'!P261</f>
        <v>19.3</v>
      </c>
      <c r="D230">
        <f>'raw FF data'!N261</f>
        <v>1.3</v>
      </c>
      <c r="E230">
        <v>1.5962014228663399</v>
      </c>
      <c r="F230">
        <v>19.287763784513601</v>
      </c>
      <c r="G230">
        <v>1.29514296457046</v>
      </c>
      <c r="H230">
        <f>'raw BLS data'!D164</f>
        <v>1.7</v>
      </c>
      <c r="I230">
        <f>'raw BLS data'!J247</f>
        <v>7.9</v>
      </c>
      <c r="J230">
        <f t="shared" si="10"/>
        <v>7.6219385869929768E-2</v>
      </c>
      <c r="K230">
        <f t="shared" si="11"/>
        <v>8.1175817865268618E-2</v>
      </c>
    </row>
    <row r="231" spans="1:11" x14ac:dyDescent="0.2">
      <c r="A231" s="1">
        <f t="shared" si="12"/>
        <v>41306</v>
      </c>
      <c r="B231">
        <f>'raw FF data'!L262</f>
        <v>1.6</v>
      </c>
      <c r="C231">
        <f>'raw FF data'!P262</f>
        <v>17.2</v>
      </c>
      <c r="D231">
        <f>'raw FF data'!N262</f>
        <v>1.2</v>
      </c>
      <c r="E231">
        <v>1.5622565427024799</v>
      </c>
      <c r="F231">
        <v>17.297736079609301</v>
      </c>
      <c r="G231">
        <v>1.2903298180854801</v>
      </c>
      <c r="H231">
        <f>'raw BLS data'!D165</f>
        <v>1.7</v>
      </c>
      <c r="I231">
        <f>'raw BLS data'!J248</f>
        <v>7.7</v>
      </c>
      <c r="J231">
        <f t="shared" si="10"/>
        <v>8.336135909797962E-2</v>
      </c>
      <c r="K231">
        <f t="shared" si="11"/>
        <v>9.0711292667348911E-2</v>
      </c>
    </row>
    <row r="232" spans="1:11" x14ac:dyDescent="0.2">
      <c r="A232" s="1">
        <f t="shared" si="12"/>
        <v>41334</v>
      </c>
      <c r="B232">
        <f>'raw FF data'!L263</f>
        <v>1.4</v>
      </c>
      <c r="C232">
        <f>'raw FF data'!P263</f>
        <v>19.3</v>
      </c>
      <c r="D232">
        <f>'raw FF data'!N263</f>
        <v>1.2</v>
      </c>
      <c r="E232">
        <v>1.5165041220490001</v>
      </c>
      <c r="F232">
        <v>17.559116012435901</v>
      </c>
      <c r="G232">
        <v>1.39934812919347</v>
      </c>
      <c r="H232">
        <f>'raw BLS data'!D166</f>
        <v>1.6</v>
      </c>
      <c r="I232">
        <f>'raw BLS data'!J249</f>
        <v>7.6</v>
      </c>
      <c r="J232">
        <f t="shared" si="10"/>
        <v>7.98018424037331E-2</v>
      </c>
      <c r="K232">
        <f t="shared" si="11"/>
        <v>8.419558245147149E-2</v>
      </c>
    </row>
    <row r="233" spans="1:11" x14ac:dyDescent="0.2">
      <c r="A233" s="1">
        <f t="shared" si="12"/>
        <v>41365</v>
      </c>
      <c r="B233">
        <f>'raw FF data'!L264</f>
        <v>1.6</v>
      </c>
      <c r="C233">
        <f>'raw FF data'!P264</f>
        <v>21.5</v>
      </c>
      <c r="D233">
        <f>'raw FF data'!N264</f>
        <v>1.2</v>
      </c>
      <c r="E233">
        <v>1.7754388836724999</v>
      </c>
      <c r="F233">
        <v>22.248749839246202</v>
      </c>
      <c r="G233">
        <v>1.3500532512557999</v>
      </c>
      <c r="H233">
        <f>'raw BLS data'!D167</f>
        <v>1.6</v>
      </c>
      <c r="I233">
        <f>'raw BLS data'!J250</f>
        <v>7.5</v>
      </c>
      <c r="J233">
        <f t="shared" si="10"/>
        <v>7.3814527974067221E-2</v>
      </c>
      <c r="K233">
        <f t="shared" si="11"/>
        <v>6.6520591525071657E-2</v>
      </c>
    </row>
    <row r="234" spans="1:11" x14ac:dyDescent="0.2">
      <c r="A234" s="1">
        <f t="shared" si="12"/>
        <v>41395</v>
      </c>
      <c r="B234">
        <f>'raw FF data'!L265</f>
        <v>1.8</v>
      </c>
      <c r="C234">
        <f>'raw FF data'!P265</f>
        <v>19</v>
      </c>
      <c r="D234">
        <f>'raw FF data'!N265</f>
        <v>1.4</v>
      </c>
      <c r="E234">
        <v>1.5521055059737201</v>
      </c>
      <c r="F234">
        <v>19.247067890233598</v>
      </c>
      <c r="G234">
        <v>1.3390816425268499</v>
      </c>
      <c r="H234">
        <f>'raw BLS data'!D168</f>
        <v>1.6</v>
      </c>
      <c r="I234">
        <f>'raw BLS data'!J251</f>
        <v>7.6</v>
      </c>
      <c r="J234">
        <f t="shared" si="10"/>
        <v>7.4512413823169171E-2</v>
      </c>
      <c r="K234">
        <f t="shared" si="11"/>
        <v>7.6811699757664081E-2</v>
      </c>
    </row>
    <row r="235" spans="1:11" x14ac:dyDescent="0.2">
      <c r="A235" s="1">
        <f t="shared" si="12"/>
        <v>41426</v>
      </c>
      <c r="B235">
        <f>'raw FF data'!L266</f>
        <v>1.5</v>
      </c>
      <c r="C235">
        <f>'raw FF data'!P266</f>
        <v>19.2</v>
      </c>
      <c r="D235">
        <f>'raw FF data'!N266</f>
        <v>1.4</v>
      </c>
      <c r="E235">
        <v>1.49678402007531</v>
      </c>
      <c r="F235">
        <v>18.6638363127981</v>
      </c>
      <c r="G235">
        <v>1.30894500469695</v>
      </c>
      <c r="H235">
        <f>'raw BLS data'!D169</f>
        <v>1.6</v>
      </c>
      <c r="I235">
        <f>'raw BLS data'!J252</f>
        <v>7.6</v>
      </c>
      <c r="J235">
        <f t="shared" si="10"/>
        <v>7.4102044797790104E-2</v>
      </c>
      <c r="K235">
        <f t="shared" si="11"/>
        <v>7.9212010608249755E-2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2.75" x14ac:dyDescent="0.2"/>
  <cols>
    <col min="1" max="1" width="10.140625" style="1" bestFit="1" customWidth="1"/>
    <col min="2" max="3" width="16.42578125" bestFit="1" customWidth="1"/>
    <col min="4" max="5" width="15.140625" bestFit="1" customWidth="1"/>
    <col min="6" max="6" width="15.140625" customWidth="1"/>
    <col min="7" max="7" width="19.42578125" bestFit="1" customWidth="1"/>
    <col min="8" max="8" width="27" bestFit="1" customWidth="1"/>
    <col min="9" max="9" width="36" bestFit="1" customWidth="1"/>
    <col min="10" max="10" width="39.42578125" bestFit="1" customWidth="1"/>
  </cols>
  <sheetData>
    <row r="1" spans="1:10" x14ac:dyDescent="0.2">
      <c r="B1" t="str">
        <f>Calculations!B1</f>
        <v>EE rate (FF, NSA)</v>
      </c>
      <c r="C1" t="str">
        <f>Calculations!C1</f>
        <v>UE rate (FF, NSA)</v>
      </c>
      <c r="D1" t="str">
        <f>Calculations!E1</f>
        <v>EE rate (FF, SA)</v>
      </c>
      <c r="E1" t="str">
        <f>Calculations!F1</f>
        <v>UE rate (FF, SA)</v>
      </c>
      <c r="F1" t="str">
        <f>Calculations!G1</f>
        <v>EU rate (FF, SA)</v>
      </c>
      <c r="G1" t="str">
        <f>Calculations!H1</f>
        <v>Quit rate (JOLTS, SA)</v>
      </c>
      <c r="H1" t="str">
        <f>Calculations!I1</f>
        <v>Unemployment rate (CPS, SA)</v>
      </c>
      <c r="I1" t="str">
        <f>Calculations!J1</f>
        <v>Implied search intensity of employed (FF)</v>
      </c>
      <c r="J1" t="str">
        <f>Calculations!K1</f>
        <v>Implied search intensity of employed (JOLTS)</v>
      </c>
    </row>
    <row r="2" spans="1:10" x14ac:dyDescent="0.2">
      <c r="A2" s="1">
        <f>Calculations!A2</f>
        <v>34335</v>
      </c>
      <c r="B2" t="e">
        <f>NA()</f>
        <v>#N/A</v>
      </c>
      <c r="C2" t="e">
        <f>NA()</f>
        <v>#N/A</v>
      </c>
      <c r="D2" t="e">
        <f>NA()</f>
        <v>#N/A</v>
      </c>
      <c r="E2" t="e">
        <f>NA()</f>
        <v>#N/A</v>
      </c>
      <c r="F2" t="e">
        <f>NA()</f>
        <v>#N/A</v>
      </c>
      <c r="G2" t="e">
        <f>NA()</f>
        <v>#N/A</v>
      </c>
      <c r="H2" t="e">
        <f>NA()</f>
        <v>#N/A</v>
      </c>
      <c r="I2" t="e">
        <f>NA()</f>
        <v>#N/A</v>
      </c>
      <c r="J2" t="e">
        <f>NA()</f>
        <v>#N/A</v>
      </c>
    </row>
    <row r="3" spans="1:10" x14ac:dyDescent="0.2">
      <c r="A3" s="1">
        <f>Calculations!A3</f>
        <v>34366</v>
      </c>
      <c r="B3" t="e">
        <f>NA()</f>
        <v>#N/A</v>
      </c>
      <c r="C3" t="e">
        <f>NA()</f>
        <v>#N/A</v>
      </c>
      <c r="D3" t="e">
        <f>NA()</f>
        <v>#N/A</v>
      </c>
      <c r="E3" t="e">
        <f>NA()</f>
        <v>#N/A</v>
      </c>
      <c r="F3" t="e">
        <f>NA()</f>
        <v>#N/A</v>
      </c>
      <c r="G3" t="e">
        <f>NA()</f>
        <v>#N/A</v>
      </c>
      <c r="H3" t="e">
        <f>NA()</f>
        <v>#N/A</v>
      </c>
      <c r="I3" t="e">
        <f>NA()</f>
        <v>#N/A</v>
      </c>
      <c r="J3" t="e">
        <f>NA()</f>
        <v>#N/A</v>
      </c>
    </row>
    <row r="4" spans="1:10" x14ac:dyDescent="0.2">
      <c r="A4" s="1">
        <f>Calculations!A4</f>
        <v>34394</v>
      </c>
      <c r="B4">
        <f>AVERAGE(Calculations!B2:B4)</f>
        <v>3</v>
      </c>
      <c r="C4">
        <f>AVERAGE(Calculations!C2:C4)</f>
        <v>26.100000000000005</v>
      </c>
      <c r="D4">
        <f>AVERAGE(Calculations!E2:E4)</f>
        <v>3.1543144977602897</v>
      </c>
      <c r="E4">
        <f>AVERAGE(Calculations!F2:F4)</f>
        <v>26.482343062861464</v>
      </c>
      <c r="F4">
        <f>AVERAGE(Calculations!G2:G4)</f>
        <v>1.4227677901800633</v>
      </c>
      <c r="G4" t="e">
        <f>AVERAGE(Calculations!H2:H4)</f>
        <v>#N/A</v>
      </c>
      <c r="H4">
        <f>AVERAGE(Calculations!I2:I4)</f>
        <v>6.5666666666666664</v>
      </c>
      <c r="I4">
        <f>AVERAGE(Calculations!J2:J4)</f>
        <v>0.11161632502570183</v>
      </c>
      <c r="J4" t="e">
        <f>AVERAGE(Calculations!K2:K4)</f>
        <v>#N/A</v>
      </c>
    </row>
    <row r="5" spans="1:10" x14ac:dyDescent="0.2">
      <c r="A5" s="1">
        <f>Calculations!A5</f>
        <v>34425</v>
      </c>
      <c r="B5">
        <f>AVERAGE(Calculations!B3:B5)</f>
        <v>2.7999999999999994</v>
      </c>
      <c r="C5">
        <f>AVERAGE(Calculations!C3:C5)</f>
        <v>27.566666666666666</v>
      </c>
      <c r="D5">
        <f>AVERAGE(Calculations!E3:E5)</f>
        <v>3.0090679216242897</v>
      </c>
      <c r="E5">
        <f>AVERAGE(Calculations!F3:F5)</f>
        <v>27.392944915899765</v>
      </c>
      <c r="F5">
        <f>AVERAGE(Calculations!G3:G5)</f>
        <v>1.3733784424891569</v>
      </c>
      <c r="G5" t="e">
        <f>AVERAGE(Calculations!H3:H5)</f>
        <v>#N/A</v>
      </c>
      <c r="H5">
        <f>AVERAGE(Calculations!I3:I5)</f>
        <v>6.5</v>
      </c>
      <c r="I5">
        <f>AVERAGE(Calculations!J3:J5)</f>
        <v>0.10266735337050215</v>
      </c>
      <c r="J5" t="e">
        <f>AVERAGE(Calculations!K3:K5)</f>
        <v>#N/A</v>
      </c>
    </row>
    <row r="6" spans="1:10" x14ac:dyDescent="0.2">
      <c r="A6" s="1">
        <f>Calculations!A6</f>
        <v>34455</v>
      </c>
      <c r="B6">
        <f>AVERAGE(Calculations!B4:B6)</f>
        <v>3.0666666666666664</v>
      </c>
      <c r="C6">
        <f>AVERAGE(Calculations!C4:C6)</f>
        <v>28.433333333333334</v>
      </c>
      <c r="D6">
        <f>AVERAGE(Calculations!E4:E6)</f>
        <v>3.1253913016833899</v>
      </c>
      <c r="E6">
        <f>AVERAGE(Calculations!F4:F6)</f>
        <v>27.66150650776753</v>
      </c>
      <c r="F6">
        <f>AVERAGE(Calculations!G4:G6)</f>
        <v>1.4674962542797232</v>
      </c>
      <c r="G6" t="e">
        <f>AVERAGE(Calculations!H4:H6)</f>
        <v>#N/A</v>
      </c>
      <c r="H6">
        <f>AVERAGE(Calculations!I4:I6)</f>
        <v>6.333333333333333</v>
      </c>
      <c r="I6">
        <f>AVERAGE(Calculations!J4:J6)</f>
        <v>0.10587415816857389</v>
      </c>
      <c r="J6" t="e">
        <f>AVERAGE(Calculations!K4:K6)</f>
        <v>#N/A</v>
      </c>
    </row>
    <row r="7" spans="1:10" x14ac:dyDescent="0.2">
      <c r="A7" s="1">
        <f>Calculations!A7</f>
        <v>34486</v>
      </c>
      <c r="B7">
        <f>AVERAGE(Calculations!B5:B7)</f>
        <v>3.1</v>
      </c>
      <c r="C7">
        <f>AVERAGE(Calculations!C5:C7)</f>
        <v>28.733333333333334</v>
      </c>
      <c r="D7">
        <f>AVERAGE(Calculations!E5:E7)</f>
        <v>2.9776267624690931</v>
      </c>
      <c r="E7">
        <f>AVERAGE(Calculations!F5:F7)</f>
        <v>27.352085883739065</v>
      </c>
      <c r="F7">
        <f>AVERAGE(Calculations!G5:G7)</f>
        <v>1.4839237367282134</v>
      </c>
      <c r="G7" t="e">
        <f>AVERAGE(Calculations!H5:H7)</f>
        <v>#N/A</v>
      </c>
      <c r="H7">
        <f>AVERAGE(Calculations!I5:I7)</f>
        <v>6.2</v>
      </c>
      <c r="I7">
        <f>AVERAGE(Calculations!J5:J7)</f>
        <v>0.1022112241183243</v>
      </c>
      <c r="J7" t="e">
        <f>AVERAGE(Calculations!K5:K7)</f>
        <v>#N/A</v>
      </c>
    </row>
    <row r="8" spans="1:10" x14ac:dyDescent="0.2">
      <c r="A8" s="1">
        <f>Calculations!A8</f>
        <v>34516</v>
      </c>
      <c r="B8">
        <f>AVERAGE(Calculations!B6:B8)</f>
        <v>3.1333333333333333</v>
      </c>
      <c r="C8">
        <f>AVERAGE(Calculations!C6:C8)</f>
        <v>27.666666666666668</v>
      </c>
      <c r="D8">
        <f>AVERAGE(Calculations!E6:E8)</f>
        <v>2.8778433934704832</v>
      </c>
      <c r="E8">
        <f>AVERAGE(Calculations!F6:F8)</f>
        <v>26.507420879575665</v>
      </c>
      <c r="F8">
        <f>AVERAGE(Calculations!G6:G8)</f>
        <v>1.5932526735522867</v>
      </c>
      <c r="G8" t="e">
        <f>AVERAGE(Calculations!H6:H8)</f>
        <v>#N/A</v>
      </c>
      <c r="H8">
        <f>AVERAGE(Calculations!I6:I8)</f>
        <v>6.0999999999999988</v>
      </c>
      <c r="I8">
        <f>AVERAGE(Calculations!J6:J8)</f>
        <v>0.10185610654856365</v>
      </c>
      <c r="J8" t="e">
        <f>AVERAGE(Calculations!K6:K8)</f>
        <v>#N/A</v>
      </c>
    </row>
    <row r="9" spans="1:10" x14ac:dyDescent="0.2">
      <c r="A9" s="1">
        <f>Calculations!A9</f>
        <v>34547</v>
      </c>
      <c r="B9">
        <f>AVERAGE(Calculations!B7:B9)</f>
        <v>3.3666666666666671</v>
      </c>
      <c r="C9">
        <f>AVERAGE(Calculations!C7:C9)</f>
        <v>29.066666666666666</v>
      </c>
      <c r="D9">
        <f>AVERAGE(Calculations!E7:E9)</f>
        <v>3.0485209430316367</v>
      </c>
      <c r="E9">
        <f>AVERAGE(Calculations!F7:F9)</f>
        <v>27.128094193681235</v>
      </c>
      <c r="F9">
        <f>AVERAGE(Calculations!G7:G9)</f>
        <v>1.6106623839819199</v>
      </c>
      <c r="G9" t="e">
        <f>AVERAGE(Calculations!H7:H9)</f>
        <v>#N/A</v>
      </c>
      <c r="H9">
        <f>AVERAGE(Calculations!I7:I9)</f>
        <v>6.0666666666666664</v>
      </c>
      <c r="I9">
        <f>AVERAGE(Calculations!J7:J9)</f>
        <v>0.10502983302218959</v>
      </c>
      <c r="J9" t="e">
        <f>AVERAGE(Calculations!K7:K9)</f>
        <v>#N/A</v>
      </c>
    </row>
    <row r="10" spans="1:10" x14ac:dyDescent="0.2">
      <c r="A10" s="1">
        <f>Calculations!A10</f>
        <v>34578</v>
      </c>
      <c r="B10">
        <f>AVERAGE(Calculations!B8:B10)</f>
        <v>3.2999999999999994</v>
      </c>
      <c r="C10">
        <f>AVERAGE(Calculations!C8:C10)</f>
        <v>28.466666666666669</v>
      </c>
      <c r="D10">
        <f>AVERAGE(Calculations!E8:E10)</f>
        <v>2.9966211244995136</v>
      </c>
      <c r="E10">
        <f>AVERAGE(Calculations!F8:F10)</f>
        <v>26.530935289476332</v>
      </c>
      <c r="F10">
        <f>AVERAGE(Calculations!G8:G10)</f>
        <v>1.4375541541704899</v>
      </c>
      <c r="G10" t="e">
        <f>AVERAGE(Calculations!H8:H10)</f>
        <v>#N/A</v>
      </c>
      <c r="H10">
        <f>AVERAGE(Calculations!I8:I10)</f>
        <v>6</v>
      </c>
      <c r="I10">
        <f>AVERAGE(Calculations!J8:J10)</f>
        <v>0.10544077890011294</v>
      </c>
      <c r="J10" t="e">
        <f>AVERAGE(Calculations!K8:K10)</f>
        <v>#N/A</v>
      </c>
    </row>
    <row r="11" spans="1:10" x14ac:dyDescent="0.2">
      <c r="A11" s="1">
        <f>Calculations!A11</f>
        <v>34608</v>
      </c>
      <c r="B11">
        <f>AVERAGE(Calculations!B9:B11)</f>
        <v>3.1333333333333333</v>
      </c>
      <c r="C11">
        <f>AVERAGE(Calculations!C9:C11)</f>
        <v>28.5</v>
      </c>
      <c r="D11">
        <f>AVERAGE(Calculations!E9:E11)</f>
        <v>2.9673767539441935</v>
      </c>
      <c r="E11">
        <f>AVERAGE(Calculations!F9:F11)</f>
        <v>27.037780630342937</v>
      </c>
      <c r="F11">
        <f>AVERAGE(Calculations!G9:G11)</f>
        <v>1.3762240219405433</v>
      </c>
      <c r="G11" t="e">
        <f>AVERAGE(Calculations!H9:H11)</f>
        <v>#N/A</v>
      </c>
      <c r="H11">
        <f>AVERAGE(Calculations!I9:I11)</f>
        <v>5.8999999999999995</v>
      </c>
      <c r="I11">
        <f>AVERAGE(Calculations!J9:J11)</f>
        <v>0.10266627279279535</v>
      </c>
      <c r="J11" t="e">
        <f>AVERAGE(Calculations!K9:K11)</f>
        <v>#N/A</v>
      </c>
    </row>
    <row r="12" spans="1:10" x14ac:dyDescent="0.2">
      <c r="A12" s="1">
        <f>Calculations!A12</f>
        <v>34639</v>
      </c>
      <c r="B12">
        <f>AVERAGE(Calculations!B10:B12)</f>
        <v>2.4999999999999996</v>
      </c>
      <c r="C12">
        <f>AVERAGE(Calculations!C10:C12)</f>
        <v>26.766666666666666</v>
      </c>
      <c r="D12">
        <f>AVERAGE(Calculations!E10:E12)</f>
        <v>2.67492291064565</v>
      </c>
      <c r="E12">
        <f>AVERAGE(Calculations!F10:F12)</f>
        <v>27.981607157259862</v>
      </c>
      <c r="F12">
        <f>AVERAGE(Calculations!G10:G12)</f>
        <v>1.3399750229461767</v>
      </c>
      <c r="G12" t="e">
        <f>AVERAGE(Calculations!H10:H12)</f>
        <v>#N/A</v>
      </c>
      <c r="H12">
        <f>AVERAGE(Calculations!I10:I12)</f>
        <v>5.7666666666666657</v>
      </c>
      <c r="I12">
        <f>AVERAGE(Calculations!J10:J12)</f>
        <v>9.0415410644854977E-2</v>
      </c>
      <c r="J12" t="e">
        <f>AVERAGE(Calculations!K10:K12)</f>
        <v>#N/A</v>
      </c>
    </row>
    <row r="13" spans="1:10" x14ac:dyDescent="0.2">
      <c r="A13" s="1">
        <f>Calculations!A13</f>
        <v>34669</v>
      </c>
      <c r="B13">
        <f>AVERAGE(Calculations!B11:B13)</f>
        <v>2.4</v>
      </c>
      <c r="C13">
        <f>AVERAGE(Calculations!C11:C13)</f>
        <v>25</v>
      </c>
      <c r="D13">
        <f>AVERAGE(Calculations!E11:E13)</f>
        <v>2.6426078867816969</v>
      </c>
      <c r="E13">
        <f>AVERAGE(Calculations!F11:F13)</f>
        <v>28.085969467815801</v>
      </c>
      <c r="F13">
        <f>AVERAGE(Calculations!G11:G13)</f>
        <v>1.4582727989124464</v>
      </c>
      <c r="G13" t="e">
        <f>AVERAGE(Calculations!H11:H13)</f>
        <v>#N/A</v>
      </c>
      <c r="H13">
        <f>AVERAGE(Calculations!I11:I13)</f>
        <v>5.6333333333333329</v>
      </c>
      <c r="I13">
        <f>AVERAGE(Calculations!J11:J13)</f>
        <v>8.8993933969042247E-2</v>
      </c>
      <c r="J13" t="e">
        <f>AVERAGE(Calculations!K11:K13)</f>
        <v>#N/A</v>
      </c>
    </row>
    <row r="14" spans="1:10" x14ac:dyDescent="0.2">
      <c r="A14" s="1">
        <f>Calculations!A14</f>
        <v>34700</v>
      </c>
      <c r="B14">
        <f>AVERAGE(Calculations!B12:B14)</f>
        <v>2.5666666666666664</v>
      </c>
      <c r="C14">
        <f>AVERAGE(Calculations!C12:C14)</f>
        <v>26.366666666666664</v>
      </c>
      <c r="D14">
        <f>AVERAGE(Calculations!E12:E14)</f>
        <v>2.7633108088175402</v>
      </c>
      <c r="E14">
        <f>AVERAGE(Calculations!F12:F14)</f>
        <v>29.345015220128868</v>
      </c>
      <c r="F14">
        <f>AVERAGE(Calculations!G12:G14)</f>
        <v>1.4603341603187301</v>
      </c>
      <c r="G14" t="e">
        <f>AVERAGE(Calculations!H12:H14)</f>
        <v>#N/A</v>
      </c>
      <c r="H14">
        <f>AVERAGE(Calculations!I12:I14)</f>
        <v>5.5666666666666664</v>
      </c>
      <c r="I14">
        <f>AVERAGE(Calculations!J12:J14)</f>
        <v>8.9167033264807974E-2</v>
      </c>
      <c r="J14" t="e">
        <f>AVERAGE(Calculations!K12:K14)</f>
        <v>#N/A</v>
      </c>
    </row>
    <row r="15" spans="1:10" x14ac:dyDescent="0.2">
      <c r="A15" s="1">
        <f>Calculations!A15</f>
        <v>34731</v>
      </c>
      <c r="B15">
        <f>AVERAGE(Calculations!B13:B15)</f>
        <v>2.6333333333333333</v>
      </c>
      <c r="C15">
        <f>AVERAGE(Calculations!C13:C15)</f>
        <v>26.600000000000005</v>
      </c>
      <c r="D15">
        <f>AVERAGE(Calculations!E13:E15)</f>
        <v>2.6968872169383538</v>
      </c>
      <c r="E15">
        <f>AVERAGE(Calculations!F13:F15)</f>
        <v>28.285896971948265</v>
      </c>
      <c r="F15">
        <f>AVERAGE(Calculations!G13:G15)</f>
        <v>1.3812113992833399</v>
      </c>
      <c r="G15" t="e">
        <f>AVERAGE(Calculations!H13:H15)</f>
        <v>#N/A</v>
      </c>
      <c r="H15">
        <f>AVERAGE(Calculations!I13:I15)</f>
        <v>5.5</v>
      </c>
      <c r="I15">
        <f>AVERAGE(Calculations!J13:J15)</f>
        <v>9.0228393800866738E-2</v>
      </c>
      <c r="J15" t="e">
        <f>AVERAGE(Calculations!K13:K15)</f>
        <v>#N/A</v>
      </c>
    </row>
    <row r="16" spans="1:10" x14ac:dyDescent="0.2">
      <c r="A16" s="1">
        <f>Calculations!A16</f>
        <v>34759</v>
      </c>
      <c r="B16">
        <f>AVERAGE(Calculations!B14:B16)</f>
        <v>2.5666666666666669</v>
      </c>
      <c r="C16">
        <f>AVERAGE(Calculations!C14:C16)</f>
        <v>28.5</v>
      </c>
      <c r="D16">
        <f>AVERAGE(Calculations!E14:E16)</f>
        <v>2.7055270780828597</v>
      </c>
      <c r="E16">
        <f>AVERAGE(Calculations!F14:F16)</f>
        <v>28.907731589391432</v>
      </c>
      <c r="F16">
        <f>AVERAGE(Calculations!G14:G16)</f>
        <v>1.38599627177759</v>
      </c>
      <c r="G16" t="e">
        <f>AVERAGE(Calculations!H14:H16)</f>
        <v>#N/A</v>
      </c>
      <c r="H16">
        <f>AVERAGE(Calculations!I14:I16)</f>
        <v>5.4666666666666659</v>
      </c>
      <c r="I16">
        <f>AVERAGE(Calculations!J14:J16)</f>
        <v>8.8477876744651893E-2</v>
      </c>
      <c r="J16" t="e">
        <f>AVERAGE(Calculations!K14:K16)</f>
        <v>#N/A</v>
      </c>
    </row>
    <row r="17" spans="1:10" x14ac:dyDescent="0.2">
      <c r="A17" s="1">
        <f>Calculations!A17</f>
        <v>34790</v>
      </c>
      <c r="B17">
        <f>AVERAGE(Calculations!B15:B17)</f>
        <v>2.4333333333333331</v>
      </c>
      <c r="C17">
        <f>AVERAGE(Calculations!C15:C17)</f>
        <v>27.7</v>
      </c>
      <c r="D17">
        <f>AVERAGE(Calculations!E15:E17)</f>
        <v>2.6151730030347364</v>
      </c>
      <c r="E17">
        <f>AVERAGE(Calculations!F15:F17)</f>
        <v>27.602219754920469</v>
      </c>
      <c r="F17">
        <f>AVERAGE(Calculations!G15:G17)</f>
        <v>1.3383272298145699</v>
      </c>
      <c r="G17" t="e">
        <f>AVERAGE(Calculations!H15:H17)</f>
        <v>#N/A</v>
      </c>
      <c r="H17">
        <f>AVERAGE(Calculations!I15:I17)</f>
        <v>5.5333333333333341</v>
      </c>
      <c r="I17">
        <f>AVERAGE(Calculations!J15:J17)</f>
        <v>8.9541997216200944E-2</v>
      </c>
      <c r="J17" t="e">
        <f>AVERAGE(Calculations!K15:K17)</f>
        <v>#N/A</v>
      </c>
    </row>
    <row r="18" spans="1:10" x14ac:dyDescent="0.2">
      <c r="A18" s="1">
        <f>Calculations!A18</f>
        <v>34820</v>
      </c>
      <c r="B18">
        <f>AVERAGE(Calculations!B16:B18)</f>
        <v>2.4533333333333331</v>
      </c>
      <c r="C18">
        <f>AVERAGE(Calculations!C16:C18)</f>
        <v>28.14</v>
      </c>
      <c r="D18">
        <f>AVERAGE(Calculations!E16:E18)</f>
        <v>2.5141556097250466</v>
      </c>
      <c r="E18">
        <f>AVERAGE(Calculations!F16:F18)</f>
        <v>27.411668520985234</v>
      </c>
      <c r="F18">
        <f>AVERAGE(Calculations!G16:G18)</f>
        <v>1.28198564342063</v>
      </c>
      <c r="G18" t="e">
        <f>AVERAGE(Calculations!H16:H18)</f>
        <v>#N/A</v>
      </c>
      <c r="H18">
        <f>AVERAGE(Calculations!I16:I18)</f>
        <v>5.5999999999999988</v>
      </c>
      <c r="I18">
        <f>AVERAGE(Calculations!J16:J18)</f>
        <v>8.6662218840381208E-2</v>
      </c>
      <c r="J18" t="e">
        <f>AVERAGE(Calculations!K16:K18)</f>
        <v>#N/A</v>
      </c>
    </row>
    <row r="19" spans="1:10" x14ac:dyDescent="0.2">
      <c r="A19" s="1">
        <f>Calculations!A19</f>
        <v>34851</v>
      </c>
      <c r="B19">
        <f>AVERAGE(Calculations!B17:B19)</f>
        <v>2.56</v>
      </c>
      <c r="C19">
        <f>AVERAGE(Calculations!C17:C19)</f>
        <v>28.42</v>
      </c>
      <c r="D19">
        <f>AVERAGE(Calculations!E17:E19)</f>
        <v>2.4632918262308769</v>
      </c>
      <c r="E19">
        <f>AVERAGE(Calculations!F17:F19)</f>
        <v>27.077136128596834</v>
      </c>
      <c r="F19">
        <f>AVERAGE(Calculations!G17:G19)</f>
        <v>1.2125831966330198</v>
      </c>
      <c r="G19" t="e">
        <f>AVERAGE(Calculations!H17:H19)</f>
        <v>#N/A</v>
      </c>
      <c r="H19">
        <f>AVERAGE(Calculations!I17:I19)</f>
        <v>5.666666666666667</v>
      </c>
      <c r="I19">
        <f>AVERAGE(Calculations!J17:J19)</f>
        <v>8.59111076166265E-2</v>
      </c>
      <c r="J19" t="e">
        <f>AVERAGE(Calculations!K17:K19)</f>
        <v>#N/A</v>
      </c>
    </row>
    <row r="20" spans="1:10" x14ac:dyDescent="0.2">
      <c r="A20" s="1">
        <f>Calculations!A20</f>
        <v>34881</v>
      </c>
      <c r="B20">
        <f>AVERAGE(Calculations!B18:B20)</f>
        <v>2.6199999999999997</v>
      </c>
      <c r="C20">
        <f>AVERAGE(Calculations!C18:C20)</f>
        <v>28.74</v>
      </c>
      <c r="D20">
        <f>AVERAGE(Calculations!E18:E20)</f>
        <v>2.3978675138546897</v>
      </c>
      <c r="E20">
        <f>AVERAGE(Calculations!F18:F20)</f>
        <v>27.536335259243799</v>
      </c>
      <c r="F20">
        <f>AVERAGE(Calculations!G18:G20)</f>
        <v>1.2341540142632101</v>
      </c>
      <c r="G20" t="e">
        <f>AVERAGE(Calculations!H18:H20)</f>
        <v>#N/A</v>
      </c>
      <c r="H20">
        <f>AVERAGE(Calculations!I18:I20)</f>
        <v>5.6333333333333329</v>
      </c>
      <c r="I20">
        <f>AVERAGE(Calculations!J18:J20)</f>
        <v>8.2210453412482121E-2</v>
      </c>
      <c r="J20" t="e">
        <f>AVERAGE(Calculations!K18:K20)</f>
        <v>#N/A</v>
      </c>
    </row>
    <row r="21" spans="1:10" x14ac:dyDescent="0.2">
      <c r="A21" s="1">
        <f>Calculations!A21</f>
        <v>34912</v>
      </c>
      <c r="B21">
        <f>AVERAGE(Calculations!B19:B21)</f>
        <v>2.6799999999999997</v>
      </c>
      <c r="C21">
        <f>AVERAGE(Calculations!C19:C21)</f>
        <v>29.06</v>
      </c>
      <c r="D21">
        <f>AVERAGE(Calculations!E19:E21)</f>
        <v>2.4196461684825366</v>
      </c>
      <c r="E21">
        <f>AVERAGE(Calculations!F19:F21)</f>
        <v>27.122064130274666</v>
      </c>
      <c r="F21">
        <f>AVERAGE(Calculations!G19:G21)</f>
        <v>1.2945837115910501</v>
      </c>
      <c r="G21" t="e">
        <f>AVERAGE(Calculations!H19:H21)</f>
        <v>#N/A</v>
      </c>
      <c r="H21">
        <f>AVERAGE(Calculations!I19:I21)</f>
        <v>5.666666666666667</v>
      </c>
      <c r="I21">
        <f>AVERAGE(Calculations!J19:J21)</f>
        <v>8.4207637170319247E-2</v>
      </c>
      <c r="J21" t="e">
        <f>AVERAGE(Calculations!K19:K21)</f>
        <v>#N/A</v>
      </c>
    </row>
    <row r="22" spans="1:10" x14ac:dyDescent="0.2">
      <c r="A22" s="1">
        <f>Calculations!A22</f>
        <v>34943</v>
      </c>
      <c r="B22">
        <f>AVERAGE(Calculations!B20:B22)</f>
        <v>2.7399999999999998</v>
      </c>
      <c r="C22">
        <f>AVERAGE(Calculations!C20:C22)</f>
        <v>29.38</v>
      </c>
      <c r="D22">
        <f>AVERAGE(Calculations!E20:E22)</f>
        <v>2.4877067364086134</v>
      </c>
      <c r="E22">
        <f>AVERAGE(Calculations!F20:F22)</f>
        <v>27.4381093929311</v>
      </c>
      <c r="F22">
        <f>AVERAGE(Calculations!G20:G22)</f>
        <v>1.34496639005112</v>
      </c>
      <c r="G22" t="e">
        <f>AVERAGE(Calculations!H20:H22)</f>
        <v>#N/A</v>
      </c>
      <c r="H22">
        <f>AVERAGE(Calculations!I20:I22)</f>
        <v>5.666666666666667</v>
      </c>
      <c r="I22">
        <f>AVERAGE(Calculations!J20:J22)</f>
        <v>8.5535684305858825E-2</v>
      </c>
      <c r="J22" t="e">
        <f>AVERAGE(Calculations!K20:K22)</f>
        <v>#N/A</v>
      </c>
    </row>
    <row r="23" spans="1:10" x14ac:dyDescent="0.2">
      <c r="A23" s="1">
        <f>Calculations!A23</f>
        <v>34973</v>
      </c>
      <c r="B23">
        <f>AVERAGE(Calculations!B21:B23)</f>
        <v>2.8799999999999994</v>
      </c>
      <c r="C23">
        <f>AVERAGE(Calculations!C21:C23)</f>
        <v>29.326666666666664</v>
      </c>
      <c r="D23">
        <f>AVERAGE(Calculations!E21:E23)</f>
        <v>2.7687718937420072</v>
      </c>
      <c r="E23">
        <f>AVERAGE(Calculations!F21:F23)</f>
        <v>27.894536615426833</v>
      </c>
      <c r="F23">
        <f>AVERAGE(Calculations!G21:G23)</f>
        <v>1.3727196302077564</v>
      </c>
      <c r="G23" t="e">
        <f>AVERAGE(Calculations!H21:H23)</f>
        <v>#N/A</v>
      </c>
      <c r="H23">
        <f>AVERAGE(Calculations!I21:I23)</f>
        <v>5.6000000000000005</v>
      </c>
      <c r="I23">
        <f>AVERAGE(Calculations!J21:J23)</f>
        <v>9.3446156829744109E-2</v>
      </c>
      <c r="J23" t="e">
        <f>AVERAGE(Calculations!K21:K23)</f>
        <v>#N/A</v>
      </c>
    </row>
    <row r="24" spans="1:10" x14ac:dyDescent="0.2">
      <c r="A24" s="1">
        <f>Calculations!A24</f>
        <v>35004</v>
      </c>
      <c r="B24">
        <f>AVERAGE(Calculations!B22:B24)</f>
        <v>2.6333333333333333</v>
      </c>
      <c r="C24">
        <f>AVERAGE(Calculations!C22:C24)</f>
        <v>26.933333333333334</v>
      </c>
      <c r="D24">
        <f>AVERAGE(Calculations!E22:E24)</f>
        <v>2.7847165653074533</v>
      </c>
      <c r="E24">
        <f>AVERAGE(Calculations!F22:F24)</f>
        <v>27.874796304116302</v>
      </c>
      <c r="F24">
        <f>AVERAGE(Calculations!G22:G24)</f>
        <v>1.3310055842616066</v>
      </c>
      <c r="G24" t="e">
        <f>AVERAGE(Calculations!H22:H24)</f>
        <v>#N/A</v>
      </c>
      <c r="H24">
        <f>AVERAGE(Calculations!I22:I24)</f>
        <v>5.5666666666666664</v>
      </c>
      <c r="I24">
        <f>AVERAGE(Calculations!J22:J24)</f>
        <v>9.4108500055462493E-2</v>
      </c>
      <c r="J24" t="e">
        <f>AVERAGE(Calculations!K22:K24)</f>
        <v>#N/A</v>
      </c>
    </row>
    <row r="25" spans="1:10" x14ac:dyDescent="0.2">
      <c r="A25" s="1">
        <f>Calculations!A25</f>
        <v>35034</v>
      </c>
      <c r="B25">
        <f>AVERAGE(Calculations!B23:B25)</f>
        <v>2.5333333333333332</v>
      </c>
      <c r="C25">
        <f>AVERAGE(Calculations!C23:C25)</f>
        <v>24.599999999999998</v>
      </c>
      <c r="D25">
        <f>AVERAGE(Calculations!E23:E25)</f>
        <v>2.7599542930046872</v>
      </c>
      <c r="E25">
        <f>AVERAGE(Calculations!F23:F25)</f>
        <v>27.406071465280334</v>
      </c>
      <c r="F25">
        <f>AVERAGE(Calculations!G23:G25)</f>
        <v>1.3259923859498099</v>
      </c>
      <c r="G25" t="e">
        <f>AVERAGE(Calculations!H23:H25)</f>
        <v>#N/A</v>
      </c>
      <c r="H25">
        <f>AVERAGE(Calculations!I23:I25)</f>
        <v>5.5666666666666664</v>
      </c>
      <c r="I25">
        <f>AVERAGE(Calculations!J23:J25)</f>
        <v>9.4814330627732424E-2</v>
      </c>
      <c r="J25" t="e">
        <f>AVERAGE(Calculations!K23:K25)</f>
        <v>#N/A</v>
      </c>
    </row>
    <row r="26" spans="1:10" x14ac:dyDescent="0.2">
      <c r="A26" s="1">
        <f>Calculations!A26</f>
        <v>35065</v>
      </c>
      <c r="B26">
        <f>AVERAGE(Calculations!B24:B26)</f>
        <v>2.3333333333333335</v>
      </c>
      <c r="C26">
        <f>AVERAGE(Calculations!C24:C26)</f>
        <v>24.666666666666668</v>
      </c>
      <c r="D26">
        <f>AVERAGE(Calculations!E24:E26)</f>
        <v>2.51744997293383</v>
      </c>
      <c r="E26">
        <f>AVERAGE(Calculations!F24:F26)</f>
        <v>27.374306901380404</v>
      </c>
      <c r="F26">
        <f>AVERAGE(Calculations!G24:G26)</f>
        <v>1.3243544466917501</v>
      </c>
      <c r="G26" t="e">
        <f>AVERAGE(Calculations!H24:H26)</f>
        <v>#N/A</v>
      </c>
      <c r="H26">
        <f>AVERAGE(Calculations!I24:I26)</f>
        <v>5.5999999999999988</v>
      </c>
      <c r="I26">
        <f>AVERAGE(Calculations!J24:J26)</f>
        <v>8.7010933223818102E-2</v>
      </c>
      <c r="J26" t="e">
        <f>AVERAGE(Calculations!K24:K26)</f>
        <v>#N/A</v>
      </c>
    </row>
    <row r="27" spans="1:10" x14ac:dyDescent="0.2">
      <c r="A27" s="1">
        <f>Calculations!A27</f>
        <v>35096</v>
      </c>
      <c r="B27">
        <f>AVERAGE(Calculations!B25:B27)</f>
        <v>2.5</v>
      </c>
      <c r="C27">
        <f>AVERAGE(Calculations!C25:C27)</f>
        <v>25.766666666666666</v>
      </c>
      <c r="D27">
        <f>AVERAGE(Calculations!E25:E27)</f>
        <v>2.5744408478676264</v>
      </c>
      <c r="E27">
        <f>AVERAGE(Calculations!F25:F27)</f>
        <v>27.423599543935705</v>
      </c>
      <c r="F27">
        <f>AVERAGE(Calculations!G25:G27)</f>
        <v>1.3918068858981936</v>
      </c>
      <c r="G27" t="e">
        <f>AVERAGE(Calculations!H25:H27)</f>
        <v>#N/A</v>
      </c>
      <c r="H27">
        <f>AVERAGE(Calculations!I25:I27)</f>
        <v>5.5666666666666664</v>
      </c>
      <c r="I27">
        <f>AVERAGE(Calculations!J25:J27)</f>
        <v>8.8897141772508903E-2</v>
      </c>
      <c r="J27" t="e">
        <f>AVERAGE(Calculations!K25:K27)</f>
        <v>#N/A</v>
      </c>
    </row>
    <row r="28" spans="1:10" x14ac:dyDescent="0.2">
      <c r="A28" s="1">
        <f>Calculations!A28</f>
        <v>35125</v>
      </c>
      <c r="B28">
        <f>AVERAGE(Calculations!B26:B28)</f>
        <v>2.4</v>
      </c>
      <c r="C28">
        <f>AVERAGE(Calculations!C26:C28)</f>
        <v>26.599999999999998</v>
      </c>
      <c r="D28">
        <f>AVERAGE(Calculations!E26:E28)</f>
        <v>2.5507584449165432</v>
      </c>
      <c r="E28">
        <f>AVERAGE(Calculations!F26:F28)</f>
        <v>26.989291923641563</v>
      </c>
      <c r="F28">
        <f>AVERAGE(Calculations!G26:G28)</f>
        <v>1.3825834812104631</v>
      </c>
      <c r="G28" t="e">
        <f>AVERAGE(Calculations!H26:H28)</f>
        <v>#N/A</v>
      </c>
      <c r="H28">
        <f>AVERAGE(Calculations!I26:I28)</f>
        <v>5.5333333333333341</v>
      </c>
      <c r="I28">
        <f>AVERAGE(Calculations!J26:J28)</f>
        <v>8.9626937035015286E-2</v>
      </c>
      <c r="J28" t="e">
        <f>AVERAGE(Calculations!K26:K28)</f>
        <v>#N/A</v>
      </c>
    </row>
    <row r="29" spans="1:10" x14ac:dyDescent="0.2">
      <c r="A29" s="1">
        <f>Calculations!A29</f>
        <v>35156</v>
      </c>
      <c r="B29">
        <f>AVERAGE(Calculations!B27:B29)</f>
        <v>2.4666666666666668</v>
      </c>
      <c r="C29">
        <f>AVERAGE(Calculations!C27:C29)</f>
        <v>27.466666666666669</v>
      </c>
      <c r="D29">
        <f>AVERAGE(Calculations!E27:E29)</f>
        <v>2.6502182413810336</v>
      </c>
      <c r="E29">
        <f>AVERAGE(Calculations!F27:F29)</f>
        <v>27.284902687438432</v>
      </c>
      <c r="F29">
        <f>AVERAGE(Calculations!G27:G29)</f>
        <v>1.4056953758328736</v>
      </c>
      <c r="G29" t="e">
        <f>AVERAGE(Calculations!H27:H29)</f>
        <v>#N/A</v>
      </c>
      <c r="H29">
        <f>AVERAGE(Calculations!I27:I29)</f>
        <v>5.5333333333333341</v>
      </c>
      <c r="I29">
        <f>AVERAGE(Calculations!J27:J29)</f>
        <v>9.1967603957125069E-2</v>
      </c>
      <c r="J29" t="e">
        <f>AVERAGE(Calculations!K27:K29)</f>
        <v>#N/A</v>
      </c>
    </row>
    <row r="30" spans="1:10" x14ac:dyDescent="0.2">
      <c r="A30" s="1">
        <f>Calculations!A30</f>
        <v>35186</v>
      </c>
      <c r="B30">
        <f>AVERAGE(Calculations!B28:B30)</f>
        <v>2.5666666666666669</v>
      </c>
      <c r="C30">
        <f>AVERAGE(Calculations!C28:C30)</f>
        <v>28.233333333333334</v>
      </c>
      <c r="D30">
        <f>AVERAGE(Calculations!E28:E30)</f>
        <v>2.6383142829059305</v>
      </c>
      <c r="E30">
        <f>AVERAGE(Calculations!F28:F30)</f>
        <v>27.440986142393999</v>
      </c>
      <c r="F30">
        <f>AVERAGE(Calculations!G28:G30)</f>
        <v>1.37885449353473</v>
      </c>
      <c r="G30" t="e">
        <f>AVERAGE(Calculations!H28:H30)</f>
        <v>#N/A</v>
      </c>
      <c r="H30">
        <f>AVERAGE(Calculations!I28:I30)</f>
        <v>5.5666666666666664</v>
      </c>
      <c r="I30">
        <f>AVERAGE(Calculations!J28:J30)</f>
        <v>9.0979625952362544E-2</v>
      </c>
      <c r="J30" t="e">
        <f>AVERAGE(Calculations!K28:K30)</f>
        <v>#N/A</v>
      </c>
    </row>
    <row r="31" spans="1:10" x14ac:dyDescent="0.2">
      <c r="A31" s="1">
        <f>Calculations!A31</f>
        <v>35217</v>
      </c>
      <c r="B31">
        <f>AVERAGE(Calculations!B29:B31)</f>
        <v>2.8000000000000003</v>
      </c>
      <c r="C31">
        <f>AVERAGE(Calculations!C29:C31)</f>
        <v>29.533333333333331</v>
      </c>
      <c r="D31">
        <f>AVERAGE(Calculations!E29:E31)</f>
        <v>2.6901350052815665</v>
      </c>
      <c r="E31">
        <f>AVERAGE(Calculations!F29:F31)</f>
        <v>28.165266993425764</v>
      </c>
      <c r="F31">
        <f>AVERAGE(Calculations!G29:G31)</f>
        <v>1.3913885524265666</v>
      </c>
      <c r="G31" t="e">
        <f>AVERAGE(Calculations!H29:H31)</f>
        <v>#N/A</v>
      </c>
      <c r="H31">
        <f>AVERAGE(Calculations!I29:I31)</f>
        <v>5.5</v>
      </c>
      <c r="I31">
        <f>AVERAGE(Calculations!J29:J31)</f>
        <v>9.0343507710762341E-2</v>
      </c>
      <c r="J31" t="e">
        <f>AVERAGE(Calculations!K29:K31)</f>
        <v>#N/A</v>
      </c>
    </row>
    <row r="32" spans="1:10" x14ac:dyDescent="0.2">
      <c r="A32" s="1">
        <f>Calculations!A32</f>
        <v>35247</v>
      </c>
      <c r="B32">
        <f>AVERAGE(Calculations!B30:B32)</f>
        <v>2.9333333333333331</v>
      </c>
      <c r="C32">
        <f>AVERAGE(Calculations!C30:C32)</f>
        <v>29.466666666666669</v>
      </c>
      <c r="D32">
        <f>AVERAGE(Calculations!E30:E32)</f>
        <v>2.6790689169679567</v>
      </c>
      <c r="E32">
        <f>AVERAGE(Calculations!F30:F32)</f>
        <v>28.244108040481205</v>
      </c>
      <c r="F32">
        <f>AVERAGE(Calculations!G30:G32)</f>
        <v>1.2839709192774433</v>
      </c>
      <c r="G32" t="e">
        <f>AVERAGE(Calculations!H30:H32)</f>
        <v>#N/A</v>
      </c>
      <c r="H32">
        <f>AVERAGE(Calculations!I30:I32)</f>
        <v>5.4666666666666659</v>
      </c>
      <c r="I32">
        <f>AVERAGE(Calculations!J30:J32)</f>
        <v>8.9798746143836108E-2</v>
      </c>
      <c r="J32" t="e">
        <f>AVERAGE(Calculations!K30:K32)</f>
        <v>#N/A</v>
      </c>
    </row>
    <row r="33" spans="1:10" x14ac:dyDescent="0.2">
      <c r="A33" s="1">
        <f>Calculations!A33</f>
        <v>35278</v>
      </c>
      <c r="B33">
        <f>AVERAGE(Calculations!B31:B33)</f>
        <v>2.9666666666666668</v>
      </c>
      <c r="C33">
        <f>AVERAGE(Calculations!C31:C33)</f>
        <v>30.433333333333334</v>
      </c>
      <c r="D33">
        <f>AVERAGE(Calculations!E31:E33)</f>
        <v>2.6539254195437034</v>
      </c>
      <c r="E33">
        <f>AVERAGE(Calculations!F31:F33)</f>
        <v>28.391934376748434</v>
      </c>
      <c r="F33">
        <f>AVERAGE(Calculations!G31:G33)</f>
        <v>1.2590211635245667</v>
      </c>
      <c r="G33" t="e">
        <f>AVERAGE(Calculations!H31:H33)</f>
        <v>#N/A</v>
      </c>
      <c r="H33">
        <f>AVERAGE(Calculations!I31:I33)</f>
        <v>5.3</v>
      </c>
      <c r="I33">
        <f>AVERAGE(Calculations!J31:J33)</f>
        <v>8.8603725337905739E-2</v>
      </c>
      <c r="J33" t="e">
        <f>AVERAGE(Calculations!K31:K33)</f>
        <v>#N/A</v>
      </c>
    </row>
    <row r="34" spans="1:10" x14ac:dyDescent="0.2">
      <c r="A34" s="1">
        <f>Calculations!A34</f>
        <v>35309</v>
      </c>
      <c r="B34">
        <f>AVERAGE(Calculations!B32:B34)</f>
        <v>2.8666666666666667</v>
      </c>
      <c r="C34">
        <f>AVERAGE(Calculations!C32:C34)</f>
        <v>30.866666666666664</v>
      </c>
      <c r="D34">
        <f>AVERAGE(Calculations!E32:E34)</f>
        <v>2.5776714522083499</v>
      </c>
      <c r="E34">
        <f>AVERAGE(Calculations!F32:F34)</f>
        <v>28.8411941708641</v>
      </c>
      <c r="F34">
        <f>AVERAGE(Calculations!G32:G34)</f>
        <v>1.2235159777460733</v>
      </c>
      <c r="G34" t="e">
        <f>AVERAGE(Calculations!H32:H34)</f>
        <v>#N/A</v>
      </c>
      <c r="H34">
        <f>AVERAGE(Calculations!I32:I34)</f>
        <v>5.2666666666666666</v>
      </c>
      <c r="I34">
        <f>AVERAGE(Calculations!J32:J34)</f>
        <v>8.4680187145357813E-2</v>
      </c>
      <c r="J34" t="e">
        <f>AVERAGE(Calculations!K32:K34)</f>
        <v>#N/A</v>
      </c>
    </row>
    <row r="35" spans="1:10" x14ac:dyDescent="0.2">
      <c r="A35" s="1">
        <f>Calculations!A35</f>
        <v>35339</v>
      </c>
      <c r="B35">
        <f>AVERAGE(Calculations!B33:B35)</f>
        <v>2.6999999999999997</v>
      </c>
      <c r="C35">
        <f>AVERAGE(Calculations!C33:C35)</f>
        <v>29.933333333333334</v>
      </c>
      <c r="D35">
        <f>AVERAGE(Calculations!E33:E35)</f>
        <v>2.5653476669914501</v>
      </c>
      <c r="E35">
        <f>AVERAGE(Calculations!F33:F35)</f>
        <v>28.422373561516434</v>
      </c>
      <c r="F35">
        <f>AVERAGE(Calculations!G33:G35)</f>
        <v>1.3125973724073834</v>
      </c>
      <c r="G35" t="e">
        <f>AVERAGE(Calculations!H33:H35)</f>
        <v>#N/A</v>
      </c>
      <c r="H35">
        <f>AVERAGE(Calculations!I33:I35)</f>
        <v>5.166666666666667</v>
      </c>
      <c r="I35">
        <f>AVERAGE(Calculations!J33:J35)</f>
        <v>8.561605824453257E-2</v>
      </c>
      <c r="J35" t="e">
        <f>AVERAGE(Calculations!K33:K35)</f>
        <v>#N/A</v>
      </c>
    </row>
    <row r="36" spans="1:10" x14ac:dyDescent="0.2">
      <c r="A36" s="1">
        <f>Calculations!A36</f>
        <v>35370</v>
      </c>
      <c r="B36">
        <f>AVERAGE(Calculations!B34:B36)</f>
        <v>2.3666666666666667</v>
      </c>
      <c r="C36">
        <f>AVERAGE(Calculations!C34:C36)</f>
        <v>27.266666666666666</v>
      </c>
      <c r="D36">
        <f>AVERAGE(Calculations!E34:E36)</f>
        <v>2.5021075411355231</v>
      </c>
      <c r="E36">
        <f>AVERAGE(Calculations!F34:F36)</f>
        <v>28.265016854964532</v>
      </c>
      <c r="F36">
        <f>AVERAGE(Calculations!G34:G36)</f>
        <v>1.2941021482159167</v>
      </c>
      <c r="G36" t="e">
        <f>AVERAGE(Calculations!H34:H36)</f>
        <v>#N/A</v>
      </c>
      <c r="H36">
        <f>AVERAGE(Calculations!I34:I36)</f>
        <v>5.2666666666666666</v>
      </c>
      <c r="I36">
        <f>AVERAGE(Calculations!J34:J36)</f>
        <v>8.3824494147434356E-2</v>
      </c>
      <c r="J36" t="e">
        <f>AVERAGE(Calculations!K34:K36)</f>
        <v>#N/A</v>
      </c>
    </row>
    <row r="37" spans="1:10" x14ac:dyDescent="0.2">
      <c r="A37" s="1">
        <f>Calculations!A37</f>
        <v>35400</v>
      </c>
      <c r="B37">
        <f>AVERAGE(Calculations!B35:B37)</f>
        <v>2.3666666666666667</v>
      </c>
      <c r="C37">
        <f>AVERAGE(Calculations!C35:C37)</f>
        <v>25.5</v>
      </c>
      <c r="D37">
        <f>AVERAGE(Calculations!E35:E37)</f>
        <v>2.5874549990774169</v>
      </c>
      <c r="E37">
        <f>AVERAGE(Calculations!F35:F37)</f>
        <v>28.430786186873064</v>
      </c>
      <c r="F37">
        <f>AVERAGE(Calculations!G35:G37)</f>
        <v>1.3300663531614998</v>
      </c>
      <c r="G37" t="e">
        <f>AVERAGE(Calculations!H35:H37)</f>
        <v>#N/A</v>
      </c>
      <c r="H37">
        <f>AVERAGE(Calculations!I35:I37)</f>
        <v>5.333333333333333</v>
      </c>
      <c r="I37">
        <f>AVERAGE(Calculations!J35:J37)</f>
        <v>8.6072646891477742E-2</v>
      </c>
      <c r="J37" t="e">
        <f>AVERAGE(Calculations!K35:K37)</f>
        <v>#N/A</v>
      </c>
    </row>
    <row r="38" spans="1:10" x14ac:dyDescent="0.2">
      <c r="A38" s="1">
        <f>Calculations!A38</f>
        <v>35431</v>
      </c>
      <c r="B38">
        <f>AVERAGE(Calculations!B36:B38)</f>
        <v>2.3333333333333335</v>
      </c>
      <c r="C38">
        <f>AVERAGE(Calculations!C36:C38)</f>
        <v>24.966666666666669</v>
      </c>
      <c r="D38">
        <f>AVERAGE(Calculations!E36:E38)</f>
        <v>2.5325672418250664</v>
      </c>
      <c r="E38">
        <f>AVERAGE(Calculations!F36:F38)</f>
        <v>27.799434109306333</v>
      </c>
      <c r="F38">
        <f>AVERAGE(Calculations!G36:G38)</f>
        <v>1.2932482453255432</v>
      </c>
      <c r="G38" t="e">
        <f>AVERAGE(Calculations!H36:H38)</f>
        <v>#N/A</v>
      </c>
      <c r="H38">
        <f>AVERAGE(Calculations!I36:I38)</f>
        <v>5.3666666666666671</v>
      </c>
      <c r="I38">
        <f>AVERAGE(Calculations!J36:J38)</f>
        <v>8.6189625817257462E-2</v>
      </c>
      <c r="J38" t="e">
        <f>AVERAGE(Calculations!K36:K38)</f>
        <v>#N/A</v>
      </c>
    </row>
    <row r="39" spans="1:10" x14ac:dyDescent="0.2">
      <c r="A39" s="1">
        <f>Calculations!A39</f>
        <v>35462</v>
      </c>
      <c r="B39">
        <f>AVERAGE(Calculations!B37:B39)</f>
        <v>2.5333333333333332</v>
      </c>
      <c r="C39">
        <f>AVERAGE(Calculations!C37:C39)</f>
        <v>26.3</v>
      </c>
      <c r="D39">
        <f>AVERAGE(Calculations!E37:E39)</f>
        <v>2.6278389508413462</v>
      </c>
      <c r="E39">
        <f>AVERAGE(Calculations!F37:F39)</f>
        <v>28.075554253001698</v>
      </c>
      <c r="F39">
        <f>AVERAGE(Calculations!G37:G39)</f>
        <v>1.3220377030087567</v>
      </c>
      <c r="G39" t="e">
        <f>AVERAGE(Calculations!H37:H39)</f>
        <v>#N/A</v>
      </c>
      <c r="H39">
        <f>AVERAGE(Calculations!I37:I39)</f>
        <v>5.3</v>
      </c>
      <c r="I39">
        <f>AVERAGE(Calculations!J37:J39)</f>
        <v>8.8665016642073269E-2</v>
      </c>
      <c r="J39" t="e">
        <f>AVERAGE(Calculations!K37:K39)</f>
        <v>#N/A</v>
      </c>
    </row>
    <row r="40" spans="1:10" x14ac:dyDescent="0.2">
      <c r="A40" s="1">
        <f>Calculations!A40</f>
        <v>35490</v>
      </c>
      <c r="B40">
        <f>AVERAGE(Calculations!B38:B40)</f>
        <v>2.4</v>
      </c>
      <c r="C40">
        <f>AVERAGE(Calculations!C38:C40)</f>
        <v>26.966666666666669</v>
      </c>
      <c r="D40">
        <f>AVERAGE(Calculations!E38:E40)</f>
        <v>2.5709633000753764</v>
      </c>
      <c r="E40">
        <f>AVERAGE(Calculations!F38:F40)</f>
        <v>27.371029732902969</v>
      </c>
      <c r="F40">
        <f>AVERAGE(Calculations!G38:G40)</f>
        <v>1.27955906166018</v>
      </c>
      <c r="G40" t="e">
        <f>AVERAGE(Calculations!H38:H40)</f>
        <v>#N/A</v>
      </c>
      <c r="H40">
        <f>AVERAGE(Calculations!I38:I40)</f>
        <v>5.2333333333333334</v>
      </c>
      <c r="I40">
        <f>AVERAGE(Calculations!J38:J40)</f>
        <v>8.9008448433955056E-2</v>
      </c>
      <c r="J40" t="e">
        <f>AVERAGE(Calculations!K38:K40)</f>
        <v>#N/A</v>
      </c>
    </row>
    <row r="41" spans="1:10" x14ac:dyDescent="0.2">
      <c r="A41" s="1">
        <f>Calculations!A41</f>
        <v>35521</v>
      </c>
      <c r="B41">
        <f>AVERAGE(Calculations!B39:B41)</f>
        <v>2.4333333333333336</v>
      </c>
      <c r="C41">
        <f>AVERAGE(Calculations!C39:C41)</f>
        <v>29.5</v>
      </c>
      <c r="D41">
        <f>AVERAGE(Calculations!E39:E41)</f>
        <v>2.6226437400665232</v>
      </c>
      <c r="E41">
        <f>AVERAGE(Calculations!F39:F41)</f>
        <v>29.3171856748375</v>
      </c>
      <c r="F41">
        <f>AVERAGE(Calculations!G39:G41)</f>
        <v>1.2663809661596199</v>
      </c>
      <c r="G41" t="e">
        <f>AVERAGE(Calculations!H39:H41)</f>
        <v>#N/A</v>
      </c>
      <c r="H41">
        <f>AVERAGE(Calculations!I39:I41)</f>
        <v>5.166666666666667</v>
      </c>
      <c r="I41">
        <f>AVERAGE(Calculations!J39:J41)</f>
        <v>8.5274755711413908E-2</v>
      </c>
      <c r="J41" t="e">
        <f>AVERAGE(Calculations!K39:K41)</f>
        <v>#N/A</v>
      </c>
    </row>
    <row r="42" spans="1:10" x14ac:dyDescent="0.2">
      <c r="A42" s="1">
        <f>Calculations!A42</f>
        <v>35551</v>
      </c>
      <c r="B42">
        <f>AVERAGE(Calculations!B40:B42)</f>
        <v>2.5333333333333337</v>
      </c>
      <c r="C42">
        <f>AVERAGE(Calculations!C40:C42)</f>
        <v>30.233333333333334</v>
      </c>
      <c r="D42">
        <f>AVERAGE(Calculations!E40:E42)</f>
        <v>2.61624642819103</v>
      </c>
      <c r="E42">
        <f>AVERAGE(Calculations!F40:F42)</f>
        <v>29.401071595883565</v>
      </c>
      <c r="F42">
        <f>AVERAGE(Calculations!G40:G42)</f>
        <v>1.2794500032649367</v>
      </c>
      <c r="G42" t="e">
        <f>AVERAGE(Calculations!H40:H42)</f>
        <v>#N/A</v>
      </c>
      <c r="H42">
        <f>AVERAGE(Calculations!I40:I42)</f>
        <v>5.0666666666666673</v>
      </c>
      <c r="I42">
        <f>AVERAGE(Calculations!J40:J42)</f>
        <v>8.4886008217096243E-2</v>
      </c>
      <c r="J42" t="e">
        <f>AVERAGE(Calculations!K40:K42)</f>
        <v>#N/A</v>
      </c>
    </row>
    <row r="43" spans="1:10" x14ac:dyDescent="0.2">
      <c r="A43" s="1">
        <f>Calculations!A43</f>
        <v>35582</v>
      </c>
      <c r="B43">
        <f>AVERAGE(Calculations!B41:B43)</f>
        <v>2.7333333333333329</v>
      </c>
      <c r="C43">
        <f>AVERAGE(Calculations!C41:C43)</f>
        <v>31.033333333333331</v>
      </c>
      <c r="D43">
        <f>AVERAGE(Calculations!E41:E43)</f>
        <v>2.6166613910327965</v>
      </c>
      <c r="E43">
        <f>AVERAGE(Calculations!F41:F43)</f>
        <v>29.699006539887932</v>
      </c>
      <c r="F43">
        <f>AVERAGE(Calculations!G41:G43)</f>
        <v>1.2819715622612067</v>
      </c>
      <c r="G43" t="e">
        <f>AVERAGE(Calculations!H41:H43)</f>
        <v>#N/A</v>
      </c>
      <c r="H43">
        <f>AVERAGE(Calculations!I41:I43)</f>
        <v>5</v>
      </c>
      <c r="I43">
        <f>AVERAGE(Calculations!J41:J43)</f>
        <v>8.4022441149855173E-2</v>
      </c>
      <c r="J43" t="e">
        <f>AVERAGE(Calculations!K41:K43)</f>
        <v>#N/A</v>
      </c>
    </row>
    <row r="44" spans="1:10" x14ac:dyDescent="0.2">
      <c r="A44" s="1">
        <f>Calculations!A44</f>
        <v>35612</v>
      </c>
      <c r="B44">
        <f>AVERAGE(Calculations!B42:B44)</f>
        <v>2.8666666666666667</v>
      </c>
      <c r="C44">
        <f>AVERAGE(Calculations!C42:C44)</f>
        <v>29.766666666666666</v>
      </c>
      <c r="D44">
        <f>AVERAGE(Calculations!E42:E44)</f>
        <v>2.6090786036069868</v>
      </c>
      <c r="E44">
        <f>AVERAGE(Calculations!F42:F44)</f>
        <v>28.555621800067268</v>
      </c>
      <c r="F44">
        <f>AVERAGE(Calculations!G42:G44)</f>
        <v>1.2715871280787232</v>
      </c>
      <c r="G44" t="e">
        <f>AVERAGE(Calculations!H42:H44)</f>
        <v>#N/A</v>
      </c>
      <c r="H44">
        <f>AVERAGE(Calculations!I42:I44)</f>
        <v>4.9333333333333336</v>
      </c>
      <c r="I44">
        <f>AVERAGE(Calculations!J42:J44)</f>
        <v>8.6865493969791818E-2</v>
      </c>
      <c r="J44" t="e">
        <f>AVERAGE(Calculations!K42:K44)</f>
        <v>#N/A</v>
      </c>
    </row>
    <row r="45" spans="1:10" x14ac:dyDescent="0.2">
      <c r="A45" s="1">
        <f>Calculations!A45</f>
        <v>35643</v>
      </c>
      <c r="B45">
        <f>AVERAGE(Calculations!B43:B45)</f>
        <v>2.9333333333333336</v>
      </c>
      <c r="C45">
        <f>AVERAGE(Calculations!C43:C45)</f>
        <v>30.099999999999998</v>
      </c>
      <c r="D45">
        <f>AVERAGE(Calculations!E43:E45)</f>
        <v>2.5942729663936697</v>
      </c>
      <c r="E45">
        <f>AVERAGE(Calculations!F43:F45)</f>
        <v>28.059902124674235</v>
      </c>
      <c r="F45">
        <f>AVERAGE(Calculations!G43:G45)</f>
        <v>1.2144597443013467</v>
      </c>
      <c r="G45" t="e">
        <f>AVERAGE(Calculations!H43:H45)</f>
        <v>#N/A</v>
      </c>
      <c r="H45">
        <f>AVERAGE(Calculations!I43:I45)</f>
        <v>4.8999999999999995</v>
      </c>
      <c r="I45">
        <f>AVERAGE(Calculations!J43:J45)</f>
        <v>8.8012998472264778E-2</v>
      </c>
      <c r="J45" t="e">
        <f>AVERAGE(Calculations!K43:K45)</f>
        <v>#N/A</v>
      </c>
    </row>
    <row r="46" spans="1:10" x14ac:dyDescent="0.2">
      <c r="A46" s="1">
        <f>Calculations!A46</f>
        <v>35674</v>
      </c>
      <c r="B46">
        <f>AVERAGE(Calculations!B44:B46)</f>
        <v>3.0666666666666664</v>
      </c>
      <c r="C46">
        <f>AVERAGE(Calculations!C44:C46)</f>
        <v>31.966666666666669</v>
      </c>
      <c r="D46">
        <f>AVERAGE(Calculations!E44:E46)</f>
        <v>2.7527392908288797</v>
      </c>
      <c r="E46">
        <f>AVERAGE(Calculations!F44:F46)</f>
        <v>29.837548165410031</v>
      </c>
      <c r="F46">
        <f>AVERAGE(Calculations!G44:G46)</f>
        <v>1.2208228480050201</v>
      </c>
      <c r="G46" t="e">
        <f>AVERAGE(Calculations!H44:H46)</f>
        <v>#N/A</v>
      </c>
      <c r="H46">
        <f>AVERAGE(Calculations!I44:I46)</f>
        <v>4.8666666666666663</v>
      </c>
      <c r="I46">
        <f>AVERAGE(Calculations!J44:J46)</f>
        <v>8.7991692274009103E-2</v>
      </c>
      <c r="J46" t="e">
        <f>AVERAGE(Calculations!K44:K46)</f>
        <v>#N/A</v>
      </c>
    </row>
    <row r="47" spans="1:10" x14ac:dyDescent="0.2">
      <c r="A47" s="1">
        <f>Calculations!A47</f>
        <v>35704</v>
      </c>
      <c r="B47">
        <f>AVERAGE(Calculations!B45:B47)</f>
        <v>2.9</v>
      </c>
      <c r="C47">
        <f>AVERAGE(Calculations!C45:C47)</f>
        <v>31.099999999999998</v>
      </c>
      <c r="D47">
        <f>AVERAGE(Calculations!E45:E47)</f>
        <v>2.7322910117421233</v>
      </c>
      <c r="E47">
        <f>AVERAGE(Calculations!F45:F47)</f>
        <v>29.509739727180033</v>
      </c>
      <c r="F47">
        <f>AVERAGE(Calculations!G45:G47)</f>
        <v>1.1810417378531202</v>
      </c>
      <c r="G47" t="e">
        <f>AVERAGE(Calculations!H45:H47)</f>
        <v>#N/A</v>
      </c>
      <c r="H47">
        <f>AVERAGE(Calculations!I45:I47)</f>
        <v>4.8</v>
      </c>
      <c r="I47">
        <f>AVERAGE(Calculations!J45:J47)</f>
        <v>8.8365484008102679E-2</v>
      </c>
      <c r="J47" t="e">
        <f>AVERAGE(Calculations!K45:K47)</f>
        <v>#N/A</v>
      </c>
    </row>
    <row r="48" spans="1:10" x14ac:dyDescent="0.2">
      <c r="A48" s="1">
        <f>Calculations!A48</f>
        <v>35735</v>
      </c>
      <c r="B48">
        <f>AVERAGE(Calculations!B46:B48)</f>
        <v>2.6333333333333333</v>
      </c>
      <c r="C48">
        <f>AVERAGE(Calculations!C46:C48)</f>
        <v>30.433333333333337</v>
      </c>
      <c r="D48">
        <f>AVERAGE(Calculations!E46:E48)</f>
        <v>2.7885996552770997</v>
      </c>
      <c r="E48">
        <f>AVERAGE(Calculations!F46:F48)</f>
        <v>31.710432353660735</v>
      </c>
      <c r="F48">
        <f>AVERAGE(Calculations!G46:G48)</f>
        <v>1.2336286451330498</v>
      </c>
      <c r="G48" t="e">
        <f>AVERAGE(Calculations!H46:H48)</f>
        <v>#N/A</v>
      </c>
      <c r="H48">
        <f>AVERAGE(Calculations!I46:I48)</f>
        <v>4.7333333333333334</v>
      </c>
      <c r="I48">
        <f>AVERAGE(Calculations!J46:J48)</f>
        <v>8.3955818613352454E-2</v>
      </c>
      <c r="J48" t="e">
        <f>AVERAGE(Calculations!K46:K48)</f>
        <v>#N/A</v>
      </c>
    </row>
    <row r="49" spans="1:10" x14ac:dyDescent="0.2">
      <c r="A49" s="1">
        <f>Calculations!A49</f>
        <v>35765</v>
      </c>
      <c r="B49">
        <f>AVERAGE(Calculations!B47:B49)</f>
        <v>2.4</v>
      </c>
      <c r="C49">
        <f>AVERAGE(Calculations!C47:C49)</f>
        <v>27</v>
      </c>
      <c r="D49">
        <f>AVERAGE(Calculations!E47:E49)</f>
        <v>2.6530227302426233</v>
      </c>
      <c r="E49">
        <f>AVERAGE(Calculations!F47:F49)</f>
        <v>30.241307559145</v>
      </c>
      <c r="F49">
        <f>AVERAGE(Calculations!G47:G49)</f>
        <v>1.22281506825683</v>
      </c>
      <c r="G49" t="e">
        <f>AVERAGE(Calculations!H47:H49)</f>
        <v>#N/A</v>
      </c>
      <c r="H49">
        <f>AVERAGE(Calculations!I47:I49)</f>
        <v>4.666666666666667</v>
      </c>
      <c r="I49">
        <f>AVERAGE(Calculations!J47:J49)</f>
        <v>8.3905186675673135E-2</v>
      </c>
      <c r="J49" t="e">
        <f>AVERAGE(Calculations!K47:K49)</f>
        <v>#N/A</v>
      </c>
    </row>
    <row r="50" spans="1:10" x14ac:dyDescent="0.2">
      <c r="A50" s="1">
        <f>Calculations!A50</f>
        <v>35796</v>
      </c>
      <c r="B50">
        <f>AVERAGE(Calculations!B48:B50)</f>
        <v>2.4</v>
      </c>
      <c r="C50">
        <f>AVERAGE(Calculations!C48:C50)</f>
        <v>27.3</v>
      </c>
      <c r="D50">
        <f>AVERAGE(Calculations!E48:E50)</f>
        <v>2.6428286218687869</v>
      </c>
      <c r="E50">
        <f>AVERAGE(Calculations!F48:F50)</f>
        <v>30.406827060731032</v>
      </c>
      <c r="F50">
        <f>AVERAGE(Calculations!G48:G50)</f>
        <v>1.2508006361240298</v>
      </c>
      <c r="G50" t="e">
        <f>AVERAGE(Calculations!H48:H50)</f>
        <v>#N/A</v>
      </c>
      <c r="H50">
        <f>AVERAGE(Calculations!I48:I50)</f>
        <v>4.6333333333333337</v>
      </c>
      <c r="I50">
        <f>AVERAGE(Calculations!J48:J50)</f>
        <v>8.3098547047723223E-2</v>
      </c>
      <c r="J50" t="e">
        <f>AVERAGE(Calculations!K48:K50)</f>
        <v>#N/A</v>
      </c>
    </row>
    <row r="51" spans="1:10" x14ac:dyDescent="0.2">
      <c r="A51" s="1">
        <f>Calculations!A51</f>
        <v>35827</v>
      </c>
      <c r="B51">
        <f>AVERAGE(Calculations!B49:B51)</f>
        <v>2.4666666666666668</v>
      </c>
      <c r="C51">
        <f>AVERAGE(Calculations!C49:C51)</f>
        <v>27.5</v>
      </c>
      <c r="D51">
        <f>AVERAGE(Calculations!E49:E51)</f>
        <v>2.5673408473442136</v>
      </c>
      <c r="E51">
        <f>AVERAGE(Calculations!F49:F51)</f>
        <v>29.257684023689166</v>
      </c>
      <c r="F51">
        <f>AVERAGE(Calculations!G49:G51)</f>
        <v>1.2428112172202967</v>
      </c>
      <c r="G51" t="e">
        <f>AVERAGE(Calculations!H49:H51)</f>
        <v>#N/A</v>
      </c>
      <c r="H51">
        <f>AVERAGE(Calculations!I49:I51)</f>
        <v>4.6333333333333337</v>
      </c>
      <c r="I51">
        <f>AVERAGE(Calculations!J49:J51)</f>
        <v>8.3715963526518875E-2</v>
      </c>
      <c r="J51" t="e">
        <f>AVERAGE(Calculations!K49:K51)</f>
        <v>#N/A</v>
      </c>
    </row>
    <row r="52" spans="1:10" x14ac:dyDescent="0.2">
      <c r="A52" s="1">
        <f>Calculations!A52</f>
        <v>35855</v>
      </c>
      <c r="B52">
        <f>AVERAGE(Calculations!B50:B52)</f>
        <v>2.5333333333333337</v>
      </c>
      <c r="C52">
        <f>AVERAGE(Calculations!C50:C52)</f>
        <v>30.666666666666668</v>
      </c>
      <c r="D52">
        <f>AVERAGE(Calculations!E50:E52)</f>
        <v>2.740379490474417</v>
      </c>
      <c r="E52">
        <f>AVERAGE(Calculations!F50:F52)</f>
        <v>31.0733335319063</v>
      </c>
      <c r="F52">
        <f>AVERAGE(Calculations!G50:G52)</f>
        <v>1.2500415723210132</v>
      </c>
      <c r="G52" t="e">
        <f>AVERAGE(Calculations!H50:H52)</f>
        <v>#N/A</v>
      </c>
      <c r="H52">
        <f>AVERAGE(Calculations!I50:I52)</f>
        <v>4.6333333333333329</v>
      </c>
      <c r="I52">
        <f>AVERAGE(Calculations!J50:J52)</f>
        <v>8.4000413986336245E-2</v>
      </c>
      <c r="J52" t="e">
        <f>AVERAGE(Calculations!K50:K52)</f>
        <v>#N/A</v>
      </c>
    </row>
    <row r="53" spans="1:10" x14ac:dyDescent="0.2">
      <c r="A53" s="1">
        <f>Calculations!A53</f>
        <v>35886</v>
      </c>
      <c r="B53">
        <f>AVERAGE(Calculations!B51:B53)</f>
        <v>2.5</v>
      </c>
      <c r="C53">
        <f>AVERAGE(Calculations!C51:C53)</f>
        <v>31.399999999999995</v>
      </c>
      <c r="D53">
        <f>AVERAGE(Calculations!E51:E53)</f>
        <v>2.7210876872402103</v>
      </c>
      <c r="E53">
        <f>AVERAGE(Calculations!F51:F53)</f>
        <v>31.358104147524632</v>
      </c>
      <c r="F53">
        <f>AVERAGE(Calculations!G51:G53)</f>
        <v>1.2422160819824632</v>
      </c>
      <c r="G53" t="e">
        <f>AVERAGE(Calculations!H51:H53)</f>
        <v>#N/A</v>
      </c>
      <c r="H53">
        <f>AVERAGE(Calculations!I51:I53)</f>
        <v>4.5333333333333341</v>
      </c>
      <c r="I53">
        <f>AVERAGE(Calculations!J51:J53)</f>
        <v>8.2653848104186994E-2</v>
      </c>
      <c r="J53" t="e">
        <f>AVERAGE(Calculations!K51:K53)</f>
        <v>#N/A</v>
      </c>
    </row>
    <row r="54" spans="1:10" x14ac:dyDescent="0.2">
      <c r="A54" s="1">
        <f>Calculations!A54</f>
        <v>35916</v>
      </c>
      <c r="B54">
        <f>AVERAGE(Calculations!B52:B54)</f>
        <v>2.6333333333333333</v>
      </c>
      <c r="C54">
        <f>AVERAGE(Calculations!C52:C54)</f>
        <v>32.733333333333327</v>
      </c>
      <c r="D54">
        <f>AVERAGE(Calculations!E52:E54)</f>
        <v>2.7533358906803098</v>
      </c>
      <c r="E54">
        <f>AVERAGE(Calculations!F52:F54)</f>
        <v>32.009746321322432</v>
      </c>
      <c r="F54">
        <f>AVERAGE(Calculations!G52:G54)</f>
        <v>1.1554393666731135</v>
      </c>
      <c r="G54" t="e">
        <f>AVERAGE(Calculations!H52:H54)</f>
        <v>#N/A</v>
      </c>
      <c r="H54">
        <f>AVERAGE(Calculations!I52:I54)</f>
        <v>4.4666666666666668</v>
      </c>
      <c r="I54">
        <f>AVERAGE(Calculations!J52:J54)</f>
        <v>8.2025637938746121E-2</v>
      </c>
      <c r="J54" t="e">
        <f>AVERAGE(Calculations!K52:K54)</f>
        <v>#N/A</v>
      </c>
    </row>
    <row r="55" spans="1:10" x14ac:dyDescent="0.2">
      <c r="A55" s="1">
        <f>Calculations!A55</f>
        <v>35947</v>
      </c>
      <c r="B55">
        <f>AVERAGE(Calculations!B53:B55)</f>
        <v>2.7666666666666662</v>
      </c>
      <c r="C55">
        <f>AVERAGE(Calculations!C53:C55)</f>
        <v>32.533333333333331</v>
      </c>
      <c r="D55">
        <f>AVERAGE(Calculations!E53:E55)</f>
        <v>2.6343116399194466</v>
      </c>
      <c r="E55">
        <f>AVERAGE(Calculations!F53:F55)</f>
        <v>31.339530372323335</v>
      </c>
      <c r="F55">
        <f>AVERAGE(Calculations!G53:G55)</f>
        <v>1.2103895701577132</v>
      </c>
      <c r="G55" t="e">
        <f>AVERAGE(Calculations!H53:H55)</f>
        <v>#N/A</v>
      </c>
      <c r="H55">
        <f>AVERAGE(Calculations!I53:I55)</f>
        <v>4.3999999999999995</v>
      </c>
      <c r="I55">
        <f>AVERAGE(Calculations!J53:J55)</f>
        <v>8.036629471919754E-2</v>
      </c>
      <c r="J55" t="e">
        <f>AVERAGE(Calculations!K53:K55)</f>
        <v>#N/A</v>
      </c>
    </row>
    <row r="56" spans="1:10" x14ac:dyDescent="0.2">
      <c r="A56" s="1">
        <f>Calculations!A56</f>
        <v>35977</v>
      </c>
      <c r="B56">
        <f>AVERAGE(Calculations!B54:B56)</f>
        <v>2.9333333333333336</v>
      </c>
      <c r="C56">
        <f>AVERAGE(Calculations!C54:C56)</f>
        <v>32.366666666666667</v>
      </c>
      <c r="D56">
        <f>AVERAGE(Calculations!E54:E56)</f>
        <v>2.6622347783152303</v>
      </c>
      <c r="E56">
        <f>AVERAGE(Calculations!F54:F56)</f>
        <v>31.101963724359532</v>
      </c>
      <c r="F56">
        <f>AVERAGE(Calculations!G54:G56)</f>
        <v>1.21981479278419</v>
      </c>
      <c r="G56" t="e">
        <f>AVERAGE(Calculations!H54:H56)</f>
        <v>#N/A</v>
      </c>
      <c r="H56">
        <f>AVERAGE(Calculations!I54:I56)</f>
        <v>4.4666666666666668</v>
      </c>
      <c r="I56">
        <f>AVERAGE(Calculations!J54:J56)</f>
        <v>8.188767975653774E-2</v>
      </c>
      <c r="J56" t="e">
        <f>AVERAGE(Calculations!K54:K56)</f>
        <v>#N/A</v>
      </c>
    </row>
    <row r="57" spans="1:10" x14ac:dyDescent="0.2">
      <c r="A57" s="1">
        <f>Calculations!A57</f>
        <v>36008</v>
      </c>
      <c r="B57">
        <f>AVERAGE(Calculations!B55:B57)</f>
        <v>3</v>
      </c>
      <c r="C57">
        <f>AVERAGE(Calculations!C55:C57)</f>
        <v>32.6</v>
      </c>
      <c r="D57">
        <f>AVERAGE(Calculations!E55:E57)</f>
        <v>2.6280109067082171</v>
      </c>
      <c r="E57">
        <f>AVERAGE(Calculations!F55:F57)</f>
        <v>30.340083811924668</v>
      </c>
      <c r="F57">
        <f>AVERAGE(Calculations!G55:G57)</f>
        <v>1.3024467429554767</v>
      </c>
      <c r="G57" t="e">
        <f>AVERAGE(Calculations!H55:H57)</f>
        <v>#N/A</v>
      </c>
      <c r="H57">
        <f>AVERAGE(Calculations!I55:I57)</f>
        <v>4.5</v>
      </c>
      <c r="I57">
        <f>AVERAGE(Calculations!J55:J57)</f>
        <v>8.2781182110098092E-2</v>
      </c>
      <c r="J57" t="e">
        <f>AVERAGE(Calculations!K55:K57)</f>
        <v>#N/A</v>
      </c>
    </row>
    <row r="58" spans="1:10" x14ac:dyDescent="0.2">
      <c r="A58" s="1">
        <f>Calculations!A58</f>
        <v>36039</v>
      </c>
      <c r="B58">
        <f>AVERAGE(Calculations!B56:B58)</f>
        <v>2.9333333333333336</v>
      </c>
      <c r="C58">
        <f>AVERAGE(Calculations!C56:C58)</f>
        <v>33.633333333333333</v>
      </c>
      <c r="D58">
        <f>AVERAGE(Calculations!E56:E58)</f>
        <v>2.61847706795385</v>
      </c>
      <c r="E58">
        <f>AVERAGE(Calculations!F56:F58)</f>
        <v>31.223571162294501</v>
      </c>
      <c r="F58">
        <f>AVERAGE(Calculations!G56:G58)</f>
        <v>1.2527564867087466</v>
      </c>
      <c r="G58" t="e">
        <f>AVERAGE(Calculations!H56:H58)</f>
        <v>#N/A</v>
      </c>
      <c r="H58">
        <f>AVERAGE(Calculations!I56:I58)</f>
        <v>4.5333333333333332</v>
      </c>
      <c r="I58">
        <f>AVERAGE(Calculations!J56:J58)</f>
        <v>8.0445854945561404E-2</v>
      </c>
      <c r="J58" t="e">
        <f>AVERAGE(Calculations!K56:K58)</f>
        <v>#N/A</v>
      </c>
    </row>
    <row r="59" spans="1:10" x14ac:dyDescent="0.2">
      <c r="A59" s="1">
        <f>Calculations!A59</f>
        <v>36069</v>
      </c>
      <c r="B59">
        <f>AVERAGE(Calculations!B57:B59)</f>
        <v>2.7333333333333329</v>
      </c>
      <c r="C59">
        <f>AVERAGE(Calculations!C57:C59)</f>
        <v>32.966666666666669</v>
      </c>
      <c r="D59">
        <f>AVERAGE(Calculations!E57:E59)</f>
        <v>2.5511688616604569</v>
      </c>
      <c r="E59">
        <f>AVERAGE(Calculations!F57:F59)</f>
        <v>31.202534253824766</v>
      </c>
      <c r="F59">
        <f>AVERAGE(Calculations!G57:G59)</f>
        <v>1.2553482927601667</v>
      </c>
      <c r="G59" t="e">
        <f>AVERAGE(Calculations!H57:H59)</f>
        <v>#N/A</v>
      </c>
      <c r="H59">
        <f>AVERAGE(Calculations!I57:I59)</f>
        <v>4.5333333333333332</v>
      </c>
      <c r="I59">
        <f>AVERAGE(Calculations!J57:J59)</f>
        <v>7.829317777227586E-2</v>
      </c>
      <c r="J59" t="e">
        <f>AVERAGE(Calculations!K57:K59)</f>
        <v>#N/A</v>
      </c>
    </row>
    <row r="60" spans="1:10" x14ac:dyDescent="0.2">
      <c r="A60" s="1">
        <f>Calculations!A60</f>
        <v>36100</v>
      </c>
      <c r="B60">
        <f>AVERAGE(Calculations!B58:B60)</f>
        <v>2.4333333333333331</v>
      </c>
      <c r="C60">
        <f>AVERAGE(Calculations!C58:C60)</f>
        <v>30.533333333333331</v>
      </c>
      <c r="D60">
        <f>AVERAGE(Calculations!E58:E60)</f>
        <v>2.5939460076580065</v>
      </c>
      <c r="E60">
        <f>AVERAGE(Calculations!F58:F60)</f>
        <v>31.613335515437267</v>
      </c>
      <c r="F60">
        <f>AVERAGE(Calculations!G58:G60)</f>
        <v>1.2698486266275733</v>
      </c>
      <c r="G60" t="e">
        <f>AVERAGE(Calculations!H58:H60)</f>
        <v>#N/A</v>
      </c>
      <c r="H60">
        <f>AVERAGE(Calculations!I58:I60)</f>
        <v>4.5</v>
      </c>
      <c r="I60">
        <f>AVERAGE(Calculations!J58:J60)</f>
        <v>7.8563243915525924E-2</v>
      </c>
      <c r="J60" t="e">
        <f>AVERAGE(Calculations!K58:K60)</f>
        <v>#N/A</v>
      </c>
    </row>
    <row r="61" spans="1:10" x14ac:dyDescent="0.2">
      <c r="A61" s="1">
        <f>Calculations!A61</f>
        <v>36130</v>
      </c>
      <c r="B61">
        <f>AVERAGE(Calculations!B59:B61)</f>
        <v>2.2666666666666671</v>
      </c>
      <c r="C61">
        <f>AVERAGE(Calculations!C59:C61)</f>
        <v>27.3</v>
      </c>
      <c r="D61">
        <f>AVERAGE(Calculations!E59:E61)</f>
        <v>2.5196748850200001</v>
      </c>
      <c r="E61">
        <f>AVERAGE(Calculations!F59:F61)</f>
        <v>30.477565772477401</v>
      </c>
      <c r="F61">
        <f>AVERAGE(Calculations!G59:G61)</f>
        <v>1.2111872252970535</v>
      </c>
      <c r="G61" t="e">
        <f>AVERAGE(Calculations!H59:H61)</f>
        <v>#N/A</v>
      </c>
      <c r="H61">
        <f>AVERAGE(Calculations!I59:I61)</f>
        <v>4.4333333333333336</v>
      </c>
      <c r="I61">
        <f>AVERAGE(Calculations!J59:J61)</f>
        <v>7.9043882825994186E-2</v>
      </c>
      <c r="J61" t="e">
        <f>AVERAGE(Calculations!K59:K61)</f>
        <v>#N/A</v>
      </c>
    </row>
    <row r="62" spans="1:10" x14ac:dyDescent="0.2">
      <c r="A62" s="1">
        <f>Calculations!A62</f>
        <v>36161</v>
      </c>
      <c r="B62">
        <f>AVERAGE(Calculations!B60:B62)</f>
        <v>2.3000000000000003</v>
      </c>
      <c r="C62">
        <f>AVERAGE(Calculations!C60:C62)</f>
        <v>27.766666666666666</v>
      </c>
      <c r="D62">
        <f>AVERAGE(Calculations!E60:E62)</f>
        <v>2.5480936598914834</v>
      </c>
      <c r="E62">
        <f>AVERAGE(Calculations!F60:F62)</f>
        <v>30.820249307996335</v>
      </c>
      <c r="F62">
        <f>AVERAGE(Calculations!G60:G62)</f>
        <v>1.2037831690954166</v>
      </c>
      <c r="G62" t="e">
        <f>AVERAGE(Calculations!H60:H62)</f>
        <v>#N/A</v>
      </c>
      <c r="H62">
        <f>AVERAGE(Calculations!I60:I62)</f>
        <v>4.3666666666666671</v>
      </c>
      <c r="I62">
        <f>AVERAGE(Calculations!J60:J62)</f>
        <v>7.9099015930714431E-2</v>
      </c>
      <c r="J62" t="e">
        <f>AVERAGE(Calculations!K60:K62)</f>
        <v>#N/A</v>
      </c>
    </row>
    <row r="63" spans="1:10" x14ac:dyDescent="0.2">
      <c r="A63" s="1">
        <f>Calculations!A63</f>
        <v>36192</v>
      </c>
      <c r="B63">
        <f>AVERAGE(Calculations!B61:B63)</f>
        <v>2.4</v>
      </c>
      <c r="C63">
        <f>AVERAGE(Calculations!C61:C63)</f>
        <v>29.600000000000005</v>
      </c>
      <c r="D63">
        <f>AVERAGE(Calculations!E61:E63)</f>
        <v>2.5097871132578065</v>
      </c>
      <c r="E63">
        <f>AVERAGE(Calculations!F61:F63)</f>
        <v>31.583470589134436</v>
      </c>
      <c r="F63">
        <f>AVERAGE(Calculations!G61:G63)</f>
        <v>1.0891430708687782</v>
      </c>
      <c r="G63" t="e">
        <f>AVERAGE(Calculations!H61:H63)</f>
        <v>#N/A</v>
      </c>
      <c r="H63">
        <f>AVERAGE(Calculations!I61:I63)</f>
        <v>4.3666666666666663</v>
      </c>
      <c r="I63">
        <f>AVERAGE(Calculations!J61:J63)</f>
        <v>7.60940455187748E-2</v>
      </c>
      <c r="J63" t="e">
        <f>AVERAGE(Calculations!K61:K63)</f>
        <v>#N/A</v>
      </c>
    </row>
    <row r="64" spans="1:10" x14ac:dyDescent="0.2">
      <c r="A64" s="1">
        <f>Calculations!A64</f>
        <v>36220</v>
      </c>
      <c r="B64">
        <f>AVERAGE(Calculations!B62:B64)</f>
        <v>2.5333333333333332</v>
      </c>
      <c r="C64">
        <f>AVERAGE(Calculations!C62:C64)</f>
        <v>30.966666666666669</v>
      </c>
      <c r="D64">
        <f>AVERAGE(Calculations!E62:E64)</f>
        <v>2.7539504709907896</v>
      </c>
      <c r="E64">
        <f>AVERAGE(Calculations!F62:F64)</f>
        <v>31.458654262703565</v>
      </c>
      <c r="F64">
        <f>AVERAGE(Calculations!G62:G64)</f>
        <v>1.146965305934218</v>
      </c>
      <c r="G64" t="e">
        <f>AVERAGE(Calculations!H62:H64)</f>
        <v>#N/A</v>
      </c>
      <c r="H64">
        <f>AVERAGE(Calculations!I62:I64)</f>
        <v>4.3</v>
      </c>
      <c r="I64">
        <f>AVERAGE(Calculations!J62:J64)</f>
        <v>8.3930853566492034E-2</v>
      </c>
      <c r="J64" t="e">
        <f>AVERAGE(Calculations!K62:K64)</f>
        <v>#N/A</v>
      </c>
    </row>
    <row r="65" spans="1:10" x14ac:dyDescent="0.2">
      <c r="A65" s="1">
        <f>Calculations!A65</f>
        <v>36251</v>
      </c>
      <c r="B65">
        <f>AVERAGE(Calculations!B63:B65)</f>
        <v>2.4999999999999996</v>
      </c>
      <c r="C65">
        <f>AVERAGE(Calculations!C63:C65)</f>
        <v>31.7</v>
      </c>
      <c r="D65">
        <f>AVERAGE(Calculations!E63:E65)</f>
        <v>2.7387950106381367</v>
      </c>
      <c r="E65">
        <f>AVERAGE(Calculations!F63:F65)</f>
        <v>31.743572940638199</v>
      </c>
      <c r="F65">
        <f>AVERAGE(Calculations!G63:G65)</f>
        <v>1.1853419654316515</v>
      </c>
      <c r="G65" t="e">
        <f>AVERAGE(Calculations!H63:H65)</f>
        <v>#N/A</v>
      </c>
      <c r="H65">
        <f>AVERAGE(Calculations!I63:I65)</f>
        <v>4.3000000000000007</v>
      </c>
      <c r="I65">
        <f>AVERAGE(Calculations!J63:J65)</f>
        <v>8.2729782587561349E-2</v>
      </c>
      <c r="J65" t="e">
        <f>AVERAGE(Calculations!K63:K65)</f>
        <v>#N/A</v>
      </c>
    </row>
    <row r="66" spans="1:10" x14ac:dyDescent="0.2">
      <c r="A66" s="1">
        <f>Calculations!A66</f>
        <v>36281</v>
      </c>
      <c r="B66">
        <f>AVERAGE(Calculations!B64:B66)</f>
        <v>2.5666666666666664</v>
      </c>
      <c r="C66">
        <f>AVERAGE(Calculations!C64:C66)</f>
        <v>31.600000000000005</v>
      </c>
      <c r="D66">
        <f>AVERAGE(Calculations!E64:E66)</f>
        <v>2.6973319490627632</v>
      </c>
      <c r="E66">
        <f>AVERAGE(Calculations!F64:F66)</f>
        <v>30.964701162023534</v>
      </c>
      <c r="F66">
        <f>AVERAGE(Calculations!G64:G66)</f>
        <v>1.2299690593620134</v>
      </c>
      <c r="G66" t="e">
        <f>AVERAGE(Calculations!H64:H66)</f>
        <v>#N/A</v>
      </c>
      <c r="H66">
        <f>AVERAGE(Calculations!I64:I66)</f>
        <v>4.2333333333333334</v>
      </c>
      <c r="I66">
        <f>AVERAGE(Calculations!J64:J66)</f>
        <v>8.3346500869974235E-2</v>
      </c>
      <c r="J66" t="e">
        <f>AVERAGE(Calculations!K64:K66)</f>
        <v>#N/A</v>
      </c>
    </row>
    <row r="67" spans="1:10" x14ac:dyDescent="0.2">
      <c r="A67" s="1">
        <f>Calculations!A67</f>
        <v>36312</v>
      </c>
      <c r="B67">
        <f>AVERAGE(Calculations!B65:B67)</f>
        <v>2.6333333333333333</v>
      </c>
      <c r="C67">
        <f>AVERAGE(Calculations!C65:C67)</f>
        <v>33.166666666666664</v>
      </c>
      <c r="D67">
        <f>AVERAGE(Calculations!E65:E67)</f>
        <v>2.4998970652650332</v>
      </c>
      <c r="E67">
        <f>AVERAGE(Calculations!F65:F67)</f>
        <v>32.143347640306168</v>
      </c>
      <c r="F67">
        <f>AVERAGE(Calculations!G65:G67)</f>
        <v>1.2157942885410833</v>
      </c>
      <c r="G67" t="e">
        <f>AVERAGE(Calculations!H65:H67)</f>
        <v>#N/A</v>
      </c>
      <c r="H67">
        <f>AVERAGE(Calculations!I65:I67)</f>
        <v>4.2666666666666666</v>
      </c>
      <c r="I67">
        <f>AVERAGE(Calculations!J65:J67)</f>
        <v>7.452507129999654E-2</v>
      </c>
      <c r="J67" t="e">
        <f>AVERAGE(Calculations!K65:K67)</f>
        <v>#N/A</v>
      </c>
    </row>
    <row r="68" spans="1:10" x14ac:dyDescent="0.2">
      <c r="A68" s="1">
        <f>Calculations!A68</f>
        <v>36342</v>
      </c>
      <c r="B68">
        <f>AVERAGE(Calculations!B66:B68)</f>
        <v>2.7999999999999994</v>
      </c>
      <c r="C68">
        <f>AVERAGE(Calculations!C66:C68)</f>
        <v>33.1</v>
      </c>
      <c r="D68">
        <f>AVERAGE(Calculations!E66:E68)</f>
        <v>2.5274385318946968</v>
      </c>
      <c r="E68">
        <f>AVERAGE(Calculations!F66:F68)</f>
        <v>31.865628155871832</v>
      </c>
      <c r="F68">
        <f>AVERAGE(Calculations!G66:G68)</f>
        <v>1.16950458081916</v>
      </c>
      <c r="G68" t="e">
        <f>AVERAGE(Calculations!H66:H68)</f>
        <v>#N/A</v>
      </c>
      <c r="H68">
        <f>AVERAGE(Calculations!I66:I68)</f>
        <v>4.2666666666666666</v>
      </c>
      <c r="I68">
        <f>AVERAGE(Calculations!J66:J68)</f>
        <v>7.6101299152912305E-2</v>
      </c>
      <c r="J68" t="e">
        <f>AVERAGE(Calculations!K66:K68)</f>
        <v>#N/A</v>
      </c>
    </row>
    <row r="69" spans="1:10" x14ac:dyDescent="0.2">
      <c r="A69" s="1">
        <f>Calculations!A69</f>
        <v>36373</v>
      </c>
      <c r="B69">
        <f>AVERAGE(Calculations!B67:B69)</f>
        <v>3.1333333333333333</v>
      </c>
      <c r="C69">
        <f>AVERAGE(Calculations!C67:C69)</f>
        <v>35.666666666666664</v>
      </c>
      <c r="D69">
        <f>AVERAGE(Calculations!E67:E69)</f>
        <v>2.7152048386201968</v>
      </c>
      <c r="E69">
        <f>AVERAGE(Calculations!F67:F69)</f>
        <v>33.0149278586074</v>
      </c>
      <c r="F69">
        <f>AVERAGE(Calculations!G67:G69)</f>
        <v>1.1921041512989998</v>
      </c>
      <c r="G69" t="e">
        <f>AVERAGE(Calculations!H67:H69)</f>
        <v>#N/A</v>
      </c>
      <c r="H69">
        <f>AVERAGE(Calculations!I67:I69)</f>
        <v>4.2666666666666666</v>
      </c>
      <c r="I69">
        <f>AVERAGE(Calculations!J67:J69)</f>
        <v>7.8842724986547832E-2</v>
      </c>
      <c r="J69" t="e">
        <f>AVERAGE(Calculations!K67:K69)</f>
        <v>#N/A</v>
      </c>
    </row>
    <row r="70" spans="1:10" x14ac:dyDescent="0.2">
      <c r="A70" s="1">
        <f>Calculations!A70</f>
        <v>36404</v>
      </c>
      <c r="B70">
        <f>AVERAGE(Calculations!B68:B70)</f>
        <v>3.0666666666666664</v>
      </c>
      <c r="C70">
        <f>AVERAGE(Calculations!C68:C70)</f>
        <v>34.166666666666664</v>
      </c>
      <c r="D70">
        <f>AVERAGE(Calculations!E68:E70)</f>
        <v>2.7245631655993598</v>
      </c>
      <c r="E70">
        <f>AVERAGE(Calculations!F68:F70)</f>
        <v>31.363888651803133</v>
      </c>
      <c r="F70">
        <f>AVERAGE(Calculations!G68:G70)</f>
        <v>1.17634400974576</v>
      </c>
      <c r="G70" t="e">
        <f>AVERAGE(Calculations!H68:H70)</f>
        <v>#N/A</v>
      </c>
      <c r="H70">
        <f>AVERAGE(Calculations!I68:I70)</f>
        <v>4.2333333333333334</v>
      </c>
      <c r="I70">
        <f>AVERAGE(Calculations!J68:J70)</f>
        <v>8.3198823102894351E-2</v>
      </c>
      <c r="J70" t="e">
        <f>AVERAGE(Calculations!K68:K70)</f>
        <v>#N/A</v>
      </c>
    </row>
    <row r="71" spans="1:10" x14ac:dyDescent="0.2">
      <c r="A71" s="1">
        <f>Calculations!A71</f>
        <v>36434</v>
      </c>
      <c r="B71">
        <f>AVERAGE(Calculations!B69:B71)</f>
        <v>2.9666666666666668</v>
      </c>
      <c r="C71">
        <f>AVERAGE(Calculations!C69:C71)</f>
        <v>34.066666666666663</v>
      </c>
      <c r="D71">
        <f>AVERAGE(Calculations!E69:E71)</f>
        <v>2.7492707188014265</v>
      </c>
      <c r="E71">
        <f>AVERAGE(Calculations!F69:F71)</f>
        <v>32.093054847832299</v>
      </c>
      <c r="F71">
        <f>AVERAGE(Calculations!G69:G71)</f>
        <v>1.1190457864927044</v>
      </c>
      <c r="G71" t="e">
        <f>AVERAGE(Calculations!H69:H71)</f>
        <v>#N/A</v>
      </c>
      <c r="H71">
        <f>AVERAGE(Calculations!I69:I71)</f>
        <v>4.166666666666667</v>
      </c>
      <c r="I71">
        <f>AVERAGE(Calculations!J69:J71)</f>
        <v>8.2165989271311926E-2</v>
      </c>
      <c r="J71" t="e">
        <f>AVERAGE(Calculations!K69:K71)</f>
        <v>#N/A</v>
      </c>
    </row>
    <row r="72" spans="1:10" x14ac:dyDescent="0.2">
      <c r="A72" s="1">
        <f>Calculations!A72</f>
        <v>36465</v>
      </c>
      <c r="B72">
        <f>AVERAGE(Calculations!B70:B72)</f>
        <v>2.6</v>
      </c>
      <c r="C72">
        <f>AVERAGE(Calculations!C70:C72)</f>
        <v>30.766666666666666</v>
      </c>
      <c r="D72">
        <f>AVERAGE(Calculations!E70:E72)</f>
        <v>2.8214499237999928</v>
      </c>
      <c r="E72">
        <f>AVERAGE(Calculations!F70:F72)</f>
        <v>32.071674504978766</v>
      </c>
      <c r="F72">
        <f>AVERAGE(Calculations!G70:G72)</f>
        <v>1.0970658873500176</v>
      </c>
      <c r="G72" t="e">
        <f>AVERAGE(Calculations!H70:H72)</f>
        <v>#N/A</v>
      </c>
      <c r="H72">
        <f>AVERAGE(Calculations!I70:I72)</f>
        <v>4.1333333333333337</v>
      </c>
      <c r="I72">
        <f>AVERAGE(Calculations!J70:J72)</f>
        <v>8.4276793300240835E-2</v>
      </c>
      <c r="J72" t="e">
        <f>AVERAGE(Calculations!K70:K72)</f>
        <v>#N/A</v>
      </c>
    </row>
    <row r="73" spans="1:10" x14ac:dyDescent="0.2">
      <c r="A73" s="1">
        <f>Calculations!A73</f>
        <v>36495</v>
      </c>
      <c r="B73">
        <f>AVERAGE(Calculations!B71:B73)</f>
        <v>2.5</v>
      </c>
      <c r="C73">
        <f>AVERAGE(Calculations!C71:C73)</f>
        <v>30.7</v>
      </c>
      <c r="D73">
        <f>AVERAGE(Calculations!E71:E73)</f>
        <v>2.8007552460641763</v>
      </c>
      <c r="E73">
        <f>AVERAGE(Calculations!F71:F73)</f>
        <v>34.276466806241736</v>
      </c>
      <c r="F73">
        <f>AVERAGE(Calculations!G71:G73)</f>
        <v>1.0965561620641411</v>
      </c>
      <c r="G73" t="e">
        <f>AVERAGE(Calculations!H71:H73)</f>
        <v>#N/A</v>
      </c>
      <c r="H73">
        <f>AVERAGE(Calculations!I71:I73)</f>
        <v>4.0666666666666664</v>
      </c>
      <c r="I73">
        <f>AVERAGE(Calculations!J71:J73)</f>
        <v>7.8589415277355079E-2</v>
      </c>
      <c r="J73" t="e">
        <f>AVERAGE(Calculations!K71:K73)</f>
        <v>#N/A</v>
      </c>
    </row>
    <row r="74" spans="1:10" x14ac:dyDescent="0.2">
      <c r="A74" s="1">
        <f>Calculations!A74</f>
        <v>36526</v>
      </c>
      <c r="B74">
        <f>AVERAGE(Calculations!B72:B74)</f>
        <v>2.5</v>
      </c>
      <c r="C74">
        <f>AVERAGE(Calculations!C72:C74)</f>
        <v>30.233333333333331</v>
      </c>
      <c r="D74">
        <f>AVERAGE(Calculations!E72:E74)</f>
        <v>2.79253791302204</v>
      </c>
      <c r="E74">
        <f>AVERAGE(Calculations!F72:F74)</f>
        <v>33.718441561869135</v>
      </c>
      <c r="F74">
        <f>AVERAGE(Calculations!G72:G74)</f>
        <v>1.12500906075345</v>
      </c>
      <c r="G74" t="e">
        <f>AVERAGE(Calculations!H72:H74)</f>
        <v>#N/A</v>
      </c>
      <c r="H74">
        <f>AVERAGE(Calculations!I72:I74)</f>
        <v>4.0333333333333332</v>
      </c>
      <c r="I74">
        <f>AVERAGE(Calculations!J72:J74)</f>
        <v>7.977208563586953E-2</v>
      </c>
      <c r="J74" t="e">
        <f>AVERAGE(Calculations!K72:K74)</f>
        <v>#N/A</v>
      </c>
    </row>
    <row r="75" spans="1:10" x14ac:dyDescent="0.2">
      <c r="A75" s="1">
        <f>Calculations!A75</f>
        <v>36557</v>
      </c>
      <c r="B75">
        <f>AVERAGE(Calculations!B73:B75)</f>
        <v>2.5666666666666669</v>
      </c>
      <c r="C75">
        <f>AVERAGE(Calculations!C73:C75)</f>
        <v>31.366666666666664</v>
      </c>
      <c r="D75">
        <f>AVERAGE(Calculations!E73:E75)</f>
        <v>2.6815356850191168</v>
      </c>
      <c r="E75">
        <f>AVERAGE(Calculations!F73:F75)</f>
        <v>33.764423741235468</v>
      </c>
      <c r="F75">
        <f>AVERAGE(Calculations!G73:G75)</f>
        <v>1.1206886988442766</v>
      </c>
      <c r="G75" t="e">
        <f>AVERAGE(Calculations!H73:H75)</f>
        <v>#N/A</v>
      </c>
      <c r="H75">
        <f>AVERAGE(Calculations!I73:I75)</f>
        <v>4.0333333333333332</v>
      </c>
      <c r="I75">
        <f>AVERAGE(Calculations!J73:J75)</f>
        <v>7.6543112612224282E-2</v>
      </c>
      <c r="J75" t="e">
        <f>AVERAGE(Calculations!K73:K75)</f>
        <v>#N/A</v>
      </c>
    </row>
    <row r="76" spans="1:10" x14ac:dyDescent="0.2">
      <c r="A76" s="1">
        <f>Calculations!A76</f>
        <v>36586</v>
      </c>
      <c r="B76">
        <f>AVERAGE(Calculations!B74:B76)</f>
        <v>2.5666666666666669</v>
      </c>
      <c r="C76">
        <f>AVERAGE(Calculations!C74:C76)</f>
        <v>32.699999999999996</v>
      </c>
      <c r="D76">
        <f>AVERAGE(Calculations!E74:E76)</f>
        <v>2.7835535465448102</v>
      </c>
      <c r="E76">
        <f>AVERAGE(Calculations!F74:F76)</f>
        <v>33.247142941041801</v>
      </c>
      <c r="F76">
        <f>AVERAGE(Calculations!G74:G76)</f>
        <v>1.0746680161361166</v>
      </c>
      <c r="G76" t="e">
        <f>AVERAGE(Calculations!H74:H76)</f>
        <v>#N/A</v>
      </c>
      <c r="H76">
        <f>AVERAGE(Calculations!I74:I76)</f>
        <v>4.0333333333333332</v>
      </c>
      <c r="I76">
        <f>AVERAGE(Calculations!J74:J76)</f>
        <v>8.036767540083728E-2</v>
      </c>
      <c r="J76" t="e">
        <f>AVERAGE(Calculations!K74:K76)</f>
        <v>#N/A</v>
      </c>
    </row>
    <row r="77" spans="1:10" x14ac:dyDescent="0.2">
      <c r="A77" s="1">
        <f>Calculations!A77</f>
        <v>36617</v>
      </c>
      <c r="B77">
        <f>AVERAGE(Calculations!B75:B77)</f>
        <v>2.6</v>
      </c>
      <c r="C77">
        <f>AVERAGE(Calculations!C75:C77)</f>
        <v>33.166666666666664</v>
      </c>
      <c r="D77">
        <f>AVERAGE(Calculations!E75:E77)</f>
        <v>2.8500998617178404</v>
      </c>
      <c r="E77">
        <f>AVERAGE(Calculations!F75:F77)</f>
        <v>33.267272181762465</v>
      </c>
      <c r="F77">
        <f>AVERAGE(Calculations!G75:G77)</f>
        <v>1.0816855340329499</v>
      </c>
      <c r="G77" t="e">
        <f>AVERAGE(Calculations!H75:H77)</f>
        <v>#N/A</v>
      </c>
      <c r="H77">
        <f>AVERAGE(Calculations!I75:I77)</f>
        <v>3.9666666666666663</v>
      </c>
      <c r="I77">
        <f>AVERAGE(Calculations!J75:J77)</f>
        <v>8.2459517563122378E-2</v>
      </c>
      <c r="J77" t="e">
        <f>AVERAGE(Calculations!K75:K77)</f>
        <v>#N/A</v>
      </c>
    </row>
    <row r="78" spans="1:10" x14ac:dyDescent="0.2">
      <c r="A78" s="1">
        <f>Calculations!A78</f>
        <v>36647</v>
      </c>
      <c r="B78">
        <f>AVERAGE(Calculations!B76:B78)</f>
        <v>2.7666666666666671</v>
      </c>
      <c r="C78">
        <f>AVERAGE(Calculations!C76:C78)</f>
        <v>34.199999999999996</v>
      </c>
      <c r="D78">
        <f>AVERAGE(Calculations!E76:E78)</f>
        <v>2.8822472518142335</v>
      </c>
      <c r="E78">
        <f>AVERAGE(Calculations!F76:F78)</f>
        <v>33.534085851147232</v>
      </c>
      <c r="F78">
        <f>AVERAGE(Calculations!G76:G78)</f>
        <v>1.1151256209228233</v>
      </c>
      <c r="G78" t="e">
        <f>AVERAGE(Calculations!H76:H78)</f>
        <v>#N/A</v>
      </c>
      <c r="H78">
        <f>AVERAGE(Calculations!I76:I78)</f>
        <v>3.9333333333333336</v>
      </c>
      <c r="I78">
        <f>AVERAGE(Calculations!J76:J78)</f>
        <v>8.2759130732603201E-2</v>
      </c>
      <c r="J78" t="e">
        <f>AVERAGE(Calculations!K76:K78)</f>
        <v>#N/A</v>
      </c>
    </row>
    <row r="79" spans="1:10" x14ac:dyDescent="0.2">
      <c r="A79" s="1">
        <f>Calculations!A79</f>
        <v>36678</v>
      </c>
      <c r="B79">
        <f>AVERAGE(Calculations!B77:B79)</f>
        <v>2.9333333333333336</v>
      </c>
      <c r="C79">
        <f>AVERAGE(Calculations!C77:C79)</f>
        <v>33.700000000000003</v>
      </c>
      <c r="D79">
        <f>AVERAGE(Calculations!E77:E79)</f>
        <v>2.7903964975932234</v>
      </c>
      <c r="E79">
        <f>AVERAGE(Calculations!F77:F79)</f>
        <v>32.8529007339705</v>
      </c>
      <c r="F79">
        <f>AVERAGE(Calculations!G77:G79)</f>
        <v>1.1792733541835532</v>
      </c>
      <c r="G79" t="e">
        <f>AVERAGE(Calculations!H77:H79)</f>
        <v>#N/A</v>
      </c>
      <c r="H79">
        <f>AVERAGE(Calculations!I77:I79)</f>
        <v>3.9333333333333336</v>
      </c>
      <c r="I79">
        <f>AVERAGE(Calculations!J77:J79)</f>
        <v>8.1740015835206833E-2</v>
      </c>
      <c r="J79" t="e">
        <f>AVERAGE(Calculations!K77:K79)</f>
        <v>#N/A</v>
      </c>
    </row>
    <row r="80" spans="1:10" x14ac:dyDescent="0.2">
      <c r="A80" s="1">
        <f>Calculations!A80</f>
        <v>36708</v>
      </c>
      <c r="B80">
        <f>AVERAGE(Calculations!B78:B80)</f>
        <v>2.9666666666666668</v>
      </c>
      <c r="C80">
        <f>AVERAGE(Calculations!C78:C80)</f>
        <v>33.833333333333336</v>
      </c>
      <c r="D80">
        <f>AVERAGE(Calculations!E78:E80)</f>
        <v>2.6756208318970969</v>
      </c>
      <c r="E80">
        <f>AVERAGE(Calculations!F78:F80)</f>
        <v>32.639705763780135</v>
      </c>
      <c r="F80">
        <f>AVERAGE(Calculations!G78:G80)</f>
        <v>1.2233915104875368</v>
      </c>
      <c r="G80" t="e">
        <f>AVERAGE(Calculations!H78:H80)</f>
        <v>#N/A</v>
      </c>
      <c r="H80">
        <f>AVERAGE(Calculations!I78:I80)</f>
        <v>4</v>
      </c>
      <c r="I80">
        <f>AVERAGE(Calculations!J78:J80)</f>
        <v>7.8626042299794627E-2</v>
      </c>
      <c r="J80" t="e">
        <f>AVERAGE(Calculations!K78:K80)</f>
        <v>#N/A</v>
      </c>
    </row>
    <row r="81" spans="1:10" x14ac:dyDescent="0.2">
      <c r="A81" s="1">
        <f>Calculations!A81</f>
        <v>36739</v>
      </c>
      <c r="B81">
        <f>AVERAGE(Calculations!B79:B81)</f>
        <v>3.0666666666666664</v>
      </c>
      <c r="C81">
        <f>AVERAGE(Calculations!C79:C81)</f>
        <v>35.066666666666663</v>
      </c>
      <c r="D81">
        <f>AVERAGE(Calculations!E79:E81)</f>
        <v>2.641415084862873</v>
      </c>
      <c r="E81">
        <f>AVERAGE(Calculations!F79:F81)</f>
        <v>32.331384535151869</v>
      </c>
      <c r="F81">
        <f>AVERAGE(Calculations!G79:G81)</f>
        <v>1.2214406778502667</v>
      </c>
      <c r="G81" t="e">
        <f>AVERAGE(Calculations!H79:H81)</f>
        <v>#N/A</v>
      </c>
      <c r="H81">
        <f>AVERAGE(Calculations!I79:I81)</f>
        <v>4.0333333333333332</v>
      </c>
      <c r="I81">
        <f>AVERAGE(Calculations!J79:J81)</f>
        <v>7.8365751364379121E-2</v>
      </c>
      <c r="J81" t="e">
        <f>AVERAGE(Calculations!K79:K81)</f>
        <v>#N/A</v>
      </c>
    </row>
    <row r="82" spans="1:10" x14ac:dyDescent="0.2">
      <c r="A82" s="1">
        <f>Calculations!A82</f>
        <v>36770</v>
      </c>
      <c r="B82">
        <f>AVERAGE(Calculations!B80:B82)</f>
        <v>2.9666666666666668</v>
      </c>
      <c r="C82">
        <f>AVERAGE(Calculations!C80:C82)</f>
        <v>35.300000000000004</v>
      </c>
      <c r="D82">
        <f>AVERAGE(Calculations!E80:E82)</f>
        <v>2.6283996499840434</v>
      </c>
      <c r="E82">
        <f>AVERAGE(Calculations!F80:F82)</f>
        <v>32.242209280943733</v>
      </c>
      <c r="F82">
        <f>AVERAGE(Calculations!G80:G82)</f>
        <v>1.1694737603097767</v>
      </c>
      <c r="G82" t="e">
        <f>AVERAGE(Calculations!H80:H82)</f>
        <v>#N/A</v>
      </c>
      <c r="H82">
        <f>AVERAGE(Calculations!I80:I82)</f>
        <v>4</v>
      </c>
      <c r="I82">
        <f>AVERAGE(Calculations!J80:J82)</f>
        <v>7.8220326751626143E-2</v>
      </c>
      <c r="J82" t="e">
        <f>AVERAGE(Calculations!K80:K82)</f>
        <v>#N/A</v>
      </c>
    </row>
    <row r="83" spans="1:10" x14ac:dyDescent="0.2">
      <c r="A83" s="1">
        <f>Calculations!A83</f>
        <v>36800</v>
      </c>
      <c r="B83">
        <f>AVERAGE(Calculations!B81:B83)</f>
        <v>2.9666666666666668</v>
      </c>
      <c r="C83">
        <f>AVERAGE(Calculations!C81:C83)</f>
        <v>35.300000000000004</v>
      </c>
      <c r="D83">
        <f>AVERAGE(Calculations!E81:E83)</f>
        <v>2.7501480132362333</v>
      </c>
      <c r="E83">
        <f>AVERAGE(Calculations!F81:F83)</f>
        <v>33.178395609581102</v>
      </c>
      <c r="F83">
        <f>AVERAGE(Calculations!G81:G83)</f>
        <v>1.1482483468818134</v>
      </c>
      <c r="G83" t="e">
        <f>AVERAGE(Calculations!H81:H83)</f>
        <v>#N/A</v>
      </c>
      <c r="H83">
        <f>AVERAGE(Calculations!I81:I83)</f>
        <v>3.9666666666666668</v>
      </c>
      <c r="I83">
        <f>AVERAGE(Calculations!J81:J83)</f>
        <v>7.9588445452143081E-2</v>
      </c>
      <c r="J83" t="e">
        <f>AVERAGE(Calculations!K81:K83)</f>
        <v>#N/A</v>
      </c>
    </row>
    <row r="84" spans="1:10" x14ac:dyDescent="0.2">
      <c r="A84" s="1">
        <f>Calculations!A84</f>
        <v>36831</v>
      </c>
      <c r="B84">
        <f>AVERAGE(Calculations!B82:B84)</f>
        <v>2.4333333333333336</v>
      </c>
      <c r="C84">
        <f>AVERAGE(Calculations!C82:C84)</f>
        <v>30.666666666666668</v>
      </c>
      <c r="D84">
        <f>AVERAGE(Calculations!E82:E84)</f>
        <v>2.6172899011562865</v>
      </c>
      <c r="E84">
        <f>AVERAGE(Calculations!F82:F84)</f>
        <v>31.655999795409134</v>
      </c>
      <c r="F84">
        <f>AVERAGE(Calculations!G82:G84)</f>
        <v>1.0888205266992834</v>
      </c>
      <c r="G84" t="e">
        <f>AVERAGE(Calculations!H82:H84)</f>
        <v>#N/A</v>
      </c>
      <c r="H84">
        <f>AVERAGE(Calculations!I82:I84)</f>
        <v>3.9</v>
      </c>
      <c r="I84">
        <f>AVERAGE(Calculations!J82:J84)</f>
        <v>7.945334391102489E-2</v>
      </c>
      <c r="J84" t="e">
        <f>AVERAGE(Calculations!K82:K84)</f>
        <v>#N/A</v>
      </c>
    </row>
    <row r="85" spans="1:10" x14ac:dyDescent="0.2">
      <c r="A85" s="1">
        <f>Calculations!A85</f>
        <v>36861</v>
      </c>
      <c r="B85">
        <f>AVERAGE(Calculations!B83:B85)</f>
        <v>2.4</v>
      </c>
      <c r="C85">
        <f>AVERAGE(Calculations!C83:C85)</f>
        <v>28.166666666666668</v>
      </c>
      <c r="D85">
        <f>AVERAGE(Calculations!E83:E85)</f>
        <v>2.6601527890668364</v>
      </c>
      <c r="E85">
        <f>AVERAGE(Calculations!F83:F85)</f>
        <v>31.2825553592983</v>
      </c>
      <c r="F85">
        <f>AVERAGE(Calculations!G83:G85)</f>
        <v>1.1228417616419433</v>
      </c>
      <c r="G85" t="e">
        <f>AVERAGE(Calculations!H83:H85)</f>
        <v>#N/A</v>
      </c>
      <c r="H85">
        <f>AVERAGE(Calculations!I83:I85)</f>
        <v>3.9</v>
      </c>
      <c r="I85">
        <f>AVERAGE(Calculations!J83:J85)</f>
        <v>8.1672567059005996E-2</v>
      </c>
      <c r="J85" t="e">
        <f>AVERAGE(Calculations!K83:K85)</f>
        <v>#N/A</v>
      </c>
    </row>
    <row r="86" spans="1:10" x14ac:dyDescent="0.2">
      <c r="A86" s="1">
        <f>Calculations!A86</f>
        <v>36892</v>
      </c>
      <c r="B86">
        <f>AVERAGE(Calculations!B84:B86)</f>
        <v>2.4333333333333331</v>
      </c>
      <c r="C86">
        <f>AVERAGE(Calculations!C84:C86)</f>
        <v>28.333333333333332</v>
      </c>
      <c r="D86">
        <f>AVERAGE(Calculations!E84:E86)</f>
        <v>2.6898385659030466</v>
      </c>
      <c r="E86">
        <f>AVERAGE(Calculations!F84:F86)</f>
        <v>31.406028269135664</v>
      </c>
      <c r="F86">
        <f>AVERAGE(Calculations!G84:G86)</f>
        <v>1.1542334890492467</v>
      </c>
      <c r="G86" t="e">
        <f>AVERAGE(Calculations!H84:H86)</f>
        <v>#N/A</v>
      </c>
      <c r="H86">
        <f>AVERAGE(Calculations!I84:I86)</f>
        <v>4</v>
      </c>
      <c r="I86">
        <f>AVERAGE(Calculations!J84:J86)</f>
        <v>8.2140102983795107E-2</v>
      </c>
      <c r="J86" t="e">
        <f>AVERAGE(Calculations!K84:K86)</f>
        <v>#N/A</v>
      </c>
    </row>
    <row r="87" spans="1:10" x14ac:dyDescent="0.2">
      <c r="A87" s="1">
        <f>Calculations!A87</f>
        <v>36923</v>
      </c>
      <c r="B87">
        <f>AVERAGE(Calculations!B85:B87)</f>
        <v>2.6</v>
      </c>
      <c r="C87">
        <f>AVERAGE(Calculations!C85:C87)</f>
        <v>29.433333333333334</v>
      </c>
      <c r="D87">
        <f>AVERAGE(Calculations!E85:E87)</f>
        <v>2.7187811408291771</v>
      </c>
      <c r="E87">
        <f>AVERAGE(Calculations!F85:F87)</f>
        <v>31.701824780553967</v>
      </c>
      <c r="F87">
        <f>AVERAGE(Calculations!G85:G87)</f>
        <v>1.1839633019033331</v>
      </c>
      <c r="G87">
        <f>AVERAGE(Calculations!H85:H87)</f>
        <v>2.4333333333333331</v>
      </c>
      <c r="H87">
        <f>AVERAGE(Calculations!I85:I87)</f>
        <v>4.1000000000000005</v>
      </c>
      <c r="I87">
        <f>AVERAGE(Calculations!J85:J87)</f>
        <v>8.2197155719430759E-2</v>
      </c>
      <c r="J87">
        <f>AVERAGE(Calculations!K85:K87)</f>
        <v>7.3687612571858255E-2</v>
      </c>
    </row>
    <row r="88" spans="1:10" x14ac:dyDescent="0.2">
      <c r="A88" s="1">
        <f>Calculations!A88</f>
        <v>36951</v>
      </c>
      <c r="B88">
        <f>AVERAGE(Calculations!B86:B88)</f>
        <v>2.4333333333333331</v>
      </c>
      <c r="C88">
        <f>AVERAGE(Calculations!C86:C88)</f>
        <v>30.599999999999998</v>
      </c>
      <c r="D88">
        <f>AVERAGE(Calculations!E86:E88)</f>
        <v>2.6345559901996634</v>
      </c>
      <c r="E88">
        <f>AVERAGE(Calculations!F86:F88)</f>
        <v>31.149852164970667</v>
      </c>
      <c r="F88">
        <f>AVERAGE(Calculations!G86:G88)</f>
        <v>1.2188168874170033</v>
      </c>
      <c r="G88">
        <f>AVERAGE(Calculations!H86:H88)</f>
        <v>2.4666666666666668</v>
      </c>
      <c r="H88">
        <f>AVERAGE(Calculations!I86:I88)</f>
        <v>4.2333333333333334</v>
      </c>
      <c r="I88">
        <f>AVERAGE(Calculations!J86:J88)</f>
        <v>8.0916563853417708E-2</v>
      </c>
      <c r="J88">
        <f>AVERAGE(Calculations!K86:K88)</f>
        <v>7.5953745487206847E-2</v>
      </c>
    </row>
    <row r="89" spans="1:10" x14ac:dyDescent="0.2">
      <c r="A89" s="1">
        <f>Calculations!A89</f>
        <v>36982</v>
      </c>
      <c r="B89">
        <f>AVERAGE(Calculations!B87:B89)</f>
        <v>2.2333333333333334</v>
      </c>
      <c r="C89">
        <f>AVERAGE(Calculations!C87:C89)</f>
        <v>31.066666666666663</v>
      </c>
      <c r="D89">
        <f>AVERAGE(Calculations!E87:E89)</f>
        <v>2.4458529936579065</v>
      </c>
      <c r="E89">
        <f>AVERAGE(Calculations!F87:F89)</f>
        <v>31.105053887194302</v>
      </c>
      <c r="F89">
        <f>AVERAGE(Calculations!G87:G89)</f>
        <v>1.1662577116613033</v>
      </c>
      <c r="G89">
        <f>AVERAGE(Calculations!H87:H89)</f>
        <v>2.4333333333333336</v>
      </c>
      <c r="H89">
        <f>AVERAGE(Calculations!I87:I89)</f>
        <v>4.3</v>
      </c>
      <c r="I89">
        <f>AVERAGE(Calculations!J87:J89)</f>
        <v>7.5513165199529761E-2</v>
      </c>
      <c r="J89">
        <f>AVERAGE(Calculations!K87:K89)</f>
        <v>7.5036984256508385E-2</v>
      </c>
    </row>
    <row r="90" spans="1:10" x14ac:dyDescent="0.2">
      <c r="A90" s="1">
        <f>Calculations!A90</f>
        <v>37012</v>
      </c>
      <c r="B90">
        <f>AVERAGE(Calculations!B88:B90)</f>
        <v>2.3333333333333335</v>
      </c>
      <c r="C90">
        <f>AVERAGE(Calculations!C88:C90)</f>
        <v>32.666666666666664</v>
      </c>
      <c r="D90">
        <f>AVERAGE(Calculations!E88:E90)</f>
        <v>2.4230298778232466</v>
      </c>
      <c r="E90">
        <f>AVERAGE(Calculations!F88:F90)</f>
        <v>31.930292114204267</v>
      </c>
      <c r="F90">
        <f>AVERAGE(Calculations!G88:G90)</f>
        <v>1.2306412348169966</v>
      </c>
      <c r="G90">
        <f>AVERAGE(Calculations!H88:H90)</f>
        <v>2.3666666666666667</v>
      </c>
      <c r="H90">
        <f>AVERAGE(Calculations!I88:I90)</f>
        <v>4.333333333333333</v>
      </c>
      <c r="I90">
        <f>AVERAGE(Calculations!J88:J90)</f>
        <v>7.2824072803540377E-2</v>
      </c>
      <c r="J90">
        <f>AVERAGE(Calculations!K88:K90)</f>
        <v>7.1100540320746711E-2</v>
      </c>
    </row>
    <row r="91" spans="1:10" x14ac:dyDescent="0.2">
      <c r="A91" s="1">
        <f>Calculations!A91</f>
        <v>37043</v>
      </c>
      <c r="B91">
        <f>AVERAGE(Calculations!B89:B91)</f>
        <v>2.5666666666666669</v>
      </c>
      <c r="C91">
        <f>AVERAGE(Calculations!C89:C91)</f>
        <v>31.533333333333331</v>
      </c>
      <c r="D91">
        <f>AVERAGE(Calculations!E89:E91)</f>
        <v>2.4211600755573932</v>
      </c>
      <c r="E91">
        <f>AVERAGE(Calculations!F89:F91)</f>
        <v>30.790984231344666</v>
      </c>
      <c r="F91">
        <f>AVERAGE(Calculations!G89:G91)</f>
        <v>1.2137144764729966</v>
      </c>
      <c r="G91">
        <f>AVERAGE(Calculations!H89:H91)</f>
        <v>2.2999999999999998</v>
      </c>
      <c r="H91">
        <f>AVERAGE(Calculations!I89:I91)</f>
        <v>4.3999999999999995</v>
      </c>
      <c r="I91">
        <f>AVERAGE(Calculations!J89:J91)</f>
        <v>7.6127801201270842E-2</v>
      </c>
      <c r="J91">
        <f>AVERAGE(Calculations!K89:K91)</f>
        <v>7.1951454854479319E-2</v>
      </c>
    </row>
    <row r="92" spans="1:10" x14ac:dyDescent="0.2">
      <c r="A92" s="1">
        <f>Calculations!A92</f>
        <v>37073</v>
      </c>
      <c r="B92">
        <f>AVERAGE(Calculations!B90:B92)</f>
        <v>2.9</v>
      </c>
      <c r="C92">
        <f>AVERAGE(Calculations!C90:C92)</f>
        <v>31.233333333333331</v>
      </c>
      <c r="D92">
        <f>AVERAGE(Calculations!E90:E92)</f>
        <v>2.6041472503584799</v>
      </c>
      <c r="E92">
        <f>AVERAGE(Calculations!F90:F92)</f>
        <v>30.106133791216099</v>
      </c>
      <c r="F92">
        <f>AVERAGE(Calculations!G90:G92)</f>
        <v>1.2813569421348499</v>
      </c>
      <c r="G92">
        <f>AVERAGE(Calculations!H90:H92)</f>
        <v>2.2333333333333334</v>
      </c>
      <c r="H92">
        <f>AVERAGE(Calculations!I90:I92)</f>
        <v>4.4666666666666668</v>
      </c>
      <c r="I92">
        <f>AVERAGE(Calculations!J90:J92)</f>
        <v>8.3194054873716561E-2</v>
      </c>
      <c r="J92">
        <f>AVERAGE(Calculations!K90:K92)</f>
        <v>7.1381774591553801E-2</v>
      </c>
    </row>
    <row r="93" spans="1:10" x14ac:dyDescent="0.2">
      <c r="A93" s="1">
        <f>Calculations!A93</f>
        <v>37104</v>
      </c>
      <c r="B93">
        <f>AVERAGE(Calculations!B91:B93)</f>
        <v>2.9666666666666668</v>
      </c>
      <c r="C93">
        <f>AVERAGE(Calculations!C91:C93)</f>
        <v>30.566666666666666</v>
      </c>
      <c r="D93">
        <f>AVERAGE(Calculations!E91:E93)</f>
        <v>2.5675315745022496</v>
      </c>
      <c r="E93">
        <f>AVERAGE(Calculations!F91:F93)</f>
        <v>28.098238442631001</v>
      </c>
      <c r="F93">
        <f>AVERAGE(Calculations!G91:G93)</f>
        <v>1.2487940861634967</v>
      </c>
      <c r="G93">
        <f>AVERAGE(Calculations!H91:H93)</f>
        <v>2.2000000000000002</v>
      </c>
      <c r="H93">
        <f>AVERAGE(Calculations!I91:I93)</f>
        <v>4.666666666666667</v>
      </c>
      <c r="I93">
        <f>AVERAGE(Calculations!J91:J93)</f>
        <v>8.7069144330986184E-2</v>
      </c>
      <c r="J93">
        <f>AVERAGE(Calculations!K91:K93)</f>
        <v>7.5025238281148487E-2</v>
      </c>
    </row>
    <row r="94" spans="1:10" x14ac:dyDescent="0.2">
      <c r="A94" s="1">
        <f>Calculations!A94</f>
        <v>37135</v>
      </c>
      <c r="B94">
        <f>AVERAGE(Calculations!B92:B94)</f>
        <v>2.8333333333333335</v>
      </c>
      <c r="C94">
        <f>AVERAGE(Calculations!C92:C94)</f>
        <v>31</v>
      </c>
      <c r="D94">
        <f>AVERAGE(Calculations!E92:E94)</f>
        <v>2.5239126085844901</v>
      </c>
      <c r="E94">
        <f>AVERAGE(Calculations!F92:F94)</f>
        <v>28.286054910655636</v>
      </c>
      <c r="F94">
        <f>AVERAGE(Calculations!G92:G94)</f>
        <v>1.3092371392828601</v>
      </c>
      <c r="G94">
        <f>AVERAGE(Calculations!H92:H94)</f>
        <v>2.1666666666666665</v>
      </c>
      <c r="H94">
        <f>AVERAGE(Calculations!I92:I94)</f>
        <v>4.833333333333333</v>
      </c>
      <c r="I94">
        <f>AVERAGE(Calculations!J92:J94)</f>
        <v>8.4756503612412548E-2</v>
      </c>
      <c r="J94">
        <f>AVERAGE(Calculations!K92:K94)</f>
        <v>7.3161123899811567E-2</v>
      </c>
    </row>
    <row r="95" spans="1:10" x14ac:dyDescent="0.2">
      <c r="A95" s="1">
        <f>Calculations!A95</f>
        <v>37165</v>
      </c>
      <c r="B95">
        <f>AVERAGE(Calculations!B93:B95)</f>
        <v>2.5333333333333332</v>
      </c>
      <c r="C95">
        <f>AVERAGE(Calculations!C93:C95)</f>
        <v>29.633333333333336</v>
      </c>
      <c r="D95">
        <f>AVERAGE(Calculations!E93:E95)</f>
        <v>2.3600861978807899</v>
      </c>
      <c r="E95">
        <f>AVERAGE(Calculations!F93:F95)</f>
        <v>27.880090817069771</v>
      </c>
      <c r="F95">
        <f>AVERAGE(Calculations!G93:G95)</f>
        <v>1.38141602452529</v>
      </c>
      <c r="G95">
        <f>AVERAGE(Calculations!H93:H95)</f>
        <v>2.166666666666667</v>
      </c>
      <c r="H95">
        <f>AVERAGE(Calculations!I93:I95)</f>
        <v>5.0666666666666664</v>
      </c>
      <c r="I95">
        <f>AVERAGE(Calculations!J93:J95)</f>
        <v>8.0526533716934023E-2</v>
      </c>
      <c r="J95">
        <f>AVERAGE(Calculations!K93:K95)</f>
        <v>7.3911804670154416E-2</v>
      </c>
    </row>
    <row r="96" spans="1:10" x14ac:dyDescent="0.2">
      <c r="A96" s="1">
        <f>Calculations!A96</f>
        <v>37196</v>
      </c>
      <c r="B96">
        <f>AVERAGE(Calculations!B94:B96)</f>
        <v>2.1666666666666665</v>
      </c>
      <c r="C96">
        <f>AVERAGE(Calculations!C94:C96)</f>
        <v>27.3</v>
      </c>
      <c r="D96">
        <f>AVERAGE(Calculations!E94:E96)</f>
        <v>2.3520991659601167</v>
      </c>
      <c r="E96">
        <f>AVERAGE(Calculations!F94:F96)</f>
        <v>28.396038839927666</v>
      </c>
      <c r="F96">
        <f>AVERAGE(Calculations!G94:G96)</f>
        <v>1.4417892866900932</v>
      </c>
      <c r="G96">
        <f>AVERAGE(Calculations!H94:H96)</f>
        <v>2.1</v>
      </c>
      <c r="H96">
        <f>AVERAGE(Calculations!I94:I96)</f>
        <v>5.2666666666666666</v>
      </c>
      <c r="I96">
        <f>AVERAGE(Calculations!J94:J96)</f>
        <v>7.8583784795759684E-2</v>
      </c>
      <c r="J96">
        <f>AVERAGE(Calculations!K94:K96)</f>
        <v>7.0130213208758216E-2</v>
      </c>
    </row>
    <row r="97" spans="1:10" x14ac:dyDescent="0.2">
      <c r="A97" s="1">
        <f>Calculations!A97</f>
        <v>37226</v>
      </c>
      <c r="B97">
        <f>AVERAGE(Calculations!B95:B97)</f>
        <v>2.1</v>
      </c>
      <c r="C97">
        <f>AVERAGE(Calculations!C95:C97)</f>
        <v>25.266666666666666</v>
      </c>
      <c r="D97">
        <f>AVERAGE(Calculations!E95:E97)</f>
        <v>2.3384868909812737</v>
      </c>
      <c r="E97">
        <f>AVERAGE(Calculations!F95:F97)</f>
        <v>28.097539267538867</v>
      </c>
      <c r="F97">
        <f>AVERAGE(Calculations!G95:G97)</f>
        <v>1.4353985092318033</v>
      </c>
      <c r="G97">
        <f>AVERAGE(Calculations!H95:H97)</f>
        <v>2.0666666666666669</v>
      </c>
      <c r="H97">
        <f>AVERAGE(Calculations!I95:I97)</f>
        <v>5.5</v>
      </c>
      <c r="I97">
        <f>AVERAGE(Calculations!J95:J97)</f>
        <v>7.8826937754331111E-2</v>
      </c>
      <c r="J97">
        <f>AVERAGE(Calculations!K95:K97)</f>
        <v>6.9583580771301959E-2</v>
      </c>
    </row>
    <row r="98" spans="1:10" x14ac:dyDescent="0.2">
      <c r="A98" s="1">
        <f>Calculations!A98</f>
        <v>37257</v>
      </c>
      <c r="B98">
        <f>AVERAGE(Calculations!B96:B98)</f>
        <v>2.1333333333333333</v>
      </c>
      <c r="C98">
        <f>AVERAGE(Calculations!C96:C98)</f>
        <v>25.366666666666664</v>
      </c>
      <c r="D98">
        <f>AVERAGE(Calculations!E96:E98)</f>
        <v>2.3686732206662935</v>
      </c>
      <c r="E98">
        <f>AVERAGE(Calculations!F96:F98)</f>
        <v>28.144926558866064</v>
      </c>
      <c r="F98">
        <f>AVERAGE(Calculations!G96:G98)</f>
        <v>1.4100263231205901</v>
      </c>
      <c r="G98">
        <f>AVERAGE(Calculations!H96:H98)</f>
        <v>2.0666666666666669</v>
      </c>
      <c r="H98">
        <f>AVERAGE(Calculations!I96:I98)</f>
        <v>5.6333333333333329</v>
      </c>
      <c r="I98">
        <f>AVERAGE(Calculations!J96:J98)</f>
        <v>7.9552353825448383E-2</v>
      </c>
      <c r="J98">
        <f>AVERAGE(Calculations!K96:K98)</f>
        <v>6.9374743633848268E-2</v>
      </c>
    </row>
    <row r="99" spans="1:10" x14ac:dyDescent="0.2">
      <c r="A99" s="1">
        <f>Calculations!A99</f>
        <v>37288</v>
      </c>
      <c r="B99">
        <f>AVERAGE(Calculations!B97:B99)</f>
        <v>2.2666666666666666</v>
      </c>
      <c r="C99">
        <f>AVERAGE(Calculations!C97:C99)</f>
        <v>25.833333333333332</v>
      </c>
      <c r="D99">
        <f>AVERAGE(Calculations!E97:E99)</f>
        <v>2.3652127152254767</v>
      </c>
      <c r="E99">
        <f>AVERAGE(Calculations!F97:F99)</f>
        <v>27.813851474080934</v>
      </c>
      <c r="F99">
        <f>AVERAGE(Calculations!G97:G99)</f>
        <v>1.3910626443647767</v>
      </c>
      <c r="G99">
        <f>AVERAGE(Calculations!H97:H99)</f>
        <v>2.1</v>
      </c>
      <c r="H99">
        <f>AVERAGE(Calculations!I97:I99)</f>
        <v>5.7</v>
      </c>
      <c r="I99">
        <f>AVERAGE(Calculations!J97:J99)</f>
        <v>8.0311605453645019E-2</v>
      </c>
      <c r="J99">
        <f>AVERAGE(Calculations!K97:K99)</f>
        <v>7.1273175192763161E-2</v>
      </c>
    </row>
    <row r="100" spans="1:10" x14ac:dyDescent="0.2">
      <c r="A100" s="1">
        <f>Calculations!A100</f>
        <v>37316</v>
      </c>
      <c r="B100">
        <f>AVERAGE(Calculations!B98:B100)</f>
        <v>2.1666666666666665</v>
      </c>
      <c r="C100">
        <f>AVERAGE(Calculations!C98:C100)</f>
        <v>26.8</v>
      </c>
      <c r="D100">
        <f>AVERAGE(Calculations!E98:E100)</f>
        <v>2.3554508419592071</v>
      </c>
      <c r="E100">
        <f>AVERAGE(Calculations!F98:F100)</f>
        <v>27.250443157102335</v>
      </c>
      <c r="F100">
        <f>AVERAGE(Calculations!G98:G100)</f>
        <v>1.39637318724063</v>
      </c>
      <c r="G100">
        <f>AVERAGE(Calculations!H98:H100)</f>
        <v>2.1</v>
      </c>
      <c r="H100">
        <f>AVERAGE(Calculations!I98:I100)</f>
        <v>5.7</v>
      </c>
      <c r="I100">
        <f>AVERAGE(Calculations!J98:J100)</f>
        <v>8.1858642042600502E-2</v>
      </c>
      <c r="J100">
        <f>AVERAGE(Calculations!K98:K100)</f>
        <v>7.2944333086242874E-2</v>
      </c>
    </row>
    <row r="101" spans="1:10" x14ac:dyDescent="0.2">
      <c r="A101" s="1">
        <f>Calculations!A101</f>
        <v>37347</v>
      </c>
      <c r="B101">
        <f>AVERAGE(Calculations!B99:B101)</f>
        <v>2.1666666666666665</v>
      </c>
      <c r="C101">
        <f>AVERAGE(Calculations!C99:C101)</f>
        <v>25.866666666666664</v>
      </c>
      <c r="D101">
        <f>AVERAGE(Calculations!E99:E101)</f>
        <v>2.3701443243666467</v>
      </c>
      <c r="E101">
        <f>AVERAGE(Calculations!F99:F101)</f>
        <v>25.941752903229133</v>
      </c>
      <c r="F101">
        <f>AVERAGE(Calculations!G99:G101)</f>
        <v>1.3957671604358268</v>
      </c>
      <c r="G101">
        <f>AVERAGE(Calculations!H99:H101)</f>
        <v>2.0666666666666664</v>
      </c>
      <c r="H101">
        <f>AVERAGE(Calculations!I99:I101)</f>
        <v>5.7666666666666666</v>
      </c>
      <c r="I101">
        <f>AVERAGE(Calculations!J99:J101)</f>
        <v>8.6247358384628936E-2</v>
      </c>
      <c r="J101">
        <f>AVERAGE(Calculations!K99:K101)</f>
        <v>7.51718877096198E-2</v>
      </c>
    </row>
    <row r="102" spans="1:10" x14ac:dyDescent="0.2">
      <c r="A102" s="1">
        <f>Calculations!A102</f>
        <v>37377</v>
      </c>
      <c r="B102">
        <f>AVERAGE(Calculations!B100:B102)</f>
        <v>2.2666666666666666</v>
      </c>
      <c r="C102">
        <f>AVERAGE(Calculations!C100:C102)</f>
        <v>25.033333333333335</v>
      </c>
      <c r="D102">
        <f>AVERAGE(Calculations!E100:E102)</f>
        <v>2.3497231439873798</v>
      </c>
      <c r="E102">
        <f>AVERAGE(Calculations!F100:F102)</f>
        <v>24.428634820342168</v>
      </c>
      <c r="F102">
        <f>AVERAGE(Calculations!G100:G102)</f>
        <v>1.3873580359828932</v>
      </c>
      <c r="G102">
        <f>AVERAGE(Calculations!H100:H102)</f>
        <v>2.0333333333333332</v>
      </c>
      <c r="H102">
        <f>AVERAGE(Calculations!I100:I102)</f>
        <v>5.8000000000000007</v>
      </c>
      <c r="I102">
        <f>AVERAGE(Calculations!J100:J102)</f>
        <v>9.0643211982037994E-2</v>
      </c>
      <c r="J102">
        <f>AVERAGE(Calculations!K100:K102)</f>
        <v>7.8536880045801186E-2</v>
      </c>
    </row>
    <row r="103" spans="1:10" x14ac:dyDescent="0.2">
      <c r="A103" s="1">
        <f>Calculations!A103</f>
        <v>37408</v>
      </c>
      <c r="B103">
        <f>AVERAGE(Calculations!B101:B103)</f>
        <v>2.5</v>
      </c>
      <c r="C103">
        <f>AVERAGE(Calculations!C101:C103)</f>
        <v>24.566666666666666</v>
      </c>
      <c r="D103">
        <f>AVERAGE(Calculations!E101:E103)</f>
        <v>2.3641265831014699</v>
      </c>
      <c r="E103">
        <f>AVERAGE(Calculations!F101:F103)</f>
        <v>24.09835822224397</v>
      </c>
      <c r="F103">
        <f>AVERAGE(Calculations!G101:G103)</f>
        <v>1.3265224808813667</v>
      </c>
      <c r="G103">
        <f>AVERAGE(Calculations!H101:H103)</f>
        <v>2.0333333333333332</v>
      </c>
      <c r="H103">
        <f>AVERAGE(Calculations!I101:I103)</f>
        <v>5.833333333333333</v>
      </c>
      <c r="I103">
        <f>AVERAGE(Calculations!J101:J103)</f>
        <v>9.2432284625456981E-2</v>
      </c>
      <c r="J103">
        <f>AVERAGE(Calculations!K101:K103)</f>
        <v>7.960030736875072E-2</v>
      </c>
    </row>
    <row r="104" spans="1:10" x14ac:dyDescent="0.2">
      <c r="A104" s="1">
        <f>Calculations!A104</f>
        <v>37438</v>
      </c>
      <c r="B104">
        <f>AVERAGE(Calculations!B102:B104)</f>
        <v>2.6</v>
      </c>
      <c r="C104">
        <f>AVERAGE(Calculations!C102:C104)</f>
        <v>25.400000000000002</v>
      </c>
      <c r="D104">
        <f>AVERAGE(Calculations!E102:E104)</f>
        <v>2.3297173590500564</v>
      </c>
      <c r="E104">
        <f>AVERAGE(Calculations!F102:F104)</f>
        <v>24.483240378473965</v>
      </c>
      <c r="F104">
        <f>AVERAGE(Calculations!G102:G104)</f>
        <v>1.3117834178211265</v>
      </c>
      <c r="G104">
        <f>AVERAGE(Calculations!H102:H104)</f>
        <v>2</v>
      </c>
      <c r="H104">
        <f>AVERAGE(Calculations!I102:I104)</f>
        <v>5.8</v>
      </c>
      <c r="I104">
        <f>AVERAGE(Calculations!J102:J104)</f>
        <v>8.9978750010393752E-2</v>
      </c>
      <c r="J104">
        <f>AVERAGE(Calculations!K102:K104)</f>
        <v>7.7391884832619051E-2</v>
      </c>
    </row>
    <row r="105" spans="1:10" x14ac:dyDescent="0.2">
      <c r="A105" s="1">
        <f>Calculations!A105</f>
        <v>37469</v>
      </c>
      <c r="B105">
        <f>AVERAGE(Calculations!B103:B105)</f>
        <v>2.6666666666666665</v>
      </c>
      <c r="C105">
        <f>AVERAGE(Calculations!C103:C105)</f>
        <v>27.666666666666668</v>
      </c>
      <c r="D105">
        <f>AVERAGE(Calculations!E103:E105)</f>
        <v>2.3078929407658868</v>
      </c>
      <c r="E105">
        <f>AVERAGE(Calculations!F103:F105)</f>
        <v>25.347389819769464</v>
      </c>
      <c r="F105">
        <f>AVERAGE(Calculations!G103:G105)</f>
        <v>1.3155524831225931</v>
      </c>
      <c r="G105">
        <f>AVERAGE(Calculations!H103:H105)</f>
        <v>2</v>
      </c>
      <c r="H105">
        <f>AVERAGE(Calculations!I103:I105)</f>
        <v>5.7666666666666666</v>
      </c>
      <c r="I105">
        <f>AVERAGE(Calculations!J103:J105)</f>
        <v>8.6050799041104464E-2</v>
      </c>
      <c r="J105">
        <f>AVERAGE(Calculations!K103:K105)</f>
        <v>7.4630564995755738E-2</v>
      </c>
    </row>
    <row r="106" spans="1:10" x14ac:dyDescent="0.2">
      <c r="A106" s="1">
        <f>Calculations!A106</f>
        <v>37500</v>
      </c>
      <c r="B106">
        <f>AVERAGE(Calculations!B104:B106)</f>
        <v>2.5333333333333337</v>
      </c>
      <c r="C106">
        <f>AVERAGE(Calculations!C104:C106)</f>
        <v>27.899999999999995</v>
      </c>
      <c r="D106">
        <f>AVERAGE(Calculations!E104:E106)</f>
        <v>2.252931225939653</v>
      </c>
      <c r="E106">
        <f>AVERAGE(Calculations!F104:F106)</f>
        <v>25.361671216424266</v>
      </c>
      <c r="F106">
        <f>AVERAGE(Calculations!G104:G106)</f>
        <v>1.3438736033721934</v>
      </c>
      <c r="G106">
        <f>AVERAGE(Calculations!H104:H106)</f>
        <v>2</v>
      </c>
      <c r="H106">
        <f>AVERAGE(Calculations!I104:I106)</f>
        <v>5.7333333333333334</v>
      </c>
      <c r="I106">
        <f>AVERAGE(Calculations!J104:J106)</f>
        <v>8.3815478276875535E-2</v>
      </c>
      <c r="J106">
        <f>AVERAGE(Calculations!K104:K106)</f>
        <v>7.4609936847283079E-2</v>
      </c>
    </row>
    <row r="107" spans="1:10" x14ac:dyDescent="0.2">
      <c r="A107" s="1">
        <f>Calculations!A107</f>
        <v>37530</v>
      </c>
      <c r="B107">
        <f>AVERAGE(Calculations!B105:B107)</f>
        <v>2.4</v>
      </c>
      <c r="C107">
        <f>AVERAGE(Calculations!C105:C107)</f>
        <v>26.233333333333334</v>
      </c>
      <c r="D107">
        <f>AVERAGE(Calculations!E105:E107)</f>
        <v>2.2481755988517098</v>
      </c>
      <c r="E107">
        <f>AVERAGE(Calculations!F105:F107)</f>
        <v>24.543412671441899</v>
      </c>
      <c r="F107">
        <f>AVERAGE(Calculations!G105:G107)</f>
        <v>1.38487561488682</v>
      </c>
      <c r="G107">
        <f>AVERAGE(Calculations!H105:H107)</f>
        <v>2</v>
      </c>
      <c r="H107">
        <f>AVERAGE(Calculations!I105:I107)</f>
        <v>5.7</v>
      </c>
      <c r="I107">
        <f>AVERAGE(Calculations!J105:J107)</f>
        <v>8.6438939157664832E-2</v>
      </c>
      <c r="J107">
        <f>AVERAGE(Calculations!K105:K107)</f>
        <v>7.6936244861903619E-2</v>
      </c>
    </row>
    <row r="108" spans="1:10" x14ac:dyDescent="0.2">
      <c r="A108" s="1">
        <f>Calculations!A108</f>
        <v>37561</v>
      </c>
      <c r="B108">
        <f>AVERAGE(Calculations!B106:B108)</f>
        <v>2</v>
      </c>
      <c r="C108">
        <f>AVERAGE(Calculations!C106:C108)</f>
        <v>22.966666666666669</v>
      </c>
      <c r="D108">
        <f>AVERAGE(Calculations!E106:E108)</f>
        <v>2.1589619620556468</v>
      </c>
      <c r="E108">
        <f>AVERAGE(Calculations!F106:F108)</f>
        <v>23.9136435221222</v>
      </c>
      <c r="F108">
        <f>AVERAGE(Calculations!G106:G108)</f>
        <v>1.3660987621047234</v>
      </c>
      <c r="G108">
        <f>AVERAGE(Calculations!H106:H108)</f>
        <v>1.9666666666666668</v>
      </c>
      <c r="H108">
        <f>AVERAGE(Calculations!I106:I108)</f>
        <v>5.7666666666666666</v>
      </c>
      <c r="I108">
        <f>AVERAGE(Calculations!J106:J108)</f>
        <v>8.4986425589885492E-2</v>
      </c>
      <c r="J108">
        <f>AVERAGE(Calculations!K106:K108)</f>
        <v>7.7524205163870361E-2</v>
      </c>
    </row>
    <row r="109" spans="1:10" x14ac:dyDescent="0.2">
      <c r="A109" s="1">
        <f>Calculations!A109</f>
        <v>37591</v>
      </c>
      <c r="B109">
        <f>AVERAGE(Calculations!B107:B109)</f>
        <v>2.0333333333333332</v>
      </c>
      <c r="C109">
        <f>AVERAGE(Calculations!C107:C109)</f>
        <v>21.5</v>
      </c>
      <c r="D109">
        <f>AVERAGE(Calculations!E107:E109)</f>
        <v>2.2495213623452899</v>
      </c>
      <c r="E109">
        <f>AVERAGE(Calculations!F107:F109)</f>
        <v>23.956145209319867</v>
      </c>
      <c r="F109">
        <f>AVERAGE(Calculations!G107:G109)</f>
        <v>1.3679652854758035</v>
      </c>
      <c r="G109">
        <f>AVERAGE(Calculations!H107:H109)</f>
        <v>1.9666666666666668</v>
      </c>
      <c r="H109">
        <f>AVERAGE(Calculations!I107:I109)</f>
        <v>5.8666666666666671</v>
      </c>
      <c r="I109">
        <f>AVERAGE(Calculations!J107:J109)</f>
        <v>8.8351369870428201E-2</v>
      </c>
      <c r="J109">
        <f>AVERAGE(Calculations!K107:K109)</f>
        <v>7.7294190288117348E-2</v>
      </c>
    </row>
    <row r="110" spans="1:10" x14ac:dyDescent="0.2">
      <c r="A110" s="1">
        <f>Calculations!A110</f>
        <v>37622</v>
      </c>
      <c r="B110">
        <f>AVERAGE(Calculations!B108:B110)</f>
        <v>1.9333333333333333</v>
      </c>
      <c r="C110">
        <f>AVERAGE(Calculations!C108:C110)</f>
        <v>21.333333333333332</v>
      </c>
      <c r="D110">
        <f>AVERAGE(Calculations!E108:E110)</f>
        <v>2.1349929112116635</v>
      </c>
      <c r="E110">
        <f>AVERAGE(Calculations!F108:F110)</f>
        <v>23.708760728735268</v>
      </c>
      <c r="F110">
        <f>AVERAGE(Calculations!G108:G110)</f>
        <v>1.2468014801186733</v>
      </c>
      <c r="G110">
        <f>AVERAGE(Calculations!H108:H110)</f>
        <v>1.9333333333333333</v>
      </c>
      <c r="H110">
        <f>AVERAGE(Calculations!I108:I110)</f>
        <v>5.8999999999999995</v>
      </c>
      <c r="I110">
        <f>AVERAGE(Calculations!J108:J110)</f>
        <v>8.4759377221453228E-2</v>
      </c>
      <c r="J110">
        <f>AVERAGE(Calculations!K108:K110)</f>
        <v>7.6744215003658647E-2</v>
      </c>
    </row>
    <row r="111" spans="1:10" x14ac:dyDescent="0.2">
      <c r="A111" s="1">
        <f>Calculations!A111</f>
        <v>37653</v>
      </c>
      <c r="B111">
        <f>AVERAGE(Calculations!B109:B111)</f>
        <v>2.1</v>
      </c>
      <c r="C111">
        <f>AVERAGE(Calculations!C109:C111)</f>
        <v>21.833333333333332</v>
      </c>
      <c r="D111">
        <f>AVERAGE(Calculations!E109:E111)</f>
        <v>2.1948859760835164</v>
      </c>
      <c r="E111">
        <f>AVERAGE(Calculations!F109:F111)</f>
        <v>23.559497451367832</v>
      </c>
      <c r="F111">
        <f>AVERAGE(Calculations!G109:G111)</f>
        <v>1.3018843861688734</v>
      </c>
      <c r="G111">
        <f>AVERAGE(Calculations!H109:H111)</f>
        <v>1.9333333333333333</v>
      </c>
      <c r="H111">
        <f>AVERAGE(Calculations!I109:I111)</f>
        <v>5.9000000000000012</v>
      </c>
      <c r="I111">
        <f>AVERAGE(Calculations!J109:J111)</f>
        <v>8.768776674903804E-2</v>
      </c>
      <c r="J111">
        <f>AVERAGE(Calculations!K109:K111)</f>
        <v>7.7232254464594155E-2</v>
      </c>
    </row>
    <row r="112" spans="1:10" x14ac:dyDescent="0.2">
      <c r="A112" s="1">
        <f>Calculations!A112</f>
        <v>37681</v>
      </c>
      <c r="B112">
        <f>AVERAGE(Calculations!B110:B112)</f>
        <v>1.9000000000000001</v>
      </c>
      <c r="C112">
        <f>AVERAGE(Calculations!C110:C112)</f>
        <v>23.666666666666668</v>
      </c>
      <c r="D112">
        <f>AVERAGE(Calculations!E110:E112)</f>
        <v>2.0694321808921234</v>
      </c>
      <c r="E112">
        <f>AVERAGE(Calculations!F110:F112)</f>
        <v>23.934805987720029</v>
      </c>
      <c r="F112">
        <f>AVERAGE(Calculations!G110:G112)</f>
        <v>1.2963677654081434</v>
      </c>
      <c r="G112">
        <f>AVERAGE(Calculations!H110:H112)</f>
        <v>1.8999999999999997</v>
      </c>
      <c r="H112">
        <f>AVERAGE(Calculations!I110:I112)</f>
        <v>5.8666666666666671</v>
      </c>
      <c r="I112">
        <f>AVERAGE(Calculations!J110:J112)</f>
        <v>8.1469389326322958E-2</v>
      </c>
      <c r="J112">
        <f>AVERAGE(Calculations!K110:K112)</f>
        <v>7.4776128647215903E-2</v>
      </c>
    </row>
    <row r="113" spans="1:10" x14ac:dyDescent="0.2">
      <c r="A113" s="1">
        <f>Calculations!A113</f>
        <v>37712</v>
      </c>
      <c r="B113">
        <f>AVERAGE(Calculations!B111:B113)</f>
        <v>2</v>
      </c>
      <c r="C113">
        <f>AVERAGE(Calculations!C111:C113)</f>
        <v>23.766666666666669</v>
      </c>
      <c r="D113">
        <f>AVERAGE(Calculations!E111:E113)</f>
        <v>2.1825709723714133</v>
      </c>
      <c r="E113">
        <f>AVERAGE(Calculations!F111:F113)</f>
        <v>23.747749686717</v>
      </c>
      <c r="F113">
        <f>AVERAGE(Calculations!G111:G113)</f>
        <v>1.4309952290919166</v>
      </c>
      <c r="G113">
        <f>AVERAGE(Calculations!H111:H113)</f>
        <v>1.8666666666666665</v>
      </c>
      <c r="H113">
        <f>AVERAGE(Calculations!I111:I113)</f>
        <v>5.9333333333333336</v>
      </c>
      <c r="I113">
        <f>AVERAGE(Calculations!J111:J113)</f>
        <v>8.660325765789996E-2</v>
      </c>
      <c r="J113">
        <f>AVERAGE(Calculations!K111:K113)</f>
        <v>7.3979998237864553E-2</v>
      </c>
    </row>
    <row r="114" spans="1:10" x14ac:dyDescent="0.2">
      <c r="A114" s="1">
        <f>Calculations!A114</f>
        <v>37742</v>
      </c>
      <c r="B114">
        <f>AVERAGE(Calculations!B112:B114)</f>
        <v>2.1</v>
      </c>
      <c r="C114">
        <f>AVERAGE(Calculations!C112:C114)</f>
        <v>24.133333333333336</v>
      </c>
      <c r="D114">
        <f>AVERAGE(Calculations!E112:E114)</f>
        <v>2.1659374635017268</v>
      </c>
      <c r="E114">
        <f>AVERAGE(Calculations!F112:F114)</f>
        <v>23.555563761800936</v>
      </c>
      <c r="F114">
        <f>AVERAGE(Calculations!G112:G114)</f>
        <v>1.3942963452019932</v>
      </c>
      <c r="G114">
        <f>AVERAGE(Calculations!H112:H114)</f>
        <v>1.8333333333333333</v>
      </c>
      <c r="H114">
        <f>AVERAGE(Calculations!I112:I114)</f>
        <v>6</v>
      </c>
      <c r="I114">
        <f>AVERAGE(Calculations!J112:J114)</f>
        <v>8.6577926844079292E-2</v>
      </c>
      <c r="J114">
        <f>AVERAGE(Calculations!K112:K114)</f>
        <v>7.3194902667671272E-2</v>
      </c>
    </row>
    <row r="115" spans="1:10" x14ac:dyDescent="0.2">
      <c r="A115" s="1">
        <f>Calculations!A115</f>
        <v>37773</v>
      </c>
      <c r="B115">
        <f>AVERAGE(Calculations!B113:B115)</f>
        <v>2.2999999999999998</v>
      </c>
      <c r="C115">
        <f>AVERAGE(Calculations!C113:C115)</f>
        <v>23.3</v>
      </c>
      <c r="D115">
        <f>AVERAGE(Calculations!E113:E115)</f>
        <v>2.1716336654735202</v>
      </c>
      <c r="E115">
        <f>AVERAGE(Calculations!F113:F115)</f>
        <v>22.991419344449167</v>
      </c>
      <c r="F115">
        <f>AVERAGE(Calculations!G113:G115)</f>
        <v>1.3962017915195932</v>
      </c>
      <c r="G115">
        <f>AVERAGE(Calculations!H113:H115)</f>
        <v>1.8</v>
      </c>
      <c r="H115">
        <f>AVERAGE(Calculations!I113:I115)</f>
        <v>6.1333333333333329</v>
      </c>
      <c r="I115">
        <f>AVERAGE(Calculations!J113:J115)</f>
        <v>8.8605592022634752E-2</v>
      </c>
      <c r="J115">
        <f>AVERAGE(Calculations!K113:K115)</f>
        <v>7.3502959929048803E-2</v>
      </c>
    </row>
    <row r="116" spans="1:10" x14ac:dyDescent="0.2">
      <c r="A116" s="1">
        <f>Calculations!A116</f>
        <v>37803</v>
      </c>
      <c r="B116">
        <f>AVERAGE(Calculations!B114:B116)</f>
        <v>2.3333333333333335</v>
      </c>
      <c r="C116">
        <f>AVERAGE(Calculations!C114:C116)</f>
        <v>24.2</v>
      </c>
      <c r="D116">
        <f>AVERAGE(Calculations!E114:E116)</f>
        <v>2.0909331767264367</v>
      </c>
      <c r="E116">
        <f>AVERAGE(Calculations!F114:F116)</f>
        <v>23.427048737359168</v>
      </c>
      <c r="F116">
        <f>AVERAGE(Calculations!G114:G116)</f>
        <v>1.2831002318874667</v>
      </c>
      <c r="G116">
        <f>AVERAGE(Calculations!H114:H116)</f>
        <v>1.8</v>
      </c>
      <c r="H116">
        <f>AVERAGE(Calculations!I114:I116)</f>
        <v>6.1999999999999993</v>
      </c>
      <c r="I116">
        <f>AVERAGE(Calculations!J114:J116)</f>
        <v>8.3779918835348785E-2</v>
      </c>
      <c r="J116">
        <f>AVERAGE(Calculations!K114:K116)</f>
        <v>7.2178563190928691E-2</v>
      </c>
    </row>
    <row r="117" spans="1:10" x14ac:dyDescent="0.2">
      <c r="A117" s="1">
        <f>Calculations!A117</f>
        <v>37834</v>
      </c>
      <c r="B117">
        <f>AVERAGE(Calculations!B115:B117)</f>
        <v>2.4333333333333331</v>
      </c>
      <c r="C117">
        <f>AVERAGE(Calculations!C115:C117)</f>
        <v>25.833333333333332</v>
      </c>
      <c r="D117">
        <f>AVERAGE(Calculations!E115:E117)</f>
        <v>2.1135604446777165</v>
      </c>
      <c r="E117">
        <f>AVERAGE(Calculations!F115:F117)</f>
        <v>23.689413530724966</v>
      </c>
      <c r="F117">
        <f>AVERAGE(Calculations!G115:G117)</f>
        <v>1.2391796542855433</v>
      </c>
      <c r="G117">
        <f>AVERAGE(Calculations!H115:H117)</f>
        <v>1.8</v>
      </c>
      <c r="H117">
        <f>AVERAGE(Calculations!I115:I117)</f>
        <v>6.2</v>
      </c>
      <c r="I117">
        <f>AVERAGE(Calculations!J115:J117)</f>
        <v>8.3728922122523655E-2</v>
      </c>
      <c r="J117">
        <f>AVERAGE(Calculations!K115:K117)</f>
        <v>7.1338452311522235E-2</v>
      </c>
    </row>
    <row r="118" spans="1:10" x14ac:dyDescent="0.2">
      <c r="A118" s="1">
        <f>Calculations!A118</f>
        <v>37865</v>
      </c>
      <c r="B118">
        <f>AVERAGE(Calculations!B116:B118)</f>
        <v>2.4</v>
      </c>
      <c r="C118">
        <f>AVERAGE(Calculations!C116:C118)</f>
        <v>26.866666666666664</v>
      </c>
      <c r="D118">
        <f>AVERAGE(Calculations!E116:E118)</f>
        <v>2.1427070663347569</v>
      </c>
      <c r="E118">
        <f>AVERAGE(Calculations!F116:F118)</f>
        <v>24.390009997143533</v>
      </c>
      <c r="F118">
        <f>AVERAGE(Calculations!G116:G118)</f>
        <v>1.2450936412479168</v>
      </c>
      <c r="G118">
        <f>AVERAGE(Calculations!H116:H118)</f>
        <v>1.8333333333333333</v>
      </c>
      <c r="H118">
        <f>AVERAGE(Calculations!I116:I118)</f>
        <v>6.1333333333333329</v>
      </c>
      <c r="I118">
        <f>AVERAGE(Calculations!J116:J118)</f>
        <v>8.252612167732809E-2</v>
      </c>
      <c r="J118">
        <f>AVERAGE(Calculations!K116:K118)</f>
        <v>7.0586264021813935E-2</v>
      </c>
    </row>
    <row r="119" spans="1:10" x14ac:dyDescent="0.2">
      <c r="A119" s="1">
        <f>Calculations!A119</f>
        <v>37895</v>
      </c>
      <c r="B119">
        <f>AVERAGE(Calculations!B117:B119)</f>
        <v>2.2333333333333338</v>
      </c>
      <c r="C119">
        <f>AVERAGE(Calculations!C117:C119)</f>
        <v>25.433333333333334</v>
      </c>
      <c r="D119">
        <f>AVERAGE(Calculations!E117:E119)</f>
        <v>2.0923022655146601</v>
      </c>
      <c r="E119">
        <f>AVERAGE(Calculations!F117:F119)</f>
        <v>23.783905891586869</v>
      </c>
      <c r="F119">
        <f>AVERAGE(Calculations!G117:G119)</f>
        <v>1.1929010991558167</v>
      </c>
      <c r="G119">
        <f>AVERAGE(Calculations!H117:H119)</f>
        <v>1.8666666666666665</v>
      </c>
      <c r="H119">
        <f>AVERAGE(Calculations!I117:I119)</f>
        <v>6.0666666666666664</v>
      </c>
      <c r="I119">
        <f>AVERAGE(Calculations!J117:J119)</f>
        <v>8.268206225887105E-2</v>
      </c>
      <c r="J119">
        <f>AVERAGE(Calculations!K117:K119)</f>
        <v>7.3819052066737431E-2</v>
      </c>
    </row>
    <row r="120" spans="1:10" x14ac:dyDescent="0.2">
      <c r="A120" s="1">
        <f>Calculations!A120</f>
        <v>37926</v>
      </c>
      <c r="B120">
        <f>AVERAGE(Calculations!B118:B120)</f>
        <v>1.8999999999999997</v>
      </c>
      <c r="C120">
        <f>AVERAGE(Calculations!C118:C120)</f>
        <v>23.733333333333334</v>
      </c>
      <c r="D120">
        <f>AVERAGE(Calculations!E118:E120)</f>
        <v>2.0533980683445101</v>
      </c>
      <c r="E120">
        <f>AVERAGE(Calculations!F118:F120)</f>
        <v>24.795315564835231</v>
      </c>
      <c r="F120">
        <f>AVERAGE(Calculations!G118:G120)</f>
        <v>1.2815766081190398</v>
      </c>
      <c r="G120">
        <f>AVERAGE(Calculations!H118:H120)</f>
        <v>1.8999999999999997</v>
      </c>
      <c r="H120">
        <f>AVERAGE(Calculations!I118:I120)</f>
        <v>5.9666666666666659</v>
      </c>
      <c r="I120">
        <f>AVERAGE(Calculations!J118:J120)</f>
        <v>7.8104721673637953E-2</v>
      </c>
      <c r="J120">
        <f>AVERAGE(Calculations!K118:K120)</f>
        <v>7.2306405459269793E-2</v>
      </c>
    </row>
    <row r="121" spans="1:10" x14ac:dyDescent="0.2">
      <c r="A121" s="1">
        <f>Calculations!A121</f>
        <v>37956</v>
      </c>
      <c r="B121">
        <f>AVERAGE(Calculations!B119:B121)</f>
        <v>1.8</v>
      </c>
      <c r="C121">
        <f>AVERAGE(Calculations!C119:C121)</f>
        <v>21.933333333333334</v>
      </c>
      <c r="D121">
        <f>AVERAGE(Calculations!E119:E121)</f>
        <v>2.0028018101364933</v>
      </c>
      <c r="E121">
        <f>AVERAGE(Calculations!F119:F121)</f>
        <v>24.607132779468269</v>
      </c>
      <c r="F121">
        <f>AVERAGE(Calculations!G119:G121)</f>
        <v>1.2579816983329366</v>
      </c>
      <c r="G121">
        <f>AVERAGE(Calculations!H119:H121)</f>
        <v>1.8999999999999997</v>
      </c>
      <c r="H121">
        <f>AVERAGE(Calculations!I119:I121)</f>
        <v>5.833333333333333</v>
      </c>
      <c r="I121">
        <f>AVERAGE(Calculations!J119:J121)</f>
        <v>7.6894554969389156E-2</v>
      </c>
      <c r="J121">
        <f>AVERAGE(Calculations!K119:K121)</f>
        <v>7.2954840881903904E-2</v>
      </c>
    </row>
    <row r="122" spans="1:10" x14ac:dyDescent="0.2">
      <c r="A122" s="1">
        <f>Calculations!A122</f>
        <v>37987</v>
      </c>
      <c r="B122">
        <f>AVERAGE(Calculations!B120:B122)</f>
        <v>1.8333333333333333</v>
      </c>
      <c r="C122">
        <f>AVERAGE(Calculations!C120:C122)</f>
        <v>22.166666666666668</v>
      </c>
      <c r="D122">
        <f>AVERAGE(Calculations!E120:E122)</f>
        <v>2.0216425955047668</v>
      </c>
      <c r="E122">
        <f>AVERAGE(Calculations!F120:F122)</f>
        <v>24.730815443332066</v>
      </c>
      <c r="F122">
        <f>AVERAGE(Calculations!G120:G122)</f>
        <v>1.3253945947544601</v>
      </c>
      <c r="G122">
        <f>AVERAGE(Calculations!H120:H122)</f>
        <v>1.8666666666666665</v>
      </c>
      <c r="H122">
        <f>AVERAGE(Calculations!I120:I122)</f>
        <v>5.7333333333333334</v>
      </c>
      <c r="I122">
        <f>AVERAGE(Calculations!J120:J122)</f>
        <v>7.7307644349602855E-2</v>
      </c>
      <c r="J122">
        <f>AVERAGE(Calculations!K120:K122)</f>
        <v>7.1269432692128667E-2</v>
      </c>
    </row>
    <row r="123" spans="1:10" x14ac:dyDescent="0.2">
      <c r="A123" s="1">
        <f>Calculations!A123</f>
        <v>38018</v>
      </c>
      <c r="B123">
        <f>AVERAGE(Calculations!B121:B123)</f>
        <v>2</v>
      </c>
      <c r="C123">
        <f>AVERAGE(Calculations!C121:C123)</f>
        <v>21.466666666666669</v>
      </c>
      <c r="D123">
        <f>AVERAGE(Calculations!E121:E123)</f>
        <v>2.0874168119042733</v>
      </c>
      <c r="E123">
        <f>AVERAGE(Calculations!F121:F123)</f>
        <v>23.219582170081299</v>
      </c>
      <c r="F123">
        <f>AVERAGE(Calculations!G121:G123)</f>
        <v>1.2367487915909166</v>
      </c>
      <c r="G123">
        <f>AVERAGE(Calculations!H121:H123)</f>
        <v>1.8666666666666665</v>
      </c>
      <c r="H123">
        <f>AVERAGE(Calculations!I121:I123)</f>
        <v>5.666666666666667</v>
      </c>
      <c r="I123">
        <f>AVERAGE(Calculations!J121:J123)</f>
        <v>8.5157522863396548E-2</v>
      </c>
      <c r="J123">
        <f>AVERAGE(Calculations!K121:K123)</f>
        <v>7.6010487811497288E-2</v>
      </c>
    </row>
    <row r="124" spans="1:10" x14ac:dyDescent="0.2">
      <c r="A124" s="1">
        <f>Calculations!A124</f>
        <v>38047</v>
      </c>
      <c r="B124">
        <f>AVERAGE(Calculations!B122:B124)</f>
        <v>2.1</v>
      </c>
      <c r="C124">
        <f>AVERAGE(Calculations!C122:C124)</f>
        <v>23.433333333333337</v>
      </c>
      <c r="D124">
        <f>AVERAGE(Calculations!E122:E124)</f>
        <v>2.3050079011195965</v>
      </c>
      <c r="E124">
        <f>AVERAGE(Calculations!F122:F124)</f>
        <v>23.578730188021797</v>
      </c>
      <c r="F124">
        <f>AVERAGE(Calculations!G122:G124)</f>
        <v>1.2130794708067434</v>
      </c>
      <c r="G124">
        <f>AVERAGE(Calculations!H122:H124)</f>
        <v>1.9000000000000001</v>
      </c>
      <c r="H124">
        <f>AVERAGE(Calculations!I122:I124)</f>
        <v>5.7</v>
      </c>
      <c r="I124">
        <f>AVERAGE(Calculations!J122:J124)</f>
        <v>9.205615388900884E-2</v>
      </c>
      <c r="J124">
        <f>AVERAGE(Calculations!K122:K124)</f>
        <v>7.6187728144343658E-2</v>
      </c>
    </row>
    <row r="125" spans="1:10" x14ac:dyDescent="0.2">
      <c r="A125" s="1">
        <f>Calculations!A125</f>
        <v>38078</v>
      </c>
      <c r="B125">
        <f>AVERAGE(Calculations!B123:B125)</f>
        <v>2.166666666666667</v>
      </c>
      <c r="C125">
        <f>AVERAGE(Calculations!C123:C125)</f>
        <v>24.7</v>
      </c>
      <c r="D125">
        <f>AVERAGE(Calculations!E123:E125)</f>
        <v>2.3886583757001332</v>
      </c>
      <c r="E125">
        <f>AVERAGE(Calculations!F123:F125)</f>
        <v>24.565669261585867</v>
      </c>
      <c r="F125">
        <f>AVERAGE(Calculations!G123:G125)</f>
        <v>1.2007899627222534</v>
      </c>
      <c r="G125">
        <f>AVERAGE(Calculations!H123:H125)</f>
        <v>1.9666666666666668</v>
      </c>
      <c r="H125">
        <f>AVERAGE(Calculations!I123:I125)</f>
        <v>5.666666666666667</v>
      </c>
      <c r="I125">
        <f>AVERAGE(Calculations!J123:J125)</f>
        <v>9.1954702834524379E-2</v>
      </c>
      <c r="J125">
        <f>AVERAGE(Calculations!K123:K125)</f>
        <v>7.5862850600436446E-2</v>
      </c>
    </row>
    <row r="126" spans="1:10" x14ac:dyDescent="0.2">
      <c r="A126" s="1">
        <f>Calculations!A126</f>
        <v>38108</v>
      </c>
      <c r="B126">
        <f>AVERAGE(Calculations!B124:B126)</f>
        <v>2.2000000000000002</v>
      </c>
      <c r="C126">
        <f>AVERAGE(Calculations!C124:C126)</f>
        <v>25.966666666666669</v>
      </c>
      <c r="D126">
        <f>AVERAGE(Calculations!E124:E126)</f>
        <v>2.3024062683509934</v>
      </c>
      <c r="E126">
        <f>AVERAGE(Calculations!F124:F126)</f>
        <v>25.369561973493234</v>
      </c>
      <c r="F126">
        <f>AVERAGE(Calculations!G124:G126)</f>
        <v>1.1817592741177101</v>
      </c>
      <c r="G126">
        <f>AVERAGE(Calculations!H124:H126)</f>
        <v>1.9666666666666668</v>
      </c>
      <c r="H126">
        <f>AVERAGE(Calculations!I124:I126)</f>
        <v>5.666666666666667</v>
      </c>
      <c r="I126">
        <f>AVERAGE(Calculations!J124:J126)</f>
        <v>8.5450644949818855E-2</v>
      </c>
      <c r="J126">
        <f>AVERAGE(Calculations!K124:K126)</f>
        <v>7.314823807702274E-2</v>
      </c>
    </row>
    <row r="127" spans="1:10" x14ac:dyDescent="0.2">
      <c r="A127" s="1">
        <f>Calculations!A127</f>
        <v>38139</v>
      </c>
      <c r="B127">
        <f>AVERAGE(Calculations!B125:B127)</f>
        <v>2.3333333333333335</v>
      </c>
      <c r="C127">
        <f>AVERAGE(Calculations!C125:C127)</f>
        <v>26.366666666666664</v>
      </c>
      <c r="D127">
        <f>AVERAGE(Calculations!E125:E127)</f>
        <v>2.2022295864565398</v>
      </c>
      <c r="E127">
        <f>AVERAGE(Calculations!F125:F127)</f>
        <v>26.183497390452768</v>
      </c>
      <c r="F127">
        <f>AVERAGE(Calculations!G125:G127)</f>
        <v>1.2462110424646566</v>
      </c>
      <c r="G127">
        <f>AVERAGE(Calculations!H125:H127)</f>
        <v>1.9666666666666668</v>
      </c>
      <c r="H127">
        <f>AVERAGE(Calculations!I125:I127)</f>
        <v>5.5999999999999988</v>
      </c>
      <c r="I127">
        <f>AVERAGE(Calculations!J125:J127)</f>
        <v>7.9311842367285168E-2</v>
      </c>
      <c r="J127">
        <f>AVERAGE(Calculations!K125:K127)</f>
        <v>7.1061658119304566E-2</v>
      </c>
    </row>
    <row r="128" spans="1:10" x14ac:dyDescent="0.2">
      <c r="A128" s="1">
        <f>Calculations!A128</f>
        <v>38169</v>
      </c>
      <c r="B128">
        <f>AVERAGE(Calculations!B126:B128)</f>
        <v>2.4333333333333336</v>
      </c>
      <c r="C128">
        <f>AVERAGE(Calculations!C126:C128)</f>
        <v>25.966666666666669</v>
      </c>
      <c r="D128">
        <f>AVERAGE(Calculations!E126:E128)</f>
        <v>2.1863840814134368</v>
      </c>
      <c r="E128">
        <f>AVERAGE(Calculations!F126:F128)</f>
        <v>25.294514877344469</v>
      </c>
      <c r="F128">
        <f>AVERAGE(Calculations!G126:G128)</f>
        <v>1.2504553684408233</v>
      </c>
      <c r="G128">
        <f>AVERAGE(Calculations!H126:H128)</f>
        <v>1.9666666666666668</v>
      </c>
      <c r="H128">
        <f>AVERAGE(Calculations!I126:I128)</f>
        <v>5.5666666666666664</v>
      </c>
      <c r="I128">
        <f>AVERAGE(Calculations!J126:J128)</f>
        <v>8.1845943097434384E-2</v>
      </c>
      <c r="J128">
        <f>AVERAGE(Calculations!K126:K128)</f>
        <v>7.3809497358747464E-2</v>
      </c>
    </row>
    <row r="129" spans="1:10" x14ac:dyDescent="0.2">
      <c r="A129" s="1">
        <f>Calculations!A129</f>
        <v>38200</v>
      </c>
      <c r="B129">
        <f>AVERAGE(Calculations!B127:B129)</f>
        <v>2.6</v>
      </c>
      <c r="C129">
        <f>AVERAGE(Calculations!C127:C129)</f>
        <v>28.666666666666668</v>
      </c>
      <c r="D129">
        <f>AVERAGE(Calculations!E127:E129)</f>
        <v>2.2734769509681532</v>
      </c>
      <c r="E129">
        <f>AVERAGE(Calculations!F127:F129)</f>
        <v>26.296408225574435</v>
      </c>
      <c r="F129">
        <f>AVERAGE(Calculations!G127:G129)</f>
        <v>1.29739077497755</v>
      </c>
      <c r="G129">
        <f>AVERAGE(Calculations!H127:H129)</f>
        <v>2</v>
      </c>
      <c r="H129">
        <f>AVERAGE(Calculations!I127:I129)</f>
        <v>5.5</v>
      </c>
      <c r="I129">
        <f>AVERAGE(Calculations!J127:J129)</f>
        <v>8.2134199797531823E-2</v>
      </c>
      <c r="J129">
        <f>AVERAGE(Calculations!K127:K129)</f>
        <v>7.2299802669772484E-2</v>
      </c>
    </row>
    <row r="130" spans="1:10" x14ac:dyDescent="0.2">
      <c r="A130" s="1">
        <f>Calculations!A130</f>
        <v>38231</v>
      </c>
      <c r="B130">
        <f>AVERAGE(Calculations!B128:B130)</f>
        <v>2.5333333333333332</v>
      </c>
      <c r="C130">
        <f>AVERAGE(Calculations!C128:C130)</f>
        <v>29.100000000000005</v>
      </c>
      <c r="D130">
        <f>AVERAGE(Calculations!E128:E130)</f>
        <v>2.2672609444846632</v>
      </c>
      <c r="E130">
        <f>AVERAGE(Calculations!F128:F130)</f>
        <v>26.256355516967801</v>
      </c>
      <c r="F130">
        <f>AVERAGE(Calculations!G128:G130)</f>
        <v>1.2470944593797599</v>
      </c>
      <c r="G130">
        <f>AVERAGE(Calculations!H128:H130)</f>
        <v>2</v>
      </c>
      <c r="H130">
        <f>AVERAGE(Calculations!I128:I130)</f>
        <v>5.4333333333333336</v>
      </c>
      <c r="I130">
        <f>AVERAGE(Calculations!J128:J130)</f>
        <v>8.2093342928536761E-2</v>
      </c>
      <c r="J130">
        <f>AVERAGE(Calculations!K128:K130)</f>
        <v>7.2444026810915219E-2</v>
      </c>
    </row>
    <row r="131" spans="1:10" x14ac:dyDescent="0.2">
      <c r="A131" s="1">
        <f>Calculations!A131</f>
        <v>38261</v>
      </c>
      <c r="B131">
        <f>AVERAGE(Calculations!B129:B131)</f>
        <v>2.3666666666666667</v>
      </c>
      <c r="C131">
        <f>AVERAGE(Calculations!C129:C131)</f>
        <v>29.066666666666666</v>
      </c>
      <c r="D131">
        <f>AVERAGE(Calculations!E129:E131)</f>
        <v>2.2266207905863933</v>
      </c>
      <c r="E131">
        <f>AVERAGE(Calculations!F129:F131)</f>
        <v>27.138741221089663</v>
      </c>
      <c r="F131">
        <f>AVERAGE(Calculations!G129:G131)</f>
        <v>1.2693140225055768</v>
      </c>
      <c r="G131">
        <f>AVERAGE(Calculations!H129:H131)</f>
        <v>2</v>
      </c>
      <c r="H131">
        <f>AVERAGE(Calculations!I129:I131)</f>
        <v>5.4333333333333336</v>
      </c>
      <c r="I131">
        <f>AVERAGE(Calculations!J129:J131)</f>
        <v>7.7571569460233747E-2</v>
      </c>
      <c r="J131">
        <f>AVERAGE(Calculations!K129:K131)</f>
        <v>6.9739781372825216E-2</v>
      </c>
    </row>
    <row r="132" spans="1:10" x14ac:dyDescent="0.2">
      <c r="A132" s="1">
        <f>Calculations!A132</f>
        <v>38292</v>
      </c>
      <c r="B132">
        <f>AVERAGE(Calculations!B130:B132)</f>
        <v>2.1333333333333333</v>
      </c>
      <c r="C132">
        <f>AVERAGE(Calculations!C130:C132)</f>
        <v>26</v>
      </c>
      <c r="D132">
        <f>AVERAGE(Calculations!E130:E132)</f>
        <v>2.3044855774867563</v>
      </c>
      <c r="E132">
        <f>AVERAGE(Calculations!F130:F132)</f>
        <v>27.067066039707331</v>
      </c>
      <c r="F132">
        <f>AVERAGE(Calculations!G130:G132)</f>
        <v>1.2395580567916136</v>
      </c>
      <c r="G132">
        <f>AVERAGE(Calculations!H130:H132)</f>
        <v>2.0666666666666669</v>
      </c>
      <c r="H132">
        <f>AVERAGE(Calculations!I130:I132)</f>
        <v>5.4333333333333336</v>
      </c>
      <c r="I132">
        <f>AVERAGE(Calculations!J130:J132)</f>
        <v>8.0494829229569867E-2</v>
      </c>
      <c r="J132">
        <f>AVERAGE(Calculations!K130:K132)</f>
        <v>7.225268037132325E-2</v>
      </c>
    </row>
    <row r="133" spans="1:10" x14ac:dyDescent="0.2">
      <c r="A133" s="1">
        <f>Calculations!A133</f>
        <v>38322</v>
      </c>
      <c r="B133">
        <f>AVERAGE(Calculations!B131:B133)</f>
        <v>2.0666666666666669</v>
      </c>
      <c r="C133">
        <f>AVERAGE(Calculations!C131:C133)</f>
        <v>23.233333333333334</v>
      </c>
      <c r="D133">
        <f>AVERAGE(Calculations!E131:E133)</f>
        <v>2.3033562833315933</v>
      </c>
      <c r="E133">
        <f>AVERAGE(Calculations!F131:F133)</f>
        <v>26.038997339710402</v>
      </c>
      <c r="F133">
        <f>AVERAGE(Calculations!G131:G133)</f>
        <v>1.2535592061725567</v>
      </c>
      <c r="G133">
        <f>AVERAGE(Calculations!H131:H133)</f>
        <v>2.1</v>
      </c>
      <c r="H133">
        <f>AVERAGE(Calculations!I131:I133)</f>
        <v>5.4333333333333336</v>
      </c>
      <c r="I133">
        <f>AVERAGE(Calculations!J131:J133)</f>
        <v>8.3721765997324546E-2</v>
      </c>
      <c r="J133">
        <f>AVERAGE(Calculations!K131:K133)</f>
        <v>7.6323696568418212E-2</v>
      </c>
    </row>
    <row r="134" spans="1:10" x14ac:dyDescent="0.2">
      <c r="A134" s="1">
        <f>Calculations!A134</f>
        <v>38353</v>
      </c>
      <c r="B134">
        <f>AVERAGE(Calculations!B132:B134)</f>
        <v>2.1333333333333333</v>
      </c>
      <c r="C134">
        <f>AVERAGE(Calculations!C132:C134)</f>
        <v>23.066666666666666</v>
      </c>
      <c r="D134">
        <f>AVERAGE(Calculations!E132:E134)</f>
        <v>2.3443372620788301</v>
      </c>
      <c r="E134">
        <f>AVERAGE(Calculations!F132:F134)</f>
        <v>25.723148002532835</v>
      </c>
      <c r="F134">
        <f>AVERAGE(Calculations!G132:G134)</f>
        <v>1.2091612589977065</v>
      </c>
      <c r="G134">
        <f>AVERAGE(Calculations!H132:H134)</f>
        <v>2.1333333333333333</v>
      </c>
      <c r="H134">
        <f>AVERAGE(Calculations!I132:I134)</f>
        <v>5.3666666666666671</v>
      </c>
      <c r="I134">
        <f>AVERAGE(Calculations!J132:J134)</f>
        <v>8.6280578441354838E-2</v>
      </c>
      <c r="J134">
        <f>AVERAGE(Calculations!K132:K134)</f>
        <v>7.8529751923699709E-2</v>
      </c>
    </row>
    <row r="135" spans="1:10" x14ac:dyDescent="0.2">
      <c r="A135" s="1">
        <f>Calculations!A135</f>
        <v>38384</v>
      </c>
      <c r="B135">
        <f>AVERAGE(Calculations!B133:B135)</f>
        <v>2.1666666666666665</v>
      </c>
      <c r="C135">
        <f>AVERAGE(Calculations!C133:C135)</f>
        <v>23.066666666666666</v>
      </c>
      <c r="D135">
        <f>AVERAGE(Calculations!E133:E135)</f>
        <v>2.2590411823400767</v>
      </c>
      <c r="E135">
        <f>AVERAGE(Calculations!F133:F135)</f>
        <v>24.921619861035666</v>
      </c>
      <c r="F135">
        <f>AVERAGE(Calculations!G133:G135)</f>
        <v>1.2035181466297435</v>
      </c>
      <c r="G135">
        <f>AVERAGE(Calculations!H133:H135)</f>
        <v>2.0666666666666669</v>
      </c>
      <c r="H135">
        <f>AVERAGE(Calculations!I133:I135)</f>
        <v>5.3666666666666671</v>
      </c>
      <c r="I135">
        <f>AVERAGE(Calculations!J133:J135)</f>
        <v>8.5781606123895668E-2</v>
      </c>
      <c r="J135">
        <f>AVERAGE(Calculations!K133:K135)</f>
        <v>7.8470810442914318E-2</v>
      </c>
    </row>
    <row r="136" spans="1:10" x14ac:dyDescent="0.2">
      <c r="A136" s="1">
        <f>Calculations!A136</f>
        <v>38412</v>
      </c>
      <c r="B136">
        <f>AVERAGE(Calculations!B134:B136)</f>
        <v>2.166666666666667</v>
      </c>
      <c r="C136">
        <f>AVERAGE(Calculations!C134:C136)</f>
        <v>26</v>
      </c>
      <c r="D136">
        <f>AVERAGE(Calculations!E134:E136)</f>
        <v>2.3576077068267769</v>
      </c>
      <c r="E136">
        <f>AVERAGE(Calculations!F134:F136)</f>
        <v>26.023811605337102</v>
      </c>
      <c r="F136">
        <f>AVERAGE(Calculations!G134:G136)</f>
        <v>1.1757170979642366</v>
      </c>
      <c r="G136">
        <f>AVERAGE(Calculations!H134:H136)</f>
        <v>2.0666666666666664</v>
      </c>
      <c r="H136">
        <f>AVERAGE(Calculations!I134:I136)</f>
        <v>5.3</v>
      </c>
      <c r="I136">
        <f>AVERAGE(Calculations!J134:J136)</f>
        <v>8.5682453492258323E-2</v>
      </c>
      <c r="J136">
        <f>AVERAGE(Calculations!K134:K136)</f>
        <v>7.539114006030527E-2</v>
      </c>
    </row>
    <row r="137" spans="1:10" x14ac:dyDescent="0.2">
      <c r="A137" s="1">
        <f>Calculations!A137</f>
        <v>38443</v>
      </c>
      <c r="B137">
        <f>AVERAGE(Calculations!B135:B137)</f>
        <v>2.1</v>
      </c>
      <c r="C137">
        <f>AVERAGE(Calculations!C135:C137)</f>
        <v>26.066666666666663</v>
      </c>
      <c r="D137">
        <f>AVERAGE(Calculations!E135:E137)</f>
        <v>2.3085806089201033</v>
      </c>
      <c r="E137">
        <f>AVERAGE(Calculations!F135:F137)</f>
        <v>25.883845753775802</v>
      </c>
      <c r="F137">
        <f>AVERAGE(Calculations!G135:G137)</f>
        <v>1.1571618005991966</v>
      </c>
      <c r="G137">
        <f>AVERAGE(Calculations!H135:H137)</f>
        <v>2.0666666666666664</v>
      </c>
      <c r="H137">
        <f>AVERAGE(Calculations!I135:I137)</f>
        <v>5.2666666666666666</v>
      </c>
      <c r="I137">
        <f>AVERAGE(Calculations!J135:J137)</f>
        <v>8.4318749970260912E-2</v>
      </c>
      <c r="J137">
        <f>AVERAGE(Calculations!K135:K137)</f>
        <v>7.5863492416109582E-2</v>
      </c>
    </row>
    <row r="138" spans="1:10" x14ac:dyDescent="0.2">
      <c r="A138" s="1">
        <f>Calculations!A138</f>
        <v>38473</v>
      </c>
      <c r="B138">
        <f>AVERAGE(Calculations!B136:B138)</f>
        <v>2.2666666666666671</v>
      </c>
      <c r="C138">
        <f>AVERAGE(Calculations!C136:C138)</f>
        <v>27.666666666666668</v>
      </c>
      <c r="D138">
        <f>AVERAGE(Calculations!E136:E138)</f>
        <v>2.3412875458731599</v>
      </c>
      <c r="E138">
        <f>AVERAGE(Calculations!F136:F138)</f>
        <v>27.090466511602301</v>
      </c>
      <c r="F138">
        <f>AVERAGE(Calculations!G136:G138)</f>
        <v>1.2091959814943534</v>
      </c>
      <c r="G138">
        <f>AVERAGE(Calculations!H136:H138)</f>
        <v>2.1</v>
      </c>
      <c r="H138">
        <f>AVERAGE(Calculations!I136:I138)</f>
        <v>5.166666666666667</v>
      </c>
      <c r="I138">
        <f>AVERAGE(Calculations!J136:J138)</f>
        <v>8.1918285833365287E-2</v>
      </c>
      <c r="J138">
        <f>AVERAGE(Calculations!K136:K138)</f>
        <v>7.3781307880366867E-2</v>
      </c>
    </row>
    <row r="139" spans="1:10" x14ac:dyDescent="0.2">
      <c r="A139" s="1">
        <f>Calculations!A139</f>
        <v>38504</v>
      </c>
      <c r="B139">
        <f>AVERAGE(Calculations!B137:B139)</f>
        <v>2.2999999999999998</v>
      </c>
      <c r="C139">
        <f>AVERAGE(Calculations!C137:C139)</f>
        <v>26.333333333333332</v>
      </c>
      <c r="D139">
        <f>AVERAGE(Calculations!E137:E139)</f>
        <v>2.1673819480949899</v>
      </c>
      <c r="E139">
        <f>AVERAGE(Calculations!F137:F139)</f>
        <v>26.300466338400032</v>
      </c>
      <c r="F139">
        <f>AVERAGE(Calculations!G137:G139)</f>
        <v>1.2054629342718535</v>
      </c>
      <c r="G139">
        <f>AVERAGE(Calculations!H137:H139)</f>
        <v>2.1</v>
      </c>
      <c r="H139">
        <f>AVERAGE(Calculations!I137:I139)</f>
        <v>5.1000000000000005</v>
      </c>
      <c r="I139">
        <f>AVERAGE(Calculations!J137:J139)</f>
        <v>7.8288279458477369E-2</v>
      </c>
      <c r="J139">
        <f>AVERAGE(Calculations!K137:K139)</f>
        <v>7.6001707081319189E-2</v>
      </c>
    </row>
    <row r="140" spans="1:10" x14ac:dyDescent="0.2">
      <c r="A140" s="1">
        <f>Calculations!A140</f>
        <v>38534</v>
      </c>
      <c r="B140">
        <f>AVERAGE(Calculations!B138:B140)</f>
        <v>2.4</v>
      </c>
      <c r="C140">
        <f>AVERAGE(Calculations!C138:C140)</f>
        <v>27.633333333333336</v>
      </c>
      <c r="D140">
        <f>AVERAGE(Calculations!E138:E140)</f>
        <v>2.1669348628434961</v>
      </c>
      <c r="E140">
        <f>AVERAGE(Calculations!F138:F140)</f>
        <v>26.922125274554663</v>
      </c>
      <c r="F140">
        <f>AVERAGE(Calculations!G138:G140)</f>
        <v>1.2184486449237566</v>
      </c>
      <c r="G140">
        <f>AVERAGE(Calculations!H138:H140)</f>
        <v>2.1</v>
      </c>
      <c r="H140">
        <f>AVERAGE(Calculations!I138:I140)</f>
        <v>5.0333333333333332</v>
      </c>
      <c r="I140">
        <f>AVERAGE(Calculations!J138:J140)</f>
        <v>7.6445080116113798E-2</v>
      </c>
      <c r="J140">
        <f>AVERAGE(Calculations!K138:K140)</f>
        <v>7.4186285523460835E-2</v>
      </c>
    </row>
    <row r="141" spans="1:10" x14ac:dyDescent="0.2">
      <c r="A141" s="1">
        <f>Calculations!A141</f>
        <v>38565</v>
      </c>
      <c r="B141">
        <f>AVERAGE(Calculations!B139:B141)</f>
        <v>2.4666666666666663</v>
      </c>
      <c r="C141">
        <f>AVERAGE(Calculations!C139:C141)</f>
        <v>28.866666666666671</v>
      </c>
      <c r="D141">
        <f>AVERAGE(Calculations!E139:E141)</f>
        <v>2.1741655524302366</v>
      </c>
      <c r="E141">
        <f>AVERAGE(Calculations!F139:F141)</f>
        <v>26.364173706807303</v>
      </c>
      <c r="F141">
        <f>AVERAGE(Calculations!G139:G141)</f>
        <v>1.1964556855733501</v>
      </c>
      <c r="G141">
        <f>AVERAGE(Calculations!H139:H141)</f>
        <v>2.1333333333333333</v>
      </c>
      <c r="H141">
        <f>AVERAGE(Calculations!I139:I141)</f>
        <v>4.9666666666666668</v>
      </c>
      <c r="I141">
        <f>AVERAGE(Calculations!J139:J141)</f>
        <v>7.8366699541361204E-2</v>
      </c>
      <c r="J141">
        <f>AVERAGE(Calculations!K139:K141)</f>
        <v>7.690663861433289E-2</v>
      </c>
    </row>
    <row r="142" spans="1:10" x14ac:dyDescent="0.2">
      <c r="A142" s="1">
        <f>Calculations!A142</f>
        <v>38596</v>
      </c>
      <c r="B142">
        <f>AVERAGE(Calculations!B140:B142)</f>
        <v>2.4666666666666663</v>
      </c>
      <c r="C142">
        <f>AVERAGE(Calculations!C140:C142)</f>
        <v>29.666666666666668</v>
      </c>
      <c r="D142">
        <f>AVERAGE(Calculations!E140:E142)</f>
        <v>2.2144022920192765</v>
      </c>
      <c r="E142">
        <f>AVERAGE(Calculations!F140:F142)</f>
        <v>26.677480078609801</v>
      </c>
      <c r="F142">
        <f>AVERAGE(Calculations!G140:G142)</f>
        <v>1.18185150309988</v>
      </c>
      <c r="G142">
        <f>AVERAGE(Calculations!H140:H142)</f>
        <v>2.2000000000000002</v>
      </c>
      <c r="H142">
        <f>AVERAGE(Calculations!I140:I142)</f>
        <v>4.9666666666666668</v>
      </c>
      <c r="I142">
        <f>AVERAGE(Calculations!J140:J142)</f>
        <v>7.8888032981861811E-2</v>
      </c>
      <c r="J142">
        <f>AVERAGE(Calculations!K140:K142)</f>
        <v>7.8369385712491427E-2</v>
      </c>
    </row>
    <row r="143" spans="1:10" x14ac:dyDescent="0.2">
      <c r="A143" s="1">
        <f>Calculations!A143</f>
        <v>38626</v>
      </c>
      <c r="B143">
        <f>AVERAGE(Calculations!B141:B143)</f>
        <v>2.4</v>
      </c>
      <c r="C143">
        <f>AVERAGE(Calculations!C141:C143)</f>
        <v>28.8</v>
      </c>
      <c r="D143">
        <f>AVERAGE(Calculations!E141:E143)</f>
        <v>2.2684661598839599</v>
      </c>
      <c r="E143">
        <f>AVERAGE(Calculations!F141:F143)</f>
        <v>26.895652382102032</v>
      </c>
      <c r="F143">
        <f>AVERAGE(Calculations!G141:G143)</f>
        <v>1.1441505347303966</v>
      </c>
      <c r="G143">
        <f>AVERAGE(Calculations!H141:H143)</f>
        <v>2.2333333333333334</v>
      </c>
      <c r="H143">
        <f>AVERAGE(Calculations!I141:I143)</f>
        <v>4.9666666666666668</v>
      </c>
      <c r="I143">
        <f>AVERAGE(Calculations!J141:J143)</f>
        <v>8.016642076950424E-2</v>
      </c>
      <c r="J143">
        <f>AVERAGE(Calculations!K141:K143)</f>
        <v>7.8931067276714575E-2</v>
      </c>
    </row>
    <row r="144" spans="1:10" x14ac:dyDescent="0.2">
      <c r="A144" s="1">
        <f>Calculations!A144</f>
        <v>38657</v>
      </c>
      <c r="B144">
        <f>AVERAGE(Calculations!B142:B144)</f>
        <v>2.0666666666666669</v>
      </c>
      <c r="C144">
        <f>AVERAGE(Calculations!C142:C144)</f>
        <v>25.5</v>
      </c>
      <c r="D144">
        <f>AVERAGE(Calculations!E142:E144)</f>
        <v>2.2097932558703932</v>
      </c>
      <c r="E144">
        <f>AVERAGE(Calculations!F142:F144)</f>
        <v>26.510370141935866</v>
      </c>
      <c r="F144">
        <f>AVERAGE(Calculations!G142:G144)</f>
        <v>1.1078694247871799</v>
      </c>
      <c r="G144">
        <f>AVERAGE(Calculations!H142:H144)</f>
        <v>2.2333333333333334</v>
      </c>
      <c r="H144">
        <f>AVERAGE(Calculations!I142:I144)</f>
        <v>5</v>
      </c>
      <c r="I144">
        <f>AVERAGE(Calculations!J142:J144)</f>
        <v>7.9193587140718461E-2</v>
      </c>
      <c r="J144">
        <f>AVERAGE(Calculations!K142:K144)</f>
        <v>8.0091793532929612E-2</v>
      </c>
    </row>
    <row r="145" spans="1:10" x14ac:dyDescent="0.2">
      <c r="A145" s="1">
        <f>Calculations!A145</f>
        <v>38687</v>
      </c>
      <c r="B145">
        <f>AVERAGE(Calculations!B143:B145)</f>
        <v>1.9666666666666668</v>
      </c>
      <c r="C145">
        <f>AVERAGE(Calculations!C143:C145)</f>
        <v>23.966666666666669</v>
      </c>
      <c r="D145">
        <f>AVERAGE(Calculations!E143:E145)</f>
        <v>2.1724900251049437</v>
      </c>
      <c r="E145">
        <f>AVERAGE(Calculations!F143:F145)</f>
        <v>26.980618473579199</v>
      </c>
      <c r="F145">
        <f>AVERAGE(Calculations!G143:G145)</f>
        <v>1.1080854523958668</v>
      </c>
      <c r="G145">
        <f>AVERAGE(Calculations!H143:H145)</f>
        <v>2.1666666666666665</v>
      </c>
      <c r="H145">
        <f>AVERAGE(Calculations!I143:I145)</f>
        <v>4.9666666666666668</v>
      </c>
      <c r="I145">
        <f>AVERAGE(Calculations!J143:J145)</f>
        <v>7.6637239036032437E-2</v>
      </c>
      <c r="J145">
        <f>AVERAGE(Calculations!K143:K145)</f>
        <v>7.649947775562442E-2</v>
      </c>
    </row>
    <row r="146" spans="1:10" x14ac:dyDescent="0.2">
      <c r="A146" s="1">
        <f>Calculations!A146</f>
        <v>38718</v>
      </c>
      <c r="B146">
        <f>AVERAGE(Calculations!B144:B146)</f>
        <v>2.0333333333333332</v>
      </c>
      <c r="C146">
        <f>AVERAGE(Calculations!C144:C146)</f>
        <v>23.933333333333337</v>
      </c>
      <c r="D146">
        <f>AVERAGE(Calculations!E144:E146)</f>
        <v>2.1941477533160767</v>
      </c>
      <c r="E146">
        <f>AVERAGE(Calculations!F144:F146)</f>
        <v>26.816159807120101</v>
      </c>
      <c r="F146">
        <f>AVERAGE(Calculations!G144:G146)</f>
        <v>1.1163282802457799</v>
      </c>
      <c r="G146">
        <f>AVERAGE(Calculations!H144:H146)</f>
        <v>2.1333333333333333</v>
      </c>
      <c r="H146">
        <f>AVERAGE(Calculations!I144:I146)</f>
        <v>4.8666666666666671</v>
      </c>
      <c r="I146">
        <f>AVERAGE(Calculations!J144:J146)</f>
        <v>7.7974640422721578E-2</v>
      </c>
      <c r="J146">
        <f>AVERAGE(Calculations!K144:K146)</f>
        <v>7.5866477772415022E-2</v>
      </c>
    </row>
    <row r="147" spans="1:10" x14ac:dyDescent="0.2">
      <c r="A147" s="1">
        <f>Calculations!A147</f>
        <v>38749</v>
      </c>
      <c r="B147">
        <f>AVERAGE(Calculations!B145:B147)</f>
        <v>2.1666666666666665</v>
      </c>
      <c r="C147">
        <f>AVERAGE(Calculations!C145:C147)</f>
        <v>25.166666666666668</v>
      </c>
      <c r="D147">
        <f>AVERAGE(Calculations!E145:E147)</f>
        <v>2.2438075738239398</v>
      </c>
      <c r="E147">
        <f>AVERAGE(Calculations!F145:F147)</f>
        <v>27.310164632717498</v>
      </c>
      <c r="F147">
        <f>AVERAGE(Calculations!G145:G147)</f>
        <v>1.1165412545358666</v>
      </c>
      <c r="G147">
        <f>AVERAGE(Calculations!H145:H147)</f>
        <v>2.1333333333333333</v>
      </c>
      <c r="H147">
        <f>AVERAGE(Calculations!I145:I147)</f>
        <v>4.8000000000000007</v>
      </c>
      <c r="I147">
        <f>AVERAGE(Calculations!J145:J147)</f>
        <v>7.8325091515073678E-2</v>
      </c>
      <c r="J147">
        <f>AVERAGE(Calculations!K145:K147)</f>
        <v>7.4415761941961048E-2</v>
      </c>
    </row>
    <row r="148" spans="1:10" x14ac:dyDescent="0.2">
      <c r="A148" s="1">
        <f>Calculations!A148</f>
        <v>38777</v>
      </c>
      <c r="B148">
        <f>AVERAGE(Calculations!B146:B148)</f>
        <v>2.1333333333333333</v>
      </c>
      <c r="C148">
        <f>AVERAGE(Calculations!C146:C148)</f>
        <v>26.633333333333336</v>
      </c>
      <c r="D148">
        <f>AVERAGE(Calculations!E146:E148)</f>
        <v>2.28424512173024</v>
      </c>
      <c r="E148">
        <f>AVERAGE(Calculations!F146:F148)</f>
        <v>26.590612334697667</v>
      </c>
      <c r="F148">
        <f>AVERAGE(Calculations!G146:G148)</f>
        <v>1.1329493670501134</v>
      </c>
      <c r="G148">
        <f>AVERAGE(Calculations!H146:H148)</f>
        <v>2.166666666666667</v>
      </c>
      <c r="H148">
        <f>AVERAGE(Calculations!I146:I148)</f>
        <v>4.7333333333333334</v>
      </c>
      <c r="I148">
        <f>AVERAGE(Calculations!J146:J148)</f>
        <v>8.1841126660898419E-2</v>
      </c>
      <c r="J148">
        <f>AVERAGE(Calculations!K146:K148)</f>
        <v>7.7658364000414384E-2</v>
      </c>
    </row>
    <row r="149" spans="1:10" x14ac:dyDescent="0.2">
      <c r="A149" s="1">
        <f>Calculations!A149</f>
        <v>38808</v>
      </c>
      <c r="B149">
        <f>AVERAGE(Calculations!B147:B149)</f>
        <v>2.0666666666666664</v>
      </c>
      <c r="C149">
        <f>AVERAGE(Calculations!C147:C149)</f>
        <v>27.166666666666668</v>
      </c>
      <c r="D149">
        <f>AVERAGE(Calculations!E147:E149)</f>
        <v>2.2561321343136567</v>
      </c>
      <c r="E149">
        <f>AVERAGE(Calculations!F147:F149)</f>
        <v>26.922417372809999</v>
      </c>
      <c r="F149">
        <f>AVERAGE(Calculations!G147:G149)</f>
        <v>1.1536673773776334</v>
      </c>
      <c r="G149">
        <f>AVERAGE(Calculations!H147:H149)</f>
        <v>2.1333333333333333</v>
      </c>
      <c r="H149">
        <f>AVERAGE(Calculations!I147:I149)</f>
        <v>4.7333333333333334</v>
      </c>
      <c r="I149">
        <f>AVERAGE(Calculations!J147:J149)</f>
        <v>7.9889584354404256E-2</v>
      </c>
      <c r="J149">
        <f>AVERAGE(Calculations!K147:K149)</f>
        <v>7.5629470175441624E-2</v>
      </c>
    </row>
    <row r="150" spans="1:10" x14ac:dyDescent="0.2">
      <c r="A150" s="1">
        <f>Calculations!A150</f>
        <v>38838</v>
      </c>
      <c r="B150">
        <f>AVERAGE(Calculations!B148:B150)</f>
        <v>2.1999999999999997</v>
      </c>
      <c r="C150">
        <f>AVERAGE(Calculations!C148:C150)</f>
        <v>28.7</v>
      </c>
      <c r="D150">
        <f>AVERAGE(Calculations!E148:E150)</f>
        <v>2.2566524315390235</v>
      </c>
      <c r="E150">
        <f>AVERAGE(Calculations!F148:F150)</f>
        <v>28.143666341128597</v>
      </c>
      <c r="F150">
        <f>AVERAGE(Calculations!G148:G150)</f>
        <v>1.1472409478027099</v>
      </c>
      <c r="G150">
        <f>AVERAGE(Calculations!H148:H150)</f>
        <v>2.1333333333333333</v>
      </c>
      <c r="H150">
        <f>AVERAGE(Calculations!I148:I150)</f>
        <v>4.666666666666667</v>
      </c>
      <c r="I150">
        <f>AVERAGE(Calculations!J148:J150)</f>
        <v>7.6742825771335746E-2</v>
      </c>
      <c r="J150">
        <f>AVERAGE(Calculations!K148:K150)</f>
        <v>7.2575525249586534E-2</v>
      </c>
    </row>
    <row r="151" spans="1:10" x14ac:dyDescent="0.2">
      <c r="A151" s="1">
        <f>Calculations!A151</f>
        <v>38869</v>
      </c>
      <c r="B151">
        <f>AVERAGE(Calculations!B149:B151)</f>
        <v>2.4</v>
      </c>
      <c r="C151">
        <f>AVERAGE(Calculations!C149:C151)</f>
        <v>29</v>
      </c>
      <c r="D151">
        <f>AVERAGE(Calculations!E149:E151)</f>
        <v>2.2826573528972234</v>
      </c>
      <c r="E151">
        <f>AVERAGE(Calculations!F149:F151)</f>
        <v>29.018581111480767</v>
      </c>
      <c r="F151">
        <f>AVERAGE(Calculations!G149:G151)</f>
        <v>1.1422407689754066</v>
      </c>
      <c r="G151">
        <f>AVERAGE(Calculations!H149:H151)</f>
        <v>2.1333333333333333</v>
      </c>
      <c r="H151">
        <f>AVERAGE(Calculations!I149:I151)</f>
        <v>4.6333333333333337</v>
      </c>
      <c r="I151">
        <f>AVERAGE(Calculations!J149:J151)</f>
        <v>7.5128744333868513E-2</v>
      </c>
      <c r="J151">
        <f>AVERAGE(Calculations!K149:K151)</f>
        <v>7.013257855684224E-2</v>
      </c>
    </row>
    <row r="152" spans="1:10" x14ac:dyDescent="0.2">
      <c r="A152" s="1">
        <f>Calculations!A152</f>
        <v>38899</v>
      </c>
      <c r="B152">
        <f>AVERAGE(Calculations!B150:B152)</f>
        <v>2.5</v>
      </c>
      <c r="C152">
        <f>AVERAGE(Calculations!C150:C152)</f>
        <v>28.933333333333334</v>
      </c>
      <c r="D152">
        <f>AVERAGE(Calculations!E150:E152)</f>
        <v>2.2764733154047168</v>
      </c>
      <c r="E152">
        <f>AVERAGE(Calculations!F150:F152)</f>
        <v>28.298261431145434</v>
      </c>
      <c r="F152">
        <f>AVERAGE(Calculations!G150:G152)</f>
        <v>1.1215273783651634</v>
      </c>
      <c r="G152">
        <f>AVERAGE(Calculations!H150:H152)</f>
        <v>2.2000000000000002</v>
      </c>
      <c r="H152">
        <f>AVERAGE(Calculations!I150:I152)</f>
        <v>4.6333333333333329</v>
      </c>
      <c r="I152">
        <f>AVERAGE(Calculations!J150:J152)</f>
        <v>7.7063761336699912E-2</v>
      </c>
      <c r="J152">
        <f>AVERAGE(Calculations!K150:K152)</f>
        <v>7.4525620089155947E-2</v>
      </c>
    </row>
    <row r="153" spans="1:10" x14ac:dyDescent="0.2">
      <c r="A153" s="1">
        <f>Calculations!A153</f>
        <v>38930</v>
      </c>
      <c r="B153">
        <f>AVERAGE(Calculations!B151:B153)</f>
        <v>2.5666666666666669</v>
      </c>
      <c r="C153">
        <f>AVERAGE(Calculations!C151:C153)</f>
        <v>30.966666666666669</v>
      </c>
      <c r="D153">
        <f>AVERAGE(Calculations!E151:E153)</f>
        <v>2.29134717987781</v>
      </c>
      <c r="E153">
        <f>AVERAGE(Calculations!F151:F153)</f>
        <v>28.238104653411501</v>
      </c>
      <c r="F153">
        <f>AVERAGE(Calculations!G151:G153)</f>
        <v>1.1276630416706401</v>
      </c>
      <c r="G153">
        <f>AVERAGE(Calculations!H151:H153)</f>
        <v>2.2000000000000002</v>
      </c>
      <c r="H153">
        <f>AVERAGE(Calculations!I151:I153)</f>
        <v>4.666666666666667</v>
      </c>
      <c r="I153">
        <f>AVERAGE(Calculations!J151:J153)</f>
        <v>7.7645187316257122E-2</v>
      </c>
      <c r="J153">
        <f>AVERAGE(Calculations!K151:K153)</f>
        <v>7.4637102197000496E-2</v>
      </c>
    </row>
    <row r="154" spans="1:10" x14ac:dyDescent="0.2">
      <c r="A154" s="1">
        <f>Calculations!A154</f>
        <v>38961</v>
      </c>
      <c r="B154">
        <f>AVERAGE(Calculations!B152:B154)</f>
        <v>2.4666666666666663</v>
      </c>
      <c r="C154">
        <f>AVERAGE(Calculations!C152:C154)</f>
        <v>30.5</v>
      </c>
      <c r="D154">
        <f>AVERAGE(Calculations!E152:E154)</f>
        <v>2.2259215159024235</v>
      </c>
      <c r="E154">
        <f>AVERAGE(Calculations!F152:F154)</f>
        <v>27.3690753711623</v>
      </c>
      <c r="F154">
        <f>AVERAGE(Calculations!G152:G154)</f>
        <v>1.11718276309161</v>
      </c>
      <c r="G154">
        <f>AVERAGE(Calculations!H152:H154)</f>
        <v>2.1666666666666665</v>
      </c>
      <c r="H154">
        <f>AVERAGE(Calculations!I152:I154)</f>
        <v>4.6333333333333337</v>
      </c>
      <c r="I154">
        <f>AVERAGE(Calculations!J152:J154)</f>
        <v>7.7849855018574263E-2</v>
      </c>
      <c r="J154">
        <f>AVERAGE(Calculations!K152:K154)</f>
        <v>7.5893661671953772E-2</v>
      </c>
    </row>
    <row r="155" spans="1:10" x14ac:dyDescent="0.2">
      <c r="A155" s="1">
        <f>Calculations!A155</f>
        <v>38991</v>
      </c>
      <c r="B155">
        <f>AVERAGE(Calculations!B153:B155)</f>
        <v>2.3666666666666667</v>
      </c>
      <c r="C155">
        <f>AVERAGE(Calculations!C153:C155)</f>
        <v>30.666666666666668</v>
      </c>
      <c r="D155">
        <f>AVERAGE(Calculations!E153:E155)</f>
        <v>2.2475192654765768</v>
      </c>
      <c r="E155">
        <f>AVERAGE(Calculations!F153:F155)</f>
        <v>28.590409773661502</v>
      </c>
      <c r="F155">
        <f>AVERAGE(Calculations!G153:G155)</f>
        <v>1.1204213789876034</v>
      </c>
      <c r="G155">
        <f>AVERAGE(Calculations!H153:H155)</f>
        <v>2.166666666666667</v>
      </c>
      <c r="H155">
        <f>AVERAGE(Calculations!I153:I155)</f>
        <v>4.5333333333333332</v>
      </c>
      <c r="I155">
        <f>AVERAGE(Calculations!J153:J155)</f>
        <v>7.5176214514490247E-2</v>
      </c>
      <c r="J155">
        <f>AVERAGE(Calculations!K153:K155)</f>
        <v>7.2571864230582775E-2</v>
      </c>
    </row>
    <row r="156" spans="1:10" x14ac:dyDescent="0.2">
      <c r="A156" s="1">
        <f>Calculations!A156</f>
        <v>39022</v>
      </c>
      <c r="B156">
        <f>AVERAGE(Calculations!B154:B156)</f>
        <v>2.0666666666666669</v>
      </c>
      <c r="C156">
        <f>AVERAGE(Calculations!C154:C156)</f>
        <v>26.833333333333332</v>
      </c>
      <c r="D156">
        <f>AVERAGE(Calculations!E154:E156)</f>
        <v>2.2065469438401801</v>
      </c>
      <c r="E156">
        <f>AVERAGE(Calculations!F154:F156)</f>
        <v>28.045513524806665</v>
      </c>
      <c r="F156">
        <f>AVERAGE(Calculations!G154:G156)</f>
        <v>1.14285096723108</v>
      </c>
      <c r="G156">
        <f>AVERAGE(Calculations!H154:H156)</f>
        <v>2.2000000000000002</v>
      </c>
      <c r="H156">
        <f>AVERAGE(Calculations!I154:I156)</f>
        <v>4.4666666666666668</v>
      </c>
      <c r="I156">
        <f>AVERAGE(Calculations!J154:J156)</f>
        <v>7.5249098211513737E-2</v>
      </c>
      <c r="J156">
        <f>AVERAGE(Calculations!K154:K156)</f>
        <v>7.5032658678333031E-2</v>
      </c>
    </row>
    <row r="157" spans="1:10" x14ac:dyDescent="0.2">
      <c r="A157" s="1">
        <f>Calculations!A157</f>
        <v>39052</v>
      </c>
      <c r="B157">
        <f>AVERAGE(Calculations!B155:B157)</f>
        <v>2.0333333333333332</v>
      </c>
      <c r="C157">
        <f>AVERAGE(Calculations!C155:C157)</f>
        <v>25.600000000000005</v>
      </c>
      <c r="D157">
        <f>AVERAGE(Calculations!E155:E157)</f>
        <v>2.2405563631717968</v>
      </c>
      <c r="E157">
        <f>AVERAGE(Calculations!F155:F157)</f>
        <v>28.848364564951268</v>
      </c>
      <c r="F157">
        <f>AVERAGE(Calculations!G155:G157)</f>
        <v>1.14723230484799</v>
      </c>
      <c r="G157">
        <f>AVERAGE(Calculations!H155:H157)</f>
        <v>2.2666666666666666</v>
      </c>
      <c r="H157">
        <f>AVERAGE(Calculations!I155:I157)</f>
        <v>4.4333333333333336</v>
      </c>
      <c r="I157">
        <f>AVERAGE(Calculations!J155:J157)</f>
        <v>7.4221063515885852E-2</v>
      </c>
      <c r="J157">
        <f>AVERAGE(Calculations!K155:K157)</f>
        <v>7.5120561489554163E-2</v>
      </c>
    </row>
    <row r="158" spans="1:10" x14ac:dyDescent="0.2">
      <c r="A158" s="1">
        <f>Calculations!A158</f>
        <v>39083</v>
      </c>
      <c r="B158">
        <f>AVERAGE(Calculations!B156:B158)</f>
        <v>1.9666666666666668</v>
      </c>
      <c r="C158">
        <f>AVERAGE(Calculations!C156:C158)</f>
        <v>25.733333333333331</v>
      </c>
      <c r="D158">
        <f>AVERAGE(Calculations!E156:E158)</f>
        <v>2.1076774424004867</v>
      </c>
      <c r="E158">
        <f>AVERAGE(Calculations!F156:F158)</f>
        <v>28.856239338548402</v>
      </c>
      <c r="F158">
        <f>AVERAGE(Calculations!G156:G158)</f>
        <v>1.2375663555946232</v>
      </c>
      <c r="G158">
        <f>AVERAGE(Calculations!H156:H158)</f>
        <v>2.2666666666666666</v>
      </c>
      <c r="H158">
        <f>AVERAGE(Calculations!I156:I158)</f>
        <v>4.5</v>
      </c>
      <c r="I158">
        <f>AVERAGE(Calculations!J156:J158)</f>
        <v>6.9832986683251122E-2</v>
      </c>
      <c r="J158">
        <f>AVERAGE(Calculations!K156:K158)</f>
        <v>7.5051417159183051E-2</v>
      </c>
    </row>
    <row r="159" spans="1:10" x14ac:dyDescent="0.2">
      <c r="A159" s="1">
        <f>Calculations!A159</f>
        <v>39114</v>
      </c>
      <c r="B159">
        <f>AVERAGE(Calculations!B157:B159)</f>
        <v>2</v>
      </c>
      <c r="C159">
        <f>AVERAGE(Calculations!C157:C159)</f>
        <v>27.433333333333334</v>
      </c>
      <c r="D159">
        <f>AVERAGE(Calculations!E157:E159)</f>
        <v>2.0579835401131432</v>
      </c>
      <c r="E159">
        <f>AVERAGE(Calculations!F157:F159)</f>
        <v>29.635240657314199</v>
      </c>
      <c r="F159">
        <f>AVERAGE(Calculations!G157:G159)</f>
        <v>1.2108314647139133</v>
      </c>
      <c r="G159">
        <f>AVERAGE(Calculations!H157:H159)</f>
        <v>2.2333333333333334</v>
      </c>
      <c r="H159">
        <f>AVERAGE(Calculations!I157:I159)</f>
        <v>4.5</v>
      </c>
      <c r="I159">
        <f>AVERAGE(Calculations!J157:J159)</f>
        <v>6.6480628621989932E-2</v>
      </c>
      <c r="J159">
        <f>AVERAGE(Calculations!K157:K159)</f>
        <v>7.2119490729378996E-2</v>
      </c>
    </row>
    <row r="160" spans="1:10" x14ac:dyDescent="0.2">
      <c r="A160" s="1">
        <f>Calculations!A160</f>
        <v>39142</v>
      </c>
      <c r="B160">
        <f>AVERAGE(Calculations!B158:B160)</f>
        <v>1.8666666666666665</v>
      </c>
      <c r="C160">
        <f>AVERAGE(Calculations!C158:C160)</f>
        <v>28.466666666666669</v>
      </c>
      <c r="D160">
        <f>AVERAGE(Calculations!E158:E160)</f>
        <v>1.9705905432430935</v>
      </c>
      <c r="E160">
        <f>AVERAGE(Calculations!F158:F160)</f>
        <v>28.386054472724535</v>
      </c>
      <c r="F160">
        <f>AVERAGE(Calculations!G158:G160)</f>
        <v>1.2200638078885033</v>
      </c>
      <c r="G160">
        <f>AVERAGE(Calculations!H158:H160)</f>
        <v>2.2000000000000002</v>
      </c>
      <c r="H160">
        <f>AVERAGE(Calculations!I158:I160)</f>
        <v>4.5</v>
      </c>
      <c r="I160">
        <f>AVERAGE(Calculations!J158:J160)</f>
        <v>6.6874861653515749E-2</v>
      </c>
      <c r="J160">
        <f>AVERAGE(Calculations!K158:K160)</f>
        <v>7.4748817841376936E-2</v>
      </c>
    </row>
    <row r="161" spans="1:10" x14ac:dyDescent="0.2">
      <c r="A161" s="1">
        <f>Calculations!A161</f>
        <v>39173</v>
      </c>
      <c r="B161">
        <f>AVERAGE(Calculations!B159:B161)</f>
        <v>1.8333333333333333</v>
      </c>
      <c r="C161">
        <f>AVERAGE(Calculations!C159:C161)</f>
        <v>28.733333333333334</v>
      </c>
      <c r="D161">
        <f>AVERAGE(Calculations!E159:E161)</f>
        <v>1.9853534603935434</v>
      </c>
      <c r="E161">
        <f>AVERAGE(Calculations!F159:F161)</f>
        <v>28.478370872909135</v>
      </c>
      <c r="F161">
        <f>AVERAGE(Calculations!G159:G161)</f>
        <v>1.1471694841802267</v>
      </c>
      <c r="G161">
        <f>AVERAGE(Calculations!H159:H161)</f>
        <v>2.1666666666666665</v>
      </c>
      <c r="H161">
        <f>AVERAGE(Calculations!I159:I161)</f>
        <v>4.4666666666666668</v>
      </c>
      <c r="I161">
        <f>AVERAGE(Calculations!J159:J161)</f>
        <v>6.7179334308978697E-2</v>
      </c>
      <c r="J161">
        <f>AVERAGE(Calculations!K159:K161)</f>
        <v>7.3477440641612934E-2</v>
      </c>
    </row>
    <row r="162" spans="1:10" x14ac:dyDescent="0.2">
      <c r="A162" s="1">
        <f>Calculations!A162</f>
        <v>39203</v>
      </c>
      <c r="B162">
        <f>AVERAGE(Calculations!B160:B162)</f>
        <v>1.9666666666666668</v>
      </c>
      <c r="C162">
        <f>AVERAGE(Calculations!C160:C162)</f>
        <v>27.766666666666666</v>
      </c>
      <c r="D162">
        <f>AVERAGE(Calculations!E160:E162)</f>
        <v>2.0089696535257464</v>
      </c>
      <c r="E162">
        <f>AVERAGE(Calculations!F160:F162)</f>
        <v>27.226377504945031</v>
      </c>
      <c r="F162">
        <f>AVERAGE(Calculations!G160:G162)</f>
        <v>1.1803617148019065</v>
      </c>
      <c r="G162">
        <f>AVERAGE(Calculations!H160:H162)</f>
        <v>2.166666666666667</v>
      </c>
      <c r="H162">
        <f>AVERAGE(Calculations!I160:I162)</f>
        <v>4.4333333333333336</v>
      </c>
      <c r="I162">
        <f>AVERAGE(Calculations!J160:J162)</f>
        <v>7.0909760279598111E-2</v>
      </c>
      <c r="J162">
        <f>AVERAGE(Calculations!K160:K162)</f>
        <v>7.6591499888374048E-2</v>
      </c>
    </row>
    <row r="163" spans="1:10" x14ac:dyDescent="0.2">
      <c r="A163" s="1">
        <f>Calculations!A163</f>
        <v>39234</v>
      </c>
      <c r="B163">
        <f>AVERAGE(Calculations!B161:B163)</f>
        <v>2.1</v>
      </c>
      <c r="C163">
        <f>AVERAGE(Calculations!C161:C163)</f>
        <v>27.399999999999995</v>
      </c>
      <c r="D163">
        <f>AVERAGE(Calculations!E161:E163)</f>
        <v>2.0111860258053</v>
      </c>
      <c r="E163">
        <f>AVERAGE(Calculations!F161:F163)</f>
        <v>27.448859042887232</v>
      </c>
      <c r="F163">
        <f>AVERAGE(Calculations!G161:G163)</f>
        <v>1.1779396942219833</v>
      </c>
      <c r="G163">
        <f>AVERAGE(Calculations!H161:H163)</f>
        <v>2.1333333333333333</v>
      </c>
      <c r="H163">
        <f>AVERAGE(Calculations!I161:I163)</f>
        <v>4.5</v>
      </c>
      <c r="I163">
        <f>AVERAGE(Calculations!J161:J163)</f>
        <v>7.0275436203105016E-2</v>
      </c>
      <c r="J163">
        <f>AVERAGE(Calculations!K161:K163)</f>
        <v>7.452854506340692E-2</v>
      </c>
    </row>
    <row r="164" spans="1:10" x14ac:dyDescent="0.2">
      <c r="A164" s="1">
        <f>Calculations!A164</f>
        <v>39264</v>
      </c>
      <c r="B164">
        <f>AVERAGE(Calculations!B162:B164)</f>
        <v>2.1999999999999997</v>
      </c>
      <c r="C164">
        <f>AVERAGE(Calculations!C162:C164)</f>
        <v>27.966666666666669</v>
      </c>
      <c r="D164">
        <f>AVERAGE(Calculations!E162:E164)</f>
        <v>2.0214204438942134</v>
      </c>
      <c r="E164">
        <f>AVERAGE(Calculations!F162:F164)</f>
        <v>27.266617159316137</v>
      </c>
      <c r="F164">
        <f>AVERAGE(Calculations!G162:G164)</f>
        <v>1.1890199769145033</v>
      </c>
      <c r="G164">
        <f>AVERAGE(Calculations!H162:H164)</f>
        <v>2.1333333333333333</v>
      </c>
      <c r="H164">
        <f>AVERAGE(Calculations!I162:I164)</f>
        <v>4.5666666666666664</v>
      </c>
      <c r="I164">
        <f>AVERAGE(Calculations!J162:J164)</f>
        <v>7.095867695647512E-2</v>
      </c>
      <c r="J164">
        <f>AVERAGE(Calculations!K162:K164)</f>
        <v>7.4903990634579684E-2</v>
      </c>
    </row>
    <row r="165" spans="1:10" x14ac:dyDescent="0.2">
      <c r="A165" s="1">
        <f>Calculations!A165</f>
        <v>39295</v>
      </c>
      <c r="B165">
        <f>AVERAGE(Calculations!B163:B165)</f>
        <v>2.1333333333333333</v>
      </c>
      <c r="C165">
        <f>AVERAGE(Calculations!C163:C165)</f>
        <v>28.7</v>
      </c>
      <c r="D165">
        <f>AVERAGE(Calculations!E163:E165)</f>
        <v>1.9296279139564536</v>
      </c>
      <c r="E165">
        <f>AVERAGE(Calculations!F163:F165)</f>
        <v>26.307930769303038</v>
      </c>
      <c r="F165">
        <f>AVERAGE(Calculations!G163:G165)</f>
        <v>1.1629236892224766</v>
      </c>
      <c r="G165">
        <f>AVERAGE(Calculations!H163:H165)</f>
        <v>2.1</v>
      </c>
      <c r="H165">
        <f>AVERAGE(Calculations!I163:I165)</f>
        <v>4.6333333333333337</v>
      </c>
      <c r="I165">
        <f>AVERAGE(Calculations!J163:J165)</f>
        <v>7.0228708415515373E-2</v>
      </c>
      <c r="J165">
        <f>AVERAGE(Calculations!K163:K165)</f>
        <v>7.6553124027124358E-2</v>
      </c>
    </row>
    <row r="166" spans="1:10" x14ac:dyDescent="0.2">
      <c r="A166" s="1">
        <f>Calculations!A166</f>
        <v>39326</v>
      </c>
      <c r="B166">
        <f>AVERAGE(Calculations!B164:B166)</f>
        <v>2.1</v>
      </c>
      <c r="C166">
        <f>AVERAGE(Calculations!C164:C166)</f>
        <v>29.466666666666669</v>
      </c>
      <c r="D166">
        <f>AVERAGE(Calculations!E164:E166)</f>
        <v>1.9183895876309502</v>
      </c>
      <c r="E166">
        <f>AVERAGE(Calculations!F164:F166)</f>
        <v>26.684373602289099</v>
      </c>
      <c r="F166">
        <f>AVERAGE(Calculations!G164:G166)</f>
        <v>1.15020049216139</v>
      </c>
      <c r="G166">
        <f>AVERAGE(Calculations!H164:H166)</f>
        <v>2.0333333333333332</v>
      </c>
      <c r="H166">
        <f>AVERAGE(Calculations!I164:I166)</f>
        <v>4.666666666666667</v>
      </c>
      <c r="I166">
        <f>AVERAGE(Calculations!J164:J166)</f>
        <v>6.8746902753842654E-2</v>
      </c>
      <c r="J166">
        <f>AVERAGE(Calculations!K164:K166)</f>
        <v>7.2999295297629371E-2</v>
      </c>
    </row>
    <row r="167" spans="1:10" x14ac:dyDescent="0.2">
      <c r="A167" s="1">
        <f>Calculations!A167</f>
        <v>39356</v>
      </c>
      <c r="B167">
        <f>AVERAGE(Calculations!B165:B167)</f>
        <v>1.9666666666666668</v>
      </c>
      <c r="C167">
        <f>AVERAGE(Calculations!C165:C167)</f>
        <v>27.400000000000002</v>
      </c>
      <c r="D167">
        <f>AVERAGE(Calculations!E165:E167)</f>
        <v>1.88241831369427</v>
      </c>
      <c r="E167">
        <f>AVERAGE(Calculations!F165:F167)</f>
        <v>25.684985089313567</v>
      </c>
      <c r="F167">
        <f>AVERAGE(Calculations!G165:G167)</f>
        <v>1.1652320074117199</v>
      </c>
      <c r="G167">
        <f>AVERAGE(Calculations!H165:H167)</f>
        <v>2.0333333333333332</v>
      </c>
      <c r="H167">
        <f>AVERAGE(Calculations!I165:I167)</f>
        <v>4.666666666666667</v>
      </c>
      <c r="I167">
        <f>AVERAGE(Calculations!J165:J167)</f>
        <v>6.9913109698080955E-2</v>
      </c>
      <c r="J167">
        <f>AVERAGE(Calculations!K165:K167)</f>
        <v>7.5631864259197809E-2</v>
      </c>
    </row>
    <row r="168" spans="1:10" x14ac:dyDescent="0.2">
      <c r="A168" s="1">
        <f>Calculations!A168</f>
        <v>39387</v>
      </c>
      <c r="B168">
        <f>AVERAGE(Calculations!B166:B168)</f>
        <v>1.8</v>
      </c>
      <c r="C168">
        <f>AVERAGE(Calculations!C166:C168)</f>
        <v>25.566666666666663</v>
      </c>
      <c r="D168">
        <f>AVERAGE(Calculations!E166:E168)</f>
        <v>1.9142905553018332</v>
      </c>
      <c r="E168">
        <f>AVERAGE(Calculations!F166:F168)</f>
        <v>26.711134378064031</v>
      </c>
      <c r="F168">
        <f>AVERAGE(Calculations!G166:G168)</f>
        <v>1.1753763150691265</v>
      </c>
      <c r="G168">
        <f>AVERAGE(Calculations!H166:H168)</f>
        <v>2</v>
      </c>
      <c r="H168">
        <f>AVERAGE(Calculations!I166:I168)</f>
        <v>4.7</v>
      </c>
      <c r="I168">
        <f>AVERAGE(Calculations!J166:J168)</f>
        <v>6.8313686931485193E-2</v>
      </c>
      <c r="J168">
        <f>AVERAGE(Calculations!K166:K168)</f>
        <v>7.1410874574418623E-2</v>
      </c>
    </row>
    <row r="169" spans="1:10" x14ac:dyDescent="0.2">
      <c r="A169" s="1">
        <f>Calculations!A169</f>
        <v>39417</v>
      </c>
      <c r="B169">
        <f>AVERAGE(Calculations!B167:B169)</f>
        <v>1.7333333333333334</v>
      </c>
      <c r="C169">
        <f>AVERAGE(Calculations!C167:C169)</f>
        <v>23.7</v>
      </c>
      <c r="D169">
        <f>AVERAGE(Calculations!E167:E169)</f>
        <v>1.8993789706761099</v>
      </c>
      <c r="E169">
        <f>AVERAGE(Calculations!F167:F169)</f>
        <v>26.813452081015431</v>
      </c>
      <c r="F169">
        <f>AVERAGE(Calculations!G167:G169)</f>
        <v>1.1846512193885266</v>
      </c>
      <c r="G169">
        <f>AVERAGE(Calculations!H167:H169)</f>
        <v>2.0666666666666664</v>
      </c>
      <c r="H169">
        <f>AVERAGE(Calculations!I167:I169)</f>
        <v>4.8</v>
      </c>
      <c r="I169">
        <f>AVERAGE(Calculations!J167:J169)</f>
        <v>6.7446529119659995E-2</v>
      </c>
      <c r="J169">
        <f>AVERAGE(Calculations!K167:K169)</f>
        <v>7.3444804296596625E-2</v>
      </c>
    </row>
    <row r="170" spans="1:10" x14ac:dyDescent="0.2">
      <c r="A170" s="1">
        <f>Calculations!A170</f>
        <v>39448</v>
      </c>
      <c r="B170">
        <f>AVERAGE(Calculations!B168:B170)</f>
        <v>1.8</v>
      </c>
      <c r="C170">
        <f>AVERAGE(Calculations!C168:C170)</f>
        <v>24.433333333333337</v>
      </c>
      <c r="D170">
        <f>AVERAGE(Calculations!E168:E170)</f>
        <v>1.9060118808051065</v>
      </c>
      <c r="E170">
        <f>AVERAGE(Calculations!F168:F170)</f>
        <v>27.396043189004434</v>
      </c>
      <c r="F170">
        <f>AVERAGE(Calculations!G168:G170)</f>
        <v>1.1958817431467532</v>
      </c>
      <c r="G170">
        <f>AVERAGE(Calculations!H168:H170)</f>
        <v>2.0666666666666664</v>
      </c>
      <c r="H170">
        <f>AVERAGE(Calculations!I168:I170)</f>
        <v>4.8999999999999995</v>
      </c>
      <c r="I170">
        <f>AVERAGE(Calculations!J168:J170)</f>
        <v>6.6177793589624598E-2</v>
      </c>
      <c r="J170">
        <f>AVERAGE(Calculations!K168:K170)</f>
        <v>7.1765863739083002E-2</v>
      </c>
    </row>
    <row r="171" spans="1:10" x14ac:dyDescent="0.2">
      <c r="A171" s="1">
        <f>Calculations!A171</f>
        <v>39479</v>
      </c>
      <c r="B171">
        <f>AVERAGE(Calculations!B169:B171)</f>
        <v>1.8333333333333333</v>
      </c>
      <c r="C171">
        <f>AVERAGE(Calculations!C169:C171)</f>
        <v>24.966666666666669</v>
      </c>
      <c r="D171">
        <f>AVERAGE(Calculations!E169:E171)</f>
        <v>1.8678562747086831</v>
      </c>
      <c r="E171">
        <f>AVERAGE(Calculations!F169:F171)</f>
        <v>26.902011714333835</v>
      </c>
      <c r="F171">
        <f>AVERAGE(Calculations!G169:G171)</f>
        <v>1.2448973241623802</v>
      </c>
      <c r="G171">
        <f>AVERAGE(Calculations!H169:H171)</f>
        <v>2.1</v>
      </c>
      <c r="H171">
        <f>AVERAGE(Calculations!I169:I171)</f>
        <v>4.9666666666666668</v>
      </c>
      <c r="I171">
        <f>AVERAGE(Calculations!J169:J171)</f>
        <v>6.6009447431840659E-2</v>
      </c>
      <c r="J171">
        <f>AVERAGE(Calculations!K169:K171)</f>
        <v>7.4238456766078723E-2</v>
      </c>
    </row>
    <row r="172" spans="1:10" x14ac:dyDescent="0.2">
      <c r="A172" s="1">
        <f>Calculations!A172</f>
        <v>39508</v>
      </c>
      <c r="B172">
        <f>AVERAGE(Calculations!B170:B172)</f>
        <v>1.7666666666666668</v>
      </c>
      <c r="C172">
        <f>AVERAGE(Calculations!C170:C172)</f>
        <v>26.366666666666664</v>
      </c>
      <c r="D172">
        <f>AVERAGE(Calculations!E170:E172)</f>
        <v>1.8387202059828198</v>
      </c>
      <c r="E172">
        <f>AVERAGE(Calculations!F170:F172)</f>
        <v>26.101307127519902</v>
      </c>
      <c r="F172">
        <f>AVERAGE(Calculations!G170:G172)</f>
        <v>1.2884253518413367</v>
      </c>
      <c r="G172">
        <f>AVERAGE(Calculations!H170:H172)</f>
        <v>2.0333333333333332</v>
      </c>
      <c r="H172">
        <f>AVERAGE(Calculations!I170:I172)</f>
        <v>5</v>
      </c>
      <c r="I172">
        <f>AVERAGE(Calculations!J170:J172)</f>
        <v>6.7047500019416853E-2</v>
      </c>
      <c r="J172">
        <f>AVERAGE(Calculations!K170:K172)</f>
        <v>7.4062951428280288E-2</v>
      </c>
    </row>
    <row r="173" spans="1:10" x14ac:dyDescent="0.2">
      <c r="A173" s="1">
        <f>Calculations!A173</f>
        <v>39539</v>
      </c>
      <c r="B173">
        <f>AVERAGE(Calculations!B171:B173)</f>
        <v>1.7666666666666668</v>
      </c>
      <c r="C173">
        <f>AVERAGE(Calculations!C171:C173)</f>
        <v>26.600000000000005</v>
      </c>
      <c r="D173">
        <f>AVERAGE(Calculations!E171:E173)</f>
        <v>1.8989256176816633</v>
      </c>
      <c r="E173">
        <f>AVERAGE(Calculations!F171:F173)</f>
        <v>26.244366146882101</v>
      </c>
      <c r="F173">
        <f>AVERAGE(Calculations!G171:G173)</f>
        <v>1.3267933637167102</v>
      </c>
      <c r="G173">
        <f>AVERAGE(Calculations!H171:H173)</f>
        <v>2.0333333333333332</v>
      </c>
      <c r="H173">
        <f>AVERAGE(Calculations!I171:I173)</f>
        <v>5</v>
      </c>
      <c r="I173">
        <f>AVERAGE(Calculations!J171:J173)</f>
        <v>6.8743772430113495E-2</v>
      </c>
      <c r="J173">
        <f>AVERAGE(Calculations!K171:K173)</f>
        <v>7.3700643753795092E-2</v>
      </c>
    </row>
    <row r="174" spans="1:10" x14ac:dyDescent="0.2">
      <c r="A174" s="1">
        <f>Calculations!A174</f>
        <v>39569</v>
      </c>
      <c r="B174">
        <f>AVERAGE(Calculations!B172:B174)</f>
        <v>1.8</v>
      </c>
      <c r="C174">
        <f>AVERAGE(Calculations!C172:C174)</f>
        <v>25.900000000000002</v>
      </c>
      <c r="D174">
        <f>AVERAGE(Calculations!E172:E174)</f>
        <v>1.8534535989536935</v>
      </c>
      <c r="E174">
        <f>AVERAGE(Calculations!F172:F174)</f>
        <v>25.321655705456035</v>
      </c>
      <c r="F174">
        <f>AVERAGE(Calculations!G172:G174)</f>
        <v>1.2649141035342266</v>
      </c>
      <c r="G174">
        <f>AVERAGE(Calculations!H172:H174)</f>
        <v>1.9666666666666668</v>
      </c>
      <c r="H174">
        <f>AVERAGE(Calculations!I172:I174)</f>
        <v>5.166666666666667</v>
      </c>
      <c r="I174">
        <f>AVERAGE(Calculations!J172:J174)</f>
        <v>6.9406471230013853E-2</v>
      </c>
      <c r="J174">
        <f>AVERAGE(Calculations!K172:K174)</f>
        <v>7.387461776405406E-2</v>
      </c>
    </row>
    <row r="175" spans="1:10" x14ac:dyDescent="0.2">
      <c r="A175" s="1">
        <f>Calculations!A175</f>
        <v>39600</v>
      </c>
      <c r="B175">
        <f>AVERAGE(Calculations!B173:B175)</f>
        <v>1.8666666666666665</v>
      </c>
      <c r="C175">
        <f>AVERAGE(Calculations!C173:C175)</f>
        <v>24.8</v>
      </c>
      <c r="D175">
        <f>AVERAGE(Calculations!E173:E175)</f>
        <v>1.8210247685370735</v>
      </c>
      <c r="E175">
        <f>AVERAGE(Calculations!F173:F175)</f>
        <v>24.8354726540563</v>
      </c>
      <c r="F175">
        <f>AVERAGE(Calculations!G173:G175)</f>
        <v>1.2280540958989901</v>
      </c>
      <c r="G175">
        <f>AVERAGE(Calculations!H173:H175)</f>
        <v>1.9666666666666668</v>
      </c>
      <c r="H175">
        <f>AVERAGE(Calculations!I173:I175)</f>
        <v>5.333333333333333</v>
      </c>
      <c r="I175">
        <f>AVERAGE(Calculations!J173:J175)</f>
        <v>6.9425247675916499E-2</v>
      </c>
      <c r="J175">
        <f>AVERAGE(Calculations!K173:K175)</f>
        <v>7.5307858852298556E-2</v>
      </c>
    </row>
    <row r="176" spans="1:10" x14ac:dyDescent="0.2">
      <c r="A176" s="1">
        <f>Calculations!A176</f>
        <v>39630</v>
      </c>
      <c r="B176">
        <f>AVERAGE(Calculations!B174:B176)</f>
        <v>1.9333333333333336</v>
      </c>
      <c r="C176">
        <f>AVERAGE(Calculations!C174:C176)</f>
        <v>24.033333333333331</v>
      </c>
      <c r="D176">
        <f>AVERAGE(Calculations!E174:E176)</f>
        <v>1.7954110406562098</v>
      </c>
      <c r="E176">
        <f>AVERAGE(Calculations!F174:F176)</f>
        <v>23.444591136948663</v>
      </c>
      <c r="F176">
        <f>AVERAGE(Calculations!G174:G176)</f>
        <v>1.2600747949810331</v>
      </c>
      <c r="G176">
        <f>AVERAGE(Calculations!H174:H176)</f>
        <v>1.8666666666666665</v>
      </c>
      <c r="H176">
        <f>AVERAGE(Calculations!I174:I176)</f>
        <v>5.6000000000000005</v>
      </c>
      <c r="I176">
        <f>AVERAGE(Calculations!J174:J176)</f>
        <v>7.2207573284060231E-2</v>
      </c>
      <c r="J176">
        <f>AVERAGE(Calculations!K174:K176)</f>
        <v>7.523784612946173E-2</v>
      </c>
    </row>
    <row r="177" spans="1:10" x14ac:dyDescent="0.2">
      <c r="A177" s="1">
        <f>Calculations!A177</f>
        <v>39661</v>
      </c>
      <c r="B177">
        <f>AVERAGE(Calculations!B175:B177)</f>
        <v>1.9666666666666668</v>
      </c>
      <c r="C177">
        <f>AVERAGE(Calculations!C175:C177)</f>
        <v>25.3</v>
      </c>
      <c r="D177">
        <f>AVERAGE(Calculations!E175:E177)</f>
        <v>1.7963091010772434</v>
      </c>
      <c r="E177">
        <f>AVERAGE(Calculations!F175:F177)</f>
        <v>23.259780508437032</v>
      </c>
      <c r="F177">
        <f>AVERAGE(Calculations!G175:G177)</f>
        <v>1.3369178356323366</v>
      </c>
      <c r="G177">
        <f>AVERAGE(Calculations!H175:H177)</f>
        <v>1.8333333333333333</v>
      </c>
      <c r="H177">
        <f>AVERAGE(Calculations!I175:I177)</f>
        <v>5.833333333333333</v>
      </c>
      <c r="I177">
        <f>AVERAGE(Calculations!J175:J177)</f>
        <v>7.2628436061897769E-2</v>
      </c>
      <c r="J177">
        <f>AVERAGE(Calculations!K175:K177)</f>
        <v>7.4293981202300588E-2</v>
      </c>
    </row>
    <row r="178" spans="1:10" x14ac:dyDescent="0.2">
      <c r="A178" s="1">
        <f>Calculations!A178</f>
        <v>39692</v>
      </c>
      <c r="B178">
        <f>AVERAGE(Calculations!B176:B178)</f>
        <v>2</v>
      </c>
      <c r="C178">
        <f>AVERAGE(Calculations!C176:C178)</f>
        <v>25.900000000000002</v>
      </c>
      <c r="D178">
        <f>AVERAGE(Calculations!E176:E178)</f>
        <v>1.8433127681510768</v>
      </c>
      <c r="E178">
        <f>AVERAGE(Calculations!F176:F178)</f>
        <v>23.521743548473498</v>
      </c>
      <c r="F178">
        <f>AVERAGE(Calculations!G176:G178)</f>
        <v>1.5015120665946633</v>
      </c>
      <c r="G178">
        <f>AVERAGE(Calculations!H176:H178)</f>
        <v>1.8</v>
      </c>
      <c r="H178">
        <f>AVERAGE(Calculations!I176:I178)</f>
        <v>6</v>
      </c>
      <c r="I178">
        <f>AVERAGE(Calculations!J176:J178)</f>
        <v>7.359729759236594E-2</v>
      </c>
      <c r="J178">
        <f>AVERAGE(Calculations!K176:K178)</f>
        <v>7.1972626518600882E-2</v>
      </c>
    </row>
    <row r="179" spans="1:10" x14ac:dyDescent="0.2">
      <c r="A179" s="1">
        <f>Calculations!A179</f>
        <v>39722</v>
      </c>
      <c r="B179">
        <f>AVERAGE(Calculations!B177:B179)</f>
        <v>1.8</v>
      </c>
      <c r="C179">
        <f>AVERAGE(Calculations!C177:C179)</f>
        <v>23.933333333333334</v>
      </c>
      <c r="D179">
        <f>AVERAGE(Calculations!E177:E179)</f>
        <v>1.7302484850119699</v>
      </c>
      <c r="E179">
        <f>AVERAGE(Calculations!F177:F179)</f>
        <v>22.388619732385934</v>
      </c>
      <c r="F179">
        <f>AVERAGE(Calculations!G177:G179)</f>
        <v>1.53239401176846</v>
      </c>
      <c r="G179">
        <f>AVERAGE(Calculations!H177:H179)</f>
        <v>1.8</v>
      </c>
      <c r="H179">
        <f>AVERAGE(Calculations!I177:I179)</f>
        <v>6.2333333333333334</v>
      </c>
      <c r="I179">
        <f>AVERAGE(Calculations!J177:J179)</f>
        <v>7.2529937555558754E-2</v>
      </c>
      <c r="J179">
        <f>AVERAGE(Calculations!K177:K179)</f>
        <v>7.5617815058844809E-2</v>
      </c>
    </row>
    <row r="180" spans="1:10" x14ac:dyDescent="0.2">
      <c r="A180" s="1">
        <f>Calculations!A180</f>
        <v>39753</v>
      </c>
      <c r="B180">
        <f>AVERAGE(Calculations!B178:B180)</f>
        <v>1.6333333333333335</v>
      </c>
      <c r="C180">
        <f>AVERAGE(Calculations!C178:C180)</f>
        <v>20.766666666666666</v>
      </c>
      <c r="D180">
        <f>AVERAGE(Calculations!E178:E180)</f>
        <v>1.7378187565315935</v>
      </c>
      <c r="E180">
        <f>AVERAGE(Calculations!F178:F180)</f>
        <v>21.603650620967869</v>
      </c>
      <c r="F180">
        <f>AVERAGE(Calculations!G178:G180)</f>
        <v>1.5891139995872468</v>
      </c>
      <c r="G180">
        <f>AVERAGE(Calculations!H178:H180)</f>
        <v>1.7333333333333334</v>
      </c>
      <c r="H180">
        <f>AVERAGE(Calculations!I178:I180)</f>
        <v>6.4666666666666659</v>
      </c>
      <c r="I180">
        <f>AVERAGE(Calculations!J178:J180)</f>
        <v>7.5370488279445189E-2</v>
      </c>
      <c r="J180">
        <f>AVERAGE(Calculations!K178:K180)</f>
        <v>7.5222773204020044E-2</v>
      </c>
    </row>
    <row r="181" spans="1:10" x14ac:dyDescent="0.2">
      <c r="A181" s="1">
        <f>Calculations!A181</f>
        <v>39783</v>
      </c>
      <c r="B181">
        <f>AVERAGE(Calculations!B179:B181)</f>
        <v>1.5</v>
      </c>
      <c r="C181">
        <f>AVERAGE(Calculations!C179:C181)</f>
        <v>18</v>
      </c>
      <c r="D181">
        <f>AVERAGE(Calculations!E179:E181)</f>
        <v>1.6407876010331668</v>
      </c>
      <c r="E181">
        <f>AVERAGE(Calculations!F179:F181)</f>
        <v>20.350808930915367</v>
      </c>
      <c r="F181">
        <f>AVERAGE(Calculations!G179:G181)</f>
        <v>1.6285880052701664</v>
      </c>
      <c r="G181">
        <f>AVERAGE(Calculations!H179:H181)</f>
        <v>1.6666666666666667</v>
      </c>
      <c r="H181">
        <f>AVERAGE(Calculations!I179:I181)</f>
        <v>6.8666666666666671</v>
      </c>
      <c r="I181">
        <f>AVERAGE(Calculations!J179:J181)</f>
        <v>7.5075073603667206E-2</v>
      </c>
      <c r="J181">
        <f>AVERAGE(Calculations!K179:K181)</f>
        <v>7.6246483040985399E-2</v>
      </c>
    </row>
    <row r="182" spans="1:10" x14ac:dyDescent="0.2">
      <c r="A182" s="1">
        <f>Calculations!A182</f>
        <v>39814</v>
      </c>
      <c r="B182">
        <f>AVERAGE(Calculations!B180:B182)</f>
        <v>1.5666666666666667</v>
      </c>
      <c r="C182">
        <f>AVERAGE(Calculations!C180:C182)</f>
        <v>17.333333333333332</v>
      </c>
      <c r="D182">
        <f>AVERAGE(Calculations!E180:E182)</f>
        <v>1.6513612104830067</v>
      </c>
      <c r="E182">
        <f>AVERAGE(Calculations!F180:F182)</f>
        <v>19.468447417239833</v>
      </c>
      <c r="F182">
        <f>AVERAGE(Calculations!G180:G182)</f>
        <v>1.7176312519849199</v>
      </c>
      <c r="G182">
        <f>AVERAGE(Calculations!H180:H182)</f>
        <v>1.5666666666666667</v>
      </c>
      <c r="H182">
        <f>AVERAGE(Calculations!I180:I182)</f>
        <v>7.3</v>
      </c>
      <c r="I182">
        <f>AVERAGE(Calculations!J180:J182)</f>
        <v>7.886646968621909E-2</v>
      </c>
      <c r="J182">
        <f>AVERAGE(Calculations!K180:K182)</f>
        <v>7.4680021605448704E-2</v>
      </c>
    </row>
    <row r="183" spans="1:10" x14ac:dyDescent="0.2">
      <c r="A183" s="1">
        <f>Calculations!A183</f>
        <v>39845</v>
      </c>
      <c r="B183">
        <f>AVERAGE(Calculations!B181:B183)</f>
        <v>1.5666666666666667</v>
      </c>
      <c r="C183">
        <f>AVERAGE(Calculations!C181:C183)</f>
        <v>17.333333333333332</v>
      </c>
      <c r="D183">
        <f>AVERAGE(Calculations!E181:E183)</f>
        <v>1.5800840411005035</v>
      </c>
      <c r="E183">
        <f>AVERAGE(Calculations!F181:F183)</f>
        <v>18.599408273235898</v>
      </c>
      <c r="F183">
        <f>AVERAGE(Calculations!G181:G183)</f>
        <v>1.7828725257328866</v>
      </c>
      <c r="G183">
        <f>AVERAGE(Calculations!H181:H183)</f>
        <v>1.5</v>
      </c>
      <c r="H183">
        <f>AVERAGE(Calculations!I181:I183)</f>
        <v>7.8</v>
      </c>
      <c r="I183">
        <f>AVERAGE(Calculations!J181:J183)</f>
        <v>7.8541970881127757E-2</v>
      </c>
      <c r="J183">
        <f>AVERAGE(Calculations!K181:K183)</f>
        <v>7.4362515371655238E-2</v>
      </c>
    </row>
    <row r="184" spans="1:10" x14ac:dyDescent="0.2">
      <c r="A184" s="1">
        <f>Calculations!A184</f>
        <v>39873</v>
      </c>
      <c r="B184">
        <f>AVERAGE(Calculations!B182:B184)</f>
        <v>1.5333333333333332</v>
      </c>
      <c r="C184">
        <f>AVERAGE(Calculations!C182:C184)</f>
        <v>18.633333333333333</v>
      </c>
      <c r="D184">
        <f>AVERAGE(Calculations!E182:E184)</f>
        <v>1.5764184852899534</v>
      </c>
      <c r="E184">
        <f>AVERAGE(Calculations!F182:F184)</f>
        <v>18.2913278140697</v>
      </c>
      <c r="F184">
        <f>AVERAGE(Calculations!G182:G184)</f>
        <v>1.7735079345786966</v>
      </c>
      <c r="G184">
        <f>AVERAGE(Calculations!H182:H184)</f>
        <v>1.4333333333333333</v>
      </c>
      <c r="H184">
        <f>AVERAGE(Calculations!I182:I184)</f>
        <v>8.2666666666666675</v>
      </c>
      <c r="I184">
        <f>AVERAGE(Calculations!J182:J184)</f>
        <v>7.9153976882163302E-2</v>
      </c>
      <c r="J184">
        <f>AVERAGE(Calculations!K182:K184)</f>
        <v>7.1973308597916105E-2</v>
      </c>
    </row>
    <row r="185" spans="1:10" x14ac:dyDescent="0.2">
      <c r="A185" s="1">
        <f>Calculations!A185</f>
        <v>39904</v>
      </c>
      <c r="B185">
        <f>AVERAGE(Calculations!B183:B185)</f>
        <v>1.5</v>
      </c>
      <c r="C185">
        <f>AVERAGE(Calculations!C183:C185)</f>
        <v>17.966666666666665</v>
      </c>
      <c r="D185">
        <f>AVERAGE(Calculations!E183:E185)</f>
        <v>1.5990189293575401</v>
      </c>
      <c r="E185">
        <f>AVERAGE(Calculations!F183:F185)</f>
        <v>17.629410024645399</v>
      </c>
      <c r="F185">
        <f>AVERAGE(Calculations!G183:G185)</f>
        <v>1.7323334354079734</v>
      </c>
      <c r="G185">
        <f>AVERAGE(Calculations!H183:H185)</f>
        <v>1.3666666666666665</v>
      </c>
      <c r="H185">
        <f>AVERAGE(Calculations!I183:I185)</f>
        <v>8.6666666666666661</v>
      </c>
      <c r="I185">
        <f>AVERAGE(Calculations!J183:J185)</f>
        <v>8.3557088112610992E-2</v>
      </c>
      <c r="J185">
        <f>AVERAGE(Calculations!K183:K185)</f>
        <v>7.0978947484896457E-2</v>
      </c>
    </row>
    <row r="186" spans="1:10" x14ac:dyDescent="0.2">
      <c r="A186" s="1">
        <f>Calculations!A186</f>
        <v>39934</v>
      </c>
      <c r="B186">
        <f>AVERAGE(Calculations!B184:B186)</f>
        <v>1.5333333333333332</v>
      </c>
      <c r="C186">
        <f>AVERAGE(Calculations!C184:C186)</f>
        <v>17.599999999999998</v>
      </c>
      <c r="D186">
        <f>AVERAGE(Calculations!E184:E186)</f>
        <v>1.57407896412603</v>
      </c>
      <c r="E186">
        <f>AVERAGE(Calculations!F184:F186)</f>
        <v>17.170046554080265</v>
      </c>
      <c r="F186">
        <f>AVERAGE(Calculations!G184:G186)</f>
        <v>1.73167756351877</v>
      </c>
      <c r="G186">
        <f>AVERAGE(Calculations!H184:H186)</f>
        <v>1.3333333333333333</v>
      </c>
      <c r="H186">
        <f>AVERAGE(Calculations!I184:I186)</f>
        <v>9.0333333333333332</v>
      </c>
      <c r="I186">
        <f>AVERAGE(Calculations!J184:J186)</f>
        <v>8.4012171503416611E-2</v>
      </c>
      <c r="J186">
        <f>AVERAGE(Calculations!K184:K186)</f>
        <v>7.0844037921805991E-2</v>
      </c>
    </row>
    <row r="187" spans="1:10" x14ac:dyDescent="0.2">
      <c r="A187" s="1">
        <f>Calculations!A187</f>
        <v>39965</v>
      </c>
      <c r="B187">
        <f>AVERAGE(Calculations!B185:B187)</f>
        <v>1.6000000000000003</v>
      </c>
      <c r="C187">
        <f>AVERAGE(Calculations!C185:C187)</f>
        <v>16.933333333333334</v>
      </c>
      <c r="D187">
        <f>AVERAGE(Calculations!E185:E187)</f>
        <v>1.57050720207082</v>
      </c>
      <c r="E187">
        <f>AVERAGE(Calculations!F185:F187)</f>
        <v>16.949427097564037</v>
      </c>
      <c r="F187">
        <f>AVERAGE(Calculations!G185:G187)</f>
        <v>1.7523106516726867</v>
      </c>
      <c r="G187">
        <f>AVERAGE(Calculations!H185:H187)</f>
        <v>1.3</v>
      </c>
      <c r="H187">
        <f>AVERAGE(Calculations!I185:I187)</f>
        <v>9.2999999999999989</v>
      </c>
      <c r="I187">
        <f>AVERAGE(Calculations!J185:J187)</f>
        <v>8.450140518339104E-2</v>
      </c>
      <c r="J187">
        <f>AVERAGE(Calculations!K185:K187)</f>
        <v>6.9804825590452244E-2</v>
      </c>
    </row>
    <row r="188" spans="1:10" x14ac:dyDescent="0.2">
      <c r="A188" s="1">
        <f>Calculations!A188</f>
        <v>39995</v>
      </c>
      <c r="B188">
        <f>AVERAGE(Calculations!B186:B188)</f>
        <v>1.5666666666666667</v>
      </c>
      <c r="C188">
        <f>AVERAGE(Calculations!C186:C188)</f>
        <v>17.3</v>
      </c>
      <c r="D188">
        <f>AVERAGE(Calculations!E186:E188)</f>
        <v>1.4608385393638768</v>
      </c>
      <c r="E188">
        <f>AVERAGE(Calculations!F186:F188)</f>
        <v>16.907763522667334</v>
      </c>
      <c r="F188">
        <f>AVERAGE(Calculations!G186:G188)</f>
        <v>1.6995382031567032</v>
      </c>
      <c r="G188">
        <f>AVERAGE(Calculations!H186:H188)</f>
        <v>1.3</v>
      </c>
      <c r="H188">
        <f>AVERAGE(Calculations!I186:I188)</f>
        <v>9.4666666666666668</v>
      </c>
      <c r="I188">
        <f>AVERAGE(Calculations!J186:J188)</f>
        <v>7.8355718943753802E-2</v>
      </c>
      <c r="J188">
        <f>AVERAGE(Calculations!K186:K188)</f>
        <v>6.9861184242199934E-2</v>
      </c>
    </row>
    <row r="189" spans="1:10" x14ac:dyDescent="0.2">
      <c r="A189" s="1">
        <f>Calculations!A189</f>
        <v>40026</v>
      </c>
      <c r="B189">
        <f>AVERAGE(Calculations!B187:B189)</f>
        <v>1.5999999999999999</v>
      </c>
      <c r="C189">
        <f>AVERAGE(Calculations!C187:C189)</f>
        <v>18.666666666666668</v>
      </c>
      <c r="D189">
        <f>AVERAGE(Calculations!E187:E189)</f>
        <v>1.4708200101043865</v>
      </c>
      <c r="E189">
        <f>AVERAGE(Calculations!F187:F189)</f>
        <v>17.199374551003501</v>
      </c>
      <c r="F189">
        <f>AVERAGE(Calculations!G187:G189)</f>
        <v>1.72882912455537</v>
      </c>
      <c r="G189">
        <f>AVERAGE(Calculations!H187:H189)</f>
        <v>1.3</v>
      </c>
      <c r="H189">
        <f>AVERAGE(Calculations!I187:I189)</f>
        <v>9.5333333333333332</v>
      </c>
      <c r="I189">
        <f>AVERAGE(Calculations!J187:J189)</f>
        <v>7.7493484044852012E-2</v>
      </c>
      <c r="J189">
        <f>AVERAGE(Calculations!K187:K189)</f>
        <v>6.8603017673894609E-2</v>
      </c>
    </row>
    <row r="190" spans="1:10" x14ac:dyDescent="0.2">
      <c r="A190" s="1">
        <f>Calculations!A190</f>
        <v>40057</v>
      </c>
      <c r="B190">
        <f>AVERAGE(Calculations!B188:B190)</f>
        <v>1.5666666666666667</v>
      </c>
      <c r="C190">
        <f>AVERAGE(Calculations!C188:C190)</f>
        <v>18</v>
      </c>
      <c r="D190">
        <f>AVERAGE(Calculations!E188:E190)</f>
        <v>1.4483175237035135</v>
      </c>
      <c r="E190">
        <f>AVERAGE(Calculations!F188:F190)</f>
        <v>16.333209489824533</v>
      </c>
      <c r="F190">
        <f>AVERAGE(Calculations!G188:G190)</f>
        <v>1.7066570770431735</v>
      </c>
      <c r="G190">
        <f>AVERAGE(Calculations!H188:H190)</f>
        <v>1.2666666666666666</v>
      </c>
      <c r="H190">
        <f>AVERAGE(Calculations!I188:I190)</f>
        <v>9.6333333333333346</v>
      </c>
      <c r="I190">
        <f>AVERAGE(Calculations!J188:J190)</f>
        <v>8.0255050128438823E-2</v>
      </c>
      <c r="J190">
        <f>AVERAGE(Calculations!K188:K190)</f>
        <v>7.0139718811073892E-2</v>
      </c>
    </row>
    <row r="191" spans="1:10" x14ac:dyDescent="0.2">
      <c r="A191" s="1">
        <f>Calculations!A191</f>
        <v>40087</v>
      </c>
      <c r="B191">
        <f>AVERAGE(Calculations!B189:B191)</f>
        <v>1.5</v>
      </c>
      <c r="C191">
        <f>AVERAGE(Calculations!C189:C191)</f>
        <v>17.733333333333334</v>
      </c>
      <c r="D191">
        <f>AVERAGE(Calculations!E189:E191)</f>
        <v>1.4530190741701965</v>
      </c>
      <c r="E191">
        <f>AVERAGE(Calculations!F189:F191)</f>
        <v>16.663824503439802</v>
      </c>
      <c r="F191">
        <f>AVERAGE(Calculations!G189:G191)</f>
        <v>1.7463992516644868</v>
      </c>
      <c r="G191">
        <f>AVERAGE(Calculations!H189:H191)</f>
        <v>1.2666666666666666</v>
      </c>
      <c r="H191">
        <f>AVERAGE(Calculations!I189:I191)</f>
        <v>9.7999999999999989</v>
      </c>
      <c r="I191">
        <f>AVERAGE(Calculations!J189:J191)</f>
        <v>7.8787320995042001E-2</v>
      </c>
      <c r="J191">
        <f>AVERAGE(Calculations!K189:K191)</f>
        <v>6.8572793209102048E-2</v>
      </c>
    </row>
    <row r="192" spans="1:10" x14ac:dyDescent="0.2">
      <c r="A192" s="1">
        <f>Calculations!A192</f>
        <v>40118</v>
      </c>
      <c r="B192">
        <f>AVERAGE(Calculations!B190:B192)</f>
        <v>1.3666666666666665</v>
      </c>
      <c r="C192">
        <f>AVERAGE(Calculations!C190:C192)</f>
        <v>15.266666666666666</v>
      </c>
      <c r="D192">
        <f>AVERAGE(Calculations!E190:E192)</f>
        <v>1.4619040504399232</v>
      </c>
      <c r="E192">
        <f>AVERAGE(Calculations!F190:F192)</f>
        <v>16.002058074529867</v>
      </c>
      <c r="F192">
        <f>AVERAGE(Calculations!G190:G192)</f>
        <v>1.70874546261867</v>
      </c>
      <c r="G192">
        <f>AVERAGE(Calculations!H190:H192)</f>
        <v>1.3</v>
      </c>
      <c r="H192">
        <f>AVERAGE(Calculations!I190:I192)</f>
        <v>9.9</v>
      </c>
      <c r="I192">
        <f>AVERAGE(Calculations!J190:J192)</f>
        <v>8.2508666481724627E-2</v>
      </c>
      <c r="J192">
        <f>AVERAGE(Calculations!K190:K192)</f>
        <v>7.3382257671795612E-2</v>
      </c>
    </row>
    <row r="193" spans="1:10" x14ac:dyDescent="0.2">
      <c r="A193" s="1">
        <f>Calculations!A193</f>
        <v>40148</v>
      </c>
      <c r="B193">
        <f>AVERAGE(Calculations!B191:B193)</f>
        <v>1.3666666666666665</v>
      </c>
      <c r="C193">
        <f>AVERAGE(Calculations!C191:C193)</f>
        <v>14.133333333333333</v>
      </c>
      <c r="D193">
        <f>AVERAGE(Calculations!E191:E193)</f>
        <v>1.4863699943790001</v>
      </c>
      <c r="E193">
        <f>AVERAGE(Calculations!F191:F193)</f>
        <v>15.985169713305467</v>
      </c>
      <c r="F193">
        <f>AVERAGE(Calculations!G191:G193)</f>
        <v>1.6417504183187566</v>
      </c>
      <c r="G193">
        <f>AVERAGE(Calculations!H191:H193)</f>
        <v>1.3333333333333333</v>
      </c>
      <c r="H193">
        <f>AVERAGE(Calculations!I191:I193)</f>
        <v>9.9333333333333318</v>
      </c>
      <c r="I193">
        <f>AVERAGE(Calculations!J191:J193)</f>
        <v>8.397243774854278E-2</v>
      </c>
      <c r="J193">
        <f>AVERAGE(Calculations!K191:K193)</f>
        <v>7.5344633884245005E-2</v>
      </c>
    </row>
    <row r="194" spans="1:10" x14ac:dyDescent="0.2">
      <c r="A194" s="1">
        <f>Calculations!A194</f>
        <v>40179</v>
      </c>
      <c r="B194">
        <f>AVERAGE(Calculations!B192:B194)</f>
        <v>1.4333333333333333</v>
      </c>
      <c r="C194">
        <f>AVERAGE(Calculations!C192:C194)</f>
        <v>14.166666666666666</v>
      </c>
      <c r="D194">
        <f>AVERAGE(Calculations!E192:E194)</f>
        <v>1.5017864179345402</v>
      </c>
      <c r="E194">
        <f>AVERAGE(Calculations!F192:F194)</f>
        <v>15.782626941690566</v>
      </c>
      <c r="F194">
        <f>AVERAGE(Calculations!G192:G194)</f>
        <v>1.6019896833495333</v>
      </c>
      <c r="G194">
        <f>AVERAGE(Calculations!H192:H194)</f>
        <v>1.3333333333333333</v>
      </c>
      <c r="H194">
        <f>AVERAGE(Calculations!I192:I194)</f>
        <v>9.8666666666666671</v>
      </c>
      <c r="I194">
        <f>AVERAGE(Calculations!J192:J194)</f>
        <v>8.5830006419172947E-2</v>
      </c>
      <c r="J194">
        <f>AVERAGE(Calculations!K192:K194)</f>
        <v>7.625379376661294E-2</v>
      </c>
    </row>
    <row r="195" spans="1:10" x14ac:dyDescent="0.2">
      <c r="A195" s="1">
        <f>Calculations!A195</f>
        <v>40210</v>
      </c>
      <c r="B195">
        <f>AVERAGE(Calculations!B193:B195)</f>
        <v>1.5333333333333332</v>
      </c>
      <c r="C195">
        <f>AVERAGE(Calculations!C193:C195)</f>
        <v>15.700000000000001</v>
      </c>
      <c r="D195">
        <f>AVERAGE(Calculations!E193:E195)</f>
        <v>1.5367192034796</v>
      </c>
      <c r="E195">
        <f>AVERAGE(Calculations!F193:F195)</f>
        <v>16.6251301675068</v>
      </c>
      <c r="F195">
        <f>AVERAGE(Calculations!G193:G195)</f>
        <v>1.5492108807562766</v>
      </c>
      <c r="G195">
        <f>AVERAGE(Calculations!H193:H195)</f>
        <v>1.3333333333333333</v>
      </c>
      <c r="H195">
        <f>AVERAGE(Calculations!I193:I195)</f>
        <v>9.8333333333333339</v>
      </c>
      <c r="I195">
        <f>AVERAGE(Calculations!J193:J195)</f>
        <v>8.3496539060103417E-2</v>
      </c>
      <c r="J195">
        <f>AVERAGE(Calculations!K193:K195)</f>
        <v>7.2392720834957722E-2</v>
      </c>
    </row>
    <row r="196" spans="1:10" x14ac:dyDescent="0.2">
      <c r="A196" s="1">
        <f>Calculations!A196</f>
        <v>40238</v>
      </c>
      <c r="B196">
        <f>AVERAGE(Calculations!B194:B196)</f>
        <v>1.5333333333333332</v>
      </c>
      <c r="C196">
        <f>AVERAGE(Calculations!C194:C196)</f>
        <v>17.966666666666669</v>
      </c>
      <c r="D196">
        <f>AVERAGE(Calculations!E194:E196)</f>
        <v>1.5678986154456833</v>
      </c>
      <c r="E196">
        <f>AVERAGE(Calculations!F194:F196)</f>
        <v>17.535583441037733</v>
      </c>
      <c r="F196">
        <f>AVERAGE(Calculations!G194:G196)</f>
        <v>1.5410257218462133</v>
      </c>
      <c r="G196">
        <f>AVERAGE(Calculations!H194:H196)</f>
        <v>1.3666666666666665</v>
      </c>
      <c r="H196">
        <f>AVERAGE(Calculations!I194:I196)</f>
        <v>9.8333333333333339</v>
      </c>
      <c r="I196">
        <f>AVERAGE(Calculations!J194:J196)</f>
        <v>8.0669326635549418E-2</v>
      </c>
      <c r="J196">
        <f>AVERAGE(Calculations!K194:K196)</f>
        <v>7.0334305427220092E-2</v>
      </c>
    </row>
    <row r="197" spans="1:10" x14ac:dyDescent="0.2">
      <c r="A197" s="1">
        <f>Calculations!A197</f>
        <v>40269</v>
      </c>
      <c r="B197">
        <f>AVERAGE(Calculations!B195:B197)</f>
        <v>1.5</v>
      </c>
      <c r="C197">
        <f>AVERAGE(Calculations!C195:C197)</f>
        <v>18</v>
      </c>
      <c r="D197">
        <f>AVERAGE(Calculations!E195:E197)</f>
        <v>1.586739565614727</v>
      </c>
      <c r="E197">
        <f>AVERAGE(Calculations!F195:F197)</f>
        <v>17.640879449271168</v>
      </c>
      <c r="F197">
        <f>AVERAGE(Calculations!G195:G197)</f>
        <v>1.5564957725631334</v>
      </c>
      <c r="G197">
        <f>AVERAGE(Calculations!H195:H197)</f>
        <v>1.4333333333333333</v>
      </c>
      <c r="H197">
        <f>AVERAGE(Calculations!I195:I197)</f>
        <v>9.8666666666666671</v>
      </c>
      <c r="I197">
        <f>AVERAGE(Calculations!J195:J197)</f>
        <v>8.1140473649357003E-2</v>
      </c>
      <c r="J197">
        <f>AVERAGE(Calculations!K195:K197)</f>
        <v>7.3461522729095882E-2</v>
      </c>
    </row>
    <row r="198" spans="1:10" x14ac:dyDescent="0.2">
      <c r="A198" s="1">
        <f>Calculations!A198</f>
        <v>40299</v>
      </c>
      <c r="B198">
        <f>AVERAGE(Calculations!B196:B198)</f>
        <v>1.4333333333333333</v>
      </c>
      <c r="C198">
        <f>AVERAGE(Calculations!C196:C198)</f>
        <v>17.033333333333331</v>
      </c>
      <c r="D198">
        <f>AVERAGE(Calculations!E196:E198)</f>
        <v>1.4706429709980735</v>
      </c>
      <c r="E198">
        <f>AVERAGE(Calculations!F196:F198)</f>
        <v>16.647775004174299</v>
      </c>
      <c r="F198">
        <f>AVERAGE(Calculations!G196:G198)</f>
        <v>1.521955921064637</v>
      </c>
      <c r="G198">
        <f>AVERAGE(Calculations!H196:H198)</f>
        <v>1.4333333333333333</v>
      </c>
      <c r="H198">
        <f>AVERAGE(Calculations!I196:I198)</f>
        <v>9.7999999999999989</v>
      </c>
      <c r="I198">
        <f>AVERAGE(Calculations!J196:J198)</f>
        <v>7.9524266436417981E-2</v>
      </c>
      <c r="J198">
        <f>AVERAGE(Calculations!K196:K198)</f>
        <v>7.8250866777311731E-2</v>
      </c>
    </row>
    <row r="199" spans="1:10" x14ac:dyDescent="0.2">
      <c r="A199" s="1">
        <f>Calculations!A199</f>
        <v>40330</v>
      </c>
      <c r="B199">
        <f>AVERAGE(Calculations!B197:B199)</f>
        <v>1.5333333333333332</v>
      </c>
      <c r="C199">
        <f>AVERAGE(Calculations!C197:C199)</f>
        <v>16.5</v>
      </c>
      <c r="D199">
        <f>AVERAGE(Calculations!E197:E199)</f>
        <v>1.5086937348294469</v>
      </c>
      <c r="E199">
        <f>AVERAGE(Calculations!F197:F199)</f>
        <v>16.544301085804335</v>
      </c>
      <c r="F199">
        <f>AVERAGE(Calculations!G197:G199)</f>
        <v>1.5340261499343166</v>
      </c>
      <c r="G199">
        <f>AVERAGE(Calculations!H197:H199)</f>
        <v>1.4666666666666668</v>
      </c>
      <c r="H199">
        <f>AVERAGE(Calculations!I197:I199)</f>
        <v>9.6333333333333329</v>
      </c>
      <c r="I199">
        <f>AVERAGE(Calculations!J197:J199)</f>
        <v>8.2031874516595452E-2</v>
      </c>
      <c r="J199">
        <f>AVERAGE(Calculations!K197:K199)</f>
        <v>8.0438076289731889E-2</v>
      </c>
    </row>
    <row r="200" spans="1:10" x14ac:dyDescent="0.2">
      <c r="A200" s="1">
        <f>Calculations!A200</f>
        <v>40360</v>
      </c>
      <c r="B200">
        <f>AVERAGE(Calculations!B198:B200)</f>
        <v>1.6000000000000003</v>
      </c>
      <c r="C200">
        <f>AVERAGE(Calculations!C198:C200)</f>
        <v>16.799999999999997</v>
      </c>
      <c r="D200">
        <f>AVERAGE(Calculations!E198:E200)</f>
        <v>1.5018505719403101</v>
      </c>
      <c r="E200">
        <f>AVERAGE(Calculations!F198:F200)</f>
        <v>16.410361578117534</v>
      </c>
      <c r="F200">
        <f>AVERAGE(Calculations!G198:G200)</f>
        <v>1.5450976439815598</v>
      </c>
      <c r="G200">
        <f>AVERAGE(Calculations!H198:H200)</f>
        <v>1.4333333333333333</v>
      </c>
      <c r="H200">
        <f>AVERAGE(Calculations!I198:I200)</f>
        <v>9.5</v>
      </c>
      <c r="I200">
        <f>AVERAGE(Calculations!J198:J200)</f>
        <v>8.2464835184476032E-2</v>
      </c>
      <c r="J200">
        <f>AVERAGE(Calculations!K198:K200)</f>
        <v>7.9373729913720451E-2</v>
      </c>
    </row>
    <row r="201" spans="1:10" x14ac:dyDescent="0.2">
      <c r="A201" s="1">
        <f>Calculations!A201</f>
        <v>40391</v>
      </c>
      <c r="B201">
        <f>AVERAGE(Calculations!B199:B201)</f>
        <v>1.7333333333333334</v>
      </c>
      <c r="C201">
        <f>AVERAGE(Calculations!C199:C201)</f>
        <v>18.266666666666669</v>
      </c>
      <c r="D201">
        <f>AVERAGE(Calculations!E199:E201)</f>
        <v>1.6065013770284933</v>
      </c>
      <c r="E201">
        <f>AVERAGE(Calculations!F199:F201)</f>
        <v>16.8872637264971</v>
      </c>
      <c r="F201">
        <f>AVERAGE(Calculations!G199:G201)</f>
        <v>1.5632883063249967</v>
      </c>
      <c r="G201">
        <f>AVERAGE(Calculations!H199:H201)</f>
        <v>1.4333333333333333</v>
      </c>
      <c r="H201">
        <f>AVERAGE(Calculations!I199:I201)</f>
        <v>9.4666666666666668</v>
      </c>
      <c r="I201">
        <f>AVERAGE(Calculations!J199:J201)</f>
        <v>8.6090124692467032E-2</v>
      </c>
      <c r="J201">
        <f>AVERAGE(Calculations!K199:K201)</f>
        <v>7.6911422111790848E-2</v>
      </c>
    </row>
    <row r="202" spans="1:10" x14ac:dyDescent="0.2">
      <c r="A202" s="1">
        <f>Calculations!A202</f>
        <v>40422</v>
      </c>
      <c r="B202">
        <f>AVERAGE(Calculations!B200:B202)</f>
        <v>1.6333333333333335</v>
      </c>
      <c r="C202">
        <f>AVERAGE(Calculations!C200:C202)</f>
        <v>17.8</v>
      </c>
      <c r="D202">
        <f>AVERAGE(Calculations!E200:E202)</f>
        <v>1.5165456476128067</v>
      </c>
      <c r="E202">
        <f>AVERAGE(Calculations!F200:F202)</f>
        <v>16.210120825387566</v>
      </c>
      <c r="F202">
        <f>AVERAGE(Calculations!G200:G202)</f>
        <v>1.5472376718704901</v>
      </c>
      <c r="G202">
        <f>AVERAGE(Calculations!H200:H202)</f>
        <v>1.4333333333333333</v>
      </c>
      <c r="H202">
        <f>AVERAGE(Calculations!I200:I202)</f>
        <v>9.5</v>
      </c>
      <c r="I202">
        <f>AVERAGE(Calculations!J200:J202)</f>
        <v>8.4659581273376847E-2</v>
      </c>
      <c r="J202">
        <f>AVERAGE(Calculations!K200:K202)</f>
        <v>8.0039418196385811E-2</v>
      </c>
    </row>
    <row r="203" spans="1:10" x14ac:dyDescent="0.2">
      <c r="A203" s="1">
        <f>Calculations!A203</f>
        <v>40452</v>
      </c>
      <c r="B203">
        <f>AVERAGE(Calculations!B201:B203)</f>
        <v>1.5666666666666664</v>
      </c>
      <c r="C203">
        <f>AVERAGE(Calculations!C201:C203)</f>
        <v>17.3</v>
      </c>
      <c r="D203">
        <f>AVERAGE(Calculations!E201:E203)</f>
        <v>1.5261611968072499</v>
      </c>
      <c r="E203">
        <f>AVERAGE(Calculations!F201:F203)</f>
        <v>16.331145291651566</v>
      </c>
      <c r="F203">
        <f>AVERAGE(Calculations!G201:G203)</f>
        <v>1.6320706999200567</v>
      </c>
      <c r="G203">
        <f>AVERAGE(Calculations!H201:H203)</f>
        <v>1.4333333333333333</v>
      </c>
      <c r="H203">
        <f>AVERAGE(Calculations!I201:I203)</f>
        <v>9.5</v>
      </c>
      <c r="I203">
        <f>AVERAGE(Calculations!J201:J203)</f>
        <v>8.4566226723844784E-2</v>
      </c>
      <c r="J203">
        <f>AVERAGE(Calculations!K201:K203)</f>
        <v>7.947145405156468E-2</v>
      </c>
    </row>
    <row r="204" spans="1:10" x14ac:dyDescent="0.2">
      <c r="A204" s="1">
        <f>Calculations!A204</f>
        <v>40483</v>
      </c>
      <c r="B204">
        <f>AVERAGE(Calculations!B202:B204)</f>
        <v>1.4000000000000001</v>
      </c>
      <c r="C204">
        <f>AVERAGE(Calculations!C202:C204)</f>
        <v>16.066666666666666</v>
      </c>
      <c r="D204">
        <f>AVERAGE(Calculations!E202:E204)</f>
        <v>1.5044509697438999</v>
      </c>
      <c r="E204">
        <f>AVERAGE(Calculations!F202:F204)</f>
        <v>16.946479676154031</v>
      </c>
      <c r="F204">
        <f>AVERAGE(Calculations!G202:G204)</f>
        <v>1.6294827307515101</v>
      </c>
      <c r="G204">
        <f>AVERAGE(Calculations!H202:H204)</f>
        <v>1.4333333333333333</v>
      </c>
      <c r="H204">
        <f>AVERAGE(Calculations!I202:I204)</f>
        <v>9.6</v>
      </c>
      <c r="I204">
        <f>AVERAGE(Calculations!J202:J204)</f>
        <v>8.0469471649932858E-2</v>
      </c>
      <c r="J204">
        <f>AVERAGE(Calculations!K202:K204)</f>
        <v>7.6757816342053142E-2</v>
      </c>
    </row>
    <row r="205" spans="1:10" x14ac:dyDescent="0.2">
      <c r="A205" s="1">
        <f>Calculations!A205</f>
        <v>40513</v>
      </c>
      <c r="B205">
        <f>AVERAGE(Calculations!B203:B205)</f>
        <v>1.4000000000000001</v>
      </c>
      <c r="C205">
        <f>AVERAGE(Calculations!C203:C205)</f>
        <v>14.866666666666667</v>
      </c>
      <c r="D205">
        <f>AVERAGE(Calculations!E203:E205)</f>
        <v>1.5201017054827233</v>
      </c>
      <c r="E205">
        <f>AVERAGE(Calculations!F203:F205)</f>
        <v>16.880312912022031</v>
      </c>
      <c r="F205">
        <f>AVERAGE(Calculations!G203:G205)</f>
        <v>1.6433861750828032</v>
      </c>
      <c r="G205">
        <f>AVERAGE(Calculations!H203:H205)</f>
        <v>1.4333333333333333</v>
      </c>
      <c r="H205">
        <f>AVERAGE(Calculations!I203:I205)</f>
        <v>9.5333333333333332</v>
      </c>
      <c r="I205">
        <f>AVERAGE(Calculations!J203:J205)</f>
        <v>8.1769945159003876E-2</v>
      </c>
      <c r="J205">
        <f>AVERAGE(Calculations!K203:K205)</f>
        <v>7.7172413231109294E-2</v>
      </c>
    </row>
    <row r="206" spans="1:10" x14ac:dyDescent="0.2">
      <c r="A206" s="1">
        <f>Calculations!A206</f>
        <v>40544</v>
      </c>
      <c r="B206">
        <f>AVERAGE(Calculations!B204:B206)</f>
        <v>1.3666666666666665</v>
      </c>
      <c r="C206">
        <f>AVERAGE(Calculations!C204:C206)</f>
        <v>14.733333333333334</v>
      </c>
      <c r="D206">
        <f>AVERAGE(Calculations!E204:E206)</f>
        <v>1.4327153988940466</v>
      </c>
      <c r="E206">
        <f>AVERAGE(Calculations!F204:F206)</f>
        <v>16.473082813240332</v>
      </c>
      <c r="F206">
        <f>AVERAGE(Calculations!G204:G206)</f>
        <v>1.4417773785809231</v>
      </c>
      <c r="G206">
        <f>AVERAGE(Calculations!H204:H206)</f>
        <v>1.4333333333333333</v>
      </c>
      <c r="H206">
        <f>AVERAGE(Calculations!I204:I206)</f>
        <v>9.4</v>
      </c>
      <c r="I206">
        <f>AVERAGE(Calculations!J204:J206)</f>
        <v>7.8977466044873268E-2</v>
      </c>
      <c r="J206">
        <f>AVERAGE(Calculations!K204:K206)</f>
        <v>7.9311417363488679E-2</v>
      </c>
    </row>
    <row r="207" spans="1:10" x14ac:dyDescent="0.2">
      <c r="A207" s="1">
        <f>Calculations!A207</f>
        <v>40575</v>
      </c>
      <c r="B207">
        <f>AVERAGE(Calculations!B205:B207)</f>
        <v>1.4666666666666668</v>
      </c>
      <c r="C207">
        <f>AVERAGE(Calculations!C205:C207)</f>
        <v>15.133333333333335</v>
      </c>
      <c r="D207">
        <f>AVERAGE(Calculations!E205:E207)</f>
        <v>1.4611399945451167</v>
      </c>
      <c r="E207">
        <f>AVERAGE(Calculations!F205:F207)</f>
        <v>16.004616561894199</v>
      </c>
      <c r="F207">
        <f>AVERAGE(Calculations!G205:G207)</f>
        <v>1.43259991944653</v>
      </c>
      <c r="G207">
        <f>AVERAGE(Calculations!H205:H207)</f>
        <v>1.4666666666666668</v>
      </c>
      <c r="H207">
        <f>AVERAGE(Calculations!I205:I207)</f>
        <v>9.1333333333333329</v>
      </c>
      <c r="I207">
        <f>AVERAGE(Calculations!J205:J207)</f>
        <v>8.2835777655622486E-2</v>
      </c>
      <c r="J207">
        <f>AVERAGE(Calculations!K205:K207)</f>
        <v>8.3294529920387439E-2</v>
      </c>
    </row>
    <row r="208" spans="1:10" x14ac:dyDescent="0.2">
      <c r="A208" s="1">
        <f>Calculations!A208</f>
        <v>40603</v>
      </c>
      <c r="B208">
        <f>AVERAGE(Calculations!B206:B208)</f>
        <v>1.4666666666666668</v>
      </c>
      <c r="C208">
        <f>AVERAGE(Calculations!C206:C208)</f>
        <v>17</v>
      </c>
      <c r="D208">
        <f>AVERAGE(Calculations!E206:E208)</f>
        <v>1.4947079977654465</v>
      </c>
      <c r="E208">
        <f>AVERAGE(Calculations!F206:F208)</f>
        <v>16.519527144052969</v>
      </c>
      <c r="F208">
        <f>AVERAGE(Calculations!G206:G208)</f>
        <v>1.4626040091077035</v>
      </c>
      <c r="G208">
        <f>AVERAGE(Calculations!H206:H208)</f>
        <v>1.4666666666666668</v>
      </c>
      <c r="H208">
        <f>AVERAGE(Calculations!I206:I208)</f>
        <v>9</v>
      </c>
      <c r="I208">
        <f>AVERAGE(Calculations!J206:J208)</f>
        <v>8.2144563336183848E-2</v>
      </c>
      <c r="J208">
        <f>AVERAGE(Calculations!K206:K208)</f>
        <v>8.0878628859496149E-2</v>
      </c>
    </row>
    <row r="209" spans="1:10" x14ac:dyDescent="0.2">
      <c r="A209" s="1">
        <f>Calculations!A209</f>
        <v>40634</v>
      </c>
      <c r="B209">
        <f>AVERAGE(Calculations!B207:B209)</f>
        <v>1.5</v>
      </c>
      <c r="C209">
        <f>AVERAGE(Calculations!C207:C209)</f>
        <v>17.033333333333335</v>
      </c>
      <c r="D209">
        <f>AVERAGE(Calculations!E207:E209)</f>
        <v>1.5815323077210468</v>
      </c>
      <c r="E209">
        <f>AVERAGE(Calculations!F207:F209)</f>
        <v>16.664954646916666</v>
      </c>
      <c r="F209">
        <f>AVERAGE(Calculations!G207:G209)</f>
        <v>1.52889322014983</v>
      </c>
      <c r="G209">
        <f>AVERAGE(Calculations!H207:H209)</f>
        <v>1.4666666666666668</v>
      </c>
      <c r="H209">
        <f>AVERAGE(Calculations!I207:I209)</f>
        <v>8.9666666666666668</v>
      </c>
      <c r="I209">
        <f>AVERAGE(Calculations!J207:J209)</f>
        <v>8.6464591986299411E-2</v>
      </c>
      <c r="J209">
        <f>AVERAGE(Calculations!K207:K209)</f>
        <v>8.0148456004519322E-2</v>
      </c>
    </row>
    <row r="210" spans="1:10" x14ac:dyDescent="0.2">
      <c r="A210" s="1">
        <f>Calculations!A210</f>
        <v>40664</v>
      </c>
      <c r="B210">
        <f>AVERAGE(Calculations!B208:B210)</f>
        <v>1.5666666666666667</v>
      </c>
      <c r="C210">
        <f>AVERAGE(Calculations!C208:C210)</f>
        <v>17.833333333333332</v>
      </c>
      <c r="D210">
        <f>AVERAGE(Calculations!E208:E210)</f>
        <v>1.5828831859153898</v>
      </c>
      <c r="E210">
        <f>AVERAGE(Calculations!F208:F210)</f>
        <v>17.528710786455065</v>
      </c>
      <c r="F210">
        <f>AVERAGE(Calculations!G208:G210)</f>
        <v>1.5215279165454767</v>
      </c>
      <c r="G210">
        <f>AVERAGE(Calculations!H208:H210)</f>
        <v>1.4666666666666668</v>
      </c>
      <c r="H210">
        <f>AVERAGE(Calculations!I208:I210)</f>
        <v>8.9666666666666668</v>
      </c>
      <c r="I210">
        <f>AVERAGE(Calculations!J208:J210)</f>
        <v>8.269739156560546E-2</v>
      </c>
      <c r="J210">
        <f>AVERAGE(Calculations!K208:K210)</f>
        <v>7.650445066630697E-2</v>
      </c>
    </row>
    <row r="211" spans="1:10" x14ac:dyDescent="0.2">
      <c r="A211" s="1">
        <f>Calculations!A211</f>
        <v>40695</v>
      </c>
      <c r="B211">
        <f>AVERAGE(Calculations!B209:B211)</f>
        <v>1.6000000000000003</v>
      </c>
      <c r="C211">
        <f>AVERAGE(Calculations!C209:C211)</f>
        <v>17.3</v>
      </c>
      <c r="D211">
        <f>AVERAGE(Calculations!E209:E211)</f>
        <v>1.5660479619740466</v>
      </c>
      <c r="E211">
        <f>AVERAGE(Calculations!F209:F211)</f>
        <v>17.402167589798399</v>
      </c>
      <c r="F211">
        <f>AVERAGE(Calculations!G209:G211)</f>
        <v>1.4357682584643501</v>
      </c>
      <c r="G211">
        <f>AVERAGE(Calculations!H209:H211)</f>
        <v>1.4333333333333333</v>
      </c>
      <c r="H211">
        <f>AVERAGE(Calculations!I209:I211)</f>
        <v>9.0333333333333332</v>
      </c>
      <c r="I211">
        <f>AVERAGE(Calculations!J209:J211)</f>
        <v>8.2364716542738067E-2</v>
      </c>
      <c r="J211">
        <f>AVERAGE(Calculations!K209:K211)</f>
        <v>7.5250498727312751E-2</v>
      </c>
    </row>
    <row r="212" spans="1:10" x14ac:dyDescent="0.2">
      <c r="A212" s="1">
        <f>Calculations!A212</f>
        <v>40725</v>
      </c>
      <c r="B212">
        <f>AVERAGE(Calculations!B210:B212)</f>
        <v>1.6666666666666667</v>
      </c>
      <c r="C212">
        <f>AVERAGE(Calculations!C210:C212)</f>
        <v>18.066666666666666</v>
      </c>
      <c r="D212">
        <f>AVERAGE(Calculations!E210:E212)</f>
        <v>1.5550013633276869</v>
      </c>
      <c r="E212">
        <f>AVERAGE(Calculations!F210:F212)</f>
        <v>17.711374846304864</v>
      </c>
      <c r="F212">
        <f>AVERAGE(Calculations!G210:G212)</f>
        <v>1.38533704553954</v>
      </c>
      <c r="G212">
        <f>AVERAGE(Calculations!H210:H212)</f>
        <v>1.4666666666666668</v>
      </c>
      <c r="H212">
        <f>AVERAGE(Calculations!I210:I212)</f>
        <v>9.0333333333333332</v>
      </c>
      <c r="I212">
        <f>AVERAGE(Calculations!J210:J212)</f>
        <v>8.0122002532858325E-2</v>
      </c>
      <c r="J212">
        <f>AVERAGE(Calculations!K210:K212)</f>
        <v>7.5575484740848908E-2</v>
      </c>
    </row>
    <row r="213" spans="1:10" x14ac:dyDescent="0.2">
      <c r="A213" s="1">
        <f>Calculations!A213</f>
        <v>40756</v>
      </c>
      <c r="B213">
        <f>AVERAGE(Calculations!B211:B213)</f>
        <v>1.7</v>
      </c>
      <c r="C213">
        <f>AVERAGE(Calculations!C211:C213)</f>
        <v>18.166666666666668</v>
      </c>
      <c r="D213">
        <f>AVERAGE(Calculations!E211:E213)</f>
        <v>1.5784874282221164</v>
      </c>
      <c r="E213">
        <f>AVERAGE(Calculations!F211:F213)</f>
        <v>16.775026623973762</v>
      </c>
      <c r="F213">
        <f>AVERAGE(Calculations!G211:G213)</f>
        <v>1.5154544614458365</v>
      </c>
      <c r="G213">
        <f>AVERAGE(Calculations!H211:H213)</f>
        <v>1.4666666666666668</v>
      </c>
      <c r="H213">
        <f>AVERAGE(Calculations!I211:I213)</f>
        <v>9.0333333333333332</v>
      </c>
      <c r="I213">
        <f>AVERAGE(Calculations!J211:J213)</f>
        <v>8.5633967444501954E-2</v>
      </c>
      <c r="J213">
        <f>AVERAGE(Calculations!K211:K213)</f>
        <v>7.9577812983206056E-2</v>
      </c>
    </row>
    <row r="214" spans="1:10" x14ac:dyDescent="0.2">
      <c r="A214" s="1">
        <f>Calculations!A214</f>
        <v>40787</v>
      </c>
      <c r="B214">
        <f>AVERAGE(Calculations!B212:B214)</f>
        <v>1.7</v>
      </c>
      <c r="C214">
        <f>AVERAGE(Calculations!C212:C214)</f>
        <v>18.766666666666666</v>
      </c>
      <c r="D214">
        <f>AVERAGE(Calculations!E212:E214)</f>
        <v>1.5839460211732499</v>
      </c>
      <c r="E214">
        <f>AVERAGE(Calculations!F212:F214)</f>
        <v>17.110332096327866</v>
      </c>
      <c r="F214">
        <f>AVERAGE(Calculations!G212:G214)</f>
        <v>1.5180057841239532</v>
      </c>
      <c r="G214">
        <f>AVERAGE(Calculations!H212:H214)</f>
        <v>1.5</v>
      </c>
      <c r="H214">
        <f>AVERAGE(Calculations!I212:I214)</f>
        <v>9</v>
      </c>
      <c r="I214">
        <f>AVERAGE(Calculations!J212:J214)</f>
        <v>8.4384596854943775E-2</v>
      </c>
      <c r="J214">
        <f>AVERAGE(Calculations!K212:K214)</f>
        <v>7.989745190469251E-2</v>
      </c>
    </row>
    <row r="215" spans="1:10" x14ac:dyDescent="0.2">
      <c r="A215" s="1">
        <f>Calculations!A215</f>
        <v>40817</v>
      </c>
      <c r="B215">
        <f>AVERAGE(Calculations!B213:B215)</f>
        <v>1.6666666666666667</v>
      </c>
      <c r="C215">
        <f>AVERAGE(Calculations!C213:C215)</f>
        <v>18.533333333333335</v>
      </c>
      <c r="D215">
        <f>AVERAGE(Calculations!E213:E215)</f>
        <v>1.6309817249851868</v>
      </c>
      <c r="E215">
        <f>AVERAGE(Calculations!F213:F215)</f>
        <v>17.544753083233601</v>
      </c>
      <c r="F215">
        <f>AVERAGE(Calculations!G213:G215)</f>
        <v>1.5574850641721667</v>
      </c>
      <c r="G215">
        <f>AVERAGE(Calculations!H213:H215)</f>
        <v>1.5</v>
      </c>
      <c r="H215">
        <f>AVERAGE(Calculations!I213:I215)</f>
        <v>8.9666666666666668</v>
      </c>
      <c r="I215">
        <f>AVERAGE(Calculations!J213:J215)</f>
        <v>8.4805703989680722E-2</v>
      </c>
      <c r="J215">
        <f>AVERAGE(Calculations!K213:K215)</f>
        <v>7.7965461582765141E-2</v>
      </c>
    </row>
    <row r="216" spans="1:10" x14ac:dyDescent="0.2">
      <c r="A216" s="1">
        <f>Calculations!A216</f>
        <v>40848</v>
      </c>
      <c r="B216">
        <f>AVERAGE(Calculations!B214:B216)</f>
        <v>1.4666666666666668</v>
      </c>
      <c r="C216">
        <f>AVERAGE(Calculations!C214:C216)</f>
        <v>17.433333333333334</v>
      </c>
      <c r="D216">
        <f>AVERAGE(Calculations!E214:E216)</f>
        <v>1.5771866328095598</v>
      </c>
      <c r="E216">
        <f>AVERAGE(Calculations!F214:F216)</f>
        <v>18.3291539377269</v>
      </c>
      <c r="F216">
        <f>AVERAGE(Calculations!G214:G216)</f>
        <v>1.4070992312205801</v>
      </c>
      <c r="G216">
        <f>AVERAGE(Calculations!H214:H216)</f>
        <v>1.5</v>
      </c>
      <c r="H216">
        <f>AVERAGE(Calculations!I214:I216)</f>
        <v>8.8333333333333339</v>
      </c>
      <c r="I216">
        <f>AVERAGE(Calculations!J214:J216)</f>
        <v>7.8536846849479355E-2</v>
      </c>
      <c r="J216">
        <f>AVERAGE(Calculations!K214:K216)</f>
        <v>7.4637605924183795E-2</v>
      </c>
    </row>
    <row r="217" spans="1:10" x14ac:dyDescent="0.2">
      <c r="A217" s="1">
        <f>Calculations!A217</f>
        <v>40878</v>
      </c>
      <c r="B217">
        <f>AVERAGE(Calculations!B215:B217)</f>
        <v>1.5</v>
      </c>
      <c r="C217">
        <f>AVERAGE(Calculations!C215:C217)</f>
        <v>16.266666666666666</v>
      </c>
      <c r="D217">
        <f>AVERAGE(Calculations!E215:E217)</f>
        <v>1.6198877873933766</v>
      </c>
      <c r="E217">
        <f>AVERAGE(Calculations!F215:F217)</f>
        <v>18.506817458045102</v>
      </c>
      <c r="F217">
        <f>AVERAGE(Calculations!G215:G217)</f>
        <v>1.38191700297068</v>
      </c>
      <c r="G217">
        <f>AVERAGE(Calculations!H215:H217)</f>
        <v>1.5</v>
      </c>
      <c r="H217">
        <f>AVERAGE(Calculations!I215:I217)</f>
        <v>8.6666666666666661</v>
      </c>
      <c r="I217">
        <f>AVERAGE(Calculations!J215:J217)</f>
        <v>8.0017338361055443E-2</v>
      </c>
      <c r="J217">
        <f>AVERAGE(Calculations!K215:K217)</f>
        <v>7.4049458300088938E-2</v>
      </c>
    </row>
    <row r="218" spans="1:10" x14ac:dyDescent="0.2">
      <c r="A218" s="1">
        <f>Calculations!A218</f>
        <v>40909</v>
      </c>
      <c r="B218">
        <f>AVERAGE(Calculations!B216:B218)</f>
        <v>1.5333333333333332</v>
      </c>
      <c r="C218">
        <f>AVERAGE(Calculations!C216:C218)</f>
        <v>16.8</v>
      </c>
      <c r="D218">
        <f>AVERAGE(Calculations!E216:E218)</f>
        <v>1.5981837604330866</v>
      </c>
      <c r="E218">
        <f>AVERAGE(Calculations!F216:F218)</f>
        <v>18.723003726513436</v>
      </c>
      <c r="F218">
        <f>AVERAGE(Calculations!G216:G218)</f>
        <v>1.3651679547549234</v>
      </c>
      <c r="G218">
        <f>AVERAGE(Calculations!H216:H218)</f>
        <v>1.5</v>
      </c>
      <c r="H218">
        <f>AVERAGE(Calculations!I216:I218)</f>
        <v>8.4666666666666668</v>
      </c>
      <c r="I218">
        <f>AVERAGE(Calculations!J216:J218)</f>
        <v>7.8164956498786589E-2</v>
      </c>
      <c r="J218">
        <f>AVERAGE(Calculations!K216:K218)</f>
        <v>7.3335390376815565E-2</v>
      </c>
    </row>
    <row r="219" spans="1:10" x14ac:dyDescent="0.2">
      <c r="A219" s="1">
        <f>Calculations!A219</f>
        <v>40940</v>
      </c>
      <c r="B219">
        <f>AVERAGE(Calculations!B217:B219)</f>
        <v>1.6333333333333335</v>
      </c>
      <c r="C219">
        <f>AVERAGE(Calculations!C217:C219)</f>
        <v>17.7</v>
      </c>
      <c r="D219">
        <f>AVERAGE(Calculations!E217:E219)</f>
        <v>1.6240861395014365</v>
      </c>
      <c r="E219">
        <f>AVERAGE(Calculations!F217:F219)</f>
        <v>18.709041162656401</v>
      </c>
      <c r="F219">
        <f>AVERAGE(Calculations!G217:G219)</f>
        <v>1.3644728272369566</v>
      </c>
      <c r="G219">
        <f>AVERAGE(Calculations!H217:H219)</f>
        <v>1.5333333333333332</v>
      </c>
      <c r="H219">
        <f>AVERAGE(Calculations!I217:I219)</f>
        <v>8.3666666666666671</v>
      </c>
      <c r="I219">
        <f>AVERAGE(Calculations!J217:J219)</f>
        <v>7.9558854277684762E-2</v>
      </c>
      <c r="J219">
        <f>AVERAGE(Calculations!K217:K219)</f>
        <v>7.5092016220927107E-2</v>
      </c>
    </row>
    <row r="220" spans="1:10" x14ac:dyDescent="0.2">
      <c r="A220" s="1">
        <f>Calculations!A220</f>
        <v>40969</v>
      </c>
      <c r="B220">
        <f>AVERAGE(Calculations!B218:B220)</f>
        <v>1.5333333333333332</v>
      </c>
      <c r="C220">
        <f>AVERAGE(Calculations!C218:C220)</f>
        <v>18.599999999999998</v>
      </c>
      <c r="D220">
        <f>AVERAGE(Calculations!E218:E220)</f>
        <v>1.5574030086126267</v>
      </c>
      <c r="E220">
        <f>AVERAGE(Calculations!F218:F220)</f>
        <v>18.097097571013634</v>
      </c>
      <c r="F220">
        <f>AVERAGE(Calculations!G218:G220)</f>
        <v>1.3535052265127268</v>
      </c>
      <c r="G220">
        <f>AVERAGE(Calculations!H218:H220)</f>
        <v>1.5666666666666667</v>
      </c>
      <c r="H220">
        <f>AVERAGE(Calculations!I218:I220)</f>
        <v>8.2666666666666675</v>
      </c>
      <c r="I220">
        <f>AVERAGE(Calculations!J218:J220)</f>
        <v>7.9087803504935578E-2</v>
      </c>
      <c r="J220">
        <f>AVERAGE(Calculations!K218:K220)</f>
        <v>7.9705655865952893E-2</v>
      </c>
    </row>
    <row r="221" spans="1:10" x14ac:dyDescent="0.2">
      <c r="A221" s="1">
        <f>Calculations!A221</f>
        <v>41000</v>
      </c>
      <c r="B221">
        <f>AVERAGE(Calculations!B219:B221)</f>
        <v>1.4333333333333333</v>
      </c>
      <c r="C221">
        <f>AVERAGE(Calculations!C219:C221)</f>
        <v>18.299999999999997</v>
      </c>
      <c r="D221">
        <f>AVERAGE(Calculations!E219:E221)</f>
        <v>1.5066143965022631</v>
      </c>
      <c r="E221">
        <f>AVERAGE(Calculations!F219:F221)</f>
        <v>17.975972186266933</v>
      </c>
      <c r="F221">
        <f>AVERAGE(Calculations!G219:G221)</f>
        <v>1.3430457339035966</v>
      </c>
      <c r="G221">
        <f>AVERAGE(Calculations!H219:H221)</f>
        <v>1.6000000000000003</v>
      </c>
      <c r="H221">
        <f>AVERAGE(Calculations!I219:I221)</f>
        <v>8.2000000000000011</v>
      </c>
      <c r="I221">
        <f>AVERAGE(Calculations!J219:J221)</f>
        <v>7.7116271133847378E-2</v>
      </c>
      <c r="J221">
        <f>AVERAGE(Calculations!K219:K221)</f>
        <v>8.1915575066961122E-2</v>
      </c>
    </row>
    <row r="222" spans="1:10" x14ac:dyDescent="0.2">
      <c r="A222" s="1">
        <f>Calculations!A222</f>
        <v>41030</v>
      </c>
      <c r="B222">
        <f>AVERAGE(Calculations!B220:B222)</f>
        <v>1.5333333333333332</v>
      </c>
      <c r="C222">
        <f>AVERAGE(Calculations!C220:C222)</f>
        <v>18.233333333333334</v>
      </c>
      <c r="D222">
        <f>AVERAGE(Calculations!E220:E222)</f>
        <v>1.5336791462261565</v>
      </c>
      <c r="E222">
        <f>AVERAGE(Calculations!F220:F222)</f>
        <v>17.971605840059066</v>
      </c>
      <c r="F222">
        <f>AVERAGE(Calculations!G220:G222)</f>
        <v>1.36037865680695</v>
      </c>
      <c r="G222">
        <f>AVERAGE(Calculations!H220:H222)</f>
        <v>1.6000000000000003</v>
      </c>
      <c r="H222">
        <f>AVERAGE(Calculations!I220:I222)</f>
        <v>8.1666666666666661</v>
      </c>
      <c r="I222">
        <f>AVERAGE(Calculations!J220:J222)</f>
        <v>7.8481985010413549E-2</v>
      </c>
      <c r="J222">
        <f>AVERAGE(Calculations!K220:K222)</f>
        <v>8.1961991724248853E-2</v>
      </c>
    </row>
    <row r="223" spans="1:10" x14ac:dyDescent="0.2">
      <c r="A223" s="1">
        <f>Calculations!A223</f>
        <v>41061</v>
      </c>
      <c r="B223">
        <f>AVERAGE(Calculations!B221:B223)</f>
        <v>1.6000000000000003</v>
      </c>
      <c r="C223">
        <f>AVERAGE(Calculations!C221:C223)</f>
        <v>17.933333333333334</v>
      </c>
      <c r="D223">
        <f>AVERAGE(Calculations!E221:E223)</f>
        <v>1.5576408377949067</v>
      </c>
      <c r="E223">
        <f>AVERAGE(Calculations!F221:F223)</f>
        <v>18.065035870542264</v>
      </c>
      <c r="F223">
        <f>AVERAGE(Calculations!G221:G223)</f>
        <v>1.3972179657495367</v>
      </c>
      <c r="G223">
        <f>AVERAGE(Calculations!H221:H223)</f>
        <v>1.6000000000000003</v>
      </c>
      <c r="H223">
        <f>AVERAGE(Calculations!I221:I223)</f>
        <v>8.1666666666666661</v>
      </c>
      <c r="I223">
        <f>AVERAGE(Calculations!J221:J223)</f>
        <v>7.9318592438721566E-2</v>
      </c>
      <c r="J223">
        <f>AVERAGE(Calculations!K221:K223)</f>
        <v>8.1481010057504646E-2</v>
      </c>
    </row>
    <row r="224" spans="1:10" x14ac:dyDescent="0.2">
      <c r="A224" s="1">
        <f>Calculations!A224</f>
        <v>41091</v>
      </c>
      <c r="B224">
        <f>AVERAGE(Calculations!B222:B224)</f>
        <v>1.7666666666666666</v>
      </c>
      <c r="C224">
        <f>AVERAGE(Calculations!C222:C224)</f>
        <v>18.533333333333335</v>
      </c>
      <c r="D224">
        <f>AVERAGE(Calculations!E222:E224)</f>
        <v>1.6458634653063333</v>
      </c>
      <c r="E224">
        <f>AVERAGE(Calculations!F222:F224)</f>
        <v>18.127281752269067</v>
      </c>
      <c r="F224">
        <f>AVERAGE(Calculations!G222:G224)</f>
        <v>1.4447062412043568</v>
      </c>
      <c r="G224">
        <f>AVERAGE(Calculations!H222:H224)</f>
        <v>1.6000000000000003</v>
      </c>
      <c r="H224">
        <f>AVERAGE(Calculations!I222:I224)</f>
        <v>8.1999999999999993</v>
      </c>
      <c r="I224">
        <f>AVERAGE(Calculations!J222:J224)</f>
        <v>8.3421013465204252E-2</v>
      </c>
      <c r="J224">
        <f>AVERAGE(Calculations!K222:K224)</f>
        <v>8.1182983418088175E-2</v>
      </c>
    </row>
    <row r="225" spans="1:10" x14ac:dyDescent="0.2">
      <c r="A225" s="1">
        <f>Calculations!A225</f>
        <v>41122</v>
      </c>
      <c r="B225">
        <f>AVERAGE(Calculations!B223:B225)</f>
        <v>1.7000000000000002</v>
      </c>
      <c r="C225">
        <f>AVERAGE(Calculations!C223:C225)</f>
        <v>19.566666666666666</v>
      </c>
      <c r="D225">
        <f>AVERAGE(Calculations!E223:E225)</f>
        <v>1.5892571921034333</v>
      </c>
      <c r="E225">
        <f>AVERAGE(Calculations!F223:F225)</f>
        <v>18.0241247099829</v>
      </c>
      <c r="F225">
        <f>AVERAGE(Calculations!G223:G225)</f>
        <v>1.3975677313845836</v>
      </c>
      <c r="G225">
        <f>AVERAGE(Calculations!H223:H225)</f>
        <v>1.6000000000000003</v>
      </c>
      <c r="H225">
        <f>AVERAGE(Calculations!I223:I225)</f>
        <v>8.1666666666666661</v>
      </c>
      <c r="I225">
        <f>AVERAGE(Calculations!J223:J225)</f>
        <v>8.1088477326972955E-2</v>
      </c>
      <c r="J225">
        <f>AVERAGE(Calculations!K223:K225)</f>
        <v>8.1646779067368239E-2</v>
      </c>
    </row>
    <row r="226" spans="1:10" x14ac:dyDescent="0.2">
      <c r="A226" s="1">
        <f>Calculations!A226</f>
        <v>41153</v>
      </c>
      <c r="B226">
        <f>AVERAGE(Calculations!B224:B226)</f>
        <v>1.7</v>
      </c>
      <c r="C226">
        <f>AVERAGE(Calculations!C224:C226)</f>
        <v>20.3</v>
      </c>
      <c r="D226">
        <f>AVERAGE(Calculations!E224:E226)</f>
        <v>1.5934333751979899</v>
      </c>
      <c r="E226">
        <f>AVERAGE(Calculations!F224:F226)</f>
        <v>18.513700981809301</v>
      </c>
      <c r="F226">
        <f>AVERAGE(Calculations!G224:G226)</f>
        <v>1.3968149654172901</v>
      </c>
      <c r="G226">
        <f>AVERAGE(Calculations!H224:H226)</f>
        <v>1.5666666666666667</v>
      </c>
      <c r="H226">
        <f>AVERAGE(Calculations!I224:I226)</f>
        <v>8.0333333333333332</v>
      </c>
      <c r="I226">
        <f>AVERAGE(Calculations!J224:J226)</f>
        <v>7.9149975311947826E-2</v>
      </c>
      <c r="J226">
        <f>AVERAGE(Calculations!K224:K226)</f>
        <v>7.7818798662548178E-2</v>
      </c>
    </row>
    <row r="227" spans="1:10" x14ac:dyDescent="0.2">
      <c r="A227" s="1">
        <f>Calculations!A227</f>
        <v>41183</v>
      </c>
      <c r="B227">
        <f>AVERAGE(Calculations!B225:B227)</f>
        <v>1.5666666666666664</v>
      </c>
      <c r="C227">
        <f>AVERAGE(Calculations!C225:C227)</f>
        <v>19.2</v>
      </c>
      <c r="D227">
        <f>AVERAGE(Calculations!E225:E227)</f>
        <v>1.5392798050147098</v>
      </c>
      <c r="E227">
        <f>AVERAGE(Calculations!F225:F227)</f>
        <v>18.082931022657569</v>
      </c>
      <c r="F227">
        <f>AVERAGE(Calculations!G225:G227)</f>
        <v>1.3386931453687068</v>
      </c>
      <c r="G227">
        <f>AVERAGE(Calculations!H225:H227)</f>
        <v>1.5333333333333332</v>
      </c>
      <c r="H227">
        <f>AVERAGE(Calculations!I225:I227)</f>
        <v>7.9333333333333327</v>
      </c>
      <c r="I227">
        <f>AVERAGE(Calculations!J225:J227)</f>
        <v>7.8464399503435284E-2</v>
      </c>
      <c r="J227">
        <f>AVERAGE(Calculations!K225:K227)</f>
        <v>7.8111378443911139E-2</v>
      </c>
    </row>
    <row r="228" spans="1:10" x14ac:dyDescent="0.2">
      <c r="A228" s="1">
        <f>Calculations!A228</f>
        <v>41214</v>
      </c>
      <c r="B228">
        <f>AVERAGE(Calculations!B226:B228)</f>
        <v>1.5</v>
      </c>
      <c r="C228">
        <f>AVERAGE(Calculations!C226:C228)</f>
        <v>16.900000000000002</v>
      </c>
      <c r="D228">
        <f>AVERAGE(Calculations!E226:E228)</f>
        <v>1.6205621156589733</v>
      </c>
      <c r="E228">
        <f>AVERAGE(Calculations!F226:F228)</f>
        <v>17.711355390051466</v>
      </c>
      <c r="F228">
        <f>AVERAGE(Calculations!G226:G228)</f>
        <v>1.36655472975193</v>
      </c>
      <c r="G228">
        <f>AVERAGE(Calculations!H226:H228)</f>
        <v>1.5333333333333332</v>
      </c>
      <c r="H228">
        <f>AVERAGE(Calculations!I226:I228)</f>
        <v>7.833333333333333</v>
      </c>
      <c r="I228">
        <f>AVERAGE(Calculations!J226:J228)</f>
        <v>8.4426475117794289E-2</v>
      </c>
      <c r="J228">
        <f>AVERAGE(Calculations!K226:K228)</f>
        <v>7.9900310631212543E-2</v>
      </c>
    </row>
    <row r="229" spans="1:10" x14ac:dyDescent="0.2">
      <c r="A229" s="1">
        <f>Calculations!A229</f>
        <v>41244</v>
      </c>
      <c r="B229">
        <f>AVERAGE(Calculations!B227:B229)</f>
        <v>1.4666666666666668</v>
      </c>
      <c r="C229">
        <f>AVERAGE(Calculations!C227:C229)</f>
        <v>15.700000000000001</v>
      </c>
      <c r="D229">
        <f>AVERAGE(Calculations!E227:E229)</f>
        <v>1.5889544780323099</v>
      </c>
      <c r="E229">
        <f>AVERAGE(Calculations!F227:F229)</f>
        <v>17.887561060025533</v>
      </c>
      <c r="F229">
        <f>AVERAGE(Calculations!G227:G229)</f>
        <v>1.3685184919085802</v>
      </c>
      <c r="G229">
        <f>AVERAGE(Calculations!H227:H229)</f>
        <v>1.5666666666666667</v>
      </c>
      <c r="H229">
        <f>AVERAGE(Calculations!I227:I229)</f>
        <v>7.833333333333333</v>
      </c>
      <c r="I229">
        <f>AVERAGE(Calculations!J227:J229)</f>
        <v>8.2157767485559363E-2</v>
      </c>
      <c r="J229">
        <f>AVERAGE(Calculations!K227:K229)</f>
        <v>8.0823164473126929E-2</v>
      </c>
    </row>
    <row r="230" spans="1:10" x14ac:dyDescent="0.2">
      <c r="A230" s="1">
        <f>Calculations!A230</f>
        <v>41275</v>
      </c>
      <c r="B230">
        <f>AVERAGE(Calculations!B228:B230)</f>
        <v>1.5333333333333332</v>
      </c>
      <c r="C230">
        <f>AVERAGE(Calculations!C228:C230)</f>
        <v>16.7</v>
      </c>
      <c r="D230">
        <f>AVERAGE(Calculations!E228:E230)</f>
        <v>1.6073240488569034</v>
      </c>
      <c r="E230">
        <f>AVERAGE(Calculations!F228:F230)</f>
        <v>18.570601148737101</v>
      </c>
      <c r="F230">
        <f>AVERAGE(Calculations!G228:G230)</f>
        <v>1.3598386733618399</v>
      </c>
      <c r="G230">
        <f>AVERAGE(Calculations!H228:H230)</f>
        <v>1.6333333333333335</v>
      </c>
      <c r="H230">
        <f>AVERAGE(Calculations!I228:I230)</f>
        <v>7.833333333333333</v>
      </c>
      <c r="I230">
        <f>AVERAGE(Calculations!J228:J230)</f>
        <v>8.0119177771744557E-2</v>
      </c>
      <c r="J230">
        <f>AVERAGE(Calculations!K228:K230)</f>
        <v>8.1168531680107306E-2</v>
      </c>
    </row>
    <row r="231" spans="1:10" x14ac:dyDescent="0.2">
      <c r="A231" s="1">
        <f>Calculations!A231</f>
        <v>41306</v>
      </c>
      <c r="B231">
        <f>AVERAGE(Calculations!B229:B231)</f>
        <v>1.5666666666666667</v>
      </c>
      <c r="C231">
        <f>AVERAGE(Calculations!C229:C231)</f>
        <v>17.533333333333335</v>
      </c>
      <c r="D231">
        <f>AVERAGE(Calculations!E229:E231)</f>
        <v>1.5537612914465766</v>
      </c>
      <c r="E231">
        <f>AVERAGE(Calculations!F229:F231)</f>
        <v>18.538254926899764</v>
      </c>
      <c r="F231">
        <f>AVERAGE(Calculations!G229:G231)</f>
        <v>1.3281660571103067</v>
      </c>
      <c r="G231">
        <f>AVERAGE(Calculations!H229:H231)</f>
        <v>1.6666666666666667</v>
      </c>
      <c r="H231">
        <f>AVERAGE(Calculations!I229:I231)</f>
        <v>7.8</v>
      </c>
      <c r="I231">
        <f>AVERAGE(Calculations!J229:J231)</f>
        <v>7.746506549872853E-2</v>
      </c>
      <c r="J231">
        <f>AVERAGE(Calculations!K229:K231)</f>
        <v>8.3136603592356181E-2</v>
      </c>
    </row>
    <row r="232" spans="1:10" x14ac:dyDescent="0.2">
      <c r="A232" s="1">
        <f>Calculations!A232</f>
        <v>41334</v>
      </c>
      <c r="B232">
        <f>AVERAGE(Calculations!B230:B232)</f>
        <v>1.5333333333333332</v>
      </c>
      <c r="C232">
        <f>AVERAGE(Calculations!C230:C232)</f>
        <v>18.599999999999998</v>
      </c>
      <c r="D232">
        <f>AVERAGE(Calculations!E230:E232)</f>
        <v>1.5583206958726066</v>
      </c>
      <c r="E232">
        <f>AVERAGE(Calculations!F230:F232)</f>
        <v>18.048205292186267</v>
      </c>
      <c r="F232">
        <f>AVERAGE(Calculations!G230:G232)</f>
        <v>1.3282736372831367</v>
      </c>
      <c r="G232">
        <f>AVERAGE(Calculations!H230:H232)</f>
        <v>1.6666666666666667</v>
      </c>
      <c r="H232">
        <f>AVERAGE(Calculations!I230:I232)</f>
        <v>7.7333333333333343</v>
      </c>
      <c r="I232">
        <f>AVERAGE(Calculations!J230:J232)</f>
        <v>7.9794195790547487E-2</v>
      </c>
      <c r="J232">
        <f>AVERAGE(Calculations!K230:K232)</f>
        <v>8.5360897661363011E-2</v>
      </c>
    </row>
    <row r="233" spans="1:10" x14ac:dyDescent="0.2">
      <c r="A233" s="1">
        <f>Calculations!A233</f>
        <v>41365</v>
      </c>
      <c r="B233">
        <f>AVERAGE(Calculations!B231:B233)</f>
        <v>1.5333333333333332</v>
      </c>
      <c r="C233">
        <f>AVERAGE(Calculations!C231:C233)</f>
        <v>19.333333333333332</v>
      </c>
      <c r="D233">
        <f>AVERAGE(Calculations!E231:E233)</f>
        <v>1.6180665161413266</v>
      </c>
      <c r="E233">
        <f>AVERAGE(Calculations!F231:F233)</f>
        <v>19.035200643763801</v>
      </c>
      <c r="F233">
        <f>AVERAGE(Calculations!G231:G233)</f>
        <v>1.3465770661782501</v>
      </c>
      <c r="G233">
        <f>AVERAGE(Calculations!H231:H233)</f>
        <v>1.6333333333333335</v>
      </c>
      <c r="H233">
        <f>AVERAGE(Calculations!I231:I233)</f>
        <v>7.6000000000000005</v>
      </c>
      <c r="I233">
        <f>AVERAGE(Calculations!J231:J233)</f>
        <v>7.8992576491926647E-2</v>
      </c>
      <c r="J233">
        <f>AVERAGE(Calculations!K231:K233)</f>
        <v>8.0475822214630691E-2</v>
      </c>
    </row>
    <row r="234" spans="1:10" x14ac:dyDescent="0.2">
      <c r="A234" s="1">
        <f>Calculations!A234</f>
        <v>41395</v>
      </c>
      <c r="B234">
        <f>AVERAGE(Calculations!B232:B234)</f>
        <v>1.5999999999999999</v>
      </c>
      <c r="C234">
        <f>AVERAGE(Calculations!C232:C234)</f>
        <v>19.933333333333334</v>
      </c>
      <c r="D234">
        <f>AVERAGE(Calculations!E232:E234)</f>
        <v>1.6146828372317401</v>
      </c>
      <c r="E234">
        <f>AVERAGE(Calculations!F232:F234)</f>
        <v>19.684977913971903</v>
      </c>
      <c r="F234">
        <f>AVERAGE(Calculations!G232:G234)</f>
        <v>1.3628276743253733</v>
      </c>
      <c r="G234">
        <f>AVERAGE(Calculations!H232:H234)</f>
        <v>1.6000000000000003</v>
      </c>
      <c r="H234">
        <f>AVERAGE(Calculations!I232:I234)</f>
        <v>7.5666666666666664</v>
      </c>
      <c r="I234">
        <f>AVERAGE(Calculations!J232:J234)</f>
        <v>7.6042928066989826E-2</v>
      </c>
      <c r="J234">
        <f>AVERAGE(Calculations!K232:K234)</f>
        <v>7.5842624578069076E-2</v>
      </c>
    </row>
    <row r="235" spans="1:10" x14ac:dyDescent="0.2">
      <c r="A235" s="1">
        <f>Calculations!A235</f>
        <v>41426</v>
      </c>
      <c r="B235">
        <f>AVERAGE(Calculations!B233:B235)</f>
        <v>1.6333333333333335</v>
      </c>
      <c r="C235">
        <f>AVERAGE(Calculations!C233:C235)</f>
        <v>19.900000000000002</v>
      </c>
      <c r="D235">
        <f>AVERAGE(Calculations!E233:E235)</f>
        <v>1.6081094699071767</v>
      </c>
      <c r="E235">
        <f>AVERAGE(Calculations!F233:F235)</f>
        <v>20.053218014092632</v>
      </c>
      <c r="F235">
        <f>AVERAGE(Calculations!G233:G235)</f>
        <v>1.3326932994931999</v>
      </c>
      <c r="G235">
        <f>AVERAGE(Calculations!H233:H235)</f>
        <v>1.6000000000000003</v>
      </c>
      <c r="H235">
        <f>AVERAGE(Calculations!I233:I235)</f>
        <v>7.5666666666666664</v>
      </c>
      <c r="I235">
        <f>AVERAGE(Calculations!J233:J235)</f>
        <v>7.4142995531675485E-2</v>
      </c>
      <c r="J235">
        <f>AVERAGE(Calculations!K233:K235)</f>
        <v>7.4181433963661822E-2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2.75" x14ac:dyDescent="0.2"/>
  <cols>
    <col min="1" max="1" width="10.140625" bestFit="1" customWidth="1"/>
    <col min="5" max="5" width="11.5703125" bestFit="1" customWidth="1"/>
    <col min="7" max="7" width="11.5703125" bestFit="1" customWidth="1"/>
    <col min="8" max="8" width="18.28515625" bestFit="1" customWidth="1"/>
    <col min="9" max="9" width="13.42578125" bestFit="1" customWidth="1"/>
    <col min="10" max="12" width="13.42578125" customWidth="1"/>
    <col min="13" max="13" width="10.85546875" bestFit="1" customWidth="1"/>
    <col min="14" max="14" width="19.7109375" bestFit="1" customWidth="1"/>
    <col min="15" max="15" width="38.42578125" bestFit="1" customWidth="1"/>
    <col min="16" max="16" width="22.7109375" bestFit="1" customWidth="1"/>
    <col min="17" max="17" width="30.140625" bestFit="1" customWidth="1"/>
    <col min="20" max="20" width="36.7109375" bestFit="1" customWidth="1"/>
    <col min="21" max="21" width="21" bestFit="1" customWidth="1"/>
    <col min="22" max="22" width="28.42578125" bestFit="1" customWidth="1"/>
    <col min="23" max="23" width="34.85546875" bestFit="1" customWidth="1"/>
    <col min="24" max="24" width="28" bestFit="1" customWidth="1"/>
    <col min="25" max="25" width="35.42578125" bestFit="1" customWidth="1"/>
    <col min="29" max="29" width="10.140625" bestFit="1" customWidth="1"/>
    <col min="32" max="32" width="22.7109375" bestFit="1" customWidth="1"/>
    <col min="33" max="33" width="21" bestFit="1" customWidth="1"/>
    <col min="34" max="34" width="28" bestFit="1" customWidth="1"/>
  </cols>
  <sheetData>
    <row r="1" spans="1:34" x14ac:dyDescent="0.2">
      <c r="B1" s="2" t="s">
        <v>336</v>
      </c>
      <c r="C1" s="2" t="s">
        <v>337</v>
      </c>
      <c r="D1" s="2" t="s">
        <v>339</v>
      </c>
      <c r="E1" s="2" t="s">
        <v>358</v>
      </c>
      <c r="F1" s="2" t="s">
        <v>338</v>
      </c>
      <c r="G1" s="2" t="s">
        <v>359</v>
      </c>
      <c r="H1" s="2" t="s">
        <v>342</v>
      </c>
      <c r="I1" s="2" t="s">
        <v>343</v>
      </c>
      <c r="J1" s="2" t="s">
        <v>354</v>
      </c>
      <c r="K1" s="2" t="s">
        <v>356</v>
      </c>
      <c r="L1" s="2" t="s">
        <v>355</v>
      </c>
      <c r="M1" s="2" t="s">
        <v>344</v>
      </c>
      <c r="N1" s="2" t="s">
        <v>347</v>
      </c>
      <c r="O1" s="2" t="s">
        <v>348</v>
      </c>
      <c r="P1" s="2" t="s">
        <v>351</v>
      </c>
      <c r="Q1" s="2" t="s">
        <v>360</v>
      </c>
      <c r="R1" s="2" t="s">
        <v>345</v>
      </c>
      <c r="S1" s="2" t="s">
        <v>346</v>
      </c>
      <c r="T1" s="2" t="s">
        <v>349</v>
      </c>
      <c r="U1" s="2" t="s">
        <v>352</v>
      </c>
      <c r="V1" s="2" t="s">
        <v>361</v>
      </c>
      <c r="W1" s="2" t="s">
        <v>350</v>
      </c>
      <c r="X1" s="2" t="s">
        <v>353</v>
      </c>
      <c r="Y1" s="2" t="s">
        <v>362</v>
      </c>
      <c r="AA1" t="s">
        <v>357</v>
      </c>
      <c r="AD1" t="s">
        <v>339</v>
      </c>
      <c r="AE1" t="s">
        <v>338</v>
      </c>
      <c r="AF1" s="2" t="s">
        <v>351</v>
      </c>
      <c r="AG1" s="2" t="s">
        <v>352</v>
      </c>
      <c r="AH1" s="2" t="s">
        <v>353</v>
      </c>
    </row>
    <row r="2" spans="1:34" x14ac:dyDescent="0.2">
      <c r="A2" s="1">
        <f>DATE(2000,12,1)</f>
        <v>36861</v>
      </c>
      <c r="B2">
        <f>'raw BLS data'!Q19</f>
        <v>5191</v>
      </c>
      <c r="C2">
        <f>'raw BLS data'!W30</f>
        <v>143248</v>
      </c>
      <c r="D2">
        <f>'raw BLS data'!J102/100</f>
        <v>3.9E-2</v>
      </c>
      <c r="E2" t="e">
        <f>NA()</f>
        <v>#N/A</v>
      </c>
      <c r="F2">
        <f t="shared" ref="F2:F33" si="0">B2/C2</f>
        <v>3.6237853233552997E-2</v>
      </c>
      <c r="G2" t="e">
        <f>NA()</f>
        <v>#N/A</v>
      </c>
      <c r="H2">
        <f t="shared" ref="H2:H33" si="1">IF( $A2&lt;=$A$106, F2, NA() )</f>
        <v>3.6237853233552997E-2</v>
      </c>
      <c r="I2" t="e">
        <f t="shared" ref="I2:I33" si="2">IF( $A2&gt;$A$106, F2, NA() )</f>
        <v>#N/A</v>
      </c>
      <c r="J2">
        <f>F2/D2</f>
        <v>0.92917572393725634</v>
      </c>
      <c r="K2">
        <f>F2/(D2+Calculations!J85)</f>
        <v>0.29597559926331279</v>
      </c>
      <c r="L2">
        <f>Calculations!F85/100</f>
        <v>0.31481018090179202</v>
      </c>
      <c r="M2" t="e">
        <f>NA()</f>
        <v>#N/A</v>
      </c>
      <c r="N2">
        <v>0.5</v>
      </c>
      <c r="O2" t="e">
        <f>NA()</f>
        <v>#N/A</v>
      </c>
      <c r="P2" t="e">
        <f>F2/EXP(O2)</f>
        <v>#N/A</v>
      </c>
      <c r="Q2" t="e">
        <f>NA()</f>
        <v>#N/A</v>
      </c>
      <c r="R2">
        <f>Calculations!J85/( (Calculations!I85/100) + Calculations!J85 )</f>
        <v>0.68146434346222884</v>
      </c>
      <c r="S2" t="e">
        <f>NA()</f>
        <v>#N/A</v>
      </c>
      <c r="T2" t="e">
        <f>NA()</f>
        <v>#N/A</v>
      </c>
      <c r="U2" t="e">
        <f>F2/EXP(T2)</f>
        <v>#N/A</v>
      </c>
      <c r="V2" t="e">
        <f>NA()</f>
        <v>#N/A</v>
      </c>
      <c r="W2" t="e">
        <f>O2+T2</f>
        <v>#N/A</v>
      </c>
      <c r="X2" t="e">
        <f>F2/EXP(W2)</f>
        <v>#N/A</v>
      </c>
      <c r="Y2" t="e">
        <f>NA()</f>
        <v>#N/A</v>
      </c>
      <c r="AC2" s="1">
        <f>DATE(2001,3,1)</f>
        <v>36951</v>
      </c>
      <c r="AD2">
        <f>VLOOKUP(AC2,A$1:Y$152,5)</f>
        <v>4.2333333333333334E-2</v>
      </c>
      <c r="AE2">
        <f>VLOOKUP(AC2,A$1:Y$152,7)</f>
        <v>3.39849935927155E-2</v>
      </c>
      <c r="AF2">
        <f>VLOOKUP(AC2,A$1:Y$152,17)</f>
        <v>3.1645788465625789E-2</v>
      </c>
      <c r="AG2">
        <f>VLOOKUP(AC2,A$1:Y$152,22)</f>
        <v>3.4662130209040139E-2</v>
      </c>
      <c r="AH2">
        <f>VLOOKUP(AC2,A$1:Y$152,25)</f>
        <v>3.2299978622935079E-2</v>
      </c>
    </row>
    <row r="3" spans="1:34" x14ac:dyDescent="0.2">
      <c r="A3" s="1">
        <f>DATE(YEAR(A2),MONTH(A2)+1,1)</f>
        <v>36892</v>
      </c>
      <c r="B3">
        <f>'raw BLS data'!Q20</f>
        <v>5186</v>
      </c>
      <c r="C3">
        <f>'raw BLS data'!W31</f>
        <v>143800</v>
      </c>
      <c r="D3">
        <f>'raw BLS data'!J103/100</f>
        <v>4.2000000000000003E-2</v>
      </c>
      <c r="E3" t="e">
        <f>NA()</f>
        <v>#N/A</v>
      </c>
      <c r="F3">
        <f t="shared" si="0"/>
        <v>3.6063977746870653E-2</v>
      </c>
      <c r="G3" t="e">
        <f>NA()</f>
        <v>#N/A</v>
      </c>
      <c r="H3">
        <f t="shared" si="1"/>
        <v>3.6063977746870653E-2</v>
      </c>
      <c r="I3" t="e">
        <f t="shared" si="2"/>
        <v>#N/A</v>
      </c>
      <c r="J3">
        <f t="shared" ref="J3:J66" si="3">F3/D3</f>
        <v>0.85866613683025361</v>
      </c>
      <c r="K3">
        <f>F3/(D3+Calculations!J86)</f>
        <v>0.28760643991271267</v>
      </c>
      <c r="L3">
        <f>Calculations!F86/100</f>
        <v>0.33185825201960301</v>
      </c>
      <c r="M3">
        <f>LN(Calculations!G86/Calculations!G85)</f>
        <v>7.4963284336587999E-2</v>
      </c>
      <c r="N3">
        <v>0.5</v>
      </c>
      <c r="O3">
        <f t="shared" ref="O3" si="4">M3/N3</f>
        <v>0.149926568673176</v>
      </c>
      <c r="P3">
        <f t="shared" ref="P3:P66" si="5">F3/EXP(O3)</f>
        <v>3.1042832741051997E-2</v>
      </c>
      <c r="Q3" t="e">
        <f>NA()</f>
        <v>#N/A</v>
      </c>
      <c r="R3">
        <f>Calculations!J86/( (Calculations!I86/100) + Calculations!J86 )</f>
        <v>0.66505440522622061</v>
      </c>
      <c r="S3">
        <f>LN(Calculations!J86/Calculations!J85)</f>
        <v>-5.0080203943009207E-4</v>
      </c>
      <c r="T3">
        <f t="shared" ref="T3" si="6">R3*S3</f>
        <v>-3.3306060246925817E-4</v>
      </c>
      <c r="U3">
        <f t="shared" ref="U3:U66" si="7">F3/EXP(T3)</f>
        <v>3.6075991237525626E-2</v>
      </c>
      <c r="V3" t="e">
        <f>NA()</f>
        <v>#N/A</v>
      </c>
      <c r="W3">
        <f t="shared" ref="W3:W66" si="8">O3+T3</f>
        <v>0.14959350807070673</v>
      </c>
      <c r="X3">
        <f t="shared" ref="X3:X66" si="9">F3/EXP(W3)</f>
        <v>3.1053173607599113E-2</v>
      </c>
      <c r="Y3" t="e">
        <f>NA()</f>
        <v>#N/A</v>
      </c>
      <c r="AC3" s="1">
        <f>DATE(YEAR(AC2),MONTH(AC2)+3,1)</f>
        <v>37043</v>
      </c>
      <c r="AD3">
        <f t="shared" ref="AD3:AD51" si="10">VLOOKUP(AC3,A$1:Y$152,5)</f>
        <v>4.4000000000000004E-2</v>
      </c>
      <c r="AE3">
        <f t="shared" ref="AE3:AE51" si="11">VLOOKUP(AC3,A$1:Y$152,7)</f>
        <v>3.1242145303938998E-2</v>
      </c>
      <c r="AF3">
        <f t="shared" ref="AF3:AF51" si="12">VLOOKUP(AC3,A$1:Y$152,17)</f>
        <v>2.9629143022072136E-2</v>
      </c>
      <c r="AG3">
        <f t="shared" ref="AG3:AG51" si="13">VLOOKUP(AC3,A$1:Y$152,22)</f>
        <v>3.3248555156064237E-2</v>
      </c>
      <c r="AH3">
        <f t="shared" ref="AH3:AH51" si="14">VLOOKUP(AC3,A$1:Y$152,25)</f>
        <v>3.1670248977776913E-2</v>
      </c>
    </row>
    <row r="4" spans="1:34" x14ac:dyDescent="0.2">
      <c r="A4" s="1">
        <f t="shared" ref="A4:A67" si="15">DATE(YEAR(A3),MONTH(A3)+1,1)</f>
        <v>36923</v>
      </c>
      <c r="B4">
        <f>'raw BLS data'!Q21</f>
        <v>4702</v>
      </c>
      <c r="C4">
        <f>'raw BLS data'!W32</f>
        <v>143701</v>
      </c>
      <c r="D4">
        <f>'raw BLS data'!J104/100</f>
        <v>4.2000000000000003E-2</v>
      </c>
      <c r="E4">
        <f>AVERAGE(D2:D4)</f>
        <v>4.1000000000000002E-2</v>
      </c>
      <c r="F4">
        <f t="shared" si="0"/>
        <v>3.2720718714553135E-2</v>
      </c>
      <c r="G4">
        <f>AVERAGE(F2:F4)</f>
        <v>3.5007516564992257E-2</v>
      </c>
      <c r="H4">
        <f t="shared" si="1"/>
        <v>3.2720718714553135E-2</v>
      </c>
      <c r="I4" t="e">
        <f t="shared" si="2"/>
        <v>#N/A</v>
      </c>
      <c r="J4">
        <f t="shared" si="3"/>
        <v>0.77906473129888409</v>
      </c>
      <c r="K4">
        <f>F4/(D4+Calculations!J87)</f>
        <v>0.2687253146900857</v>
      </c>
      <c r="L4">
        <f>Calculations!F87/100</f>
        <v>0.30438631049522402</v>
      </c>
      <c r="M4">
        <f>LN(Calculations!G87/Calculations!G86)</f>
        <v>-0.12185226183112477</v>
      </c>
      <c r="N4">
        <v>0.5</v>
      </c>
      <c r="O4">
        <f>O3+(M4/N4)</f>
        <v>-9.3777954989073542E-2</v>
      </c>
      <c r="P4">
        <f t="shared" si="5"/>
        <v>3.5937683767900769E-2</v>
      </c>
      <c r="Q4" t="e">
        <f>NA()</f>
        <v>#N/A</v>
      </c>
      <c r="R4">
        <f>Calculations!J87/( (Calculations!I87/100) + Calculations!J87 )</f>
        <v>0.65506676930162488</v>
      </c>
      <c r="S4">
        <f>LN(Calculations!J87/Calculations!J86)</f>
        <v>-4.4514430492430909E-2</v>
      </c>
      <c r="T4">
        <f>T3+(R4*S4)</f>
        <v>-2.9492984772447713E-2</v>
      </c>
      <c r="U4">
        <f t="shared" si="7"/>
        <v>3.3700122146246771E-2</v>
      </c>
      <c r="V4" t="e">
        <f>NA()</f>
        <v>#N/A</v>
      </c>
      <c r="W4">
        <f t="shared" si="8"/>
        <v>-0.12327093976152126</v>
      </c>
      <c r="X4">
        <f t="shared" si="9"/>
        <v>3.7013378073898637E-2</v>
      </c>
      <c r="Y4" t="e">
        <f>NA()</f>
        <v>#N/A</v>
      </c>
      <c r="AC4" s="1">
        <f t="shared" ref="AC4:AC51" si="16">DATE(YEAR(AC3),MONTH(AC3)+3,1)</f>
        <v>37135</v>
      </c>
      <c r="AD4">
        <f t="shared" si="10"/>
        <v>4.8333333333333339E-2</v>
      </c>
      <c r="AE4">
        <f t="shared" si="11"/>
        <v>2.872032301730593E-2</v>
      </c>
      <c r="AF4">
        <f t="shared" si="12"/>
        <v>2.3285547973594018E-2</v>
      </c>
      <c r="AG4">
        <f t="shared" si="13"/>
        <v>2.8145409377752232E-2</v>
      </c>
      <c r="AH4">
        <f t="shared" si="14"/>
        <v>2.2816340364580859E-2</v>
      </c>
    </row>
    <row r="5" spans="1:34" x14ac:dyDescent="0.2">
      <c r="A5" s="1">
        <f t="shared" si="15"/>
        <v>36951</v>
      </c>
      <c r="B5">
        <f>'raw BLS data'!Q22</f>
        <v>4774</v>
      </c>
      <c r="C5">
        <f>'raw BLS data'!W33</f>
        <v>143924</v>
      </c>
      <c r="D5">
        <f>'raw BLS data'!J105/100</f>
        <v>4.2999999999999997E-2</v>
      </c>
      <c r="E5">
        <f t="shared" ref="E5:E68" si="17">AVERAGE(D3:D5)</f>
        <v>4.2333333333333334E-2</v>
      </c>
      <c r="F5">
        <f t="shared" si="0"/>
        <v>3.3170284316722712E-2</v>
      </c>
      <c r="G5">
        <f t="shared" ref="G5:G68" si="18">AVERAGE(F3:F5)</f>
        <v>3.39849935927155E-2</v>
      </c>
      <c r="H5">
        <f t="shared" si="1"/>
        <v>3.3170284316722712E-2</v>
      </c>
      <c r="I5" t="e">
        <f t="shared" si="2"/>
        <v>#N/A</v>
      </c>
      <c r="J5">
        <f t="shared" si="3"/>
        <v>0.77140196085401658</v>
      </c>
      <c r="K5">
        <f>F5/(D5+Calculations!J88)</f>
        <v>0.27057131966873338</v>
      </c>
      <c r="L5">
        <f>Calculations!F88/100</f>
        <v>0.29825100243429303</v>
      </c>
      <c r="M5">
        <f>LN(Calculations!G88/Calculations!G87)</f>
        <v>0.13238508455846928</v>
      </c>
      <c r="N5">
        <v>0.5</v>
      </c>
      <c r="O5">
        <f t="shared" ref="O5:O68" si="19">O4+(M5/N5)</f>
        <v>0.17099221412786503</v>
      </c>
      <c r="P5">
        <f t="shared" si="5"/>
        <v>2.7956848887924601E-2</v>
      </c>
      <c r="Q5">
        <f>AVERAGE(P3:P5)</f>
        <v>3.1645788465625789E-2</v>
      </c>
      <c r="R5">
        <f>Calculations!J88/( (Calculations!I88/100) + Calculations!J88 )</f>
        <v>0.64924730114869711</v>
      </c>
      <c r="S5">
        <f>LN(Calculations!J88/Calculations!J87)</f>
        <v>-2.1235266107794753E-3</v>
      </c>
      <c r="T5">
        <f t="shared" ref="T5:T68" si="20">T4+(R5*S5)</f>
        <v>-3.0871678693413729E-2</v>
      </c>
      <c r="U5">
        <f t="shared" si="7"/>
        <v>3.4210277243348026E-2</v>
      </c>
      <c r="V5">
        <f>AVERAGE(U3:U5)</f>
        <v>3.4662130209040139E-2</v>
      </c>
      <c r="W5">
        <f t="shared" si="8"/>
        <v>0.1401205354344513</v>
      </c>
      <c r="X5">
        <f t="shared" si="9"/>
        <v>2.8833384187307499E-2</v>
      </c>
      <c r="Y5">
        <f>AVERAGE(X3:X5)</f>
        <v>3.2299978622935079E-2</v>
      </c>
      <c r="AC5" s="1">
        <f t="shared" si="16"/>
        <v>37226</v>
      </c>
      <c r="AD5">
        <f t="shared" si="10"/>
        <v>5.5E-2</v>
      </c>
      <c r="AE5">
        <f t="shared" si="11"/>
        <v>2.468623228590509E-2</v>
      </c>
      <c r="AF5">
        <f t="shared" si="12"/>
        <v>1.6526793567082379E-2</v>
      </c>
      <c r="AG5">
        <f t="shared" si="13"/>
        <v>2.5289257520926849E-2</v>
      </c>
      <c r="AH5">
        <f t="shared" si="14"/>
        <v>1.6905625624184975E-2</v>
      </c>
    </row>
    <row r="6" spans="1:34" x14ac:dyDescent="0.2">
      <c r="A6" s="1">
        <f t="shared" si="15"/>
        <v>36982</v>
      </c>
      <c r="B6">
        <f>'raw BLS data'!Q23</f>
        <v>4653</v>
      </c>
      <c r="C6">
        <f>'raw BLS data'!W34</f>
        <v>143569</v>
      </c>
      <c r="D6">
        <f>'raw BLS data'!J106/100</f>
        <v>4.4000000000000004E-2</v>
      </c>
      <c r="E6">
        <f t="shared" si="17"/>
        <v>4.3000000000000003E-2</v>
      </c>
      <c r="F6">
        <f t="shared" si="0"/>
        <v>3.2409503444336872E-2</v>
      </c>
      <c r="G6">
        <f t="shared" si="18"/>
        <v>3.2766835491870906E-2</v>
      </c>
      <c r="H6">
        <f t="shared" si="1"/>
        <v>3.2409503444336872E-2</v>
      </c>
      <c r="I6" t="e">
        <f t="shared" si="2"/>
        <v>#N/A</v>
      </c>
      <c r="J6">
        <f t="shared" si="3"/>
        <v>0.7365796237349288</v>
      </c>
      <c r="K6">
        <f>F6/(D6+Calculations!J89)</f>
        <v>0.29149613879594433</v>
      </c>
      <c r="L6">
        <f>Calculations!F89/100</f>
        <v>0.33051430368631202</v>
      </c>
      <c r="M6">
        <f>LN(Calculations!G89/Calculations!G88)</f>
        <v>-0.14392573480342935</v>
      </c>
      <c r="N6">
        <v>0.5</v>
      </c>
      <c r="O6">
        <f t="shared" si="19"/>
        <v>-0.11685925547899367</v>
      </c>
      <c r="P6">
        <f t="shared" si="5"/>
        <v>3.6427025263370306E-2</v>
      </c>
      <c r="Q6">
        <f t="shared" ref="Q6:Q69" si="21">AVERAGE(P4:P6)</f>
        <v>3.3440519306398554E-2</v>
      </c>
      <c r="R6">
        <f>Calculations!J89/( (Calculations!I89/100) + Calculations!J89 )</f>
        <v>0.60425712386955155</v>
      </c>
      <c r="S6">
        <f>LN(Calculations!J89/Calculations!J88)</f>
        <v>-0.16950765051075256</v>
      </c>
      <c r="T6">
        <f t="shared" si="20"/>
        <v>-0.13329788406492621</v>
      </c>
      <c r="U6">
        <f t="shared" si="7"/>
        <v>3.7030784493012434E-2</v>
      </c>
      <c r="V6">
        <f t="shared" ref="V6:V69" si="22">AVERAGE(U4:U6)</f>
        <v>3.4980394627535744E-2</v>
      </c>
      <c r="W6">
        <f t="shared" si="8"/>
        <v>-0.25015713954391988</v>
      </c>
      <c r="X6">
        <f t="shared" si="9"/>
        <v>4.1621165981951862E-2</v>
      </c>
      <c r="Y6">
        <f t="shared" ref="Y6:Y69" si="23">AVERAGE(X4:X6)</f>
        <v>3.582264274771934E-2</v>
      </c>
      <c r="AC6" s="1">
        <f t="shared" si="16"/>
        <v>37316</v>
      </c>
      <c r="AD6">
        <f t="shared" si="10"/>
        <v>5.7000000000000002E-2</v>
      </c>
      <c r="AE6">
        <f t="shared" si="11"/>
        <v>2.4254258755499372E-2</v>
      </c>
      <c r="AF6">
        <f t="shared" si="12"/>
        <v>1.7094584115952254E-2</v>
      </c>
      <c r="AG6">
        <f t="shared" si="13"/>
        <v>2.4272227034923915E-2</v>
      </c>
      <c r="AH6">
        <f t="shared" si="14"/>
        <v>1.7105037669447657E-2</v>
      </c>
    </row>
    <row r="7" spans="1:34" x14ac:dyDescent="0.2">
      <c r="A7" s="1">
        <f t="shared" si="15"/>
        <v>37012</v>
      </c>
      <c r="B7">
        <f>'raw BLS data'!Q24</f>
        <v>4452</v>
      </c>
      <c r="C7">
        <f>'raw BLS data'!W35</f>
        <v>143318</v>
      </c>
      <c r="D7">
        <f>'raw BLS data'!J107/100</f>
        <v>4.2999999999999997E-2</v>
      </c>
      <c r="E7">
        <f t="shared" si="17"/>
        <v>4.3333333333333335E-2</v>
      </c>
      <c r="F7">
        <f t="shared" si="0"/>
        <v>3.1063788219204844E-2</v>
      </c>
      <c r="G7">
        <f t="shared" si="18"/>
        <v>3.2214525326754805E-2</v>
      </c>
      <c r="H7">
        <f t="shared" si="1"/>
        <v>3.1063788219204844E-2</v>
      </c>
      <c r="I7" t="e">
        <f t="shared" si="2"/>
        <v>#N/A</v>
      </c>
      <c r="J7">
        <f t="shared" si="3"/>
        <v>0.72241367951639179</v>
      </c>
      <c r="K7">
        <f>F7/(D7+Calculations!J90)</f>
        <v>0.27083721936920713</v>
      </c>
      <c r="L7">
        <f>Calculations!F90/100</f>
        <v>0.32914345730552297</v>
      </c>
      <c r="M7">
        <f>LN(Calculations!G90/Calculations!G89)</f>
        <v>0.17093165223559281</v>
      </c>
      <c r="N7">
        <v>0.5</v>
      </c>
      <c r="O7">
        <f t="shared" si="19"/>
        <v>0.22500404899219195</v>
      </c>
      <c r="P7">
        <f t="shared" si="5"/>
        <v>2.4804838274341708E-2</v>
      </c>
      <c r="Q7">
        <f t="shared" si="21"/>
        <v>2.9729570808545536E-2</v>
      </c>
      <c r="R7">
        <f>Calculations!J90/( (Calculations!I90/100) + Calculations!J90 )</f>
        <v>0.6250940049328596</v>
      </c>
      <c r="S7">
        <f>LN(Calculations!J90/Calculations!J89)</f>
        <v>6.500210191512934E-2</v>
      </c>
      <c r="T7">
        <f t="shared" si="20"/>
        <v>-9.2665459849744114E-2</v>
      </c>
      <c r="U7">
        <f t="shared" si="7"/>
        <v>3.4079915915582078E-2</v>
      </c>
      <c r="V7">
        <f t="shared" si="22"/>
        <v>3.510699255064751E-2</v>
      </c>
      <c r="W7">
        <f t="shared" si="8"/>
        <v>0.13233858914244784</v>
      </c>
      <c r="X7">
        <f t="shared" si="9"/>
        <v>2.7213255406066384E-2</v>
      </c>
      <c r="Y7">
        <f t="shared" si="23"/>
        <v>3.255593519177525E-2</v>
      </c>
      <c r="AC7" s="1">
        <f t="shared" si="16"/>
        <v>37408</v>
      </c>
      <c r="AD7">
        <f t="shared" si="10"/>
        <v>5.8333333333333327E-2</v>
      </c>
      <c r="AE7">
        <f t="shared" si="11"/>
        <v>2.3260251026514328E-2</v>
      </c>
      <c r="AF7">
        <f t="shared" si="12"/>
        <v>1.8367521291886017E-2</v>
      </c>
      <c r="AG7">
        <f t="shared" si="13"/>
        <v>2.1601683989749196E-2</v>
      </c>
      <c r="AH7">
        <f t="shared" si="14"/>
        <v>1.704328488119301E-2</v>
      </c>
    </row>
    <row r="8" spans="1:34" x14ac:dyDescent="0.2">
      <c r="A8" s="1">
        <f t="shared" si="15"/>
        <v>37043</v>
      </c>
      <c r="B8">
        <f>'raw BLS data'!Q25</f>
        <v>4337</v>
      </c>
      <c r="C8">
        <f>'raw BLS data'!W36</f>
        <v>143357</v>
      </c>
      <c r="D8">
        <f>'raw BLS data'!J108/100</f>
        <v>4.4999999999999998E-2</v>
      </c>
      <c r="E8">
        <f t="shared" si="17"/>
        <v>4.4000000000000004E-2</v>
      </c>
      <c r="F8">
        <f t="shared" si="0"/>
        <v>3.0253144248275285E-2</v>
      </c>
      <c r="G8">
        <f t="shared" si="18"/>
        <v>3.1242145303938998E-2</v>
      </c>
      <c r="H8">
        <f t="shared" si="1"/>
        <v>3.0253144248275285E-2</v>
      </c>
      <c r="I8" t="e">
        <f t="shared" si="2"/>
        <v>#N/A</v>
      </c>
      <c r="J8">
        <f t="shared" si="3"/>
        <v>0.67229209440611748</v>
      </c>
      <c r="K8">
        <f>F8/(D8+Calculations!J91)</f>
        <v>0.22492261022360474</v>
      </c>
      <c r="L8">
        <f>Calculations!F91/100</f>
        <v>0.26407176594850501</v>
      </c>
      <c r="M8">
        <f>LN(Calculations!G91/Calculations!G90)</f>
        <v>-6.7615460237659172E-2</v>
      </c>
      <c r="N8">
        <v>0.5</v>
      </c>
      <c r="O8">
        <f t="shared" si="19"/>
        <v>8.9773128516873607E-2</v>
      </c>
      <c r="P8">
        <f t="shared" si="5"/>
        <v>2.76555655285044E-2</v>
      </c>
      <c r="Q8">
        <f t="shared" si="21"/>
        <v>2.9629143022072136E-2</v>
      </c>
      <c r="R8">
        <f>Calculations!J91/( (Calculations!I91/100) + Calculations!J91 )</f>
        <v>0.66543915643944229</v>
      </c>
      <c r="S8">
        <f>LN(Calculations!J91/Calculations!J90)</f>
        <v>0.22186409372231475</v>
      </c>
      <c r="T8">
        <f t="shared" si="20"/>
        <v>5.4971595521034367E-2</v>
      </c>
      <c r="U8">
        <f t="shared" si="7"/>
        <v>2.86349650595982E-2</v>
      </c>
      <c r="V8">
        <f t="shared" si="22"/>
        <v>3.3248555156064237E-2</v>
      </c>
      <c r="W8">
        <f t="shared" si="8"/>
        <v>0.14474472403790797</v>
      </c>
      <c r="X8">
        <f t="shared" si="9"/>
        <v>2.6176325545312486E-2</v>
      </c>
      <c r="Y8">
        <f t="shared" si="23"/>
        <v>3.1670248977776913E-2</v>
      </c>
      <c r="AC8" s="1">
        <f t="shared" si="16"/>
        <v>37500</v>
      </c>
      <c r="AD8">
        <f t="shared" si="10"/>
        <v>5.7333333333333326E-2</v>
      </c>
      <c r="AE8">
        <f t="shared" si="11"/>
        <v>2.3218254100084258E-2</v>
      </c>
      <c r="AF8">
        <f t="shared" si="12"/>
        <v>1.7680476795471186E-2</v>
      </c>
      <c r="AG8">
        <f t="shared" si="13"/>
        <v>2.2844280022178125E-2</v>
      </c>
      <c r="AH8">
        <f t="shared" si="14"/>
        <v>1.7391994608694616E-2</v>
      </c>
    </row>
    <row r="9" spans="1:34" x14ac:dyDescent="0.2">
      <c r="A9" s="1">
        <f t="shared" si="15"/>
        <v>37073</v>
      </c>
      <c r="B9">
        <f>'raw BLS data'!Q26</f>
        <v>4231</v>
      </c>
      <c r="C9">
        <f>'raw BLS data'!W37</f>
        <v>143654</v>
      </c>
      <c r="D9">
        <f>'raw BLS data'!J109/100</f>
        <v>4.5999999999999999E-2</v>
      </c>
      <c r="E9">
        <f t="shared" si="17"/>
        <v>4.4666666666666667E-2</v>
      </c>
      <c r="F9">
        <f t="shared" si="0"/>
        <v>2.9452712768179096E-2</v>
      </c>
      <c r="G9">
        <f t="shared" si="18"/>
        <v>3.0256548411886408E-2</v>
      </c>
      <c r="H9">
        <f t="shared" si="1"/>
        <v>2.9452712768179096E-2</v>
      </c>
      <c r="I9" t="e">
        <f t="shared" si="2"/>
        <v>#N/A</v>
      </c>
      <c r="J9">
        <f t="shared" si="3"/>
        <v>0.64027636452563252</v>
      </c>
      <c r="K9">
        <f>F9/(D9+Calculations!J92)</f>
        <v>0.21917145746164959</v>
      </c>
      <c r="L9">
        <f>Calculations!F92/100</f>
        <v>0.30996879048245501</v>
      </c>
      <c r="M9">
        <f>LN(Calculations!G92/Calculations!G91)</f>
        <v>6.5286888143458802E-2</v>
      </c>
      <c r="N9">
        <v>0.5</v>
      </c>
      <c r="O9">
        <f t="shared" si="19"/>
        <v>0.22034690480379121</v>
      </c>
      <c r="P9">
        <f t="shared" si="5"/>
        <v>2.3628157504204866E-2</v>
      </c>
      <c r="Q9">
        <f t="shared" si="21"/>
        <v>2.5362853769016994E-2</v>
      </c>
      <c r="R9">
        <f>Calculations!J92/( (Calculations!I92/100) + Calculations!J92 )</f>
        <v>0.65769241283171664</v>
      </c>
      <c r="S9">
        <f>LN(Calculations!J92/Calculations!J91)</f>
        <v>-1.2621890741133441E-2</v>
      </c>
      <c r="T9">
        <f t="shared" si="20"/>
        <v>4.6670273745000011E-2</v>
      </c>
      <c r="U9">
        <f t="shared" si="7"/>
        <v>2.8109729064793736E-2</v>
      </c>
      <c r="V9">
        <f t="shared" si="22"/>
        <v>3.027487001332467E-2</v>
      </c>
      <c r="W9">
        <f t="shared" si="8"/>
        <v>0.2670171785487912</v>
      </c>
      <c r="X9">
        <f t="shared" si="9"/>
        <v>2.2550761655512334E-2</v>
      </c>
      <c r="Y9">
        <f t="shared" si="23"/>
        <v>2.53134475356304E-2</v>
      </c>
      <c r="AC9" s="1">
        <f t="shared" si="16"/>
        <v>37591</v>
      </c>
      <c r="AD9">
        <f t="shared" si="10"/>
        <v>5.8666666666666666E-2</v>
      </c>
      <c r="AE9">
        <f t="shared" si="11"/>
        <v>2.3261894236239321E-2</v>
      </c>
      <c r="AF9">
        <f t="shared" si="12"/>
        <v>1.7319697049113767E-2</v>
      </c>
      <c r="AG9">
        <f t="shared" si="13"/>
        <v>2.217936416906989E-2</v>
      </c>
      <c r="AH9">
        <f t="shared" si="14"/>
        <v>1.6585332559096191E-2</v>
      </c>
    </row>
    <row r="10" spans="1:34" x14ac:dyDescent="0.2">
      <c r="A10" s="1">
        <f t="shared" si="15"/>
        <v>37104</v>
      </c>
      <c r="B10">
        <f>'raw BLS data'!Q27</f>
        <v>4139</v>
      </c>
      <c r="C10">
        <f>'raw BLS data'!W38</f>
        <v>143284</v>
      </c>
      <c r="D10">
        <f>'raw BLS data'!J110/100</f>
        <v>4.9000000000000002E-2</v>
      </c>
      <c r="E10">
        <f t="shared" si="17"/>
        <v>4.6666666666666669E-2</v>
      </c>
      <c r="F10">
        <f t="shared" si="0"/>
        <v>2.8886686580497475E-2</v>
      </c>
      <c r="G10">
        <f t="shared" si="18"/>
        <v>2.953084786565062E-2</v>
      </c>
      <c r="H10">
        <f t="shared" si="1"/>
        <v>2.8886686580497475E-2</v>
      </c>
      <c r="I10" t="e">
        <f t="shared" si="2"/>
        <v>#N/A</v>
      </c>
      <c r="J10">
        <f t="shared" si="3"/>
        <v>0.58952421592851989</v>
      </c>
      <c r="K10">
        <f>F10/(D10+Calculations!J93)</f>
        <v>0.21830816680895265</v>
      </c>
      <c r="L10">
        <f>Calculations!F93/100</f>
        <v>0.26890659684797003</v>
      </c>
      <c r="M10">
        <f>LN(Calculations!G93/Calculations!G92)</f>
        <v>-7.5111778297573498E-2</v>
      </c>
      <c r="N10">
        <v>0.5</v>
      </c>
      <c r="O10">
        <f t="shared" si="19"/>
        <v>7.0123348208644215E-2</v>
      </c>
      <c r="P10">
        <f t="shared" si="5"/>
        <v>2.6930446018062777E-2</v>
      </c>
      <c r="Q10">
        <f t="shared" si="21"/>
        <v>2.6071389683590684E-2</v>
      </c>
      <c r="R10">
        <f>Calculations!J93/( (Calculations!I93/100) + Calculations!J93 )</f>
        <v>0.62968753291141721</v>
      </c>
      <c r="S10">
        <f>LN(Calculations!J93/Calculations!J92)</f>
        <v>-5.8972190206409335E-2</v>
      </c>
      <c r="T10">
        <f t="shared" si="20"/>
        <v>9.5362207835432769E-3</v>
      </c>
      <c r="U10">
        <f t="shared" si="7"/>
        <v>2.861252606482996E-2</v>
      </c>
      <c r="V10">
        <f t="shared" si="22"/>
        <v>2.8452406729740632E-2</v>
      </c>
      <c r="W10">
        <f t="shared" si="8"/>
        <v>7.9659568992187485E-2</v>
      </c>
      <c r="X10">
        <f t="shared" si="9"/>
        <v>2.6674851976603801E-2</v>
      </c>
      <c r="Y10">
        <f t="shared" si="23"/>
        <v>2.5133979725809538E-2</v>
      </c>
      <c r="AC10" s="1">
        <f t="shared" si="16"/>
        <v>37681</v>
      </c>
      <c r="AD10">
        <f t="shared" si="10"/>
        <v>5.8666666666666666E-2</v>
      </c>
      <c r="AE10">
        <f t="shared" si="11"/>
        <v>2.2947007595833541E-2</v>
      </c>
      <c r="AF10">
        <f t="shared" si="12"/>
        <v>1.9266050389457601E-2</v>
      </c>
      <c r="AG10">
        <f t="shared" si="13"/>
        <v>2.2610832078344481E-2</v>
      </c>
      <c r="AH10">
        <f t="shared" si="14"/>
        <v>1.9025241594960909E-2</v>
      </c>
    </row>
    <row r="11" spans="1:34" x14ac:dyDescent="0.2">
      <c r="A11" s="1">
        <f t="shared" si="15"/>
        <v>37135</v>
      </c>
      <c r="B11">
        <f>'raw BLS data'!Q28</f>
        <v>4006</v>
      </c>
      <c r="C11">
        <f>'raw BLS data'!W39</f>
        <v>143989</v>
      </c>
      <c r="D11">
        <f>'raw BLS data'!J111/100</f>
        <v>0.05</v>
      </c>
      <c r="E11">
        <f t="shared" si="17"/>
        <v>4.8333333333333339E-2</v>
      </c>
      <c r="F11">
        <f t="shared" si="0"/>
        <v>2.782156970324122E-2</v>
      </c>
      <c r="G11">
        <f t="shared" si="18"/>
        <v>2.872032301730593E-2</v>
      </c>
      <c r="H11">
        <f t="shared" si="1"/>
        <v>2.782156970324122E-2</v>
      </c>
      <c r="I11" t="e">
        <f t="shared" si="2"/>
        <v>#N/A</v>
      </c>
      <c r="J11">
        <f t="shared" si="3"/>
        <v>0.55643139406482434</v>
      </c>
      <c r="K11">
        <f>F11/(D11+Calculations!J94)</f>
        <v>0.20986836863258898</v>
      </c>
      <c r="L11">
        <f>Calculations!F94/100</f>
        <v>0.26970625998924402</v>
      </c>
      <c r="M11">
        <f>LN(Calculations!G94/Calculations!G93)</f>
        <v>0.14784235162378903</v>
      </c>
      <c r="N11">
        <v>0.5</v>
      </c>
      <c r="O11">
        <f t="shared" si="19"/>
        <v>0.36580805145622231</v>
      </c>
      <c r="P11">
        <f t="shared" si="5"/>
        <v>1.9298040398514415E-2</v>
      </c>
      <c r="Q11">
        <f t="shared" si="21"/>
        <v>2.3285547973594018E-2</v>
      </c>
      <c r="R11">
        <f>Calculations!J94/( (Calculations!I94/100) + Calculations!J94 )</f>
        <v>0.62283154604296231</v>
      </c>
      <c r="S11">
        <f>LN(Calculations!J94/Calculations!J93)</f>
        <v>-9.0896791168819189E-3</v>
      </c>
      <c r="T11">
        <f t="shared" si="20"/>
        <v>3.8748818861412829E-3</v>
      </c>
      <c r="U11">
        <f t="shared" si="7"/>
        <v>2.7713973003633003E-2</v>
      </c>
      <c r="V11">
        <f t="shared" si="22"/>
        <v>2.8145409377752232E-2</v>
      </c>
      <c r="W11">
        <f t="shared" si="8"/>
        <v>0.36968293334236357</v>
      </c>
      <c r="X11">
        <f t="shared" si="9"/>
        <v>1.9223407461626447E-2</v>
      </c>
      <c r="Y11">
        <f t="shared" si="23"/>
        <v>2.2816340364580859E-2</v>
      </c>
      <c r="AC11" s="1">
        <f t="shared" si="16"/>
        <v>37773</v>
      </c>
      <c r="AD11">
        <f t="shared" si="10"/>
        <v>6.133333333333333E-2</v>
      </c>
      <c r="AE11">
        <f t="shared" si="11"/>
        <v>2.1386730016022527E-2</v>
      </c>
      <c r="AF11">
        <f t="shared" si="12"/>
        <v>1.5385426389106518E-2</v>
      </c>
      <c r="AG11">
        <f t="shared" si="13"/>
        <v>1.9946165453742584E-2</v>
      </c>
      <c r="AH11">
        <f t="shared" si="14"/>
        <v>1.4426078787431337E-2</v>
      </c>
    </row>
    <row r="12" spans="1:34" x14ac:dyDescent="0.2">
      <c r="A12" s="1">
        <f t="shared" si="15"/>
        <v>37165</v>
      </c>
      <c r="B12">
        <f>'raw BLS data'!Q29</f>
        <v>3583</v>
      </c>
      <c r="C12">
        <f>'raw BLS data'!W40</f>
        <v>144086</v>
      </c>
      <c r="D12">
        <f>'raw BLS data'!J112/100</f>
        <v>5.2999999999999999E-2</v>
      </c>
      <c r="E12">
        <f t="shared" si="17"/>
        <v>5.0666666666666665E-2</v>
      </c>
      <c r="F12">
        <f t="shared" si="0"/>
        <v>2.4867093263745262E-2</v>
      </c>
      <c r="G12">
        <f t="shared" si="18"/>
        <v>2.7191783182494655E-2</v>
      </c>
      <c r="H12">
        <f t="shared" si="1"/>
        <v>2.4867093263745262E-2</v>
      </c>
      <c r="I12" t="e">
        <f t="shared" si="2"/>
        <v>#N/A</v>
      </c>
      <c r="J12">
        <f t="shared" si="3"/>
        <v>0.46919043893858986</v>
      </c>
      <c r="K12">
        <f>F12/(D12+Calculations!J95)</f>
        <v>0.19322928771557385</v>
      </c>
      <c r="L12">
        <f>Calculations!F95/100</f>
        <v>0.29778986767487903</v>
      </c>
      <c r="M12">
        <f>LN(Calculations!G95/Calculations!G94)</f>
        <v>8.0472201936277965E-2</v>
      </c>
      <c r="N12">
        <v>0.5</v>
      </c>
      <c r="O12">
        <f t="shared" si="19"/>
        <v>0.52675245532877824</v>
      </c>
      <c r="P12">
        <f t="shared" si="5"/>
        <v>1.4684505913770947E-2</v>
      </c>
      <c r="Q12">
        <f t="shared" si="21"/>
        <v>2.0304330776782713E-2</v>
      </c>
      <c r="R12">
        <f>Calculations!J95/( (Calculations!I95/100) + Calculations!J95 )</f>
        <v>0.58816448145725164</v>
      </c>
      <c r="S12">
        <f>LN(Calculations!J95/Calculations!J94)</f>
        <v>-8.6932671042589921E-2</v>
      </c>
      <c r="T12">
        <f t="shared" si="20"/>
        <v>-4.7255827499317456E-2</v>
      </c>
      <c r="U12">
        <f t="shared" si="7"/>
        <v>2.6070416427957009E-2</v>
      </c>
      <c r="V12">
        <f t="shared" si="22"/>
        <v>2.746563849880666E-2</v>
      </c>
      <c r="W12">
        <f t="shared" si="8"/>
        <v>0.47949662782946079</v>
      </c>
      <c r="X12">
        <f t="shared" si="9"/>
        <v>1.5395091824783196E-2</v>
      </c>
      <c r="Y12">
        <f t="shared" si="23"/>
        <v>2.0431117087671147E-2</v>
      </c>
      <c r="AC12" s="1">
        <f t="shared" si="16"/>
        <v>37865</v>
      </c>
      <c r="AD12">
        <f t="shared" si="10"/>
        <v>6.133333333333333E-2</v>
      </c>
      <c r="AE12">
        <f t="shared" si="11"/>
        <v>2.1251168279784145E-2</v>
      </c>
      <c r="AF12">
        <f t="shared" si="12"/>
        <v>1.8940973990004255E-2</v>
      </c>
      <c r="AG12">
        <f t="shared" si="13"/>
        <v>2.0603743957455237E-2</v>
      </c>
      <c r="AH12">
        <f t="shared" si="14"/>
        <v>1.8344886789528166E-2</v>
      </c>
    </row>
    <row r="13" spans="1:34" x14ac:dyDescent="0.2">
      <c r="A13" s="1">
        <f t="shared" si="15"/>
        <v>37196</v>
      </c>
      <c r="B13">
        <f>'raw BLS data'!Q30</f>
        <v>3538</v>
      </c>
      <c r="C13">
        <f>'raw BLS data'!W41</f>
        <v>144240</v>
      </c>
      <c r="D13">
        <f>'raw BLS data'!J113/100</f>
        <v>5.5E-2</v>
      </c>
      <c r="E13">
        <f t="shared" si="17"/>
        <v>5.2666666666666667E-2</v>
      </c>
      <c r="F13">
        <f t="shared" si="0"/>
        <v>2.4528563505268997E-2</v>
      </c>
      <c r="G13">
        <f t="shared" si="18"/>
        <v>2.5739075490751828E-2</v>
      </c>
      <c r="H13">
        <f t="shared" si="1"/>
        <v>2.4528563505268997E-2</v>
      </c>
      <c r="I13" t="e">
        <f t="shared" si="2"/>
        <v>#N/A</v>
      </c>
      <c r="J13">
        <f t="shared" si="3"/>
        <v>0.44597388191398174</v>
      </c>
      <c r="K13">
        <f>F13/(D13+Calculations!J96)</f>
        <v>0.18513179685119682</v>
      </c>
      <c r="L13">
        <f>Calculations!F96/100</f>
        <v>0.28438503753370697</v>
      </c>
      <c r="M13">
        <f>LN(Calculations!G96/Calculations!G95)</f>
        <v>-8.9175212473249291E-2</v>
      </c>
      <c r="N13">
        <v>0.5</v>
      </c>
      <c r="O13">
        <f t="shared" si="19"/>
        <v>0.34840203038227968</v>
      </c>
      <c r="P13">
        <f t="shared" si="5"/>
        <v>1.7312629523863792E-2</v>
      </c>
      <c r="Q13">
        <f t="shared" si="21"/>
        <v>1.7098391945383051E-2</v>
      </c>
      <c r="R13">
        <f>Calculations!J96/( (Calculations!I96/100) + Calculations!J96 )</f>
        <v>0.58488197547204213</v>
      </c>
      <c r="S13">
        <f>LN(Calculations!J96/Calculations!J95)</f>
        <v>2.3505874625651877E-2</v>
      </c>
      <c r="T13">
        <f t="shared" si="20"/>
        <v>-3.3507665113068033E-2</v>
      </c>
      <c r="U13">
        <f t="shared" si="7"/>
        <v>2.5364383382292598E-2</v>
      </c>
      <c r="V13">
        <f t="shared" si="22"/>
        <v>2.6382924271294201E-2</v>
      </c>
      <c r="W13">
        <f t="shared" si="8"/>
        <v>0.31489436526921166</v>
      </c>
      <c r="X13">
        <f t="shared" si="9"/>
        <v>1.7902563780571593E-2</v>
      </c>
      <c r="Y13">
        <f t="shared" si="23"/>
        <v>1.7507021022327079E-2</v>
      </c>
      <c r="AC13" s="1">
        <f t="shared" si="16"/>
        <v>37956</v>
      </c>
      <c r="AD13">
        <f t="shared" si="10"/>
        <v>5.8333333333333327E-2</v>
      </c>
      <c r="AE13">
        <f t="shared" si="11"/>
        <v>2.1979795770096806E-2</v>
      </c>
      <c r="AF13">
        <f t="shared" si="12"/>
        <v>1.9893855746771754E-2</v>
      </c>
      <c r="AG13">
        <f t="shared" si="13"/>
        <v>2.2181455547582284E-2</v>
      </c>
      <c r="AH13">
        <f t="shared" si="14"/>
        <v>1.9923277436702417E-2</v>
      </c>
    </row>
    <row r="14" spans="1:34" x14ac:dyDescent="0.2">
      <c r="A14" s="1">
        <f t="shared" si="15"/>
        <v>37226</v>
      </c>
      <c r="B14">
        <f>'raw BLS data'!Q31</f>
        <v>3559</v>
      </c>
      <c r="C14">
        <f>'raw BLS data'!W42</f>
        <v>144305</v>
      </c>
      <c r="D14">
        <f>'raw BLS data'!J114/100</f>
        <v>5.7000000000000002E-2</v>
      </c>
      <c r="E14">
        <f t="shared" si="17"/>
        <v>5.5E-2</v>
      </c>
      <c r="F14">
        <f t="shared" si="0"/>
        <v>2.4663040088701016E-2</v>
      </c>
      <c r="G14">
        <f t="shared" si="18"/>
        <v>2.468623228590509E-2</v>
      </c>
      <c r="H14">
        <f t="shared" si="1"/>
        <v>2.4663040088701016E-2</v>
      </c>
      <c r="I14" t="e">
        <f t="shared" si="2"/>
        <v>#N/A</v>
      </c>
      <c r="J14">
        <f t="shared" si="3"/>
        <v>0.43268491383685992</v>
      </c>
      <c r="K14">
        <f>F14/(D14+Calculations!J97)</f>
        <v>0.17579262111881402</v>
      </c>
      <c r="L14">
        <f>Calculations!F97/100</f>
        <v>0.26075127281757998</v>
      </c>
      <c r="M14">
        <f>LN(Calculations!G97/Calculations!G96)</f>
        <v>-5.0213675286390307E-3</v>
      </c>
      <c r="N14">
        <v>0.5</v>
      </c>
      <c r="O14">
        <f t="shared" si="19"/>
        <v>0.33835929532500164</v>
      </c>
      <c r="P14">
        <f t="shared" si="5"/>
        <v>1.7583245263612397E-2</v>
      </c>
      <c r="Q14">
        <f t="shared" si="21"/>
        <v>1.6526793567082379E-2</v>
      </c>
      <c r="R14">
        <f>Calculations!J97/( (Calculations!I97/100) + Calculations!J97 )</f>
        <v>0.59371677750453045</v>
      </c>
      <c r="S14">
        <f>LN(Calculations!J97/Calculations!J96)</f>
        <v>7.222277466135231E-2</v>
      </c>
      <c r="T14">
        <f t="shared" si="20"/>
        <v>9.372207921305914E-3</v>
      </c>
      <c r="U14">
        <f t="shared" si="7"/>
        <v>2.4432972752530934E-2</v>
      </c>
      <c r="V14">
        <f t="shared" si="22"/>
        <v>2.5289257520926849E-2</v>
      </c>
      <c r="W14">
        <f t="shared" si="8"/>
        <v>0.34773150324630753</v>
      </c>
      <c r="X14">
        <f t="shared" si="9"/>
        <v>1.7419221267200139E-2</v>
      </c>
      <c r="Y14">
        <f t="shared" si="23"/>
        <v>1.6905625624184975E-2</v>
      </c>
      <c r="AC14" s="1">
        <f t="shared" si="16"/>
        <v>38047</v>
      </c>
      <c r="AD14">
        <f t="shared" si="10"/>
        <v>5.6999999999999995E-2</v>
      </c>
      <c r="AE14">
        <f t="shared" si="11"/>
        <v>2.2999187272950142E-2</v>
      </c>
      <c r="AF14">
        <f t="shared" si="12"/>
        <v>2.1539000702570647E-2</v>
      </c>
      <c r="AG14">
        <f t="shared" si="13"/>
        <v>2.0764173957691274E-2</v>
      </c>
      <c r="AH14">
        <f t="shared" si="14"/>
        <v>1.9389072220469369E-2</v>
      </c>
    </row>
    <row r="15" spans="1:34" x14ac:dyDescent="0.2">
      <c r="A15" s="1">
        <f t="shared" si="15"/>
        <v>37257</v>
      </c>
      <c r="B15">
        <f>'raw BLS data'!Q32</f>
        <v>3572</v>
      </c>
      <c r="C15">
        <f>'raw BLS data'!W43</f>
        <v>143883</v>
      </c>
      <c r="D15">
        <f>'raw BLS data'!J115/100</f>
        <v>5.7000000000000002E-2</v>
      </c>
      <c r="E15">
        <f t="shared" si="17"/>
        <v>5.6333333333333339E-2</v>
      </c>
      <c r="F15">
        <f t="shared" si="0"/>
        <v>2.4825726458302926E-2</v>
      </c>
      <c r="G15">
        <f t="shared" si="18"/>
        <v>2.4672443350757647E-2</v>
      </c>
      <c r="H15">
        <f t="shared" si="1"/>
        <v>2.4825726458302926E-2</v>
      </c>
      <c r="I15" t="e">
        <f t="shared" si="2"/>
        <v>#N/A</v>
      </c>
      <c r="J15">
        <f t="shared" si="3"/>
        <v>0.43553906067198117</v>
      </c>
      <c r="K15">
        <f>F15/(D15+Calculations!J98)</f>
        <v>0.18407370473511298</v>
      </c>
      <c r="L15">
        <f>Calculations!F98/100</f>
        <v>0.29921148641469503</v>
      </c>
      <c r="M15">
        <f>LN(Calculations!G98/Calculations!G97)</f>
        <v>4.297577331784156E-2</v>
      </c>
      <c r="N15">
        <v>0.5</v>
      </c>
      <c r="O15">
        <f t="shared" si="19"/>
        <v>0.42431084196068475</v>
      </c>
      <c r="P15">
        <f t="shared" si="5"/>
        <v>1.624149895593989E-2</v>
      </c>
      <c r="Q15">
        <f t="shared" si="21"/>
        <v>1.7045791247805361E-2</v>
      </c>
      <c r="R15">
        <f>Calculations!J98/( (Calculations!I98/100) + Calculations!J98 )</f>
        <v>0.57736579481272998</v>
      </c>
      <c r="S15">
        <f>LN(Calculations!J98/Calculations!J97)</f>
        <v>-6.73829076738518E-2</v>
      </c>
      <c r="T15">
        <f t="shared" si="20"/>
        <v>-2.9532378124600335E-2</v>
      </c>
      <c r="U15">
        <f t="shared" si="7"/>
        <v>2.5569822583142901E-2</v>
      </c>
      <c r="V15">
        <f t="shared" si="22"/>
        <v>2.5122392905988809E-2</v>
      </c>
      <c r="W15">
        <f t="shared" si="8"/>
        <v>0.39477846383608439</v>
      </c>
      <c r="X15">
        <f t="shared" si="9"/>
        <v>1.6728301888172533E-2</v>
      </c>
      <c r="Y15">
        <f t="shared" si="23"/>
        <v>1.7350028978648086E-2</v>
      </c>
      <c r="AC15" s="1">
        <f t="shared" si="16"/>
        <v>38139</v>
      </c>
      <c r="AD15">
        <f t="shared" si="10"/>
        <v>5.5999999999999994E-2</v>
      </c>
      <c r="AE15">
        <f t="shared" si="11"/>
        <v>2.3941772345219714E-2</v>
      </c>
      <c r="AF15">
        <f t="shared" si="12"/>
        <v>2.1615647175204311E-2</v>
      </c>
      <c r="AG15">
        <f t="shared" si="13"/>
        <v>2.3530744686772812E-2</v>
      </c>
      <c r="AH15">
        <f t="shared" si="14"/>
        <v>2.1280803646455182E-2</v>
      </c>
    </row>
    <row r="16" spans="1:34" x14ac:dyDescent="0.2">
      <c r="A16" s="1">
        <f t="shared" si="15"/>
        <v>37288</v>
      </c>
      <c r="B16">
        <f>'raw BLS data'!Q33</f>
        <v>3370</v>
      </c>
      <c r="C16">
        <f>'raw BLS data'!W44</f>
        <v>144653</v>
      </c>
      <c r="D16">
        <f>'raw BLS data'!J116/100</f>
        <v>5.7000000000000002E-2</v>
      </c>
      <c r="E16">
        <f t="shared" si="17"/>
        <v>5.7000000000000002E-2</v>
      </c>
      <c r="F16">
        <f t="shared" si="0"/>
        <v>2.3297131756686691E-2</v>
      </c>
      <c r="G16">
        <f t="shared" si="18"/>
        <v>2.4261966101230215E-2</v>
      </c>
      <c r="H16">
        <f t="shared" si="1"/>
        <v>2.3297131756686691E-2</v>
      </c>
      <c r="I16" t="e">
        <f t="shared" si="2"/>
        <v>#N/A</v>
      </c>
      <c r="J16">
        <f t="shared" si="3"/>
        <v>0.40872160976643318</v>
      </c>
      <c r="K16">
        <f>F16/(D16+Calculations!J99)</f>
        <v>0.17033778272366767</v>
      </c>
      <c r="L16">
        <f>Calculations!F99/100</f>
        <v>0.27445278499015296</v>
      </c>
      <c r="M16">
        <f>LN(Calculations!G99/Calculations!G98)</f>
        <v>-7.9610499481429384E-2</v>
      </c>
      <c r="N16">
        <v>0.5</v>
      </c>
      <c r="O16">
        <f t="shared" si="19"/>
        <v>0.26508984299782601</v>
      </c>
      <c r="P16">
        <f t="shared" si="5"/>
        <v>1.7872092346615825E-2</v>
      </c>
      <c r="Q16">
        <f t="shared" si="21"/>
        <v>1.7232278855389371E-2</v>
      </c>
      <c r="R16">
        <f>Calculations!J99/( (Calculations!I99/100) + Calculations!J99 )</f>
        <v>0.58324253317310915</v>
      </c>
      <c r="S16">
        <f>LN(Calculations!J99/Calculations!J98)</f>
        <v>2.4129686762177704E-2</v>
      </c>
      <c r="T16">
        <f t="shared" si="20"/>
        <v>-1.5458918492754173E-2</v>
      </c>
      <c r="U16">
        <f t="shared" si="7"/>
        <v>2.3660078370692426E-2</v>
      </c>
      <c r="V16">
        <f t="shared" si="22"/>
        <v>2.4554291235455421E-2</v>
      </c>
      <c r="W16">
        <f t="shared" si="8"/>
        <v>0.24963092450507185</v>
      </c>
      <c r="X16">
        <f t="shared" si="9"/>
        <v>1.8150522132314242E-2</v>
      </c>
      <c r="Y16">
        <f t="shared" si="23"/>
        <v>1.7432681762562307E-2</v>
      </c>
      <c r="AC16" s="1">
        <f t="shared" si="16"/>
        <v>38231</v>
      </c>
      <c r="AD16">
        <f t="shared" si="10"/>
        <v>5.4333333333333345E-2</v>
      </c>
      <c r="AE16">
        <f t="shared" si="11"/>
        <v>2.5264732491166331E-2</v>
      </c>
      <c r="AF16">
        <f t="shared" si="12"/>
        <v>2.2326425762902728E-2</v>
      </c>
      <c r="AG16">
        <f t="shared" si="13"/>
        <v>2.4226657054447362E-2</v>
      </c>
      <c r="AH16">
        <f t="shared" si="14"/>
        <v>2.140470235842944E-2</v>
      </c>
    </row>
    <row r="17" spans="1:34" x14ac:dyDescent="0.2">
      <c r="A17" s="1">
        <f t="shared" si="15"/>
        <v>37316</v>
      </c>
      <c r="B17">
        <f>'raw BLS data'!Q34</f>
        <v>3560</v>
      </c>
      <c r="C17">
        <f>'raw BLS data'!W45</f>
        <v>144481</v>
      </c>
      <c r="D17">
        <f>'raw BLS data'!J117/100</f>
        <v>5.7000000000000002E-2</v>
      </c>
      <c r="E17">
        <f t="shared" si="17"/>
        <v>5.7000000000000002E-2</v>
      </c>
      <c r="F17">
        <f t="shared" si="0"/>
        <v>2.4639918051508503E-2</v>
      </c>
      <c r="G17">
        <f t="shared" si="18"/>
        <v>2.4254258755499372E-2</v>
      </c>
      <c r="H17">
        <f t="shared" si="1"/>
        <v>2.4639918051508503E-2</v>
      </c>
      <c r="I17" t="e">
        <f t="shared" si="2"/>
        <v>#N/A</v>
      </c>
      <c r="J17">
        <f t="shared" si="3"/>
        <v>0.43227926406155265</v>
      </c>
      <c r="K17">
        <f>F17/(D17+Calculations!J100)</f>
        <v>0.17000394752749218</v>
      </c>
      <c r="L17">
        <f>Calculations!F100/100</f>
        <v>0.243849023308222</v>
      </c>
      <c r="M17">
        <f>LN(Calculations!G100/Calculations!G99)</f>
        <v>4.8052457753255499E-2</v>
      </c>
      <c r="N17">
        <v>0.5</v>
      </c>
      <c r="O17">
        <f t="shared" si="19"/>
        <v>0.36119475850433702</v>
      </c>
      <c r="P17">
        <f t="shared" si="5"/>
        <v>1.7170161045301047E-2</v>
      </c>
      <c r="Q17">
        <f t="shared" si="21"/>
        <v>1.7094584115952254E-2</v>
      </c>
      <c r="R17">
        <f>Calculations!J100/( (Calculations!I100/100) + Calculations!J100 )</f>
        <v>0.6067265731643211</v>
      </c>
      <c r="S17">
        <f>LN(Calculations!J100/Calculations!J99)</f>
        <v>9.7474450520237232E-2</v>
      </c>
      <c r="T17">
        <f t="shared" si="20"/>
        <v>4.3681420842464541E-2</v>
      </c>
      <c r="U17">
        <f t="shared" si="7"/>
        <v>2.3586780150936418E-2</v>
      </c>
      <c r="V17">
        <f t="shared" si="22"/>
        <v>2.4272227034923915E-2</v>
      </c>
      <c r="W17">
        <f t="shared" si="8"/>
        <v>0.40487617934680153</v>
      </c>
      <c r="X17">
        <f t="shared" si="9"/>
        <v>1.6436288987856203E-2</v>
      </c>
      <c r="Y17">
        <f t="shared" si="23"/>
        <v>1.7105037669447657E-2</v>
      </c>
      <c r="AC17" s="1">
        <f t="shared" si="16"/>
        <v>38322</v>
      </c>
      <c r="AD17">
        <f t="shared" si="10"/>
        <v>5.4333333333333345E-2</v>
      </c>
      <c r="AE17">
        <f t="shared" si="11"/>
        <v>2.4835937650916764E-2</v>
      </c>
      <c r="AF17">
        <f t="shared" si="12"/>
        <v>2.1705847612108489E-2</v>
      </c>
      <c r="AG17">
        <f t="shared" si="13"/>
        <v>2.3497524954807985E-2</v>
      </c>
      <c r="AH17">
        <f t="shared" si="14"/>
        <v>2.0497173915274319E-2</v>
      </c>
    </row>
    <row r="18" spans="1:34" x14ac:dyDescent="0.2">
      <c r="A18" s="1">
        <f t="shared" si="15"/>
        <v>37347</v>
      </c>
      <c r="B18">
        <f>'raw BLS data'!Q35</f>
        <v>3373</v>
      </c>
      <c r="C18">
        <f>'raw BLS data'!W46</f>
        <v>144725</v>
      </c>
      <c r="D18">
        <f>'raw BLS data'!J118/100</f>
        <v>5.9000000000000004E-2</v>
      </c>
      <c r="E18">
        <f t="shared" si="17"/>
        <v>5.7666666666666672E-2</v>
      </c>
      <c r="F18">
        <f t="shared" si="0"/>
        <v>2.3306270513041977E-2</v>
      </c>
      <c r="G18">
        <f t="shared" si="18"/>
        <v>2.374777344041239E-2</v>
      </c>
      <c r="H18">
        <f t="shared" si="1"/>
        <v>2.3306270513041977E-2</v>
      </c>
      <c r="I18" t="e">
        <f t="shared" si="2"/>
        <v>#N/A</v>
      </c>
      <c r="J18">
        <f t="shared" si="3"/>
        <v>0.39502153411935553</v>
      </c>
      <c r="K18">
        <f>F18/(D18+Calculations!J101)</f>
        <v>0.15533935557555789</v>
      </c>
      <c r="L18">
        <f>Calculations!F101/100</f>
        <v>0.25995077879849904</v>
      </c>
      <c r="M18">
        <f>LN(Calculations!G101/Calculations!G100)</f>
        <v>3.0301945187861595E-2</v>
      </c>
      <c r="N18">
        <v>0.5</v>
      </c>
      <c r="O18">
        <f t="shared" si="19"/>
        <v>0.42179864888006019</v>
      </c>
      <c r="P18">
        <f t="shared" si="5"/>
        <v>1.5285792408294262E-2</v>
      </c>
      <c r="Q18">
        <f t="shared" si="21"/>
        <v>1.6776015266737044E-2</v>
      </c>
      <c r="R18">
        <f>Calculations!J101/( (Calculations!I101/100) + Calculations!J101 )</f>
        <v>0.60675724698942057</v>
      </c>
      <c r="S18">
        <f>LN(Calculations!J101/Calculations!J100)</f>
        <v>3.461473027327365E-2</v>
      </c>
      <c r="T18">
        <f t="shared" si="20"/>
        <v>6.4684159288357412E-2</v>
      </c>
      <c r="U18">
        <f t="shared" si="7"/>
        <v>2.1846446698180519E-2</v>
      </c>
      <c r="V18">
        <f t="shared" si="22"/>
        <v>2.3031101739936454E-2</v>
      </c>
      <c r="W18">
        <f t="shared" si="8"/>
        <v>0.4864828081684176</v>
      </c>
      <c r="X18">
        <f t="shared" si="9"/>
        <v>1.4328343477365163E-2</v>
      </c>
      <c r="Y18">
        <f t="shared" si="23"/>
        <v>1.6305051532511869E-2</v>
      </c>
      <c r="AC18" s="1">
        <f t="shared" si="16"/>
        <v>38412</v>
      </c>
      <c r="AD18">
        <f t="shared" si="10"/>
        <v>5.3000000000000012E-2</v>
      </c>
      <c r="AE18">
        <f t="shared" si="11"/>
        <v>2.5429620226678811E-2</v>
      </c>
      <c r="AF18">
        <f t="shared" si="12"/>
        <v>2.5248414817283561E-2</v>
      </c>
      <c r="AG18">
        <f t="shared" si="13"/>
        <v>2.3651917902100462E-2</v>
      </c>
      <c r="AH18">
        <f t="shared" si="14"/>
        <v>2.3484793648243438E-2</v>
      </c>
    </row>
    <row r="19" spans="1:34" x14ac:dyDescent="0.2">
      <c r="A19" s="1">
        <f t="shared" si="15"/>
        <v>37377</v>
      </c>
      <c r="B19">
        <f>'raw BLS data'!Q36</f>
        <v>3482</v>
      </c>
      <c r="C19">
        <f>'raw BLS data'!W47</f>
        <v>144938</v>
      </c>
      <c r="D19">
        <f>'raw BLS data'!J119/100</f>
        <v>5.7999999999999996E-2</v>
      </c>
      <c r="E19">
        <f t="shared" si="17"/>
        <v>5.7999999999999996E-2</v>
      </c>
      <c r="F19">
        <f t="shared" si="0"/>
        <v>2.4024065462473609E-2</v>
      </c>
      <c r="G19">
        <f t="shared" si="18"/>
        <v>2.3990084675674695E-2</v>
      </c>
      <c r="H19">
        <f t="shared" si="1"/>
        <v>2.4024065462473609E-2</v>
      </c>
      <c r="I19" t="e">
        <f t="shared" si="2"/>
        <v>#N/A</v>
      </c>
      <c r="J19">
        <f t="shared" si="3"/>
        <v>0.41420802521506223</v>
      </c>
      <c r="K19">
        <f>F19/(D19+Calculations!J102)</f>
        <v>0.15914429396847618</v>
      </c>
      <c r="L19">
        <f>Calculations!F102/100</f>
        <v>0.22905924250354398</v>
      </c>
      <c r="M19">
        <f>LN(Calculations!G102/Calculations!G101)</f>
        <v>-9.7396377825228975E-2</v>
      </c>
      <c r="N19">
        <v>0.5</v>
      </c>
      <c r="O19">
        <f t="shared" si="19"/>
        <v>0.22700589322960224</v>
      </c>
      <c r="P19">
        <f t="shared" si="5"/>
        <v>1.9145164214963047E-2</v>
      </c>
      <c r="Q19">
        <f t="shared" si="21"/>
        <v>1.720037255618612E-2</v>
      </c>
      <c r="R19">
        <f>Calculations!J102/( (Calculations!I102/100) + Calculations!J102 )</f>
        <v>0.61578655100695767</v>
      </c>
      <c r="S19">
        <f>LN(Calculations!J102/Calculations!J101)</f>
        <v>2.0906031944709812E-2</v>
      </c>
      <c r="T19">
        <f t="shared" si="20"/>
        <v>7.7557812594831549E-2</v>
      </c>
      <c r="U19">
        <f t="shared" si="7"/>
        <v>2.2231234132363067E-2</v>
      </c>
      <c r="V19">
        <f t="shared" si="22"/>
        <v>2.255482032716E-2</v>
      </c>
      <c r="W19">
        <f t="shared" si="8"/>
        <v>0.30456370582443382</v>
      </c>
      <c r="X19">
        <f t="shared" si="9"/>
        <v>1.7716428088751922E-2</v>
      </c>
      <c r="Y19">
        <f t="shared" si="23"/>
        <v>1.6160353517991097E-2</v>
      </c>
      <c r="AC19" s="1">
        <f t="shared" si="16"/>
        <v>38504</v>
      </c>
      <c r="AD19">
        <f t="shared" si="10"/>
        <v>5.1000000000000011E-2</v>
      </c>
      <c r="AE19">
        <f t="shared" si="11"/>
        <v>2.6816007538766801E-2</v>
      </c>
      <c r="AF19">
        <f t="shared" si="12"/>
        <v>2.5765048363423502E-2</v>
      </c>
      <c r="AG19">
        <f t="shared" si="13"/>
        <v>2.6324343218956867E-2</v>
      </c>
      <c r="AH19">
        <f t="shared" si="14"/>
        <v>2.5255513229566054E-2</v>
      </c>
    </row>
    <row r="20" spans="1:34" x14ac:dyDescent="0.2">
      <c r="A20" s="1">
        <f t="shared" si="15"/>
        <v>37408</v>
      </c>
      <c r="B20">
        <f>'raw BLS data'!Q37</f>
        <v>3251</v>
      </c>
      <c r="C20">
        <f>'raw BLS data'!W48</f>
        <v>144808</v>
      </c>
      <c r="D20">
        <f>'raw BLS data'!J120/100</f>
        <v>5.7999999999999996E-2</v>
      </c>
      <c r="E20">
        <f t="shared" si="17"/>
        <v>5.8333333333333327E-2</v>
      </c>
      <c r="F20">
        <f t="shared" si="0"/>
        <v>2.2450417104027402E-2</v>
      </c>
      <c r="G20">
        <f t="shared" si="18"/>
        <v>2.3260251026514328E-2</v>
      </c>
      <c r="H20">
        <f t="shared" si="1"/>
        <v>2.2450417104027402E-2</v>
      </c>
      <c r="I20" t="e">
        <f t="shared" si="2"/>
        <v>#N/A</v>
      </c>
      <c r="J20">
        <f t="shared" si="3"/>
        <v>0.38707615696598968</v>
      </c>
      <c r="K20">
        <f>F20/(D20+Calculations!J103)</f>
        <v>0.14837899837924662</v>
      </c>
      <c r="L20">
        <f>Calculations!F103/100</f>
        <v>0.23394072536527599</v>
      </c>
      <c r="M20">
        <f>LN(Calculations!G103/Calculations!G102)</f>
        <v>-7.2228914188267448E-2</v>
      </c>
      <c r="N20">
        <v>0.5</v>
      </c>
      <c r="O20">
        <f t="shared" si="19"/>
        <v>8.2548064853067343E-2</v>
      </c>
      <c r="P20">
        <f t="shared" si="5"/>
        <v>2.0671607252400748E-2</v>
      </c>
      <c r="Q20">
        <f t="shared" si="21"/>
        <v>1.8367521291886017E-2</v>
      </c>
      <c r="R20">
        <f>Calculations!J103/( (Calculations!I103/100) + Calculations!J103 )</f>
        <v>0.61666717076483768</v>
      </c>
      <c r="S20">
        <f>LN(Calculations!J103/Calculations!J102)</f>
        <v>3.7236887399815857E-3</v>
      </c>
      <c r="T20">
        <f t="shared" si="20"/>
        <v>7.9854089194924871E-2</v>
      </c>
      <c r="U20">
        <f t="shared" si="7"/>
        <v>2.0727371138703998E-2</v>
      </c>
      <c r="V20">
        <f t="shared" si="22"/>
        <v>2.1601683989749196E-2</v>
      </c>
      <c r="W20">
        <f t="shared" si="8"/>
        <v>0.16240215404799221</v>
      </c>
      <c r="X20">
        <f t="shared" si="9"/>
        <v>1.9085083077461946E-2</v>
      </c>
      <c r="Y20">
        <f t="shared" si="23"/>
        <v>1.704328488119301E-2</v>
      </c>
      <c r="AC20" s="1">
        <f t="shared" si="16"/>
        <v>38596</v>
      </c>
      <c r="AD20">
        <f t="shared" si="10"/>
        <v>4.9666666666666671E-2</v>
      </c>
      <c r="AE20">
        <f t="shared" si="11"/>
        <v>2.7900349638332825E-2</v>
      </c>
      <c r="AF20">
        <f t="shared" si="12"/>
        <v>2.7637595839335925E-2</v>
      </c>
      <c r="AG20">
        <f t="shared" si="13"/>
        <v>2.7243442998321796E-2</v>
      </c>
      <c r="AH20">
        <f t="shared" si="14"/>
        <v>2.7020250190862238E-2</v>
      </c>
    </row>
    <row r="21" spans="1:34" x14ac:dyDescent="0.2">
      <c r="A21" s="1">
        <f t="shared" si="15"/>
        <v>37438</v>
      </c>
      <c r="B21">
        <f>'raw BLS data'!Q38</f>
        <v>3403</v>
      </c>
      <c r="C21">
        <f>'raw BLS data'!W49</f>
        <v>144803</v>
      </c>
      <c r="D21">
        <f>'raw BLS data'!J121/100</f>
        <v>5.7999999999999996E-2</v>
      </c>
      <c r="E21">
        <f t="shared" si="17"/>
        <v>5.7999999999999996E-2</v>
      </c>
      <c r="F21">
        <f t="shared" si="0"/>
        <v>2.3500894318487876E-2</v>
      </c>
      <c r="G21">
        <f t="shared" si="18"/>
        <v>2.332512562832963E-2</v>
      </c>
      <c r="H21">
        <f t="shared" si="1"/>
        <v>2.3500894318487876E-2</v>
      </c>
      <c r="I21" t="e">
        <f t="shared" si="2"/>
        <v>#N/A</v>
      </c>
      <c r="J21">
        <f t="shared" si="3"/>
        <v>0.40518783307737721</v>
      </c>
      <c r="K21">
        <f>F21/(D21+Calculations!J104)</f>
        <v>0.16588014056677408</v>
      </c>
      <c r="L21">
        <f>Calculations!F104/100</f>
        <v>0.271497243485399</v>
      </c>
      <c r="M21">
        <f>LN(Calculations!G104/Calculations!G103)</f>
        <v>0.13857985050782223</v>
      </c>
      <c r="N21">
        <v>0.5</v>
      </c>
      <c r="O21">
        <f t="shared" si="19"/>
        <v>0.35970776586871178</v>
      </c>
      <c r="P21">
        <f t="shared" si="5"/>
        <v>1.6400809783652916E-2</v>
      </c>
      <c r="Q21">
        <f t="shared" si="21"/>
        <v>1.8739193750338903E-2</v>
      </c>
      <c r="R21">
        <f>Calculations!J104/( (Calculations!I104/100) + Calculations!J104 )</f>
        <v>0.59060927543918484</v>
      </c>
      <c r="S21">
        <f>LN(Calculations!J104/Calculations!J103)</f>
        <v>-0.10894117170499354</v>
      </c>
      <c r="T21">
        <f t="shared" si="20"/>
        <v>1.5512422708742812E-2</v>
      </c>
      <c r="U21">
        <f t="shared" si="7"/>
        <v>2.3139151519368788E-2</v>
      </c>
      <c r="V21">
        <f t="shared" si="22"/>
        <v>2.2032585596811954E-2</v>
      </c>
      <c r="W21">
        <f t="shared" si="8"/>
        <v>0.37522018857745459</v>
      </c>
      <c r="X21">
        <f t="shared" si="9"/>
        <v>1.6148356631932176E-2</v>
      </c>
      <c r="Y21">
        <f t="shared" si="23"/>
        <v>1.7649955932715348E-2</v>
      </c>
      <c r="AC21" s="1">
        <f t="shared" si="16"/>
        <v>38687</v>
      </c>
      <c r="AD21">
        <f t="shared" si="10"/>
        <v>4.9666666666666671E-2</v>
      </c>
      <c r="AE21">
        <f t="shared" si="11"/>
        <v>2.8740432364627772E-2</v>
      </c>
      <c r="AF21">
        <f t="shared" si="12"/>
        <v>3.221560959079145E-2</v>
      </c>
      <c r="AG21">
        <f t="shared" si="13"/>
        <v>2.8537610435057259E-2</v>
      </c>
      <c r="AH21">
        <f t="shared" si="14"/>
        <v>3.1972014590053492E-2</v>
      </c>
    </row>
    <row r="22" spans="1:34" x14ac:dyDescent="0.2">
      <c r="A22" s="1">
        <f t="shared" si="15"/>
        <v>37469</v>
      </c>
      <c r="B22">
        <f>'raw BLS data'!Q39</f>
        <v>3415</v>
      </c>
      <c r="C22">
        <f>'raw BLS data'!W50</f>
        <v>145009</v>
      </c>
      <c r="D22">
        <f>'raw BLS data'!J122/100</f>
        <v>5.7000000000000002E-2</v>
      </c>
      <c r="E22">
        <f t="shared" si="17"/>
        <v>5.7666666666666665E-2</v>
      </c>
      <c r="F22">
        <f t="shared" si="0"/>
        <v>2.355026239750636E-2</v>
      </c>
      <c r="G22">
        <f t="shared" si="18"/>
        <v>2.3167191273340548E-2</v>
      </c>
      <c r="H22">
        <f t="shared" si="1"/>
        <v>2.355026239750636E-2</v>
      </c>
      <c r="I22" t="e">
        <f t="shared" si="2"/>
        <v>#N/A</v>
      </c>
      <c r="J22">
        <f t="shared" si="3"/>
        <v>0.41316249820186596</v>
      </c>
      <c r="K22">
        <f>F22/(D22+Calculations!J105)</f>
        <v>0.17043929358725876</v>
      </c>
      <c r="L22">
        <f>Calculations!F105/100</f>
        <v>0.25498372574240902</v>
      </c>
      <c r="M22">
        <f>LN(Calculations!G105/Calculations!G104)</f>
        <v>-5.7771239250965348E-2</v>
      </c>
      <c r="N22">
        <v>0.5</v>
      </c>
      <c r="O22">
        <f t="shared" si="19"/>
        <v>0.24416528736678109</v>
      </c>
      <c r="P22">
        <f t="shared" si="5"/>
        <v>1.8448289850824123E-2</v>
      </c>
      <c r="Q22">
        <f t="shared" si="21"/>
        <v>1.8506902295625929E-2</v>
      </c>
      <c r="R22">
        <f>Calculations!J105/( (Calculations!I105/100) + Calculations!J105 )</f>
        <v>0.58747636988102359</v>
      </c>
      <c r="S22">
        <f>LN(Calculations!J105/Calculations!J104)</f>
        <v>-3.0333865758298533E-2</v>
      </c>
      <c r="T22">
        <f t="shared" si="20"/>
        <v>-2.3080066314006935E-3</v>
      </c>
      <c r="U22">
        <f t="shared" si="7"/>
        <v>2.3604679332458293E-2</v>
      </c>
      <c r="V22">
        <f t="shared" si="22"/>
        <v>2.2490400663510362E-2</v>
      </c>
      <c r="W22">
        <f t="shared" si="8"/>
        <v>0.2418572807353804</v>
      </c>
      <c r="X22">
        <f t="shared" si="9"/>
        <v>1.8490917800009648E-2</v>
      </c>
      <c r="Y22">
        <f t="shared" si="23"/>
        <v>1.7908119169801257E-2</v>
      </c>
      <c r="AC22" s="1">
        <f t="shared" si="16"/>
        <v>38777</v>
      </c>
      <c r="AD22">
        <f t="shared" si="10"/>
        <v>4.7333333333333338E-2</v>
      </c>
      <c r="AE22">
        <f t="shared" si="11"/>
        <v>2.8892336986104179E-2</v>
      </c>
      <c r="AF22">
        <f t="shared" si="12"/>
        <v>3.0990839652294506E-2</v>
      </c>
      <c r="AG22">
        <f t="shared" si="13"/>
        <v>2.7390195280696545E-2</v>
      </c>
      <c r="AH22">
        <f t="shared" si="14"/>
        <v>2.9368008796223682E-2</v>
      </c>
    </row>
    <row r="23" spans="1:34" x14ac:dyDescent="0.2">
      <c r="A23" s="1">
        <f t="shared" si="15"/>
        <v>37500</v>
      </c>
      <c r="B23">
        <f>'raw BLS data'!Q40</f>
        <v>3290</v>
      </c>
      <c r="C23">
        <f>'raw BLS data'!W51</f>
        <v>145552</v>
      </c>
      <c r="D23">
        <f>'raw BLS data'!J123/100</f>
        <v>5.7000000000000002E-2</v>
      </c>
      <c r="E23">
        <f t="shared" si="17"/>
        <v>5.7333333333333326E-2</v>
      </c>
      <c r="F23">
        <f t="shared" si="0"/>
        <v>2.2603605584258547E-2</v>
      </c>
      <c r="G23">
        <f t="shared" si="18"/>
        <v>2.3218254100084258E-2</v>
      </c>
      <c r="H23">
        <f t="shared" si="1"/>
        <v>2.2603605584258547E-2</v>
      </c>
      <c r="I23" t="e">
        <f t="shared" si="2"/>
        <v>#N/A</v>
      </c>
      <c r="J23">
        <f t="shared" si="3"/>
        <v>0.39655448393436044</v>
      </c>
      <c r="K23">
        <f>F23/(D23+Calculations!J106)</f>
        <v>0.15740827573069222</v>
      </c>
      <c r="L23">
        <f>Calculations!F106/100</f>
        <v>0.23436916726492002</v>
      </c>
      <c r="M23">
        <f>LN(Calculations!G106/Calculations!G105)</f>
        <v>-1.3527986352512632E-2</v>
      </c>
      <c r="N23">
        <v>0.5</v>
      </c>
      <c r="O23">
        <f t="shared" si="19"/>
        <v>0.21710931466175581</v>
      </c>
      <c r="P23">
        <f t="shared" si="5"/>
        <v>1.8192330751936527E-2</v>
      </c>
      <c r="Q23">
        <f t="shared" si="21"/>
        <v>1.7680476795471186E-2</v>
      </c>
      <c r="R23">
        <f>Calculations!J106/( (Calculations!I106/100) + Calculations!J106 )</f>
        <v>0.60306015413320324</v>
      </c>
      <c r="S23">
        <f>LN(Calculations!J106/Calculations!J105)</f>
        <v>6.4689667929968372E-2</v>
      </c>
      <c r="T23">
        <f t="shared" si="20"/>
        <v>3.6703754481271764E-2</v>
      </c>
      <c r="U23">
        <f t="shared" si="7"/>
        <v>2.1789009214707299E-2</v>
      </c>
      <c r="V23">
        <f t="shared" si="22"/>
        <v>2.2844280022178125E-2</v>
      </c>
      <c r="W23">
        <f t="shared" si="8"/>
        <v>0.25381306914302759</v>
      </c>
      <c r="X23">
        <f t="shared" si="9"/>
        <v>1.7536709394142022E-2</v>
      </c>
      <c r="Y23">
        <f t="shared" si="23"/>
        <v>1.7391994608694616E-2</v>
      </c>
      <c r="AC23" s="1">
        <f t="shared" si="16"/>
        <v>38869</v>
      </c>
      <c r="AD23">
        <f t="shared" si="10"/>
        <v>4.6333333333333337E-2</v>
      </c>
      <c r="AE23">
        <f t="shared" si="11"/>
        <v>2.9247939162282622E-2</v>
      </c>
      <c r="AF23">
        <f t="shared" si="12"/>
        <v>3.078111061016001E-2</v>
      </c>
      <c r="AG23">
        <f t="shared" si="13"/>
        <v>2.9239844448260267E-2</v>
      </c>
      <c r="AH23">
        <f t="shared" si="14"/>
        <v>3.0783223172897806E-2</v>
      </c>
    </row>
    <row r="24" spans="1:34" x14ac:dyDescent="0.2">
      <c r="A24" s="1">
        <f t="shared" si="15"/>
        <v>37530</v>
      </c>
      <c r="B24">
        <f>'raw BLS data'!Q41</f>
        <v>3560</v>
      </c>
      <c r="C24">
        <f>'raw BLS data'!W52</f>
        <v>145314</v>
      </c>
      <c r="D24">
        <f>'raw BLS data'!J124/100</f>
        <v>5.7000000000000002E-2</v>
      </c>
      <c r="E24">
        <f t="shared" si="17"/>
        <v>5.7000000000000002E-2</v>
      </c>
      <c r="F24">
        <f t="shared" si="0"/>
        <v>2.449867184166701E-2</v>
      </c>
      <c r="G24">
        <f t="shared" si="18"/>
        <v>2.3550846607810639E-2</v>
      </c>
      <c r="H24">
        <f t="shared" si="1"/>
        <v>2.449867184166701E-2</v>
      </c>
      <c r="I24" t="e">
        <f t="shared" si="2"/>
        <v>#N/A</v>
      </c>
      <c r="J24">
        <f t="shared" si="3"/>
        <v>0.42980126038012295</v>
      </c>
      <c r="K24">
        <f>F24/(D24+Calculations!J107)</f>
        <v>0.16492498788480123</v>
      </c>
      <c r="L24">
        <f>Calculations!F107/100</f>
        <v>0.24694948713592801</v>
      </c>
      <c r="M24">
        <f>LN(Calculations!G107/Calculations!G106)</f>
        <v>0.15538175803439983</v>
      </c>
      <c r="N24">
        <v>0.5</v>
      </c>
      <c r="O24">
        <f t="shared" si="19"/>
        <v>0.52787283073055546</v>
      </c>
      <c r="P24">
        <f t="shared" si="5"/>
        <v>1.4450746509866401E-2</v>
      </c>
      <c r="Q24">
        <f t="shared" si="21"/>
        <v>1.7030455704209014E-2</v>
      </c>
      <c r="R24">
        <f>Calculations!J107/( (Calculations!I107/100) + Calculations!J107 )</f>
        <v>0.61627616508397631</v>
      </c>
      <c r="S24">
        <f>LN(Calculations!J107/Calculations!J106)</f>
        <v>5.5539866672718131E-2</v>
      </c>
      <c r="T24">
        <f t="shared" si="20"/>
        <v>7.0931650523609835E-2</v>
      </c>
      <c r="U24">
        <f t="shared" si="7"/>
        <v>2.2821138987847579E-2</v>
      </c>
      <c r="V24">
        <f t="shared" si="22"/>
        <v>2.2738275845004392E-2</v>
      </c>
      <c r="W24">
        <f t="shared" si="8"/>
        <v>0.5988044812541653</v>
      </c>
      <c r="X24">
        <f t="shared" si="9"/>
        <v>1.3461239723980662E-2</v>
      </c>
      <c r="Y24">
        <f t="shared" si="23"/>
        <v>1.6496288972710778E-2</v>
      </c>
      <c r="AC24" s="1">
        <f t="shared" si="16"/>
        <v>38961</v>
      </c>
      <c r="AD24">
        <f t="shared" si="10"/>
        <v>4.6333333333333337E-2</v>
      </c>
      <c r="AE24">
        <f t="shared" si="11"/>
        <v>2.8886763522722892E-2</v>
      </c>
      <c r="AF24">
        <f t="shared" si="12"/>
        <v>3.1755518899212715E-2</v>
      </c>
      <c r="AG24">
        <f t="shared" si="13"/>
        <v>2.8197602858037619E-2</v>
      </c>
      <c r="AH24">
        <f t="shared" si="14"/>
        <v>3.0945559525126481E-2</v>
      </c>
    </row>
    <row r="25" spans="1:34" x14ac:dyDescent="0.2">
      <c r="A25" s="1">
        <f t="shared" si="15"/>
        <v>37561</v>
      </c>
      <c r="B25">
        <f>'raw BLS data'!Q42</f>
        <v>3513</v>
      </c>
      <c r="C25">
        <f>'raw BLS data'!W53</f>
        <v>145041</v>
      </c>
      <c r="D25">
        <f>'raw BLS data'!J125/100</f>
        <v>5.9000000000000004E-2</v>
      </c>
      <c r="E25">
        <f t="shared" si="17"/>
        <v>5.7666666666666672E-2</v>
      </c>
      <c r="F25">
        <f t="shared" si="0"/>
        <v>2.4220737584545061E-2</v>
      </c>
      <c r="G25">
        <f t="shared" si="18"/>
        <v>2.3774338336823537E-2</v>
      </c>
      <c r="H25">
        <f t="shared" si="1"/>
        <v>2.4220737584545061E-2</v>
      </c>
      <c r="I25" t="e">
        <f t="shared" si="2"/>
        <v>#N/A</v>
      </c>
      <c r="J25">
        <f t="shared" si="3"/>
        <v>0.41052097600923831</v>
      </c>
      <c r="K25">
        <f>F25/(D25+Calculations!J108)</f>
        <v>0.17833445983973226</v>
      </c>
      <c r="L25">
        <f>Calculations!F108/100</f>
        <v>0.23609065126281797</v>
      </c>
      <c r="M25">
        <f>LN(Calculations!G108/Calculations!G107)</f>
        <v>-0.18534576431672481</v>
      </c>
      <c r="N25">
        <v>0.5</v>
      </c>
      <c r="O25">
        <f t="shared" si="19"/>
        <v>0.15718130209710585</v>
      </c>
      <c r="P25">
        <f t="shared" si="5"/>
        <v>2.0697809824548306E-2</v>
      </c>
      <c r="Q25">
        <f t="shared" si="21"/>
        <v>1.7780295695450411E-2</v>
      </c>
      <c r="R25">
        <f>Calculations!J108/( (Calculations!I108/100) + Calculations!J108 )</f>
        <v>0.56558989610382537</v>
      </c>
      <c r="S25">
        <f>LN(Calculations!J108/Calculations!J107)</f>
        <v>-0.17540567037825597</v>
      </c>
      <c r="T25">
        <f t="shared" si="20"/>
        <v>-2.8276024361649804E-2</v>
      </c>
      <c r="U25">
        <f t="shared" si="7"/>
        <v>2.4915378307785483E-2</v>
      </c>
      <c r="V25">
        <f t="shared" si="22"/>
        <v>2.3175175503446787E-2</v>
      </c>
      <c r="W25">
        <f t="shared" si="8"/>
        <v>0.12890527773545604</v>
      </c>
      <c r="X25">
        <f t="shared" si="9"/>
        <v>2.129141443860395E-2</v>
      </c>
      <c r="Y25">
        <f t="shared" si="23"/>
        <v>1.742978785224221E-2</v>
      </c>
      <c r="AC25" s="1">
        <f t="shared" si="16"/>
        <v>39052</v>
      </c>
      <c r="AD25">
        <f t="shared" si="10"/>
        <v>4.4333333333333336E-2</v>
      </c>
      <c r="AE25">
        <f t="shared" si="11"/>
        <v>3.0013827852673494E-2</v>
      </c>
      <c r="AF25">
        <f t="shared" si="12"/>
        <v>3.1430446148511752E-2</v>
      </c>
      <c r="AG25">
        <f t="shared" si="13"/>
        <v>3.0080175605305876E-2</v>
      </c>
      <c r="AH25">
        <f t="shared" si="14"/>
        <v>3.1480146729275682E-2</v>
      </c>
    </row>
    <row r="26" spans="1:34" x14ac:dyDescent="0.2">
      <c r="A26" s="1">
        <f t="shared" si="15"/>
        <v>37591</v>
      </c>
      <c r="B26">
        <f>'raw BLS data'!Q43</f>
        <v>3056</v>
      </c>
      <c r="C26">
        <f>'raw BLS data'!W54</f>
        <v>145066</v>
      </c>
      <c r="D26">
        <f>'raw BLS data'!J126/100</f>
        <v>0.06</v>
      </c>
      <c r="E26">
        <f t="shared" si="17"/>
        <v>5.8666666666666666E-2</v>
      </c>
      <c r="F26">
        <f t="shared" si="0"/>
        <v>2.1066273282505894E-2</v>
      </c>
      <c r="G26">
        <f t="shared" si="18"/>
        <v>2.3261894236239321E-2</v>
      </c>
      <c r="H26">
        <f t="shared" si="1"/>
        <v>2.1066273282505894E-2</v>
      </c>
      <c r="I26" t="e">
        <f t="shared" si="2"/>
        <v>#N/A</v>
      </c>
      <c r="J26">
        <f t="shared" si="3"/>
        <v>0.35110455470843155</v>
      </c>
      <c r="K26">
        <f>F26/(D26+Calculations!J109)</f>
        <v>0.13444261819843917</v>
      </c>
      <c r="L26">
        <f>Calculations!F109/100</f>
        <v>0.23564421788084999</v>
      </c>
      <c r="M26">
        <f>LN(Calculations!G109/Calculations!G108)</f>
        <v>3.4243137417434899E-2</v>
      </c>
      <c r="N26">
        <v>0.5</v>
      </c>
      <c r="O26">
        <f t="shared" si="19"/>
        <v>0.22566757693197564</v>
      </c>
      <c r="P26">
        <f t="shared" si="5"/>
        <v>1.6810534812926589E-2</v>
      </c>
      <c r="Q26">
        <f t="shared" si="21"/>
        <v>1.7319697049113767E-2</v>
      </c>
      <c r="R26">
        <f>Calculations!J109/( (Calculations!I109/100) + Calculations!J109 )</f>
        <v>0.61708665867327006</v>
      </c>
      <c r="S26">
        <f>LN(Calculations!J109/Calculations!J108)</f>
        <v>0.2301276606803212</v>
      </c>
      <c r="T26">
        <f t="shared" si="20"/>
        <v>0.11373268483586568</v>
      </c>
      <c r="U26">
        <f t="shared" si="7"/>
        <v>1.8801575211576608E-2</v>
      </c>
      <c r="V26">
        <f t="shared" si="22"/>
        <v>2.217936416906989E-2</v>
      </c>
      <c r="W26">
        <f t="shared" si="8"/>
        <v>0.33940026176784133</v>
      </c>
      <c r="X26">
        <f t="shared" si="9"/>
        <v>1.5003343514703961E-2</v>
      </c>
      <c r="Y26">
        <f t="shared" si="23"/>
        <v>1.6585332559096191E-2</v>
      </c>
      <c r="AC26" s="1">
        <f t="shared" si="16"/>
        <v>39142</v>
      </c>
      <c r="AD26">
        <f t="shared" si="10"/>
        <v>4.5000000000000005E-2</v>
      </c>
      <c r="AE26">
        <f t="shared" si="11"/>
        <v>3.0036170953921609E-2</v>
      </c>
      <c r="AF26">
        <f t="shared" si="12"/>
        <v>2.8178268767108897E-2</v>
      </c>
      <c r="AG26">
        <f t="shared" si="13"/>
        <v>3.1917529672138616E-2</v>
      </c>
      <c r="AH26">
        <f t="shared" si="14"/>
        <v>2.9832330270209286E-2</v>
      </c>
    </row>
    <row r="27" spans="1:34" x14ac:dyDescent="0.2">
      <c r="A27" s="1">
        <f t="shared" si="15"/>
        <v>37622</v>
      </c>
      <c r="B27">
        <f>'raw BLS data'!Q44</f>
        <v>3618</v>
      </c>
      <c r="C27">
        <f>'raw BLS data'!W55</f>
        <v>145937</v>
      </c>
      <c r="D27">
        <f>'raw BLS data'!J127/100</f>
        <v>5.7999999999999996E-2</v>
      </c>
      <c r="E27">
        <f t="shared" si="17"/>
        <v>5.8999999999999997E-2</v>
      </c>
      <c r="F27">
        <f t="shared" si="0"/>
        <v>2.4791519628332773E-2</v>
      </c>
      <c r="G27">
        <f t="shared" si="18"/>
        <v>2.3359510165127911E-2</v>
      </c>
      <c r="H27">
        <f t="shared" si="1"/>
        <v>2.4791519628332773E-2</v>
      </c>
      <c r="I27" t="e">
        <f t="shared" si="2"/>
        <v>#N/A</v>
      </c>
      <c r="J27">
        <f t="shared" si="3"/>
        <v>0.4274399935919444</v>
      </c>
      <c r="K27">
        <f>F27/(D27+Calculations!J110)</f>
        <v>0.17865398878162522</v>
      </c>
      <c r="L27">
        <f>Calculations!F110/100</f>
        <v>0.23952795271839</v>
      </c>
      <c r="M27">
        <f>LN(Calculations!G110/Calculations!G109)</f>
        <v>-0.121113647599726</v>
      </c>
      <c r="N27">
        <v>0.5</v>
      </c>
      <c r="O27">
        <f t="shared" si="19"/>
        <v>-1.6559718267476348E-2</v>
      </c>
      <c r="P27">
        <f t="shared" si="5"/>
        <v>2.5205478268277622E-2</v>
      </c>
      <c r="Q27">
        <f t="shared" si="21"/>
        <v>2.090460763525084E-2</v>
      </c>
      <c r="R27">
        <f>Calculations!J110/( (Calculations!I110/100) + Calculations!J110 )</f>
        <v>0.58203726497297004</v>
      </c>
      <c r="S27">
        <f>LN(Calculations!J110/Calculations!J109)</f>
        <v>-0.17996011970499037</v>
      </c>
      <c r="T27">
        <f t="shared" si="20"/>
        <v>8.9891889585647922E-3</v>
      </c>
      <c r="U27">
        <f t="shared" si="7"/>
        <v>2.456966262502315E-2</v>
      </c>
      <c r="V27">
        <f t="shared" si="22"/>
        <v>2.2762205381461748E-2</v>
      </c>
      <c r="W27">
        <f t="shared" si="8"/>
        <v>-7.5705293089115555E-3</v>
      </c>
      <c r="X27">
        <f t="shared" si="9"/>
        <v>2.4979916787601177E-2</v>
      </c>
      <c r="Y27">
        <f t="shared" si="23"/>
        <v>2.0424891580303028E-2</v>
      </c>
      <c r="AC27" s="1">
        <f t="shared" si="16"/>
        <v>39234</v>
      </c>
      <c r="AD27">
        <f t="shared" si="10"/>
        <v>4.5000000000000005E-2</v>
      </c>
      <c r="AE27">
        <f t="shared" si="11"/>
        <v>2.9830276332213811E-2</v>
      </c>
      <c r="AF27">
        <f t="shared" si="12"/>
        <v>2.9627941327757683E-2</v>
      </c>
      <c r="AG27">
        <f t="shared" si="13"/>
        <v>3.0428674789161548E-2</v>
      </c>
      <c r="AH27">
        <f t="shared" si="14"/>
        <v>3.0293500355140886E-2</v>
      </c>
    </row>
    <row r="28" spans="1:34" x14ac:dyDescent="0.2">
      <c r="A28" s="1">
        <f t="shared" si="15"/>
        <v>37653</v>
      </c>
      <c r="B28">
        <f>'raw BLS data'!Q45</f>
        <v>3378</v>
      </c>
      <c r="C28">
        <f>'raw BLS data'!W56</f>
        <v>146100</v>
      </c>
      <c r="D28">
        <f>'raw BLS data'!J128/100</f>
        <v>5.9000000000000004E-2</v>
      </c>
      <c r="E28">
        <f t="shared" si="17"/>
        <v>5.8999999999999997E-2</v>
      </c>
      <c r="F28">
        <f t="shared" si="0"/>
        <v>2.3121149897330596E-2</v>
      </c>
      <c r="G28">
        <f t="shared" si="18"/>
        <v>2.299298093605642E-2</v>
      </c>
      <c r="H28">
        <f t="shared" si="1"/>
        <v>2.3121149897330596E-2</v>
      </c>
      <c r="I28" t="e">
        <f t="shared" si="2"/>
        <v>#N/A</v>
      </c>
      <c r="J28">
        <f t="shared" si="3"/>
        <v>0.39188389656492534</v>
      </c>
      <c r="K28">
        <f>F28/(D28+Calculations!J111)</f>
        <v>0.15989560952337348</v>
      </c>
      <c r="L28">
        <f>Calculations!F111/100</f>
        <v>0.23161275294179501</v>
      </c>
      <c r="M28">
        <f>LN(Calculations!G111/Calculations!G110)</f>
        <v>0.20944316549020575</v>
      </c>
      <c r="N28">
        <v>0.5</v>
      </c>
      <c r="O28">
        <f t="shared" si="19"/>
        <v>0.40232661271293513</v>
      </c>
      <c r="P28">
        <f t="shared" si="5"/>
        <v>1.5462553008317156E-2</v>
      </c>
      <c r="Q28">
        <f t="shared" si="21"/>
        <v>1.9159522029840458E-2</v>
      </c>
      <c r="R28">
        <f>Calculations!J111/( (Calculations!I111/100) + Calculations!J111 )</f>
        <v>0.59198218930416613</v>
      </c>
      <c r="S28">
        <f>LN(Calculations!J111/Calculations!J110)</f>
        <v>5.8117958090966579E-2</v>
      </c>
      <c r="T28">
        <f t="shared" si="20"/>
        <v>4.3393985027142964E-2</v>
      </c>
      <c r="U28">
        <f t="shared" si="7"/>
        <v>2.2139288571389033E-2</v>
      </c>
      <c r="V28">
        <f t="shared" si="22"/>
        <v>2.1836842135996265E-2</v>
      </c>
      <c r="W28">
        <f t="shared" si="8"/>
        <v>0.44572059774007811</v>
      </c>
      <c r="X28">
        <f t="shared" si="9"/>
        <v>1.4805921185652453E-2</v>
      </c>
      <c r="Y28">
        <f t="shared" si="23"/>
        <v>1.8263060495985865E-2</v>
      </c>
      <c r="AC28" s="1">
        <f t="shared" si="16"/>
        <v>39326</v>
      </c>
      <c r="AD28">
        <f t="shared" si="10"/>
        <v>4.6666666666666669E-2</v>
      </c>
      <c r="AE28">
        <f t="shared" si="11"/>
        <v>2.9247462156771622E-2</v>
      </c>
      <c r="AF28">
        <f t="shared" si="12"/>
        <v>3.0380431848487831E-2</v>
      </c>
      <c r="AG28">
        <f t="shared" si="13"/>
        <v>3.0020028576040733E-2</v>
      </c>
      <c r="AH28">
        <f t="shared" si="14"/>
        <v>3.1169057169796191E-2</v>
      </c>
    </row>
    <row r="29" spans="1:34" x14ac:dyDescent="0.2">
      <c r="A29" s="1">
        <f t="shared" si="15"/>
        <v>37681</v>
      </c>
      <c r="B29">
        <f>'raw BLS data'!Q46</f>
        <v>3056</v>
      </c>
      <c r="C29">
        <f>'raw BLS data'!W57</f>
        <v>146022</v>
      </c>
      <c r="D29">
        <f>'raw BLS data'!J129/100</f>
        <v>5.9000000000000004E-2</v>
      </c>
      <c r="E29">
        <f t="shared" si="17"/>
        <v>5.8666666666666666E-2</v>
      </c>
      <c r="F29">
        <f t="shared" si="0"/>
        <v>2.0928353261837257E-2</v>
      </c>
      <c r="G29">
        <f t="shared" si="18"/>
        <v>2.2947007595833541E-2</v>
      </c>
      <c r="H29">
        <f t="shared" si="1"/>
        <v>2.0928353261837257E-2</v>
      </c>
      <c r="I29" t="e">
        <f t="shared" si="2"/>
        <v>#N/A</v>
      </c>
      <c r="J29">
        <f t="shared" si="3"/>
        <v>0.35471785189554672</v>
      </c>
      <c r="K29">
        <f>F29/(D29+Calculations!J112)</f>
        <v>0.15271902483230707</v>
      </c>
      <c r="L29">
        <f>Calculations!F112/100</f>
        <v>0.24690347397141602</v>
      </c>
      <c r="M29">
        <f>LN(Calculations!G112/Calculations!G111)</f>
        <v>-0.10103003448116134</v>
      </c>
      <c r="N29">
        <v>0.5</v>
      </c>
      <c r="O29">
        <f t="shared" si="19"/>
        <v>0.20026654375061245</v>
      </c>
      <c r="P29">
        <f t="shared" si="5"/>
        <v>1.7130119891778019E-2</v>
      </c>
      <c r="Q29">
        <f t="shared" si="21"/>
        <v>1.9266050389457601E-2</v>
      </c>
      <c r="R29">
        <f>Calculations!J112/( (Calculations!I112/100) + Calculations!J112 )</f>
        <v>0.56946338049747192</v>
      </c>
      <c r="S29">
        <f>LN(Calculations!J112/Calculations!J111)</f>
        <v>-9.2503624978702514E-2</v>
      </c>
      <c r="T29">
        <f t="shared" si="20"/>
        <v>-9.2834419614993557E-3</v>
      </c>
      <c r="U29">
        <f t="shared" si="7"/>
        <v>2.1123545038621259E-2</v>
      </c>
      <c r="V29">
        <f t="shared" si="22"/>
        <v>2.2610832078344481E-2</v>
      </c>
      <c r="W29">
        <f t="shared" si="8"/>
        <v>0.1909831017891131</v>
      </c>
      <c r="X29">
        <f t="shared" si="9"/>
        <v>1.7289886811629102E-2</v>
      </c>
      <c r="Y29">
        <f t="shared" si="23"/>
        <v>1.9025241594960909E-2</v>
      </c>
      <c r="AC29" s="1">
        <f t="shared" si="16"/>
        <v>39417</v>
      </c>
      <c r="AD29">
        <f t="shared" si="10"/>
        <v>4.8000000000000008E-2</v>
      </c>
      <c r="AE29">
        <f t="shared" si="11"/>
        <v>2.8044985088220026E-2</v>
      </c>
      <c r="AF29">
        <f t="shared" si="12"/>
        <v>2.7461967040475623E-2</v>
      </c>
      <c r="AG29">
        <f t="shared" si="13"/>
        <v>2.9077895772205858E-2</v>
      </c>
      <c r="AH29">
        <f t="shared" si="14"/>
        <v>2.8479516905594471E-2</v>
      </c>
    </row>
    <row r="30" spans="1:34" x14ac:dyDescent="0.2">
      <c r="A30" s="1">
        <f t="shared" si="15"/>
        <v>37712</v>
      </c>
      <c r="B30">
        <f>'raw BLS data'!Q47</f>
        <v>3107</v>
      </c>
      <c r="C30">
        <f>'raw BLS data'!W58</f>
        <v>146474</v>
      </c>
      <c r="D30">
        <f>'raw BLS data'!J130/100</f>
        <v>0.06</v>
      </c>
      <c r="E30">
        <f t="shared" si="17"/>
        <v>5.9333333333333328E-2</v>
      </c>
      <c r="F30">
        <f t="shared" si="0"/>
        <v>2.1211955705449433E-2</v>
      </c>
      <c r="G30">
        <f t="shared" si="18"/>
        <v>2.1753819621539095E-2</v>
      </c>
      <c r="H30">
        <f t="shared" si="1"/>
        <v>2.1211955705449433E-2</v>
      </c>
      <c r="I30" t="e">
        <f t="shared" si="2"/>
        <v>#N/A</v>
      </c>
      <c r="J30">
        <f t="shared" si="3"/>
        <v>0.35353259509082391</v>
      </c>
      <c r="K30">
        <f>F30/(D30+Calculations!J113)</f>
        <v>0.13582609672953161</v>
      </c>
      <c r="L30">
        <f>Calculations!F113/100</f>
        <v>0.23391626368829901</v>
      </c>
      <c r="M30">
        <f>LN(Calculations!G113/Calculations!G112)</f>
        <v>0.1899395293328647</v>
      </c>
      <c r="N30">
        <v>0.5</v>
      </c>
      <c r="O30">
        <f t="shared" si="19"/>
        <v>0.58014560241634183</v>
      </c>
      <c r="P30">
        <f t="shared" si="5"/>
        <v>1.1874810224197077E-2</v>
      </c>
      <c r="Q30">
        <f t="shared" si="21"/>
        <v>1.4822494374764085E-2</v>
      </c>
      <c r="R30">
        <f>Calculations!J113/( (Calculations!I113/100) + Calculations!J113 )</f>
        <v>0.6158031858571984</v>
      </c>
      <c r="S30">
        <f>LN(Calculations!J113/Calculations!J112)</f>
        <v>0.20891747250317586</v>
      </c>
      <c r="T30">
        <f t="shared" si="20"/>
        <v>0.11936860318718998</v>
      </c>
      <c r="U30">
        <f t="shared" si="7"/>
        <v>1.8825199437171772E-2</v>
      </c>
      <c r="V30">
        <f t="shared" si="22"/>
        <v>2.0696011015727354E-2</v>
      </c>
      <c r="W30">
        <f t="shared" si="8"/>
        <v>0.69951420560353184</v>
      </c>
      <c r="X30">
        <f t="shared" si="9"/>
        <v>1.0538663848503448E-2</v>
      </c>
      <c r="Y30">
        <f t="shared" si="23"/>
        <v>1.4211490615261668E-2</v>
      </c>
      <c r="AC30" s="1">
        <f t="shared" si="16"/>
        <v>39508</v>
      </c>
      <c r="AD30">
        <f t="shared" si="10"/>
        <v>4.9999999999999996E-2</v>
      </c>
      <c r="AE30">
        <f t="shared" si="11"/>
        <v>2.6542765360996628E-2</v>
      </c>
      <c r="AF30">
        <f t="shared" si="12"/>
        <v>2.2009856046074125E-2</v>
      </c>
      <c r="AG30">
        <f t="shared" si="13"/>
        <v>2.7626084040336008E-2</v>
      </c>
      <c r="AH30">
        <f t="shared" si="14"/>
        <v>2.2915114049048436E-2</v>
      </c>
    </row>
    <row r="31" spans="1:34" x14ac:dyDescent="0.2">
      <c r="A31" s="1">
        <f t="shared" si="15"/>
        <v>37742</v>
      </c>
      <c r="B31">
        <f>'raw BLS data'!Q48</f>
        <v>3108</v>
      </c>
      <c r="C31">
        <f>'raw BLS data'!W59</f>
        <v>146500</v>
      </c>
      <c r="D31">
        <f>'raw BLS data'!J131/100</f>
        <v>6.0999999999999999E-2</v>
      </c>
      <c r="E31">
        <f t="shared" si="17"/>
        <v>0.06</v>
      </c>
      <c r="F31">
        <f t="shared" si="0"/>
        <v>2.1215017064846416E-2</v>
      </c>
      <c r="G31">
        <f t="shared" si="18"/>
        <v>2.1118442010711034E-2</v>
      </c>
      <c r="H31">
        <f t="shared" si="1"/>
        <v>2.1215017064846416E-2</v>
      </c>
      <c r="I31" t="e">
        <f t="shared" si="2"/>
        <v>#N/A</v>
      </c>
      <c r="J31">
        <f t="shared" si="3"/>
        <v>0.34778716499748225</v>
      </c>
      <c r="K31">
        <f>F31/(D31+Calculations!J114)</f>
        <v>0.1447871634508652</v>
      </c>
      <c r="L31">
        <f>Calculations!F114/100</f>
        <v>0.22584717519431302</v>
      </c>
      <c r="M31">
        <f>LN(Calculations!G114/Calculations!G113)</f>
        <v>-0.1688809474966381</v>
      </c>
      <c r="N31">
        <v>0.5</v>
      </c>
      <c r="O31">
        <f t="shared" si="19"/>
        <v>0.24238370742306564</v>
      </c>
      <c r="P31">
        <f t="shared" si="5"/>
        <v>1.6648590790001132E-2</v>
      </c>
      <c r="Q31">
        <f t="shared" si="21"/>
        <v>1.5217840301992075E-2</v>
      </c>
      <c r="R31">
        <f>Calculations!J114/( (Calculations!I114/100) + Calculations!J114 )</f>
        <v>0.58369031976233687</v>
      </c>
      <c r="S31">
        <f>LN(Calculations!J114/Calculations!J113)</f>
        <v>-0.11730198809598014</v>
      </c>
      <c r="T31">
        <f t="shared" si="20"/>
        <v>5.0900568246689495E-2</v>
      </c>
      <c r="U31">
        <f t="shared" si="7"/>
        <v>2.01621828732335E-2</v>
      </c>
      <c r="V31">
        <f t="shared" si="22"/>
        <v>2.0036975783008844E-2</v>
      </c>
      <c r="W31">
        <f t="shared" si="8"/>
        <v>0.29328427566975512</v>
      </c>
      <c r="X31">
        <f t="shared" si="9"/>
        <v>1.5822373890325401E-2</v>
      </c>
      <c r="Y31">
        <f t="shared" si="23"/>
        <v>1.4550308183485983E-2</v>
      </c>
      <c r="AC31" s="1">
        <f t="shared" si="16"/>
        <v>39600</v>
      </c>
      <c r="AD31">
        <f t="shared" si="10"/>
        <v>5.3333333333333337E-2</v>
      </c>
      <c r="AE31">
        <f t="shared" si="11"/>
        <v>2.5152502470987177E-2</v>
      </c>
      <c r="AF31">
        <f t="shared" si="12"/>
        <v>2.3277583813219999E-2</v>
      </c>
      <c r="AG31">
        <f t="shared" si="13"/>
        <v>2.5636482524720075E-2</v>
      </c>
      <c r="AH31">
        <f t="shared" si="14"/>
        <v>2.3729862435509518E-2</v>
      </c>
    </row>
    <row r="32" spans="1:34" x14ac:dyDescent="0.2">
      <c r="A32" s="1">
        <f t="shared" si="15"/>
        <v>37773</v>
      </c>
      <c r="B32">
        <f>'raw BLS data'!Q49</f>
        <v>3196</v>
      </c>
      <c r="C32">
        <f>'raw BLS data'!W60</f>
        <v>147056</v>
      </c>
      <c r="D32">
        <f>'raw BLS data'!J132/100</f>
        <v>6.3E-2</v>
      </c>
      <c r="E32">
        <f t="shared" si="17"/>
        <v>6.133333333333333E-2</v>
      </c>
      <c r="F32">
        <f t="shared" si="0"/>
        <v>2.1733217277771732E-2</v>
      </c>
      <c r="G32">
        <f t="shared" si="18"/>
        <v>2.1386730016022527E-2</v>
      </c>
      <c r="H32">
        <f t="shared" si="1"/>
        <v>2.1733217277771732E-2</v>
      </c>
      <c r="I32" t="e">
        <f t="shared" si="2"/>
        <v>#N/A</v>
      </c>
      <c r="J32">
        <f t="shared" si="3"/>
        <v>0.34497170282177353</v>
      </c>
      <c r="K32">
        <f>F32/(D32+Calculations!J115)</f>
        <v>0.14772313826447611</v>
      </c>
      <c r="L32">
        <f>Calculations!F115/100</f>
        <v>0.22997914145086298</v>
      </c>
      <c r="M32">
        <f>LN(Calculations!G115/Calculations!G114)</f>
        <v>-1.6653551696506366E-2</v>
      </c>
      <c r="N32">
        <v>0.5</v>
      </c>
      <c r="O32">
        <f t="shared" si="19"/>
        <v>0.2090766040300529</v>
      </c>
      <c r="P32">
        <f t="shared" si="5"/>
        <v>1.7632878153121347E-2</v>
      </c>
      <c r="Q32">
        <f t="shared" si="21"/>
        <v>1.5385426389106518E-2</v>
      </c>
      <c r="R32">
        <f>Calculations!J115/( (Calculations!I115/100) + Calculations!J115 )</f>
        <v>0.57178186774120443</v>
      </c>
      <c r="S32">
        <f>LN(Calculations!J115/Calculations!J114)</f>
        <v>-1.6555450639219236E-2</v>
      </c>
      <c r="T32">
        <f t="shared" si="20"/>
        <v>4.1434461758899407E-2</v>
      </c>
      <c r="U32">
        <f t="shared" si="7"/>
        <v>2.0851114050822482E-2</v>
      </c>
      <c r="V32">
        <f t="shared" si="22"/>
        <v>1.9946165453742584E-2</v>
      </c>
      <c r="W32">
        <f t="shared" si="8"/>
        <v>0.25051106578895233</v>
      </c>
      <c r="X32">
        <f t="shared" si="9"/>
        <v>1.6917198623465163E-2</v>
      </c>
      <c r="Y32">
        <f t="shared" si="23"/>
        <v>1.4426078787431337E-2</v>
      </c>
      <c r="AC32" s="1">
        <f t="shared" si="16"/>
        <v>39692</v>
      </c>
      <c r="AD32">
        <f t="shared" si="10"/>
        <v>0.06</v>
      </c>
      <c r="AE32">
        <f t="shared" si="11"/>
        <v>2.2990234362615741E-2</v>
      </c>
      <c r="AF32">
        <f t="shared" si="12"/>
        <v>1.4363995004541245E-2</v>
      </c>
      <c r="AG32">
        <f t="shared" si="13"/>
        <v>2.2615590568897784E-2</v>
      </c>
      <c r="AH32">
        <f t="shared" si="14"/>
        <v>1.4142567495893902E-2</v>
      </c>
    </row>
    <row r="33" spans="1:34" x14ac:dyDescent="0.2">
      <c r="A33" s="1">
        <f t="shared" si="15"/>
        <v>37803</v>
      </c>
      <c r="B33">
        <f>'raw BLS data'!Q50</f>
        <v>3106</v>
      </c>
      <c r="C33">
        <f>'raw BLS data'!W61</f>
        <v>146485</v>
      </c>
      <c r="D33">
        <f>'raw BLS data'!J133/100</f>
        <v>6.2E-2</v>
      </c>
      <c r="E33">
        <f t="shared" si="17"/>
        <v>6.2E-2</v>
      </c>
      <c r="F33">
        <f t="shared" si="0"/>
        <v>2.1203536198245554E-2</v>
      </c>
      <c r="G33">
        <f t="shared" si="18"/>
        <v>2.1383923513621231E-2</v>
      </c>
      <c r="H33">
        <f t="shared" si="1"/>
        <v>2.1203536198245554E-2</v>
      </c>
      <c r="I33" t="e">
        <f t="shared" si="2"/>
        <v>#N/A</v>
      </c>
      <c r="J33">
        <f t="shared" si="3"/>
        <v>0.34199251932654118</v>
      </c>
      <c r="K33">
        <f>F33/(D33+Calculations!J116)</f>
        <v>0.1475614358983294</v>
      </c>
      <c r="L33">
        <f>Calculations!F116/100</f>
        <v>0.24698514547559899</v>
      </c>
      <c r="M33">
        <f>LN(Calculations!G116/Calculations!G115)</f>
        <v>-5.8723521749335358E-2</v>
      </c>
      <c r="N33">
        <v>0.5</v>
      </c>
      <c r="O33">
        <f t="shared" si="19"/>
        <v>9.1629560531382187E-2</v>
      </c>
      <c r="P33">
        <f t="shared" si="5"/>
        <v>1.9347020127553499E-2</v>
      </c>
      <c r="Q33">
        <f t="shared" si="21"/>
        <v>1.7876163023558659E-2</v>
      </c>
      <c r="R33">
        <f>Calculations!J116/( (Calculations!I116/100) + Calculations!J116 )</f>
        <v>0.56852437536086897</v>
      </c>
      <c r="S33">
        <f>LN(Calculations!J116/Calculations!J115)</f>
        <v>-2.9292019532879306E-2</v>
      </c>
      <c r="T33">
        <f t="shared" si="20"/>
        <v>2.4781234650910828E-2</v>
      </c>
      <c r="U33">
        <f t="shared" si="7"/>
        <v>2.0684543590672577E-2</v>
      </c>
      <c r="V33">
        <f t="shared" si="22"/>
        <v>2.0565946838242852E-2</v>
      </c>
      <c r="W33">
        <f t="shared" si="8"/>
        <v>0.11641079518229301</v>
      </c>
      <c r="X33">
        <f t="shared" si="9"/>
        <v>1.8873468908035845E-2</v>
      </c>
      <c r="Y33">
        <f t="shared" si="23"/>
        <v>1.7204347140608801E-2</v>
      </c>
      <c r="AC33" s="1">
        <f t="shared" si="16"/>
        <v>39783</v>
      </c>
      <c r="AD33">
        <f t="shared" si="10"/>
        <v>6.8666666666666668E-2</v>
      </c>
      <c r="AE33">
        <f t="shared" si="11"/>
        <v>2.057374510068084E-2</v>
      </c>
      <c r="AF33">
        <f t="shared" si="12"/>
        <v>1.0827952025173367E-2</v>
      </c>
      <c r="AG33">
        <f t="shared" si="13"/>
        <v>1.9996370532907468E-2</v>
      </c>
      <c r="AH33">
        <f t="shared" si="14"/>
        <v>1.0506958198454259E-2</v>
      </c>
    </row>
    <row r="34" spans="1:34" x14ac:dyDescent="0.2">
      <c r="A34" s="1">
        <f t="shared" si="15"/>
        <v>37834</v>
      </c>
      <c r="B34">
        <f>'raw BLS data'!Q51</f>
        <v>3182</v>
      </c>
      <c r="C34">
        <f>'raw BLS data'!W62</f>
        <v>146445</v>
      </c>
      <c r="D34">
        <f>'raw BLS data'!J134/100</f>
        <v>6.0999999999999999E-2</v>
      </c>
      <c r="E34">
        <f t="shared" si="17"/>
        <v>6.2E-2</v>
      </c>
      <c r="F34">
        <f t="shared" ref="F34:F65" si="24">B34/C34</f>
        <v>2.1728293898733313E-2</v>
      </c>
      <c r="G34">
        <f t="shared" si="18"/>
        <v>2.1555015791583532E-2</v>
      </c>
      <c r="H34">
        <f t="shared" ref="H34:H65" si="25">IF( $A34&lt;=$A$106, F34, NA() )</f>
        <v>2.1728293898733313E-2</v>
      </c>
      <c r="I34" t="e">
        <f t="shared" ref="I34:I65" si="26">IF( $A34&gt;$A$106, F34, NA() )</f>
        <v>#N/A</v>
      </c>
      <c r="J34">
        <f t="shared" si="3"/>
        <v>0.35620153932349696</v>
      </c>
      <c r="K34">
        <f>F34/(D34+Calculations!J117)</f>
        <v>0.14844514337104492</v>
      </c>
      <c r="L34">
        <f>Calculations!F117/100</f>
        <v>0.23371811899528702</v>
      </c>
      <c r="M34">
        <f>LN(Calculations!G117/Calculations!G116)</f>
        <v>-2.9582950335594226E-2</v>
      </c>
      <c r="N34">
        <v>0.5</v>
      </c>
      <c r="O34">
        <f t="shared" si="19"/>
        <v>3.2463659860193735E-2</v>
      </c>
      <c r="P34">
        <f t="shared" si="5"/>
        <v>2.1034240663864081E-2</v>
      </c>
      <c r="Q34">
        <f t="shared" si="21"/>
        <v>1.933804631484631E-2</v>
      </c>
      <c r="R34">
        <f>Calculations!J117/( (Calculations!I117/100) + Calculations!J117 )</f>
        <v>0.58325518847286817</v>
      </c>
      <c r="S34">
        <f>LN(Calculations!J117/Calculations!J116)</f>
        <v>4.4057044281484076E-2</v>
      </c>
      <c r="T34">
        <f t="shared" si="20"/>
        <v>5.0477734316865322E-2</v>
      </c>
      <c r="U34">
        <f t="shared" si="7"/>
        <v>2.0658720762977274E-2</v>
      </c>
      <c r="V34">
        <f t="shared" si="22"/>
        <v>2.0731459468157441E-2</v>
      </c>
      <c r="W34">
        <f t="shared" si="8"/>
        <v>8.2941394177059063E-2</v>
      </c>
      <c r="X34">
        <f t="shared" si="9"/>
        <v>1.9998832230512218E-2</v>
      </c>
      <c r="Y34">
        <f t="shared" si="23"/>
        <v>1.8596499920671073E-2</v>
      </c>
      <c r="AC34" s="1">
        <f t="shared" si="16"/>
        <v>39873</v>
      </c>
      <c r="AD34">
        <f t="shared" si="10"/>
        <v>8.2666666666666666E-2</v>
      </c>
      <c r="AE34">
        <f t="shared" si="11"/>
        <v>1.7735507352301009E-2</v>
      </c>
      <c r="AF34">
        <f t="shared" si="12"/>
        <v>7.7385588143914124E-3</v>
      </c>
      <c r="AG34">
        <f t="shared" si="13"/>
        <v>1.6671818764959805E-2</v>
      </c>
      <c r="AH34">
        <f t="shared" si="14"/>
        <v>7.2821478537656468E-3</v>
      </c>
    </row>
    <row r="35" spans="1:34" x14ac:dyDescent="0.2">
      <c r="A35" s="1">
        <f t="shared" si="15"/>
        <v>37865</v>
      </c>
      <c r="B35">
        <f>'raw BLS data'!Q52</f>
        <v>3051</v>
      </c>
      <c r="C35">
        <f>'raw BLS data'!W63</f>
        <v>146530</v>
      </c>
      <c r="D35">
        <f>'raw BLS data'!J135/100</f>
        <v>6.0999999999999999E-2</v>
      </c>
      <c r="E35">
        <f t="shared" si="17"/>
        <v>6.133333333333333E-2</v>
      </c>
      <c r="F35">
        <f t="shared" si="24"/>
        <v>2.0821674742373574E-2</v>
      </c>
      <c r="G35">
        <f t="shared" si="18"/>
        <v>2.1251168279784145E-2</v>
      </c>
      <c r="H35">
        <f t="shared" si="25"/>
        <v>2.0821674742373574E-2</v>
      </c>
      <c r="I35" t="e">
        <f t="shared" si="26"/>
        <v>#N/A</v>
      </c>
      <c r="J35">
        <f t="shared" si="3"/>
        <v>0.3413389302028455</v>
      </c>
      <c r="K35">
        <f>F35/(D35+Calculations!J118)</f>
        <v>0.14713625253448348</v>
      </c>
      <c r="L35">
        <f>Calculations!F118/100</f>
        <v>0.25099703544342</v>
      </c>
      <c r="M35">
        <f>LN(Calculations!G118/Calculations!G117)</f>
        <v>0.10185620487824411</v>
      </c>
      <c r="N35">
        <v>0.5</v>
      </c>
      <c r="O35">
        <f t="shared" si="19"/>
        <v>0.23617606961668194</v>
      </c>
      <c r="P35">
        <f t="shared" si="5"/>
        <v>1.644166117859519E-2</v>
      </c>
      <c r="Q35">
        <f t="shared" si="21"/>
        <v>1.8940973990004255E-2</v>
      </c>
      <c r="R35">
        <f>Calculations!J118/( (Calculations!I118/100) + Calculations!J118 )</f>
        <v>0.56894382821483136</v>
      </c>
      <c r="S35">
        <f>LN(Calculations!J118/Calculations!J117)</f>
        <v>-5.8607436460460766E-2</v>
      </c>
      <c r="T35">
        <f t="shared" si="20"/>
        <v>1.713339505519329E-2</v>
      </c>
      <c r="U35">
        <f t="shared" si="7"/>
        <v>2.0467967518715866E-2</v>
      </c>
      <c r="V35">
        <f t="shared" si="22"/>
        <v>2.0603743957455237E-2</v>
      </c>
      <c r="W35">
        <f t="shared" si="8"/>
        <v>0.25330946467187521</v>
      </c>
      <c r="X35">
        <f t="shared" si="9"/>
        <v>1.6162359230036435E-2</v>
      </c>
      <c r="Y35">
        <f t="shared" si="23"/>
        <v>1.8344886789528166E-2</v>
      </c>
      <c r="AC35" s="1">
        <f t="shared" si="16"/>
        <v>39965</v>
      </c>
      <c r="AD35">
        <f t="shared" si="10"/>
        <v>9.3000000000000013E-2</v>
      </c>
      <c r="AE35">
        <f t="shared" si="11"/>
        <v>1.5269273539124885E-2</v>
      </c>
      <c r="AF35">
        <f t="shared" si="12"/>
        <v>6.8348708440779627E-3</v>
      </c>
      <c r="AG35">
        <f t="shared" si="13"/>
        <v>1.3743418769788886E-2</v>
      </c>
      <c r="AH35">
        <f t="shared" si="14"/>
        <v>6.1359398458469246E-3</v>
      </c>
    </row>
    <row r="36" spans="1:34" x14ac:dyDescent="0.2">
      <c r="A36" s="1">
        <f t="shared" si="15"/>
        <v>37895</v>
      </c>
      <c r="B36">
        <f>'raw BLS data'!Q53</f>
        <v>3140</v>
      </c>
      <c r="C36">
        <f>'raw BLS data'!W64</f>
        <v>146716</v>
      </c>
      <c r="D36">
        <f>'raw BLS data'!J136/100</f>
        <v>0.06</v>
      </c>
      <c r="E36">
        <f t="shared" si="17"/>
        <v>6.0666666666666667E-2</v>
      </c>
      <c r="F36">
        <f t="shared" si="24"/>
        <v>2.1401892090842173E-2</v>
      </c>
      <c r="G36">
        <f t="shared" si="18"/>
        <v>2.1317286910649685E-2</v>
      </c>
      <c r="H36">
        <f t="shared" si="25"/>
        <v>2.1401892090842173E-2</v>
      </c>
      <c r="I36" t="e">
        <f t="shared" si="26"/>
        <v>#N/A</v>
      </c>
      <c r="J36">
        <f t="shared" si="3"/>
        <v>0.35669820151403625</v>
      </c>
      <c r="K36">
        <f>F36/(D36+Calculations!J119)</f>
        <v>0.15054711435149659</v>
      </c>
      <c r="L36">
        <f>Calculations!F119/100</f>
        <v>0.22880202230889901</v>
      </c>
      <c r="M36">
        <f>LN(Calculations!G119/Calculations!G118)</f>
        <v>-0.20886710030169642</v>
      </c>
      <c r="N36">
        <v>0.5</v>
      </c>
      <c r="O36">
        <f t="shared" si="19"/>
        <v>-0.18155813098671089</v>
      </c>
      <c r="P36">
        <f t="shared" si="5"/>
        <v>2.5662671483068406E-2</v>
      </c>
      <c r="Q36">
        <f t="shared" si="21"/>
        <v>2.1046191108509225E-2</v>
      </c>
      <c r="R36">
        <f>Calculations!J119/( (Calculations!I119/100) + Calculations!J119 )</f>
        <v>0.57794260326380575</v>
      </c>
      <c r="S36">
        <f>LN(Calculations!J119/Calculations!J118)</f>
        <v>2.0260644979310231E-2</v>
      </c>
      <c r="T36">
        <f t="shared" si="20"/>
        <v>2.8842884958339601E-2</v>
      </c>
      <c r="U36">
        <f t="shared" si="7"/>
        <v>2.0793417049737001E-2</v>
      </c>
      <c r="V36">
        <f t="shared" si="22"/>
        <v>2.0640035110476712E-2</v>
      </c>
      <c r="W36">
        <f t="shared" si="8"/>
        <v>-0.15271524602837128</v>
      </c>
      <c r="X36">
        <f t="shared" si="9"/>
        <v>2.4933058651677192E-2</v>
      </c>
      <c r="Y36">
        <f t="shared" si="23"/>
        <v>2.0364750037408615E-2</v>
      </c>
      <c r="AC36" s="1">
        <f t="shared" si="16"/>
        <v>40057</v>
      </c>
      <c r="AD36">
        <f t="shared" si="10"/>
        <v>9.633333333333334E-2</v>
      </c>
      <c r="AE36">
        <f t="shared" si="11"/>
        <v>1.4998745275181344E-2</v>
      </c>
      <c r="AF36">
        <f t="shared" si="12"/>
        <v>7.1471735314360225E-3</v>
      </c>
      <c r="AG36">
        <f t="shared" si="13"/>
        <v>1.3721319468310275E-2</v>
      </c>
      <c r="AH36">
        <f t="shared" si="14"/>
        <v>6.5327863599870068E-3</v>
      </c>
    </row>
    <row r="37" spans="1:34" x14ac:dyDescent="0.2">
      <c r="A37" s="1">
        <f t="shared" si="15"/>
        <v>37926</v>
      </c>
      <c r="B37">
        <f>'raw BLS data'!Q54</f>
        <v>3286</v>
      </c>
      <c r="C37">
        <f>'raw BLS data'!W65</f>
        <v>147000</v>
      </c>
      <c r="D37">
        <f>'raw BLS data'!J137/100</f>
        <v>5.7999999999999996E-2</v>
      </c>
      <c r="E37">
        <f t="shared" si="17"/>
        <v>5.9666666666666666E-2</v>
      </c>
      <c r="F37">
        <f t="shared" si="24"/>
        <v>2.2353741496598641E-2</v>
      </c>
      <c r="G37">
        <f t="shared" si="18"/>
        <v>2.1525769443271465E-2</v>
      </c>
      <c r="H37">
        <f t="shared" si="25"/>
        <v>2.2353741496598641E-2</v>
      </c>
      <c r="I37" t="e">
        <f t="shared" si="26"/>
        <v>#N/A</v>
      </c>
      <c r="J37">
        <f t="shared" si="3"/>
        <v>0.38540933614825246</v>
      </c>
      <c r="K37">
        <f>F37/(D37+Calculations!J120)</f>
        <v>0.17242865417794107</v>
      </c>
      <c r="L37">
        <f>Calculations!F120/100</f>
        <v>0.26406040919273799</v>
      </c>
      <c r="M37">
        <f>LN(Calculations!G120/Calculations!G119)</f>
        <v>0.30867315151961028</v>
      </c>
      <c r="N37">
        <v>0.5</v>
      </c>
      <c r="O37">
        <f t="shared" si="19"/>
        <v>0.43578817205250964</v>
      </c>
      <c r="P37">
        <f t="shared" si="5"/>
        <v>1.4457387647094247E-2</v>
      </c>
      <c r="Q37">
        <f t="shared" si="21"/>
        <v>1.8853906769585947E-2</v>
      </c>
      <c r="R37">
        <f>Calculations!J120/( (Calculations!I120/100) + Calculations!J120 )</f>
        <v>0.55260903666429551</v>
      </c>
      <c r="S37">
        <f>LN(Calculations!J120/Calculations!J119)</f>
        <v>-0.13701688242095869</v>
      </c>
      <c r="T37">
        <f t="shared" si="20"/>
        <v>-4.6873882443051421E-2</v>
      </c>
      <c r="U37">
        <f t="shared" si="7"/>
        <v>2.3426493769385669E-2</v>
      </c>
      <c r="V37">
        <f t="shared" si="22"/>
        <v>2.1562626112612848E-2</v>
      </c>
      <c r="W37">
        <f t="shared" si="8"/>
        <v>0.38891428960945823</v>
      </c>
      <c r="X37">
        <f t="shared" si="9"/>
        <v>1.5151195234488213E-2</v>
      </c>
      <c r="Y37">
        <f t="shared" si="23"/>
        <v>1.8748871038733947E-2</v>
      </c>
      <c r="AC37" s="1">
        <f t="shared" si="16"/>
        <v>40148</v>
      </c>
      <c r="AD37">
        <f t="shared" si="10"/>
        <v>9.9333333333333343E-2</v>
      </c>
      <c r="AE37">
        <f t="shared" si="11"/>
        <v>1.5733573816237054E-2</v>
      </c>
      <c r="AF37">
        <f t="shared" si="12"/>
        <v>8.06552827244327E-3</v>
      </c>
      <c r="AG37">
        <f t="shared" si="13"/>
        <v>1.4064928676103983E-2</v>
      </c>
      <c r="AH37">
        <f t="shared" si="14"/>
        <v>7.2050354180746524E-3</v>
      </c>
    </row>
    <row r="38" spans="1:34" x14ac:dyDescent="0.2">
      <c r="A38" s="1">
        <f t="shared" si="15"/>
        <v>37956</v>
      </c>
      <c r="B38">
        <f>'raw BLS data'!Q55</f>
        <v>3255</v>
      </c>
      <c r="C38">
        <f>'raw BLS data'!W66</f>
        <v>146729</v>
      </c>
      <c r="D38">
        <f>'raw BLS data'!J138/100</f>
        <v>5.7000000000000002E-2</v>
      </c>
      <c r="E38">
        <f t="shared" si="17"/>
        <v>5.8333333333333327E-2</v>
      </c>
      <c r="F38">
        <f t="shared" si="24"/>
        <v>2.2183753722849607E-2</v>
      </c>
      <c r="G38">
        <f t="shared" si="18"/>
        <v>2.1979795770096806E-2</v>
      </c>
      <c r="H38">
        <f t="shared" si="25"/>
        <v>2.2183753722849607E-2</v>
      </c>
      <c r="I38" t="e">
        <f t="shared" si="26"/>
        <v>#N/A</v>
      </c>
      <c r="J38">
        <f t="shared" si="3"/>
        <v>0.38918866180437905</v>
      </c>
      <c r="K38">
        <f>F38/(D38+Calculations!J121)</f>
        <v>0.16569584332990031</v>
      </c>
      <c r="L38">
        <f>Calculations!F121/100</f>
        <v>0.24535155188241098</v>
      </c>
      <c r="M38">
        <f>LN(Calculations!G121/Calculations!G120)</f>
        <v>-0.15499586437382287</v>
      </c>
      <c r="N38">
        <v>0.5</v>
      </c>
      <c r="O38">
        <f t="shared" si="19"/>
        <v>0.12579644330486389</v>
      </c>
      <c r="P38">
        <f t="shared" si="5"/>
        <v>1.9561508110152614E-2</v>
      </c>
      <c r="Q38">
        <f t="shared" si="21"/>
        <v>1.9893855746771754E-2</v>
      </c>
      <c r="R38">
        <f>Calculations!J121/( (Calculations!I121/100) + Calculations!J121 )</f>
        <v>0.57425315896487938</v>
      </c>
      <c r="S38">
        <f>LN(Calculations!J121/Calculations!J120)</f>
        <v>7.0615785444979623E-2</v>
      </c>
      <c r="T38">
        <f t="shared" si="20"/>
        <v>-6.322544578485724E-3</v>
      </c>
      <c r="U38">
        <f t="shared" si="7"/>
        <v>2.2324455823624169E-2</v>
      </c>
      <c r="V38">
        <f t="shared" si="22"/>
        <v>2.2181455547582284E-2</v>
      </c>
      <c r="W38">
        <f t="shared" si="8"/>
        <v>0.11947389872637817</v>
      </c>
      <c r="X38">
        <f t="shared" si="9"/>
        <v>1.9685578423941853E-2</v>
      </c>
      <c r="Y38">
        <f t="shared" si="23"/>
        <v>1.9923277436702417E-2</v>
      </c>
      <c r="AC38" s="1">
        <f t="shared" si="16"/>
        <v>40238</v>
      </c>
      <c r="AD38">
        <f t="shared" si="10"/>
        <v>9.8333333333333342E-2</v>
      </c>
      <c r="AE38">
        <f t="shared" si="11"/>
        <v>1.7223908498662271E-2</v>
      </c>
      <c r="AF38">
        <f t="shared" si="12"/>
        <v>9.9574681439067256E-3</v>
      </c>
      <c r="AG38">
        <f t="shared" si="13"/>
        <v>1.5647354704681277E-2</v>
      </c>
      <c r="AH38">
        <f t="shared" si="14"/>
        <v>9.0463059373843049E-3</v>
      </c>
    </row>
    <row r="39" spans="1:34" x14ac:dyDescent="0.2">
      <c r="A39" s="1">
        <f t="shared" si="15"/>
        <v>37987</v>
      </c>
      <c r="B39">
        <f>'raw BLS data'!Q56</f>
        <v>3322</v>
      </c>
      <c r="C39">
        <f>'raw BLS data'!W67</f>
        <v>146842</v>
      </c>
      <c r="D39">
        <f>'raw BLS data'!J139/100</f>
        <v>5.7000000000000002E-2</v>
      </c>
      <c r="E39">
        <f t="shared" si="17"/>
        <v>5.7333333333333326E-2</v>
      </c>
      <c r="F39">
        <f t="shared" si="24"/>
        <v>2.2622955285272604E-2</v>
      </c>
      <c r="G39">
        <f t="shared" si="18"/>
        <v>2.2386816834906953E-2</v>
      </c>
      <c r="H39">
        <f t="shared" si="25"/>
        <v>2.2622955285272604E-2</v>
      </c>
      <c r="I39" t="e">
        <f t="shared" si="26"/>
        <v>#N/A</v>
      </c>
      <c r="J39">
        <f t="shared" si="3"/>
        <v>0.39689395237320357</v>
      </c>
      <c r="K39">
        <f>F39/(D39+Calculations!J122)</f>
        <v>0.16113212862676798</v>
      </c>
      <c r="L39">
        <f>Calculations!F122/100</f>
        <v>0.23251250222481301</v>
      </c>
      <c r="M39">
        <f>LN(Calculations!G122/Calculations!G121)</f>
        <v>1.9472819546179482E-2</v>
      </c>
      <c r="N39">
        <v>0.5</v>
      </c>
      <c r="O39">
        <f t="shared" si="19"/>
        <v>0.16474208239722285</v>
      </c>
      <c r="P39">
        <f t="shared" si="5"/>
        <v>1.9186809332000225E-2</v>
      </c>
      <c r="Q39">
        <f t="shared" si="21"/>
        <v>1.7735235029749028E-2</v>
      </c>
      <c r="R39">
        <f>Calculations!J122/( (Calculations!I122/100) + Calculations!J122 )</f>
        <v>0.59401717344573257</v>
      </c>
      <c r="S39">
        <f>LN(Calculations!J122/Calculations!J121)</f>
        <v>8.137192805897811E-2</v>
      </c>
      <c r="T39">
        <f t="shared" si="20"/>
        <v>4.201377812493795E-2</v>
      </c>
      <c r="U39">
        <f t="shared" si="7"/>
        <v>2.1692169290812812E-2</v>
      </c>
      <c r="V39">
        <f t="shared" si="22"/>
        <v>2.2481039627940885E-2</v>
      </c>
      <c r="W39">
        <f t="shared" si="8"/>
        <v>0.2067558605221608</v>
      </c>
      <c r="X39">
        <f t="shared" si="9"/>
        <v>1.8397398170664363E-2</v>
      </c>
      <c r="Y39">
        <f t="shared" si="23"/>
        <v>1.7744723943031476E-2</v>
      </c>
      <c r="AC39" s="1">
        <f t="shared" si="16"/>
        <v>40330</v>
      </c>
      <c r="AD39">
        <f t="shared" si="10"/>
        <v>9.633333333333334E-2</v>
      </c>
      <c r="AE39">
        <f t="shared" si="11"/>
        <v>1.8676902780874641E-2</v>
      </c>
      <c r="AF39">
        <f t="shared" si="12"/>
        <v>1.0920361656694216E-2</v>
      </c>
      <c r="AG39">
        <f t="shared" si="13"/>
        <v>1.6828152963216256E-2</v>
      </c>
      <c r="AH39">
        <f t="shared" si="14"/>
        <v>9.8571325843766436E-3</v>
      </c>
    </row>
    <row r="40" spans="1:34" x14ac:dyDescent="0.2">
      <c r="A40" s="1">
        <f t="shared" si="15"/>
        <v>38018</v>
      </c>
      <c r="B40">
        <f>'raw BLS data'!Q57</f>
        <v>3415</v>
      </c>
      <c r="C40">
        <f>'raw BLS data'!W68</f>
        <v>146709</v>
      </c>
      <c r="D40">
        <f>'raw BLS data'!J140/100</f>
        <v>5.5999999999999994E-2</v>
      </c>
      <c r="E40">
        <f t="shared" si="17"/>
        <v>5.6666666666666664E-2</v>
      </c>
      <c r="F40">
        <f t="shared" si="24"/>
        <v>2.3277372213020332E-2</v>
      </c>
      <c r="G40">
        <f t="shared" si="18"/>
        <v>2.2694693740380845E-2</v>
      </c>
      <c r="H40">
        <f t="shared" si="25"/>
        <v>2.3277372213020332E-2</v>
      </c>
      <c r="I40" t="e">
        <f t="shared" si="26"/>
        <v>#N/A</v>
      </c>
      <c r="J40">
        <f t="shared" si="3"/>
        <v>0.41566736094679169</v>
      </c>
      <c r="K40">
        <f>F40/(D40+Calculations!J123)</f>
        <v>0.15396089211009104</v>
      </c>
      <c r="L40">
        <f>Calculations!F123/100</f>
        <v>0.218723410995215</v>
      </c>
      <c r="M40">
        <f>LN(Calculations!G123/Calculations!G122)</f>
        <v>-6.6064364684124161E-2</v>
      </c>
      <c r="N40">
        <v>0.5</v>
      </c>
      <c r="O40">
        <f t="shared" si="19"/>
        <v>3.2613353028974529E-2</v>
      </c>
      <c r="P40">
        <f t="shared" si="5"/>
        <v>2.2530464834098547E-2</v>
      </c>
      <c r="Q40">
        <f t="shared" si="21"/>
        <v>2.0426260758750463E-2</v>
      </c>
      <c r="R40">
        <f>Calculations!J123/( (Calculations!I123/100) + Calculations!J123 )</f>
        <v>0.62960552938435044</v>
      </c>
      <c r="S40">
        <f>LN(Calculations!J123/Calculations!J122)</f>
        <v>0.13222795693495426</v>
      </c>
      <c r="T40">
        <f t="shared" si="20"/>
        <v>0.12526523095038092</v>
      </c>
      <c r="U40">
        <f t="shared" si="7"/>
        <v>2.0536761171197661E-2</v>
      </c>
      <c r="V40">
        <f t="shared" si="22"/>
        <v>2.1517795428544883E-2</v>
      </c>
      <c r="W40">
        <f t="shared" si="8"/>
        <v>0.15787858397935545</v>
      </c>
      <c r="X40">
        <f t="shared" si="9"/>
        <v>1.9877792524842383E-2</v>
      </c>
      <c r="Y40">
        <f t="shared" si="23"/>
        <v>1.9320256373149533E-2</v>
      </c>
      <c r="AC40" s="1">
        <f t="shared" si="16"/>
        <v>40422</v>
      </c>
      <c r="AD40">
        <f t="shared" si="10"/>
        <v>9.5000000000000015E-2</v>
      </c>
      <c r="AE40">
        <f t="shared" si="11"/>
        <v>1.8648649482660238E-2</v>
      </c>
      <c r="AF40">
        <f t="shared" si="12"/>
        <v>1.0714342564948411E-2</v>
      </c>
      <c r="AG40">
        <f t="shared" si="13"/>
        <v>1.6491666896206514E-2</v>
      </c>
      <c r="AH40">
        <f t="shared" si="14"/>
        <v>9.4751488521932076E-3</v>
      </c>
    </row>
    <row r="41" spans="1:34" x14ac:dyDescent="0.2">
      <c r="A41" s="1">
        <f t="shared" si="15"/>
        <v>38047</v>
      </c>
      <c r="B41">
        <f>'raw BLS data'!Q58</f>
        <v>3394</v>
      </c>
      <c r="C41">
        <f>'raw BLS data'!W69</f>
        <v>146944</v>
      </c>
      <c r="D41">
        <f>'raw BLS data'!J141/100</f>
        <v>5.7999999999999996E-2</v>
      </c>
      <c r="E41">
        <f t="shared" si="17"/>
        <v>5.6999999999999995E-2</v>
      </c>
      <c r="F41">
        <f t="shared" si="24"/>
        <v>2.3097234320557491E-2</v>
      </c>
      <c r="G41">
        <f t="shared" si="18"/>
        <v>2.2999187272950142E-2</v>
      </c>
      <c r="H41">
        <f t="shared" si="25"/>
        <v>2.3097234320557491E-2</v>
      </c>
      <c r="I41" t="e">
        <f t="shared" si="26"/>
        <v>#N/A</v>
      </c>
      <c r="J41">
        <f t="shared" si="3"/>
        <v>0.39822817794064641</v>
      </c>
      <c r="K41">
        <f>F41/(D41+Calculations!J124)</f>
        <v>0.14846054007189585</v>
      </c>
      <c r="L41">
        <f>Calculations!F124/100</f>
        <v>0.256125992420626</v>
      </c>
      <c r="M41">
        <f>LN(Calculations!G124/Calculations!G123)</f>
        <v>-1.2012749631258363E-2</v>
      </c>
      <c r="N41">
        <v>0.5</v>
      </c>
      <c r="O41">
        <f t="shared" si="19"/>
        <v>8.5878537664578029E-3</v>
      </c>
      <c r="P41">
        <f t="shared" si="5"/>
        <v>2.2899727941613171E-2</v>
      </c>
      <c r="Q41">
        <f t="shared" si="21"/>
        <v>2.1539000702570647E-2</v>
      </c>
      <c r="R41">
        <f>Calculations!J124/( (Calculations!I124/100) + Calculations!J124 )</f>
        <v>0.6271972996998143</v>
      </c>
      <c r="S41">
        <f>LN(Calculations!J124/Calculations!J123)</f>
        <v>2.4778252508762699E-2</v>
      </c>
      <c r="T41">
        <f t="shared" si="20"/>
        <v>0.14080608401515704</v>
      </c>
      <c r="U41">
        <f t="shared" si="7"/>
        <v>2.0063591411063352E-2</v>
      </c>
      <c r="V41">
        <f t="shared" si="22"/>
        <v>2.0764173957691274E-2</v>
      </c>
      <c r="W41">
        <f t="shared" si="8"/>
        <v>0.14939393778161483</v>
      </c>
      <c r="X41">
        <f t="shared" si="9"/>
        <v>1.9892025965901353E-2</v>
      </c>
      <c r="Y41">
        <f t="shared" si="23"/>
        <v>1.9389072220469369E-2</v>
      </c>
      <c r="AC41" s="1">
        <f t="shared" si="16"/>
        <v>40513</v>
      </c>
      <c r="AD41">
        <f t="shared" si="10"/>
        <v>9.5333333333333339E-2</v>
      </c>
      <c r="AE41">
        <f t="shared" si="11"/>
        <v>1.9532939262570138E-2</v>
      </c>
      <c r="AF41">
        <f t="shared" si="12"/>
        <v>1.0193402247070712E-2</v>
      </c>
      <c r="AG41">
        <f t="shared" si="13"/>
        <v>1.7519491700797418E-2</v>
      </c>
      <c r="AH41">
        <f t="shared" si="14"/>
        <v>9.1661116577618426E-3</v>
      </c>
    </row>
    <row r="42" spans="1:34" x14ac:dyDescent="0.2">
      <c r="A42" s="1">
        <f t="shared" si="15"/>
        <v>38078</v>
      </c>
      <c r="B42">
        <f>'raw BLS data'!Q59</f>
        <v>3524</v>
      </c>
      <c r="C42">
        <f>'raw BLS data'!W70</f>
        <v>146850</v>
      </c>
      <c r="D42">
        <f>'raw BLS data'!J142/100</f>
        <v>5.5999999999999994E-2</v>
      </c>
      <c r="E42">
        <f t="shared" si="17"/>
        <v>5.6666666666666664E-2</v>
      </c>
      <c r="F42">
        <f t="shared" si="24"/>
        <v>2.3997276132107594E-2</v>
      </c>
      <c r="G42">
        <f t="shared" si="18"/>
        <v>2.3457294221895141E-2</v>
      </c>
      <c r="H42">
        <f t="shared" si="25"/>
        <v>2.3997276132107594E-2</v>
      </c>
      <c r="I42" t="e">
        <f t="shared" si="26"/>
        <v>#N/A</v>
      </c>
      <c r="J42">
        <f t="shared" si="3"/>
        <v>0.42852278807334993</v>
      </c>
      <c r="K42">
        <f>F42/(D42+Calculations!J125)</f>
        <v>0.17252352563791606</v>
      </c>
      <c r="L42">
        <f>Calculations!F125/100</f>
        <v>0.26212067443173498</v>
      </c>
      <c r="M42">
        <f>LN(Calculations!G125/Calculations!G124)</f>
        <v>4.8664831173686605E-2</v>
      </c>
      <c r="N42">
        <v>0.5</v>
      </c>
      <c r="O42">
        <f t="shared" si="19"/>
        <v>0.10591751611383102</v>
      </c>
      <c r="P42">
        <f t="shared" si="5"/>
        <v>2.1585522024215667E-2</v>
      </c>
      <c r="Q42">
        <f t="shared" si="21"/>
        <v>2.2338571599975793E-2</v>
      </c>
      <c r="R42">
        <f>Calculations!J125/( (Calculations!I125/100) + Calculations!J125 )</f>
        <v>0.59739941389444773</v>
      </c>
      <c r="S42">
        <f>LN(Calculations!J125/Calculations!J124)</f>
        <v>-0.16066220175122678</v>
      </c>
      <c r="T42">
        <f t="shared" si="20"/>
        <v>4.4826578853982654E-2</v>
      </c>
      <c r="U42">
        <f t="shared" si="7"/>
        <v>2.2945314410850265E-2</v>
      </c>
      <c r="V42">
        <f t="shared" si="22"/>
        <v>2.1181888997703759E-2</v>
      </c>
      <c r="W42">
        <f t="shared" si="8"/>
        <v>0.15074409496781366</v>
      </c>
      <c r="X42">
        <f t="shared" si="9"/>
        <v>2.0639283677087162E-2</v>
      </c>
      <c r="Y42">
        <f t="shared" si="23"/>
        <v>2.0136367389276964E-2</v>
      </c>
      <c r="AC42" s="1">
        <f t="shared" si="16"/>
        <v>40603</v>
      </c>
      <c r="AD42">
        <f t="shared" si="10"/>
        <v>9.0000000000000011E-2</v>
      </c>
      <c r="AE42">
        <f t="shared" si="11"/>
        <v>1.9546606514275169E-2</v>
      </c>
      <c r="AF42">
        <f t="shared" si="12"/>
        <v>1.2880925081347583E-2</v>
      </c>
      <c r="AG42">
        <f t="shared" si="13"/>
        <v>1.7354118473048748E-2</v>
      </c>
      <c r="AH42">
        <f t="shared" si="14"/>
        <v>1.1493713783609838E-2</v>
      </c>
    </row>
    <row r="43" spans="1:34" x14ac:dyDescent="0.2">
      <c r="A43" s="1">
        <f t="shared" si="15"/>
        <v>38108</v>
      </c>
      <c r="B43">
        <f>'raw BLS data'!Q60</f>
        <v>3620</v>
      </c>
      <c r="C43">
        <f>'raw BLS data'!W71</f>
        <v>147065</v>
      </c>
      <c r="D43">
        <f>'raw BLS data'!J143/100</f>
        <v>5.5999999999999994E-2</v>
      </c>
      <c r="E43">
        <f t="shared" si="17"/>
        <v>5.6666666666666664E-2</v>
      </c>
      <c r="F43">
        <f t="shared" si="24"/>
        <v>2.46149661714208E-2</v>
      </c>
      <c r="G43">
        <f t="shared" si="18"/>
        <v>2.3903158874695296E-2</v>
      </c>
      <c r="H43">
        <f t="shared" si="25"/>
        <v>2.46149661714208E-2</v>
      </c>
      <c r="I43" t="e">
        <f t="shared" si="26"/>
        <v>#N/A</v>
      </c>
      <c r="J43">
        <f t="shared" si="3"/>
        <v>0.43955296734680005</v>
      </c>
      <c r="K43">
        <f>F43/(D43+Calculations!J126)</f>
        <v>0.18693303633240679</v>
      </c>
      <c r="L43">
        <f>Calculations!F126/100</f>
        <v>0.24284019235243601</v>
      </c>
      <c r="M43">
        <f>LN(Calculations!G126/Calculations!G125)</f>
        <v>-8.5787530486417712E-2</v>
      </c>
      <c r="N43">
        <v>0.5</v>
      </c>
      <c r="O43">
        <f t="shared" si="19"/>
        <v>-6.5657544859004408E-2</v>
      </c>
      <c r="P43">
        <f t="shared" si="5"/>
        <v>2.628536140781107E-2</v>
      </c>
      <c r="Q43">
        <f t="shared" si="21"/>
        <v>2.3590203791213304E-2</v>
      </c>
      <c r="R43">
        <f>Calculations!J126/( (Calculations!I126/100) + Calculations!J126 )</f>
        <v>0.57472011288933067</v>
      </c>
      <c r="S43">
        <f>LN(Calculations!J126/Calculations!J125)</f>
        <v>-9.3505303660820369E-2</v>
      </c>
      <c r="T43">
        <f t="shared" si="20"/>
        <v>-8.9127998217151741E-3</v>
      </c>
      <c r="U43">
        <f t="shared" si="7"/>
        <v>2.4835335030485656E-2</v>
      </c>
      <c r="V43">
        <f t="shared" si="22"/>
        <v>2.261474695079976E-2</v>
      </c>
      <c r="W43">
        <f t="shared" si="8"/>
        <v>-7.4570344680719575E-2</v>
      </c>
      <c r="X43">
        <f t="shared" si="9"/>
        <v>2.6520684709220765E-2</v>
      </c>
      <c r="Y43">
        <f t="shared" si="23"/>
        <v>2.235066478406976E-2</v>
      </c>
      <c r="AC43" s="1">
        <f t="shared" si="16"/>
        <v>40695</v>
      </c>
      <c r="AD43">
        <f t="shared" si="10"/>
        <v>9.0333333333333335E-2</v>
      </c>
      <c r="AE43">
        <f t="shared" si="11"/>
        <v>1.9857014547712663E-2</v>
      </c>
      <c r="AF43">
        <f t="shared" si="12"/>
        <v>1.3263960543885026E-2</v>
      </c>
      <c r="AG43">
        <f t="shared" si="13"/>
        <v>1.7548010022357344E-2</v>
      </c>
      <c r="AH43">
        <f t="shared" si="14"/>
        <v>1.1719927454563931E-2</v>
      </c>
    </row>
    <row r="44" spans="1:34" x14ac:dyDescent="0.2">
      <c r="A44" s="1">
        <f t="shared" si="15"/>
        <v>38139</v>
      </c>
      <c r="B44">
        <f>'raw BLS data'!Q61</f>
        <v>3423</v>
      </c>
      <c r="C44">
        <f>'raw BLS data'!W72</f>
        <v>147460</v>
      </c>
      <c r="D44">
        <f>'raw BLS data'!J144/100</f>
        <v>5.5999999999999994E-2</v>
      </c>
      <c r="E44">
        <f t="shared" si="17"/>
        <v>5.5999999999999994E-2</v>
      </c>
      <c r="F44">
        <f t="shared" si="24"/>
        <v>2.3213074732130749E-2</v>
      </c>
      <c r="G44">
        <f t="shared" si="18"/>
        <v>2.3941772345219714E-2</v>
      </c>
      <c r="H44">
        <f t="shared" si="25"/>
        <v>2.3213074732130749E-2</v>
      </c>
      <c r="I44" t="e">
        <f t="shared" si="26"/>
        <v>#N/A</v>
      </c>
      <c r="J44">
        <f t="shared" si="3"/>
        <v>0.41451919164519196</v>
      </c>
      <c r="K44">
        <f>F44/(D44+Calculations!J127)</f>
        <v>0.17174278276566612</v>
      </c>
      <c r="L44">
        <f>Calculations!F127/100</f>
        <v>0.28054405492941198</v>
      </c>
      <c r="M44">
        <f>LN(Calculations!G127/Calculations!G126)</f>
        <v>0.18928461343046782</v>
      </c>
      <c r="N44">
        <v>0.5</v>
      </c>
      <c r="O44">
        <f t="shared" si="19"/>
        <v>0.3129116820019312</v>
      </c>
      <c r="P44">
        <f t="shared" si="5"/>
        <v>1.6976058093586197E-2</v>
      </c>
      <c r="Q44">
        <f t="shared" si="21"/>
        <v>2.1615647175204311E-2</v>
      </c>
      <c r="R44">
        <f>Calculations!J127/( (Calculations!I127/100) + Calculations!J127 )</f>
        <v>0.58568195097545817</v>
      </c>
      <c r="S44">
        <f>LN(Calculations!J127/Calculations!J126)</f>
        <v>4.5007331197489828E-2</v>
      </c>
      <c r="T44">
        <f t="shared" si="20"/>
        <v>1.7447181722229272E-2</v>
      </c>
      <c r="U44">
        <f t="shared" si="7"/>
        <v>2.2811584618982514E-2</v>
      </c>
      <c r="V44">
        <f t="shared" si="22"/>
        <v>2.3530744686772812E-2</v>
      </c>
      <c r="W44">
        <f t="shared" si="8"/>
        <v>0.33035886372416046</v>
      </c>
      <c r="X44">
        <f t="shared" si="9"/>
        <v>1.6682442553057616E-2</v>
      </c>
      <c r="Y44">
        <f t="shared" si="23"/>
        <v>2.1280803646455182E-2</v>
      </c>
      <c r="AC44" s="1">
        <f t="shared" si="16"/>
        <v>40787</v>
      </c>
      <c r="AD44">
        <f t="shared" si="10"/>
        <v>9.0000000000000011E-2</v>
      </c>
      <c r="AE44">
        <f t="shared" si="11"/>
        <v>2.1519152970715882E-2</v>
      </c>
      <c r="AF44">
        <f t="shared" si="12"/>
        <v>1.3732336354705089E-2</v>
      </c>
      <c r="AG44">
        <f t="shared" si="13"/>
        <v>1.874385415436269E-2</v>
      </c>
      <c r="AH44">
        <f t="shared" si="14"/>
        <v>1.2036057324674096E-2</v>
      </c>
    </row>
    <row r="45" spans="1:34" x14ac:dyDescent="0.2">
      <c r="A45" s="1">
        <f t="shared" si="15"/>
        <v>38169</v>
      </c>
      <c r="B45">
        <f>'raw BLS data'!Q62</f>
        <v>3807</v>
      </c>
      <c r="C45">
        <f>'raw BLS data'!W73</f>
        <v>147692</v>
      </c>
      <c r="D45">
        <f>'raw BLS data'!J145/100</f>
        <v>5.5E-2</v>
      </c>
      <c r="E45">
        <f t="shared" si="17"/>
        <v>5.5666666666666663E-2</v>
      </c>
      <c r="F45">
        <f t="shared" si="24"/>
        <v>2.5776616201283752E-2</v>
      </c>
      <c r="G45">
        <f t="shared" si="18"/>
        <v>2.4534885701611765E-2</v>
      </c>
      <c r="H45">
        <f t="shared" si="25"/>
        <v>2.5776616201283752E-2</v>
      </c>
      <c r="I45" t="e">
        <f t="shared" si="26"/>
        <v>#N/A</v>
      </c>
      <c r="J45">
        <f t="shared" si="3"/>
        <v>0.46866574911425002</v>
      </c>
      <c r="K45">
        <f>F45/(D45+Calculations!J128)</f>
        <v>0.17691814822193352</v>
      </c>
      <c r="L45">
        <f>Calculations!F128/100</f>
        <v>0.23545119903848602</v>
      </c>
      <c r="M45">
        <f>LN(Calculations!G128/Calculations!G127)</f>
        <v>-9.324111953464094E-2</v>
      </c>
      <c r="N45">
        <v>0.5</v>
      </c>
      <c r="O45">
        <f t="shared" si="19"/>
        <v>0.12642944293264932</v>
      </c>
      <c r="P45">
        <f t="shared" si="5"/>
        <v>2.2715290527018987E-2</v>
      </c>
      <c r="Q45">
        <f t="shared" si="21"/>
        <v>2.1992236676138751E-2</v>
      </c>
      <c r="R45">
        <f>Calculations!J128/( (Calculations!I128/100) + Calculations!J128 )</f>
        <v>0.62250676829638574</v>
      </c>
      <c r="S45">
        <f>LN(Calculations!J128/Calculations!J127)</f>
        <v>0.13604037305755673</v>
      </c>
      <c r="T45">
        <f t="shared" si="20"/>
        <v>0.10213323471212361</v>
      </c>
      <c r="U45">
        <f t="shared" si="7"/>
        <v>2.3273945067832123E-2</v>
      </c>
      <c r="V45">
        <f t="shared" si="22"/>
        <v>2.3640288239100096E-2</v>
      </c>
      <c r="W45">
        <f t="shared" si="8"/>
        <v>0.22856267764477295</v>
      </c>
      <c r="X45">
        <f t="shared" si="9"/>
        <v>2.0509845815191118E-2</v>
      </c>
      <c r="Y45">
        <f t="shared" si="23"/>
        <v>2.1237657692489833E-2</v>
      </c>
      <c r="AC45" s="1">
        <f t="shared" si="16"/>
        <v>40878</v>
      </c>
      <c r="AD45">
        <f t="shared" si="10"/>
        <v>8.666666666666667E-2</v>
      </c>
      <c r="AE45">
        <f t="shared" si="11"/>
        <v>2.1231713711150294E-2</v>
      </c>
      <c r="AF45">
        <f t="shared" si="12"/>
        <v>1.5331800720799664E-2</v>
      </c>
      <c r="AG45">
        <f t="shared" si="13"/>
        <v>1.8850639008978844E-2</v>
      </c>
      <c r="AH45">
        <f t="shared" si="14"/>
        <v>1.3601538885128163E-2</v>
      </c>
    </row>
    <row r="46" spans="1:34" x14ac:dyDescent="0.2">
      <c r="A46" s="1">
        <f t="shared" si="15"/>
        <v>38200</v>
      </c>
      <c r="B46">
        <f>'raw BLS data'!Q63</f>
        <v>3623</v>
      </c>
      <c r="C46">
        <f>'raw BLS data'!W74</f>
        <v>147564</v>
      </c>
      <c r="D46">
        <f>'raw BLS data'!J146/100</f>
        <v>5.4000000000000006E-2</v>
      </c>
      <c r="E46">
        <f t="shared" si="17"/>
        <v>5.4999999999999993E-2</v>
      </c>
      <c r="F46">
        <f t="shared" si="24"/>
        <v>2.4552058767721124E-2</v>
      </c>
      <c r="G46">
        <f t="shared" si="18"/>
        <v>2.451391656704521E-2</v>
      </c>
      <c r="H46">
        <f t="shared" si="25"/>
        <v>2.4552058767721124E-2</v>
      </c>
      <c r="I46" t="e">
        <f t="shared" si="26"/>
        <v>#N/A</v>
      </c>
      <c r="J46">
        <f t="shared" si="3"/>
        <v>0.45466775495779854</v>
      </c>
      <c r="K46">
        <f>F46/(D46+Calculations!J129)</f>
        <v>0.18807675790084485</v>
      </c>
      <c r="L46">
        <f>Calculations!F129/100</f>
        <v>0.27289699279933499</v>
      </c>
      <c r="M46">
        <f>LN(Calculations!G129/Calculations!G128)</f>
        <v>2.1036503497586883E-2</v>
      </c>
      <c r="N46">
        <v>0.5</v>
      </c>
      <c r="O46">
        <f t="shared" si="19"/>
        <v>0.16850244992782309</v>
      </c>
      <c r="P46">
        <f t="shared" si="5"/>
        <v>2.0744751210941152E-2</v>
      </c>
      <c r="Q46">
        <f t="shared" si="21"/>
        <v>2.0145366610515445E-2</v>
      </c>
      <c r="R46">
        <f>Calculations!J129/( (Calculations!I129/100) + Calculations!J129 )</f>
        <v>0.58634243169872058</v>
      </c>
      <c r="S46">
        <f>LN(Calculations!J129/Calculations!J128)</f>
        <v>-0.16968552896145037</v>
      </c>
      <c r="T46">
        <f t="shared" si="20"/>
        <v>2.6394090367831274E-3</v>
      </c>
      <c r="U46">
        <f t="shared" si="7"/>
        <v>2.448734128746017E-2</v>
      </c>
      <c r="V46">
        <f t="shared" si="22"/>
        <v>2.3524290324758269E-2</v>
      </c>
      <c r="W46">
        <f t="shared" si="8"/>
        <v>0.17114185896460621</v>
      </c>
      <c r="X46">
        <f t="shared" si="9"/>
        <v>2.0690069522545328E-2</v>
      </c>
      <c r="Y46">
        <f t="shared" si="23"/>
        <v>1.9294119296931353E-2</v>
      </c>
      <c r="AC46" s="1">
        <f t="shared" si="16"/>
        <v>40969</v>
      </c>
      <c r="AD46">
        <f t="shared" si="10"/>
        <v>8.2666666666666666E-2</v>
      </c>
      <c r="AE46">
        <f t="shared" si="11"/>
        <v>2.3257034789566325E-2</v>
      </c>
      <c r="AF46">
        <f t="shared" si="12"/>
        <v>1.7554530104532808E-2</v>
      </c>
      <c r="AG46">
        <f t="shared" si="13"/>
        <v>2.0676236468900988E-2</v>
      </c>
      <c r="AH46">
        <f t="shared" si="14"/>
        <v>1.5585804909809034E-2</v>
      </c>
    </row>
    <row r="47" spans="1:34" x14ac:dyDescent="0.2">
      <c r="A47" s="1">
        <f t="shared" si="15"/>
        <v>38231</v>
      </c>
      <c r="B47">
        <f>'raw BLS data'!Q64</f>
        <v>3754</v>
      </c>
      <c r="C47">
        <f>'raw BLS data'!W75</f>
        <v>147415</v>
      </c>
      <c r="D47">
        <f>'raw BLS data'!J147/100</f>
        <v>5.4000000000000006E-2</v>
      </c>
      <c r="E47">
        <f t="shared" si="17"/>
        <v>5.4333333333333345E-2</v>
      </c>
      <c r="F47">
        <f t="shared" si="24"/>
        <v>2.5465522504494114E-2</v>
      </c>
      <c r="G47">
        <f t="shared" si="18"/>
        <v>2.5264732491166331E-2</v>
      </c>
      <c r="H47">
        <f t="shared" si="25"/>
        <v>2.5465522504494114E-2</v>
      </c>
      <c r="I47" t="e">
        <f t="shared" si="26"/>
        <v>#N/A</v>
      </c>
      <c r="J47">
        <f t="shared" si="3"/>
        <v>0.47158375008322428</v>
      </c>
      <c r="K47">
        <f>F47/(D47+Calculations!J130)</f>
        <v>0.19141354227248228</v>
      </c>
      <c r="L47">
        <f>Calculations!F130/100</f>
        <v>0.27934247367121301</v>
      </c>
      <c r="M47">
        <f>LN(Calculations!G130/Calculations!G129)</f>
        <v>-4.4497795837460059E-2</v>
      </c>
      <c r="N47">
        <v>0.5</v>
      </c>
      <c r="O47">
        <f t="shared" si="19"/>
        <v>7.9506858252902976E-2</v>
      </c>
      <c r="P47">
        <f t="shared" si="5"/>
        <v>2.3519235550748047E-2</v>
      </c>
      <c r="Q47">
        <f t="shared" si="21"/>
        <v>2.2326425762902728E-2</v>
      </c>
      <c r="R47">
        <f>Calculations!J130/( (Calculations!I130/100) + Calculations!J130 )</f>
        <v>0.59410488118239457</v>
      </c>
      <c r="S47">
        <f>LN(Calculations!J130/Calculations!J129)</f>
        <v>3.2095601744318025E-2</v>
      </c>
      <c r="T47">
        <f t="shared" si="20"/>
        <v>2.1707562697568645E-2</v>
      </c>
      <c r="U47">
        <f t="shared" si="7"/>
        <v>2.4918684808049787E-2</v>
      </c>
      <c r="V47">
        <f t="shared" si="22"/>
        <v>2.4226657054447362E-2</v>
      </c>
      <c r="W47">
        <f t="shared" si="8"/>
        <v>0.10121442095047162</v>
      </c>
      <c r="X47">
        <f t="shared" si="9"/>
        <v>2.3014191737551877E-2</v>
      </c>
      <c r="Y47">
        <f t="shared" si="23"/>
        <v>2.140470235842944E-2</v>
      </c>
      <c r="AC47" s="1">
        <f t="shared" si="16"/>
        <v>41061</v>
      </c>
      <c r="AD47">
        <f t="shared" si="10"/>
        <v>8.1666666666666651E-2</v>
      </c>
      <c r="AE47">
        <f t="shared" si="11"/>
        <v>2.3866515221866429E-2</v>
      </c>
      <c r="AF47">
        <f t="shared" si="12"/>
        <v>1.6788595947224944E-2</v>
      </c>
      <c r="AG47">
        <f t="shared" si="13"/>
        <v>2.112109797810155E-2</v>
      </c>
      <c r="AH47">
        <f t="shared" si="14"/>
        <v>1.4874253578497006E-2</v>
      </c>
    </row>
    <row r="48" spans="1:34" x14ac:dyDescent="0.2">
      <c r="A48" s="1">
        <f t="shared" si="15"/>
        <v>38261</v>
      </c>
      <c r="B48">
        <f>'raw BLS data'!Q65</f>
        <v>3836</v>
      </c>
      <c r="C48">
        <f>'raw BLS data'!W76</f>
        <v>147793</v>
      </c>
      <c r="D48">
        <f>'raw BLS data'!J148/100</f>
        <v>5.5E-2</v>
      </c>
      <c r="E48">
        <f t="shared" si="17"/>
        <v>5.4333333333333338E-2</v>
      </c>
      <c r="F48">
        <f t="shared" si="24"/>
        <v>2.5955221153911214E-2</v>
      </c>
      <c r="G48">
        <f t="shared" si="18"/>
        <v>2.5324267475375487E-2</v>
      </c>
      <c r="H48">
        <f t="shared" si="25"/>
        <v>2.5955221153911214E-2</v>
      </c>
      <c r="I48" t="e">
        <f t="shared" si="26"/>
        <v>#N/A</v>
      </c>
      <c r="J48">
        <f t="shared" si="3"/>
        <v>0.4719131118892948</v>
      </c>
      <c r="K48">
        <f>F48/(D48+Calculations!J131)</f>
        <v>0.19643305388561316</v>
      </c>
      <c r="L48">
        <f>Calculations!F131/100</f>
        <v>0.26192277016214199</v>
      </c>
      <c r="M48">
        <f>LN(Calculations!G131/Calculations!G130)</f>
        <v>7.550029533079948E-2</v>
      </c>
      <c r="N48">
        <v>0.5</v>
      </c>
      <c r="O48">
        <f t="shared" si="19"/>
        <v>0.23050744891450192</v>
      </c>
      <c r="P48">
        <f t="shared" si="5"/>
        <v>2.0611833260506043E-2</v>
      </c>
      <c r="Q48">
        <f t="shared" si="21"/>
        <v>2.1625273340731749E-2</v>
      </c>
      <c r="R48">
        <f>Calculations!J131/( (Calculations!I131/100) + Calculations!J131 )</f>
        <v>0.58375165059687095</v>
      </c>
      <c r="S48">
        <f>LN(Calculations!J131/Calculations!J130)</f>
        <v>-2.4418373896355816E-2</v>
      </c>
      <c r="T48">
        <f t="shared" si="20"/>
        <v>7.4532966306793905E-3</v>
      </c>
      <c r="U48">
        <f t="shared" si="7"/>
        <v>2.5762488331203006E-2</v>
      </c>
      <c r="V48">
        <f t="shared" si="22"/>
        <v>2.5056171475570987E-2</v>
      </c>
      <c r="W48">
        <f t="shared" si="8"/>
        <v>0.23796074554518132</v>
      </c>
      <c r="X48">
        <f t="shared" si="9"/>
        <v>2.0458778243870612E-2</v>
      </c>
      <c r="Y48">
        <f t="shared" si="23"/>
        <v>2.1387679834655938E-2</v>
      </c>
      <c r="AC48" s="1">
        <f t="shared" si="16"/>
        <v>41153</v>
      </c>
      <c r="AD48">
        <f t="shared" si="10"/>
        <v>8.0333333333333326E-2</v>
      </c>
      <c r="AE48">
        <f t="shared" si="11"/>
        <v>2.3099144265973839E-2</v>
      </c>
      <c r="AF48">
        <f t="shared" si="12"/>
        <v>1.6433335430278542E-2</v>
      </c>
      <c r="AG48">
        <f t="shared" si="13"/>
        <v>2.0428084048374182E-2</v>
      </c>
      <c r="AH48">
        <f t="shared" si="14"/>
        <v>1.457745843965221E-2</v>
      </c>
    </row>
    <row r="49" spans="1:34" x14ac:dyDescent="0.2">
      <c r="A49" s="1">
        <f t="shared" si="15"/>
        <v>38292</v>
      </c>
      <c r="B49">
        <f>'raw BLS data'!Q66</f>
        <v>3383</v>
      </c>
      <c r="C49">
        <f>'raw BLS data'!W77</f>
        <v>148162</v>
      </c>
      <c r="D49">
        <f>'raw BLS data'!J149/100</f>
        <v>5.4000000000000006E-2</v>
      </c>
      <c r="E49">
        <f t="shared" si="17"/>
        <v>5.4333333333333345E-2</v>
      </c>
      <c r="F49">
        <f t="shared" si="24"/>
        <v>2.2833115103737801E-2</v>
      </c>
      <c r="G49">
        <f t="shared" si="18"/>
        <v>2.4751286254047711E-2</v>
      </c>
      <c r="H49">
        <f t="shared" si="25"/>
        <v>2.2833115103737801E-2</v>
      </c>
      <c r="I49" t="e">
        <f t="shared" si="26"/>
        <v>#N/A</v>
      </c>
      <c r="J49">
        <f t="shared" si="3"/>
        <v>0.42283546488403329</v>
      </c>
      <c r="K49">
        <f>F49/(D49+Calculations!J132)</f>
        <v>0.1638984938400333</v>
      </c>
      <c r="L49">
        <f>Calculations!F132/100</f>
        <v>0.27074673735786503</v>
      </c>
      <c r="M49">
        <f>LN(Calculations!G132/Calculations!G131)</f>
        <v>-0.10362217946435918</v>
      </c>
      <c r="N49">
        <v>0.5</v>
      </c>
      <c r="O49">
        <f t="shared" si="19"/>
        <v>2.3263089985783553E-2</v>
      </c>
      <c r="P49">
        <f t="shared" si="5"/>
        <v>2.2308076974796334E-2</v>
      </c>
      <c r="Q49">
        <f t="shared" si="21"/>
        <v>2.2146381928683474E-2</v>
      </c>
      <c r="R49">
        <f>Calculations!J132/( (Calculations!I132/100) + Calculations!J132 )</f>
        <v>0.61238233910917572</v>
      </c>
      <c r="S49">
        <f>LN(Calculations!J132/Calculations!J131)</f>
        <v>0.1007946815061144</v>
      </c>
      <c r="T49">
        <f t="shared" si="20"/>
        <v>6.9178179461158104E-2</v>
      </c>
      <c r="U49">
        <f t="shared" si="7"/>
        <v>2.1306958714946402E-2</v>
      </c>
      <c r="V49">
        <f t="shared" si="22"/>
        <v>2.3996043951399731E-2</v>
      </c>
      <c r="W49">
        <f t="shared" si="8"/>
        <v>9.2441269446941657E-2</v>
      </c>
      <c r="X49">
        <f t="shared" si="9"/>
        <v>2.0817013927023127E-2</v>
      </c>
      <c r="Y49">
        <f t="shared" si="23"/>
        <v>2.1429994636148541E-2</v>
      </c>
      <c r="AC49" s="1">
        <f t="shared" si="16"/>
        <v>41244</v>
      </c>
      <c r="AD49">
        <f t="shared" si="10"/>
        <v>7.8333333333333324E-2</v>
      </c>
      <c r="AE49">
        <f t="shared" si="11"/>
        <v>2.3685699670556757E-2</v>
      </c>
      <c r="AF49">
        <f t="shared" si="12"/>
        <v>1.7384317514550468E-2</v>
      </c>
      <c r="AG49">
        <f t="shared" si="13"/>
        <v>2.0454360820721138E-2</v>
      </c>
      <c r="AH49">
        <f t="shared" si="14"/>
        <v>1.5007809230934088E-2</v>
      </c>
    </row>
    <row r="50" spans="1:34" x14ac:dyDescent="0.2">
      <c r="A50" s="1">
        <f t="shared" si="15"/>
        <v>38322</v>
      </c>
      <c r="B50">
        <f>'raw BLS data'!Q67</f>
        <v>3808</v>
      </c>
      <c r="C50">
        <f>'raw BLS data'!W78</f>
        <v>148059</v>
      </c>
      <c r="D50">
        <f>'raw BLS data'!J150/100</f>
        <v>5.4000000000000006E-2</v>
      </c>
      <c r="E50">
        <f t="shared" si="17"/>
        <v>5.4333333333333345E-2</v>
      </c>
      <c r="F50">
        <f t="shared" si="24"/>
        <v>2.5719476695101277E-2</v>
      </c>
      <c r="G50">
        <f t="shared" si="18"/>
        <v>2.4835937650916764E-2</v>
      </c>
      <c r="H50">
        <f t="shared" si="25"/>
        <v>2.5719476695101277E-2</v>
      </c>
      <c r="I50" t="e">
        <f t="shared" si="26"/>
        <v>#N/A</v>
      </c>
      <c r="J50">
        <f t="shared" si="3"/>
        <v>0.47628660546483842</v>
      </c>
      <c r="K50">
        <f>F50/(D50+Calculations!J133)</f>
        <v>0.18020920627040246</v>
      </c>
      <c r="L50">
        <f>Calculations!F133/100</f>
        <v>0.24850041267130499</v>
      </c>
      <c r="M50">
        <f>LN(Calculations!G133/Calculations!G132)</f>
        <v>6.199990967684825E-2</v>
      </c>
      <c r="N50">
        <v>0.5</v>
      </c>
      <c r="O50">
        <f t="shared" si="19"/>
        <v>0.14726290933948005</v>
      </c>
      <c r="P50">
        <f t="shared" si="5"/>
        <v>2.2197632601023084E-2</v>
      </c>
      <c r="Q50">
        <f t="shared" si="21"/>
        <v>2.1705847612108489E-2</v>
      </c>
      <c r="R50">
        <f>Calculations!J133/( (Calculations!I133/100) + Calculations!J133 )</f>
        <v>0.62163704751989635</v>
      </c>
      <c r="S50">
        <f>LN(Calculations!J133/Calculations!J132)</f>
        <v>3.9165090018515147E-2</v>
      </c>
      <c r="T50">
        <f t="shared" si="20"/>
        <v>9.3524650386118818E-2</v>
      </c>
      <c r="U50">
        <f t="shared" si="7"/>
        <v>2.3423127818274547E-2</v>
      </c>
      <c r="V50">
        <f t="shared" si="22"/>
        <v>2.3497524954807985E-2</v>
      </c>
      <c r="W50">
        <f t="shared" si="8"/>
        <v>0.24078755972559887</v>
      </c>
      <c r="X50">
        <f t="shared" si="9"/>
        <v>2.0215729574929221E-2</v>
      </c>
      <c r="Y50">
        <f t="shared" si="23"/>
        <v>2.0497173915274319E-2</v>
      </c>
      <c r="AC50" s="1">
        <f t="shared" si="16"/>
        <v>41334</v>
      </c>
      <c r="AD50">
        <f t="shared" si="10"/>
        <v>7.7333333333333323E-2</v>
      </c>
      <c r="AE50">
        <f t="shared" si="11"/>
        <v>2.442148672600299E-2</v>
      </c>
      <c r="AF50">
        <f t="shared" si="12"/>
        <v>1.9053289683537773E-2</v>
      </c>
      <c r="AG50">
        <f t="shared" si="13"/>
        <v>2.125324606746774E-2</v>
      </c>
      <c r="AH50">
        <f t="shared" si="14"/>
        <v>1.6580649352271017E-2</v>
      </c>
    </row>
    <row r="51" spans="1:34" x14ac:dyDescent="0.2">
      <c r="A51" s="1">
        <f t="shared" si="15"/>
        <v>38353</v>
      </c>
      <c r="B51">
        <f>'raw BLS data'!Q68</f>
        <v>3638</v>
      </c>
      <c r="C51">
        <f>'raw BLS data'!W79</f>
        <v>148029</v>
      </c>
      <c r="D51">
        <f>'raw BLS data'!J151/100</f>
        <v>5.2999999999999999E-2</v>
      </c>
      <c r="E51">
        <f t="shared" si="17"/>
        <v>5.3666666666666668E-2</v>
      </c>
      <c r="F51">
        <f t="shared" si="24"/>
        <v>2.457626546149741E-2</v>
      </c>
      <c r="G51">
        <f t="shared" si="18"/>
        <v>2.4376285753445498E-2</v>
      </c>
      <c r="H51">
        <f t="shared" si="25"/>
        <v>2.457626546149741E-2</v>
      </c>
      <c r="I51" t="e">
        <f t="shared" si="26"/>
        <v>#N/A</v>
      </c>
      <c r="J51">
        <f t="shared" si="3"/>
        <v>0.46370312191504548</v>
      </c>
      <c r="K51">
        <f>F51/(D51+Calculations!J134)</f>
        <v>0.17833558621636802</v>
      </c>
      <c r="L51">
        <f>Calculations!F134/100</f>
        <v>0.25244729004681499</v>
      </c>
      <c r="M51">
        <f>LN(Calculations!G134/Calculations!G133)</f>
        <v>-6.520859493981658E-2</v>
      </c>
      <c r="N51">
        <v>0.5</v>
      </c>
      <c r="O51">
        <f t="shared" si="19"/>
        <v>1.6845719459846892E-2</v>
      </c>
      <c r="P51">
        <f t="shared" si="5"/>
        <v>2.4165728194393853E-2</v>
      </c>
      <c r="Q51">
        <f t="shared" si="21"/>
        <v>2.2890479256737758E-2</v>
      </c>
      <c r="R51">
        <f>Calculations!J134/( (Calculations!I134/100) + Calculations!J134 )</f>
        <v>0.615409994481252</v>
      </c>
      <c r="S51">
        <f>LN(Calculations!J134/Calculations!J133)</f>
        <v>-4.5083746614338241E-2</v>
      </c>
      <c r="T51">
        <f t="shared" si="20"/>
        <v>6.5779662130994759E-2</v>
      </c>
      <c r="U51">
        <f t="shared" si="7"/>
        <v>2.3011670411399329E-2</v>
      </c>
      <c r="V51">
        <f t="shared" si="22"/>
        <v>2.2580585648206763E-2</v>
      </c>
      <c r="W51">
        <f t="shared" si="8"/>
        <v>8.2625381590841651E-2</v>
      </c>
      <c r="X51">
        <f t="shared" si="9"/>
        <v>2.2627269115889886E-2</v>
      </c>
      <c r="Y51">
        <f t="shared" si="23"/>
        <v>2.1220004205947413E-2</v>
      </c>
      <c r="AC51" s="1">
        <f t="shared" si="16"/>
        <v>41426</v>
      </c>
      <c r="AD51">
        <f t="shared" si="10"/>
        <v>7.566666666666666E-2</v>
      </c>
      <c r="AE51">
        <f t="shared" si="11"/>
        <v>2.4801994357238399E-2</v>
      </c>
      <c r="AF51">
        <f t="shared" si="12"/>
        <v>1.9175053925651376E-2</v>
      </c>
      <c r="AG51">
        <f t="shared" si="13"/>
        <v>2.2381730056414223E-2</v>
      </c>
      <c r="AH51">
        <f t="shared" si="14"/>
        <v>1.7303758833271718E-2</v>
      </c>
    </row>
    <row r="52" spans="1:34" x14ac:dyDescent="0.2">
      <c r="A52" s="1">
        <f t="shared" si="15"/>
        <v>38384</v>
      </c>
      <c r="B52">
        <f>'raw BLS data'!Q69</f>
        <v>3757</v>
      </c>
      <c r="C52">
        <f>'raw BLS data'!W80</f>
        <v>148364</v>
      </c>
      <c r="D52">
        <f>'raw BLS data'!J152/100</f>
        <v>5.4000000000000006E-2</v>
      </c>
      <c r="E52">
        <f t="shared" si="17"/>
        <v>5.3666666666666675E-2</v>
      </c>
      <c r="F52">
        <f t="shared" si="24"/>
        <v>2.5322854600846566E-2</v>
      </c>
      <c r="G52">
        <f t="shared" si="18"/>
        <v>2.520619891914842E-2</v>
      </c>
      <c r="H52">
        <f t="shared" si="25"/>
        <v>2.5322854600846566E-2</v>
      </c>
      <c r="I52" t="e">
        <f t="shared" si="26"/>
        <v>#N/A</v>
      </c>
      <c r="J52">
        <f t="shared" si="3"/>
        <v>0.46894175186752896</v>
      </c>
      <c r="K52">
        <f>F52/(D52+Calculations!J135)</f>
        <v>0.18374444392876024</v>
      </c>
      <c r="L52">
        <f>Calculations!F135/100</f>
        <v>0.24670089311295001</v>
      </c>
      <c r="M52">
        <f>LN(Calculations!G135/Calculations!G134)</f>
        <v>-1.1178771059048062E-2</v>
      </c>
      <c r="N52">
        <v>0.5</v>
      </c>
      <c r="O52">
        <f t="shared" si="19"/>
        <v>-5.5118226582492325E-3</v>
      </c>
      <c r="P52">
        <f t="shared" si="5"/>
        <v>2.5462815048856134E-2</v>
      </c>
      <c r="Q52">
        <f t="shared" si="21"/>
        <v>2.3942058614757688E-2</v>
      </c>
      <c r="R52">
        <f>Calculations!J135/( (Calculations!I135/100) + Calculations!J135 )</f>
        <v>0.60817213823036576</v>
      </c>
      <c r="S52">
        <f>LN(Calculations!J135/Calculations!J134)</f>
        <v>-1.1783375466322193E-2</v>
      </c>
      <c r="T52">
        <f t="shared" si="20"/>
        <v>5.861334147807036E-2</v>
      </c>
      <c r="U52">
        <f t="shared" si="7"/>
        <v>2.3881258553781811E-2</v>
      </c>
      <c r="V52">
        <f t="shared" si="22"/>
        <v>2.3438685594485229E-2</v>
      </c>
      <c r="W52">
        <f t="shared" si="8"/>
        <v>5.3101518819821128E-2</v>
      </c>
      <c r="X52">
        <f t="shared" si="9"/>
        <v>2.4013251241766832E-2</v>
      </c>
      <c r="Y52">
        <f t="shared" si="23"/>
        <v>2.2285416644195311E-2</v>
      </c>
    </row>
    <row r="53" spans="1:34" x14ac:dyDescent="0.2">
      <c r="A53" s="1">
        <f t="shared" si="15"/>
        <v>38412</v>
      </c>
      <c r="B53">
        <f>'raw BLS data'!Q70</f>
        <v>3916</v>
      </c>
      <c r="C53">
        <f>'raw BLS data'!W81</f>
        <v>148391</v>
      </c>
      <c r="D53">
        <f>'raw BLS data'!J153/100</f>
        <v>5.2000000000000005E-2</v>
      </c>
      <c r="E53">
        <f t="shared" si="17"/>
        <v>5.3000000000000012E-2</v>
      </c>
      <c r="F53">
        <f t="shared" si="24"/>
        <v>2.6389740617692448E-2</v>
      </c>
      <c r="G53">
        <f t="shared" si="18"/>
        <v>2.5429620226678811E-2</v>
      </c>
      <c r="H53">
        <f t="shared" si="25"/>
        <v>2.6389740617692448E-2</v>
      </c>
      <c r="I53" t="e">
        <f t="shared" si="26"/>
        <v>#N/A</v>
      </c>
      <c r="J53">
        <f t="shared" si="3"/>
        <v>0.50749501187870083</v>
      </c>
      <c r="K53">
        <f>F53/(D53+Calculations!J136)</f>
        <v>0.18793080257180073</v>
      </c>
      <c r="L53">
        <f>Calculations!F136/100</f>
        <v>0.28156616500034803</v>
      </c>
      <c r="M53">
        <f>LN(Calculations!G136/Calculations!G135)</f>
        <v>7.9560707902582972E-3</v>
      </c>
      <c r="N53">
        <v>0.5</v>
      </c>
      <c r="O53">
        <f t="shared" si="19"/>
        <v>1.0400318922267362E-2</v>
      </c>
      <c r="P53">
        <f t="shared" si="5"/>
        <v>2.6116701208600691E-2</v>
      </c>
      <c r="Q53">
        <f t="shared" si="21"/>
        <v>2.5248414817283561E-2</v>
      </c>
      <c r="R53">
        <f>Calculations!J136/( (Calculations!I136/100) + Calculations!J136 )</f>
        <v>0.62968936014543708</v>
      </c>
      <c r="S53">
        <f>LN(Calculations!J136/Calculations!J135)</f>
        <v>5.350872131431908E-2</v>
      </c>
      <c r="T53">
        <f t="shared" si="20"/>
        <v>9.2307213964684456E-2</v>
      </c>
      <c r="U53">
        <f t="shared" si="7"/>
        <v>2.4062824741120242E-2</v>
      </c>
      <c r="V53">
        <f t="shared" si="22"/>
        <v>2.3651917902100462E-2</v>
      </c>
      <c r="W53">
        <f t="shared" si="8"/>
        <v>0.10270753288695182</v>
      </c>
      <c r="X53">
        <f t="shared" si="9"/>
        <v>2.3813860587073608E-2</v>
      </c>
      <c r="Y53">
        <f t="shared" si="23"/>
        <v>2.3484793648243438E-2</v>
      </c>
    </row>
    <row r="54" spans="1:34" x14ac:dyDescent="0.2">
      <c r="A54" s="1">
        <f t="shared" si="15"/>
        <v>38443</v>
      </c>
      <c r="B54">
        <f>'raw BLS data'!Q71</f>
        <v>4057</v>
      </c>
      <c r="C54">
        <f>'raw BLS data'!W82</f>
        <v>148926</v>
      </c>
      <c r="D54">
        <f>'raw BLS data'!J154/100</f>
        <v>5.2000000000000005E-2</v>
      </c>
      <c r="E54">
        <f t="shared" si="17"/>
        <v>5.2666666666666674E-2</v>
      </c>
      <c r="F54">
        <f t="shared" si="24"/>
        <v>2.7241717362985644E-2</v>
      </c>
      <c r="G54">
        <f t="shared" si="18"/>
        <v>2.6318104193841552E-2</v>
      </c>
      <c r="H54">
        <f t="shared" si="25"/>
        <v>2.7241717362985644E-2</v>
      </c>
      <c r="I54" t="e">
        <f t="shared" si="26"/>
        <v>#N/A</v>
      </c>
      <c r="J54">
        <f t="shared" si="3"/>
        <v>0.52387918005741618</v>
      </c>
      <c r="K54">
        <f>F54/(D54+Calculations!J137)</f>
        <v>0.2052601823551051</v>
      </c>
      <c r="L54">
        <f>Calculations!F137/100</f>
        <v>0.248248314499976</v>
      </c>
      <c r="M54">
        <f>LN(Calculations!G137/Calculations!G136)</f>
        <v>-4.504371734078548E-2</v>
      </c>
      <c r="N54">
        <v>0.5</v>
      </c>
      <c r="O54">
        <f t="shared" si="19"/>
        <v>-7.9687115759303595E-2</v>
      </c>
      <c r="P54">
        <f t="shared" si="5"/>
        <v>2.95013681632098E-2</v>
      </c>
      <c r="Q54">
        <f t="shared" si="21"/>
        <v>2.7026961473555544E-2</v>
      </c>
      <c r="R54">
        <f>Calculations!J137/( (Calculations!I137/100) + Calculations!J137 )</f>
        <v>0.60819175457095098</v>
      </c>
      <c r="S54">
        <f>LN(Calculations!J137/Calculations!J136)</f>
        <v>-9.1166730308492566E-2</v>
      </c>
      <c r="T54">
        <f t="shared" si="20"/>
        <v>3.6860360299865669E-2</v>
      </c>
      <c r="U54">
        <f t="shared" si="7"/>
        <v>2.6255859012939739E-2</v>
      </c>
      <c r="V54">
        <f t="shared" si="22"/>
        <v>2.4733314102613934E-2</v>
      </c>
      <c r="W54">
        <f t="shared" si="8"/>
        <v>-4.2826755459437926E-2</v>
      </c>
      <c r="X54">
        <f t="shared" si="9"/>
        <v>2.8433734660007957E-2</v>
      </c>
      <c r="Y54">
        <f t="shared" si="23"/>
        <v>2.5420282162949465E-2</v>
      </c>
    </row>
    <row r="55" spans="1:34" x14ac:dyDescent="0.2">
      <c r="A55" s="1">
        <f t="shared" si="15"/>
        <v>38473</v>
      </c>
      <c r="B55">
        <f>'raw BLS data'!Q72</f>
        <v>3877</v>
      </c>
      <c r="C55">
        <f>'raw BLS data'!W83</f>
        <v>149261</v>
      </c>
      <c r="D55">
        <f>'raw BLS data'!J155/100</f>
        <v>5.0999999999999997E-2</v>
      </c>
      <c r="E55">
        <f t="shared" si="17"/>
        <v>5.1666666666666666E-2</v>
      </c>
      <c r="F55">
        <f t="shared" si="24"/>
        <v>2.5974635035273783E-2</v>
      </c>
      <c r="G55">
        <f t="shared" si="18"/>
        <v>2.6535364338650624E-2</v>
      </c>
      <c r="H55">
        <f t="shared" si="25"/>
        <v>2.5974635035273783E-2</v>
      </c>
      <c r="I55" t="e">
        <f t="shared" si="26"/>
        <v>#N/A</v>
      </c>
      <c r="J55">
        <f t="shared" si="3"/>
        <v>0.50930656931909379</v>
      </c>
      <c r="K55">
        <f>F55/(D55+Calculations!J138)</f>
        <v>0.20354027424444987</v>
      </c>
      <c r="L55">
        <f>Calculations!F138/100</f>
        <v>0.28289951584774498</v>
      </c>
      <c r="M55">
        <f>LN(Calculations!G138/Calculations!G137)</f>
        <v>0.16250655316221915</v>
      </c>
      <c r="N55">
        <v>0.5</v>
      </c>
      <c r="O55">
        <f t="shared" si="19"/>
        <v>0.24532599056513471</v>
      </c>
      <c r="P55">
        <f t="shared" si="5"/>
        <v>2.0323838261741403E-2</v>
      </c>
      <c r="Q55">
        <f t="shared" si="21"/>
        <v>2.5313969211183965E-2</v>
      </c>
      <c r="R55">
        <f>Calculations!J138/( (Calculations!I138/100) + Calculations!J138 )</f>
        <v>0.60035804266854731</v>
      </c>
      <c r="S55">
        <f>LN(Calculations!J138/Calculations!J137)</f>
        <v>-5.2178578192636001E-2</v>
      </c>
      <c r="T55">
        <f t="shared" si="20"/>
        <v>5.5345312269069746E-3</v>
      </c>
      <c r="U55">
        <f t="shared" si="7"/>
        <v>2.5831274688660536E-2</v>
      </c>
      <c r="V55">
        <f t="shared" si="22"/>
        <v>2.538331948090684E-2</v>
      </c>
      <c r="W55">
        <f t="shared" si="8"/>
        <v>0.25086052179204166</v>
      </c>
      <c r="X55">
        <f t="shared" si="9"/>
        <v>2.0211666040889868E-2</v>
      </c>
      <c r="Y55">
        <f t="shared" si="23"/>
        <v>2.415308709599048E-2</v>
      </c>
    </row>
    <row r="56" spans="1:34" x14ac:dyDescent="0.2">
      <c r="A56" s="1">
        <f t="shared" si="15"/>
        <v>38504</v>
      </c>
      <c r="B56">
        <f>'raw BLS data'!Q73</f>
        <v>4064</v>
      </c>
      <c r="C56">
        <f>'raw BLS data'!W84</f>
        <v>149238</v>
      </c>
      <c r="D56">
        <f>'raw BLS data'!J156/100</f>
        <v>0.05</v>
      </c>
      <c r="E56">
        <f t="shared" si="17"/>
        <v>5.1000000000000011E-2</v>
      </c>
      <c r="F56">
        <f t="shared" si="24"/>
        <v>2.7231670218040981E-2</v>
      </c>
      <c r="G56">
        <f t="shared" si="18"/>
        <v>2.6816007538766801E-2</v>
      </c>
      <c r="H56">
        <f t="shared" si="25"/>
        <v>2.7231670218040981E-2</v>
      </c>
      <c r="I56" t="e">
        <f t="shared" si="26"/>
        <v>#N/A</v>
      </c>
      <c r="J56">
        <f t="shared" si="3"/>
        <v>0.54463340436081953</v>
      </c>
      <c r="K56">
        <f>F56/(D56+Calculations!J139)</f>
        <v>0.21352708575055881</v>
      </c>
      <c r="L56">
        <f>Calculations!F139/100</f>
        <v>0.25786615980428002</v>
      </c>
      <c r="M56">
        <f>LN(Calculations!G139/Calculations!G138)</f>
        <v>-0.12701880782697966</v>
      </c>
      <c r="N56">
        <v>0.5</v>
      </c>
      <c r="O56">
        <f t="shared" si="19"/>
        <v>-8.7116250888246149E-3</v>
      </c>
      <c r="P56">
        <f t="shared" si="5"/>
        <v>2.7469938665319306E-2</v>
      </c>
      <c r="Q56">
        <f t="shared" si="21"/>
        <v>2.5765048363423502E-2</v>
      </c>
      <c r="R56">
        <f>Calculations!J139/( (Calculations!I139/100) + Calculations!J139 )</f>
        <v>0.60794346428098067</v>
      </c>
      <c r="S56">
        <f>LN(Calculations!J139/Calculations!J138)</f>
        <v>1.191603537184676E-2</v>
      </c>
      <c r="T56">
        <f t="shared" si="20"/>
        <v>1.2778807051362199E-2</v>
      </c>
      <c r="U56">
        <f t="shared" si="7"/>
        <v>2.6885895955270332E-2</v>
      </c>
      <c r="V56">
        <f t="shared" si="22"/>
        <v>2.6324343218956867E-2</v>
      </c>
      <c r="W56">
        <f t="shared" si="8"/>
        <v>4.0671819625375839E-3</v>
      </c>
      <c r="X56">
        <f t="shared" si="9"/>
        <v>2.7121138987800334E-2</v>
      </c>
      <c r="Y56">
        <f t="shared" si="23"/>
        <v>2.5255513229566054E-2</v>
      </c>
    </row>
    <row r="57" spans="1:34" x14ac:dyDescent="0.2">
      <c r="A57" s="1">
        <f t="shared" si="15"/>
        <v>38534</v>
      </c>
      <c r="B57">
        <f>'raw BLS data'!Q74</f>
        <v>4155</v>
      </c>
      <c r="C57">
        <f>'raw BLS data'!W85</f>
        <v>149432</v>
      </c>
      <c r="D57">
        <f>'raw BLS data'!J157/100</f>
        <v>0.05</v>
      </c>
      <c r="E57">
        <f t="shared" si="17"/>
        <v>5.0333333333333341E-2</v>
      </c>
      <c r="F57">
        <f t="shared" si="24"/>
        <v>2.7805289362385566E-2</v>
      </c>
      <c r="G57">
        <f t="shared" si="18"/>
        <v>2.700386487190011E-2</v>
      </c>
      <c r="H57">
        <f t="shared" si="25"/>
        <v>2.7805289362385566E-2</v>
      </c>
      <c r="I57" t="e">
        <f t="shared" si="26"/>
        <v>#N/A</v>
      </c>
      <c r="J57">
        <f t="shared" si="3"/>
        <v>0.55610578724771131</v>
      </c>
      <c r="K57">
        <f>F57/(D57+Calculations!J140)</f>
        <v>0.22210758130805422</v>
      </c>
      <c r="L57">
        <f>Calculations!F140/100</f>
        <v>0.266898082584615</v>
      </c>
      <c r="M57">
        <f>LN(Calculations!G140/Calculations!G139)</f>
        <v>-1.4659475108391143E-3</v>
      </c>
      <c r="N57">
        <v>0.5</v>
      </c>
      <c r="O57">
        <f t="shared" si="19"/>
        <v>-1.1643520110502844E-2</v>
      </c>
      <c r="P57">
        <f t="shared" si="5"/>
        <v>2.8130932948081864E-2</v>
      </c>
      <c r="Q57">
        <f t="shared" si="21"/>
        <v>2.5308236625047525E-2</v>
      </c>
      <c r="R57">
        <f>Calculations!J140/( (Calculations!I140/100) + Calculations!J140 )</f>
        <v>0.60060192430775994</v>
      </c>
      <c r="S57">
        <f>LN(Calculations!J140/Calculations!J139)</f>
        <v>-3.0702081552469517E-2</v>
      </c>
      <c r="T57">
        <f t="shared" si="20"/>
        <v>-5.6609222093047702E-3</v>
      </c>
      <c r="U57">
        <f t="shared" si="7"/>
        <v>2.7963139309069112E-2</v>
      </c>
      <c r="V57">
        <f t="shared" si="22"/>
        <v>2.6893436650999993E-2</v>
      </c>
      <c r="W57">
        <f t="shared" si="8"/>
        <v>-1.7304442319807614E-2</v>
      </c>
      <c r="X57">
        <f t="shared" si="9"/>
        <v>2.8290631565425516E-2</v>
      </c>
      <c r="Y57">
        <f t="shared" si="23"/>
        <v>2.5207812198038571E-2</v>
      </c>
    </row>
    <row r="58" spans="1:34" x14ac:dyDescent="0.2">
      <c r="A58" s="1">
        <f t="shared" si="15"/>
        <v>38565</v>
      </c>
      <c r="B58">
        <f>'raw BLS data'!Q75</f>
        <v>4102</v>
      </c>
      <c r="C58">
        <f>'raw BLS data'!W86</f>
        <v>149779</v>
      </c>
      <c r="D58">
        <f>'raw BLS data'!J158/100</f>
        <v>4.9000000000000002E-2</v>
      </c>
      <c r="E58">
        <f t="shared" si="17"/>
        <v>4.9666666666666671E-2</v>
      </c>
      <c r="F58">
        <f t="shared" si="24"/>
        <v>2.7387016871524044E-2</v>
      </c>
      <c r="G58">
        <f t="shared" si="18"/>
        <v>2.7474658817316866E-2</v>
      </c>
      <c r="H58">
        <f t="shared" si="25"/>
        <v>2.7387016871524044E-2</v>
      </c>
      <c r="I58" t="e">
        <f t="shared" si="26"/>
        <v>#N/A</v>
      </c>
      <c r="J58">
        <f t="shared" si="3"/>
        <v>0.55891871166375595</v>
      </c>
      <c r="K58">
        <f>F58/(D58+Calculations!J141)</f>
        <v>0.20845796371026781</v>
      </c>
      <c r="L58">
        <f>Calculations!F141/100</f>
        <v>0.26616096881532397</v>
      </c>
      <c r="M58">
        <f>LN(Calculations!G141/Calculations!G140)</f>
        <v>7.7380376848042526E-2</v>
      </c>
      <c r="N58">
        <v>0.5</v>
      </c>
      <c r="O58">
        <f t="shared" si="19"/>
        <v>0.1431172335855822</v>
      </c>
      <c r="P58">
        <f t="shared" si="5"/>
        <v>2.3735025603037471E-2</v>
      </c>
      <c r="Q58">
        <f t="shared" si="21"/>
        <v>2.6445299072146215E-2</v>
      </c>
      <c r="R58">
        <f>Calculations!J141/( (Calculations!I141/100) + Calculations!J141 )</f>
        <v>0.62703348562129446</v>
      </c>
      <c r="S58">
        <f>LN(Calculations!J141/Calculations!J140)</f>
        <v>9.1334839607630822E-2</v>
      </c>
      <c r="T58">
        <f t="shared" si="20"/>
        <v>5.1609080628529841E-2</v>
      </c>
      <c r="U58">
        <f t="shared" si="7"/>
        <v>2.6009451304110465E-2</v>
      </c>
      <c r="V58">
        <f t="shared" si="22"/>
        <v>2.6952828856149968E-2</v>
      </c>
      <c r="W58">
        <f t="shared" si="8"/>
        <v>0.19472631421411205</v>
      </c>
      <c r="X58">
        <f t="shared" si="9"/>
        <v>2.2541155012245937E-2</v>
      </c>
      <c r="Y58">
        <f t="shared" si="23"/>
        <v>2.5984308521823929E-2</v>
      </c>
    </row>
    <row r="59" spans="1:34" x14ac:dyDescent="0.2">
      <c r="A59" s="1">
        <f t="shared" si="15"/>
        <v>38596</v>
      </c>
      <c r="B59">
        <f>'raw BLS data'!Q76</f>
        <v>4275</v>
      </c>
      <c r="C59">
        <f>'raw BLS data'!W87</f>
        <v>149954</v>
      </c>
      <c r="D59">
        <f>'raw BLS data'!J159/100</f>
        <v>0.05</v>
      </c>
      <c r="E59">
        <f t="shared" si="17"/>
        <v>4.9666666666666671E-2</v>
      </c>
      <c r="F59">
        <f t="shared" si="24"/>
        <v>2.8508742681088866E-2</v>
      </c>
      <c r="G59">
        <f t="shared" si="18"/>
        <v>2.7900349638332825E-2</v>
      </c>
      <c r="H59">
        <f t="shared" si="25"/>
        <v>2.8508742681088866E-2</v>
      </c>
      <c r="I59" t="e">
        <f t="shared" si="26"/>
        <v>#N/A</v>
      </c>
      <c r="J59">
        <f t="shared" si="3"/>
        <v>0.57017485362177733</v>
      </c>
      <c r="K59">
        <f>F59/(D59+Calculations!J142)</f>
        <v>0.22083259055420562</v>
      </c>
      <c r="L59">
        <f>Calculations!F142/100</f>
        <v>0.26726535095835502</v>
      </c>
      <c r="M59">
        <f>LN(Calculations!G142/Calculations!G141)</f>
        <v>-0.1142015545532088</v>
      </c>
      <c r="N59">
        <v>0.5</v>
      </c>
      <c r="O59">
        <f t="shared" si="19"/>
        <v>-8.5285875520835386E-2</v>
      </c>
      <c r="P59">
        <f t="shared" si="5"/>
        <v>3.1046828966888439E-2</v>
      </c>
      <c r="Q59">
        <f t="shared" si="21"/>
        <v>2.7637595839335925E-2</v>
      </c>
      <c r="R59">
        <f>Calculations!J142/( (Calculations!I142/100) + Calculations!J142 )</f>
        <v>0.61269321305303681</v>
      </c>
      <c r="S59">
        <f>LN(Calculations!J142/Calculations!J141)</f>
        <v>-4.0661363709622561E-2</v>
      </c>
      <c r="T59">
        <f t="shared" si="20"/>
        <v>2.6696139050163045E-2</v>
      </c>
      <c r="U59">
        <f t="shared" si="7"/>
        <v>2.7757738381785819E-2</v>
      </c>
      <c r="V59">
        <f t="shared" si="22"/>
        <v>2.7243442998321796E-2</v>
      </c>
      <c r="W59">
        <f t="shared" si="8"/>
        <v>-5.8589736470672338E-2</v>
      </c>
      <c r="X59">
        <f t="shared" si="9"/>
        <v>3.0228963994915252E-2</v>
      </c>
      <c r="Y59">
        <f t="shared" si="23"/>
        <v>2.7020250190862238E-2</v>
      </c>
    </row>
    <row r="60" spans="1:34" x14ac:dyDescent="0.2">
      <c r="A60" s="1">
        <f t="shared" si="15"/>
        <v>38626</v>
      </c>
      <c r="B60">
        <f>'raw BLS data'!Q77</f>
        <v>4221</v>
      </c>
      <c r="C60">
        <f>'raw BLS data'!W88</f>
        <v>150001</v>
      </c>
      <c r="D60">
        <f>'raw BLS data'!J160/100</f>
        <v>0.05</v>
      </c>
      <c r="E60">
        <f t="shared" si="17"/>
        <v>4.9666666666666671E-2</v>
      </c>
      <c r="F60">
        <f t="shared" si="24"/>
        <v>2.8139812401250658E-2</v>
      </c>
      <c r="G60">
        <f t="shared" si="18"/>
        <v>2.8011857317954525E-2</v>
      </c>
      <c r="H60">
        <f t="shared" si="25"/>
        <v>2.8139812401250658E-2</v>
      </c>
      <c r="I60" t="e">
        <f t="shared" si="26"/>
        <v>#N/A</v>
      </c>
      <c r="J60">
        <f t="shared" si="3"/>
        <v>0.56279624802501316</v>
      </c>
      <c r="K60">
        <f>F60/(D60+Calculations!J143)</f>
        <v>0.21809826807149937</v>
      </c>
      <c r="L60">
        <f>Calculations!F143/100</f>
        <v>0.27344325168938199</v>
      </c>
      <c r="M60">
        <f>LN(Calculations!G143/Calculations!G142)</f>
        <v>-6.5336663983614693E-2</v>
      </c>
      <c r="N60">
        <v>0.5</v>
      </c>
      <c r="O60">
        <f t="shared" si="19"/>
        <v>-0.21595920348806477</v>
      </c>
      <c r="P60">
        <f t="shared" si="5"/>
        <v>3.4922963351671103E-2</v>
      </c>
      <c r="Q60">
        <f t="shared" si="21"/>
        <v>2.990160597386567E-2</v>
      </c>
      <c r="R60">
        <f>Calculations!J143/( (Calculations!I143/100) + Calculations!J143 )</f>
        <v>0.61247384140022532</v>
      </c>
      <c r="S60">
        <f>LN(Calculations!J143/Calculations!J142)</f>
        <v>-9.2435143404667947E-4</v>
      </c>
      <c r="T60">
        <f t="shared" si="20"/>
        <v>2.6129997976548667E-2</v>
      </c>
      <c r="U60">
        <f t="shared" si="7"/>
        <v>2.741404263582279E-2</v>
      </c>
      <c r="V60">
        <f t="shared" si="22"/>
        <v>2.7060410773906359E-2</v>
      </c>
      <c r="W60">
        <f t="shared" si="8"/>
        <v>-0.18982920551151611</v>
      </c>
      <c r="X60">
        <f t="shared" si="9"/>
        <v>3.4022245516087311E-2</v>
      </c>
      <c r="Y60">
        <f t="shared" si="23"/>
        <v>2.8930788174416171E-2</v>
      </c>
    </row>
    <row r="61" spans="1:34" x14ac:dyDescent="0.2">
      <c r="A61" s="1">
        <f t="shared" si="15"/>
        <v>38657</v>
      </c>
      <c r="B61">
        <f>'raw BLS data'!Q78</f>
        <v>4437</v>
      </c>
      <c r="C61">
        <f>'raw BLS data'!W89</f>
        <v>150065</v>
      </c>
      <c r="D61">
        <f>'raw BLS data'!J161/100</f>
        <v>0.05</v>
      </c>
      <c r="E61">
        <f t="shared" si="17"/>
        <v>5.000000000000001E-2</v>
      </c>
      <c r="F61">
        <f t="shared" si="24"/>
        <v>2.9567187552060774E-2</v>
      </c>
      <c r="G61">
        <f t="shared" si="18"/>
        <v>2.873858087813343E-2</v>
      </c>
      <c r="H61">
        <f t="shared" si="25"/>
        <v>2.9567187552060774E-2</v>
      </c>
      <c r="I61" t="e">
        <f t="shared" si="26"/>
        <v>#N/A</v>
      </c>
      <c r="J61">
        <f t="shared" si="3"/>
        <v>0.59134375104121539</v>
      </c>
      <c r="K61">
        <f>F61/(D61+Calculations!J144)</f>
        <v>0.22838756200463811</v>
      </c>
      <c r="L61">
        <f>Calculations!F144/100</f>
        <v>0.25460250161033904</v>
      </c>
      <c r="M61">
        <f>LN(Calculations!G144/Calculations!G143)</f>
        <v>8.9069949883034322E-2</v>
      </c>
      <c r="N61">
        <v>0.5</v>
      </c>
      <c r="O61">
        <f t="shared" si="19"/>
        <v>-3.7819303721996128E-2</v>
      </c>
      <c r="P61">
        <f t="shared" si="5"/>
        <v>3.0706812070714837E-2</v>
      </c>
      <c r="Q61">
        <f t="shared" si="21"/>
        <v>3.2225534796424794E-2</v>
      </c>
      <c r="R61">
        <f>Calculations!J144/( (Calculations!I144/100) + Calculations!J144 )</f>
        <v>0.61378206567245863</v>
      </c>
      <c r="S61">
        <f>LN(Calculations!J144/Calculations!J143)</f>
        <v>5.5152353853004871E-3</v>
      </c>
      <c r="T61">
        <f t="shared" si="20"/>
        <v>2.9515150544008238E-2</v>
      </c>
      <c r="U61">
        <f t="shared" si="7"/>
        <v>2.8707260425396994E-2</v>
      </c>
      <c r="V61">
        <f t="shared" si="22"/>
        <v>2.7959680481001867E-2</v>
      </c>
      <c r="W61">
        <f t="shared" si="8"/>
        <v>-8.3041531779878899E-3</v>
      </c>
      <c r="X61">
        <f t="shared" si="9"/>
        <v>2.9813740295576249E-2</v>
      </c>
      <c r="Y61">
        <f t="shared" si="23"/>
        <v>3.1354983268859604E-2</v>
      </c>
    </row>
    <row r="62" spans="1:34" x14ac:dyDescent="0.2">
      <c r="A62" s="1">
        <f t="shared" si="15"/>
        <v>38687</v>
      </c>
      <c r="B62">
        <f>'raw BLS data'!Q79</f>
        <v>4278</v>
      </c>
      <c r="C62">
        <f>'raw BLS data'!W90</f>
        <v>150030</v>
      </c>
      <c r="D62">
        <f>'raw BLS data'!J162/100</f>
        <v>4.9000000000000002E-2</v>
      </c>
      <c r="E62">
        <f t="shared" si="17"/>
        <v>4.9666666666666671E-2</v>
      </c>
      <c r="F62">
        <f t="shared" si="24"/>
        <v>2.8514297140571885E-2</v>
      </c>
      <c r="G62">
        <f t="shared" si="18"/>
        <v>2.8740432364627772E-2</v>
      </c>
      <c r="H62">
        <f t="shared" si="25"/>
        <v>2.8514297140571885E-2</v>
      </c>
      <c r="I62" t="e">
        <f t="shared" si="26"/>
        <v>#N/A</v>
      </c>
      <c r="J62">
        <f t="shared" si="3"/>
        <v>0.58192443144024253</v>
      </c>
      <c r="K62">
        <f>F62/(D62+Calculations!J145)</f>
        <v>0.23677546611729758</v>
      </c>
      <c r="L62">
        <f>Calculations!F145/100</f>
        <v>0.28137280090765499</v>
      </c>
      <c r="M62">
        <f>LN(Calculations!G145/Calculations!G144)</f>
        <v>-2.315612101494539E-2</v>
      </c>
      <c r="N62">
        <v>0.5</v>
      </c>
      <c r="O62">
        <f t="shared" si="19"/>
        <v>-8.4131545751886916E-2</v>
      </c>
      <c r="P62">
        <f t="shared" si="5"/>
        <v>3.1017053349988416E-2</v>
      </c>
      <c r="Q62">
        <f t="shared" si="21"/>
        <v>3.221560959079145E-2</v>
      </c>
      <c r="R62">
        <f>Calculations!J145/( (Calculations!I145/100) + Calculations!J145 )</f>
        <v>0.59311647127224643</v>
      </c>
      <c r="S62">
        <f>LN(Calculations!J145/Calculations!J144)</f>
        <v>-0.10657700804716287</v>
      </c>
      <c r="T62">
        <f t="shared" si="20"/>
        <v>-3.3697428387678814E-2</v>
      </c>
      <c r="U62">
        <f t="shared" si="7"/>
        <v>2.9491528243951987E-2</v>
      </c>
      <c r="V62">
        <f t="shared" si="22"/>
        <v>2.8537610435057259E-2</v>
      </c>
      <c r="W62">
        <f t="shared" si="8"/>
        <v>-0.11782897413956572</v>
      </c>
      <c r="X62">
        <f t="shared" si="9"/>
        <v>3.2080057958496916E-2</v>
      </c>
      <c r="Y62">
        <f t="shared" si="23"/>
        <v>3.1972014590053492E-2</v>
      </c>
    </row>
    <row r="63" spans="1:34" x14ac:dyDescent="0.2">
      <c r="A63" s="1">
        <f t="shared" si="15"/>
        <v>38718</v>
      </c>
      <c r="B63">
        <f>'raw BLS data'!Q80</f>
        <v>4296</v>
      </c>
      <c r="C63">
        <f>'raw BLS data'!W91</f>
        <v>150214</v>
      </c>
      <c r="D63">
        <f>'raw BLS data'!J163/100</f>
        <v>4.7E-2</v>
      </c>
      <c r="E63">
        <f t="shared" si="17"/>
        <v>4.8666666666666671E-2</v>
      </c>
      <c r="F63">
        <f t="shared" si="24"/>
        <v>2.8599198476839709E-2</v>
      </c>
      <c r="G63">
        <f t="shared" si="18"/>
        <v>2.8893561056490793E-2</v>
      </c>
      <c r="H63">
        <f t="shared" si="25"/>
        <v>2.8599198476839709E-2</v>
      </c>
      <c r="I63" t="e">
        <f t="shared" si="26"/>
        <v>#N/A</v>
      </c>
      <c r="J63">
        <f t="shared" si="3"/>
        <v>0.60849358461361081</v>
      </c>
      <c r="K63">
        <f>F63/(D63+Calculations!J146)</f>
        <v>0.2199333487860429</v>
      </c>
      <c r="L63">
        <f>Calculations!F146/100</f>
        <v>0.268509491695609</v>
      </c>
      <c r="M63">
        <f>LN(Calculations!G146/Calculations!G145)</f>
        <v>-4.2669852879640958E-2</v>
      </c>
      <c r="N63">
        <v>0.5</v>
      </c>
      <c r="O63">
        <f t="shared" si="19"/>
        <v>-0.16947125151116882</v>
      </c>
      <c r="P63">
        <f t="shared" si="5"/>
        <v>3.3880849513538015E-2</v>
      </c>
      <c r="Q63">
        <f t="shared" si="21"/>
        <v>3.1868238311413756E-2</v>
      </c>
      <c r="R63">
        <f>Calculations!J146/( (Calculations!I146/100) + Calculations!J146 )</f>
        <v>0.63856094074401948</v>
      </c>
      <c r="S63">
        <f>LN(Calculations!J146/Calculations!J145)</f>
        <v>0.15058715251089519</v>
      </c>
      <c r="T63">
        <f t="shared" si="20"/>
        <v>6.2461645383641552E-2</v>
      </c>
      <c r="U63">
        <f t="shared" si="7"/>
        <v>2.6867491107690617E-2</v>
      </c>
      <c r="V63">
        <f t="shared" si="22"/>
        <v>2.8355426592346532E-2</v>
      </c>
      <c r="W63">
        <f t="shared" si="8"/>
        <v>-0.10700960612752727</v>
      </c>
      <c r="X63">
        <f t="shared" si="9"/>
        <v>3.1829333390694964E-2</v>
      </c>
      <c r="Y63">
        <f t="shared" si="23"/>
        <v>3.1241043881589377E-2</v>
      </c>
    </row>
    <row r="64" spans="1:34" x14ac:dyDescent="0.2">
      <c r="A64" s="1">
        <f t="shared" si="15"/>
        <v>38749</v>
      </c>
      <c r="B64">
        <f>'raw BLS data'!Q81</f>
        <v>4282</v>
      </c>
      <c r="C64">
        <f>'raw BLS data'!W92</f>
        <v>150641</v>
      </c>
      <c r="D64">
        <f>'raw BLS data'!J164/100</f>
        <v>4.8000000000000001E-2</v>
      </c>
      <c r="E64">
        <f t="shared" si="17"/>
        <v>4.8000000000000008E-2</v>
      </c>
      <c r="F64">
        <f t="shared" si="24"/>
        <v>2.8425196327692991E-2</v>
      </c>
      <c r="G64">
        <f t="shared" si="18"/>
        <v>2.8512897315034858E-2</v>
      </c>
      <c r="H64">
        <f t="shared" si="25"/>
        <v>2.8425196327692991E-2</v>
      </c>
      <c r="I64" t="e">
        <f t="shared" si="26"/>
        <v>#N/A</v>
      </c>
      <c r="J64">
        <f t="shared" si="3"/>
        <v>0.59219159016027068</v>
      </c>
      <c r="K64">
        <f>F64/(D64+Calculations!J147)</f>
        <v>0.22118720288459495</v>
      </c>
      <c r="L64">
        <f>Calculations!F147/100</f>
        <v>0.26942264637826097</v>
      </c>
      <c r="M64">
        <f>LN(Calculations!G147/Calculations!G146)</f>
        <v>6.6381641724817531E-2</v>
      </c>
      <c r="N64">
        <v>0.5</v>
      </c>
      <c r="O64">
        <f t="shared" si="19"/>
        <v>-3.6707968061533758E-2</v>
      </c>
      <c r="P64">
        <f t="shared" si="5"/>
        <v>2.9488015145446488E-2</v>
      </c>
      <c r="Q64">
        <f t="shared" si="21"/>
        <v>3.146197266965764E-2</v>
      </c>
      <c r="R64">
        <f>Calculations!J147/( (Calculations!I147/100) + Calculations!J147 )</f>
        <v>0.62649384665403152</v>
      </c>
      <c r="S64">
        <f>LN(Calculations!J147/Calculations!J146)</f>
        <v>-3.0865782131676015E-2</v>
      </c>
      <c r="T64">
        <f t="shared" si="20"/>
        <v>4.3124422805982568E-2</v>
      </c>
      <c r="U64">
        <f t="shared" si="7"/>
        <v>2.7225431651840777E-2</v>
      </c>
      <c r="V64">
        <f t="shared" si="22"/>
        <v>2.7861483667827796E-2</v>
      </c>
      <c r="W64">
        <f t="shared" si="8"/>
        <v>6.4164547444488101E-3</v>
      </c>
      <c r="X64">
        <f t="shared" si="9"/>
        <v>2.824339123767652E-2</v>
      </c>
      <c r="Y64">
        <f t="shared" si="23"/>
        <v>3.07175941956228E-2</v>
      </c>
    </row>
    <row r="65" spans="1:25" x14ac:dyDescent="0.2">
      <c r="A65" s="1">
        <f t="shared" si="15"/>
        <v>38777</v>
      </c>
      <c r="B65">
        <f>'raw BLS data'!Q82</f>
        <v>4472</v>
      </c>
      <c r="C65">
        <f>'raw BLS data'!W93</f>
        <v>150813</v>
      </c>
      <c r="D65">
        <f>'raw BLS data'!J165/100</f>
        <v>4.7E-2</v>
      </c>
      <c r="E65">
        <f t="shared" si="17"/>
        <v>4.7333333333333338E-2</v>
      </c>
      <c r="F65">
        <f t="shared" si="24"/>
        <v>2.9652616153779846E-2</v>
      </c>
      <c r="G65">
        <f t="shared" si="18"/>
        <v>2.8892336986104179E-2</v>
      </c>
      <c r="H65">
        <f t="shared" si="25"/>
        <v>2.9652616153779846E-2</v>
      </c>
      <c r="I65" t="e">
        <f t="shared" si="26"/>
        <v>#N/A</v>
      </c>
      <c r="J65">
        <f t="shared" si="3"/>
        <v>0.63090672667616698</v>
      </c>
      <c r="K65">
        <f>F65/(D65+Calculations!J148)</f>
        <v>0.2299085701489893</v>
      </c>
      <c r="L65">
        <f>Calculations!F148/100</f>
        <v>0.25978623196706002</v>
      </c>
      <c r="M65">
        <f>LN(Calculations!G148/Calculations!G147)</f>
        <v>1.9180257210805827E-2</v>
      </c>
      <c r="N65">
        <v>0.5</v>
      </c>
      <c r="O65">
        <f t="shared" si="19"/>
        <v>1.6525463600778958E-3</v>
      </c>
      <c r="P65">
        <f t="shared" si="5"/>
        <v>2.9603654297899025E-2</v>
      </c>
      <c r="Q65">
        <f t="shared" si="21"/>
        <v>3.0990839652294506E-2</v>
      </c>
      <c r="R65">
        <f>Calculations!J148/( (Calculations!I148/100) + Calculations!J148 )</f>
        <v>0.63559023794178504</v>
      </c>
      <c r="S65">
        <f>LN(Calculations!J148/Calculations!J147)</f>
        <v>1.8017238862115821E-2</v>
      </c>
      <c r="T65">
        <f t="shared" si="20"/>
        <v>5.4576003941408741E-2</v>
      </c>
      <c r="U65">
        <f t="shared" si="7"/>
        <v>2.8077663082558237E-2</v>
      </c>
      <c r="V65">
        <f t="shared" si="22"/>
        <v>2.7390195280696545E-2</v>
      </c>
      <c r="W65">
        <f t="shared" si="8"/>
        <v>5.6228550301486636E-2</v>
      </c>
      <c r="X65">
        <f t="shared" si="9"/>
        <v>2.8031301760299554E-2</v>
      </c>
      <c r="Y65">
        <f t="shared" si="23"/>
        <v>2.9368008796223682E-2</v>
      </c>
    </row>
    <row r="66" spans="1:25" x14ac:dyDescent="0.2">
      <c r="A66" s="1">
        <f t="shared" si="15"/>
        <v>38808</v>
      </c>
      <c r="B66">
        <f>'raw BLS data'!Q83</f>
        <v>4438</v>
      </c>
      <c r="C66">
        <f>'raw BLS data'!W94</f>
        <v>150881</v>
      </c>
      <c r="D66">
        <f>'raw BLS data'!J166/100</f>
        <v>4.7E-2</v>
      </c>
      <c r="E66">
        <f t="shared" si="17"/>
        <v>4.7333333333333338E-2</v>
      </c>
      <c r="F66">
        <f t="shared" ref="F66:F97" si="27">B66/C66</f>
        <v>2.9413908974622385E-2</v>
      </c>
      <c r="G66">
        <f t="shared" si="18"/>
        <v>2.9163907152031741E-2</v>
      </c>
      <c r="H66">
        <f t="shared" ref="H66:H97" si="28">IF( $A66&lt;=$A$106, F66, NA() )</f>
        <v>2.9413908974622385E-2</v>
      </c>
      <c r="I66" t="e">
        <f t="shared" ref="I66:I97" si="29">IF( $A66&gt;$A$106, F66, NA() )</f>
        <v>#N/A</v>
      </c>
      <c r="J66">
        <f t="shared" si="3"/>
        <v>0.62582785052388057</v>
      </c>
      <c r="K66">
        <f>F66/(D66+Calculations!J149)</f>
        <v>0.23686296022854941</v>
      </c>
      <c r="L66">
        <f>Calculations!F149/100</f>
        <v>0.27846364283897901</v>
      </c>
      <c r="M66">
        <f>LN(Calculations!G149/Calculations!G148)</f>
        <v>-2.9418811498816116E-2</v>
      </c>
      <c r="N66">
        <v>0.5</v>
      </c>
      <c r="O66">
        <f t="shared" si="19"/>
        <v>-5.7185076637554337E-2</v>
      </c>
      <c r="P66">
        <f t="shared" si="5"/>
        <v>3.1144969315248888E-2</v>
      </c>
      <c r="Q66">
        <f t="shared" si="21"/>
        <v>3.0078879586198135E-2</v>
      </c>
      <c r="R66">
        <f>Calculations!J149/( (Calculations!I149/100) + Calculations!J149 )</f>
        <v>0.62152058264861276</v>
      </c>
      <c r="S66">
        <f>LN(Calculations!J149/Calculations!J148)</f>
        <v>-6.0267785086369562E-2</v>
      </c>
      <c r="T66">
        <f t="shared" si="20"/>
        <v>1.7118335039586957E-2</v>
      </c>
      <c r="U66">
        <f t="shared" si="7"/>
        <v>2.8914677026918745E-2</v>
      </c>
      <c r="V66">
        <f t="shared" si="22"/>
        <v>2.8072590587105917E-2</v>
      </c>
      <c r="W66">
        <f t="shared" si="8"/>
        <v>-4.006674159796738E-2</v>
      </c>
      <c r="X66">
        <f t="shared" si="9"/>
        <v>3.0616356688282616E-2</v>
      </c>
      <c r="Y66">
        <f t="shared" si="23"/>
        <v>2.8963683228752896E-2</v>
      </c>
    </row>
    <row r="67" spans="1:25" x14ac:dyDescent="0.2">
      <c r="A67" s="1">
        <f t="shared" si="15"/>
        <v>38838</v>
      </c>
      <c r="B67">
        <f>'raw BLS data'!Q84</f>
        <v>4487</v>
      </c>
      <c r="C67">
        <f>'raw BLS data'!W95</f>
        <v>151069</v>
      </c>
      <c r="D67">
        <f>'raw BLS data'!J167/100</f>
        <v>4.5999999999999999E-2</v>
      </c>
      <c r="E67">
        <f t="shared" si="17"/>
        <v>4.6666666666666669E-2</v>
      </c>
      <c r="F67">
        <f t="shared" si="27"/>
        <v>2.9701659506583083E-2</v>
      </c>
      <c r="G67">
        <f t="shared" si="18"/>
        <v>2.9589394878328439E-2</v>
      </c>
      <c r="H67">
        <f t="shared" si="28"/>
        <v>2.9701659506583083E-2</v>
      </c>
      <c r="I67" t="e">
        <f t="shared" si="29"/>
        <v>#N/A</v>
      </c>
      <c r="J67">
        <f t="shared" ref="J67:J130" si="30">F67/D67</f>
        <v>0.64568825014311049</v>
      </c>
      <c r="K67">
        <f>F67/(D67+Calculations!J150)</f>
        <v>0.25370494172877572</v>
      </c>
      <c r="L67">
        <f>Calculations!F150/100</f>
        <v>0.30606011542781902</v>
      </c>
      <c r="M67">
        <f>LN(Calculations!G150/Calculations!G149)</f>
        <v>-6.6659628451948985E-3</v>
      </c>
      <c r="N67">
        <v>0.5</v>
      </c>
      <c r="O67">
        <f t="shared" si="19"/>
        <v>-7.0517002327944139E-2</v>
      </c>
      <c r="P67">
        <f t="shared" ref="P67:P130" si="31">F67/EXP(O67)</f>
        <v>3.1871746325895567E-2</v>
      </c>
      <c r="Q67">
        <f t="shared" si="21"/>
        <v>3.0873456646347826E-2</v>
      </c>
      <c r="R67">
        <f>Calculations!J150/( (Calculations!I150/100) + Calculations!J150 )</f>
        <v>0.60707827396186242</v>
      </c>
      <c r="S67">
        <f>LN(Calculations!J150/Calculations!J149)</f>
        <v>-8.2466228180804638E-2</v>
      </c>
      <c r="T67">
        <f t="shared" si="20"/>
        <v>-3.294512042456102E-2</v>
      </c>
      <c r="U67">
        <f t="shared" ref="U67:U130" si="32">F67/EXP(T67)</f>
        <v>3.0696481543289841E-2</v>
      </c>
      <c r="V67">
        <f t="shared" si="22"/>
        <v>2.9229607217588941E-2</v>
      </c>
      <c r="W67">
        <f t="shared" ref="W67:W130" si="33">O67+T67</f>
        <v>-0.10346212275250516</v>
      </c>
      <c r="X67">
        <f t="shared" ref="X67:X130" si="34">F67/EXP(W67)</f>
        <v>3.2939252859875638E-2</v>
      </c>
      <c r="Y67">
        <f t="shared" si="23"/>
        <v>3.0528970436152603E-2</v>
      </c>
    </row>
    <row r="68" spans="1:25" x14ac:dyDescent="0.2">
      <c r="A68" s="1">
        <f t="shared" ref="A68:A114" si="35">DATE(YEAR(A67),MONTH(A67)+1,1)</f>
        <v>38869</v>
      </c>
      <c r="B68">
        <f>'raw BLS data'!Q85</f>
        <v>4333</v>
      </c>
      <c r="C68">
        <f>'raw BLS data'!W96</f>
        <v>151354</v>
      </c>
      <c r="D68">
        <f>'raw BLS data'!J168/100</f>
        <v>4.5999999999999999E-2</v>
      </c>
      <c r="E68">
        <f t="shared" si="17"/>
        <v>4.6333333333333337E-2</v>
      </c>
      <c r="F68">
        <f t="shared" si="27"/>
        <v>2.8628249005642401E-2</v>
      </c>
      <c r="G68">
        <f t="shared" si="18"/>
        <v>2.9247939162282622E-2</v>
      </c>
      <c r="H68">
        <f t="shared" si="28"/>
        <v>2.8628249005642401E-2</v>
      </c>
      <c r="I68" t="e">
        <f t="shared" si="29"/>
        <v>#N/A</v>
      </c>
      <c r="J68">
        <f t="shared" si="30"/>
        <v>0.62235323925309571</v>
      </c>
      <c r="K68">
        <f>F68/(D68+Calculations!J151)</f>
        <v>0.23249775207263285</v>
      </c>
      <c r="L68">
        <f>Calculations!F151/100</f>
        <v>0.286033675077625</v>
      </c>
      <c r="M68">
        <f>LN(Calculations!G151/Calculations!G150)</f>
        <v>2.3207727050133579E-2</v>
      </c>
      <c r="N68">
        <v>0.5</v>
      </c>
      <c r="O68">
        <f t="shared" si="19"/>
        <v>-2.4101548227676982E-2</v>
      </c>
      <c r="P68">
        <f t="shared" si="31"/>
        <v>2.9326616189335575E-2</v>
      </c>
      <c r="Q68">
        <f t="shared" si="21"/>
        <v>3.078111061016001E-2</v>
      </c>
      <c r="R68">
        <f>Calculations!J151/( (Calculations!I151/100) + Calculations!J151 )</f>
        <v>0.62642156028357754</v>
      </c>
      <c r="S68">
        <f>LN(Calculations!J151/Calculations!J150)</f>
        <v>8.1848255026368499E-2</v>
      </c>
      <c r="T68">
        <f t="shared" si="20"/>
        <v>1.8326391195544904E-2</v>
      </c>
      <c r="U68">
        <f t="shared" si="32"/>
        <v>2.810837477457221E-2</v>
      </c>
      <c r="V68">
        <f t="shared" si="22"/>
        <v>2.9239844448260267E-2</v>
      </c>
      <c r="W68">
        <f t="shared" si="33"/>
        <v>-5.7751570321320778E-3</v>
      </c>
      <c r="X68">
        <f t="shared" si="34"/>
        <v>2.879405997053517E-2</v>
      </c>
      <c r="Y68">
        <f t="shared" si="23"/>
        <v>3.0783223172897806E-2</v>
      </c>
    </row>
    <row r="69" spans="1:25" x14ac:dyDescent="0.2">
      <c r="A69" s="1">
        <f t="shared" si="35"/>
        <v>38899</v>
      </c>
      <c r="B69">
        <f>'raw BLS data'!Q86</f>
        <v>4076</v>
      </c>
      <c r="C69">
        <f>'raw BLS data'!W97</f>
        <v>151377</v>
      </c>
      <c r="D69">
        <f>'raw BLS data'!J169/100</f>
        <v>4.7E-2</v>
      </c>
      <c r="E69">
        <f t="shared" ref="E69:E132" si="36">AVERAGE(D67:D69)</f>
        <v>4.6333333333333337E-2</v>
      </c>
      <c r="F69">
        <f t="shared" si="27"/>
        <v>2.6926151264723176E-2</v>
      </c>
      <c r="G69">
        <f t="shared" ref="G69:G132" si="37">AVERAGE(F67:F69)</f>
        <v>2.8418686592316222E-2</v>
      </c>
      <c r="H69">
        <f t="shared" si="28"/>
        <v>2.6926151264723176E-2</v>
      </c>
      <c r="I69" t="e">
        <f t="shared" si="29"/>
        <v>#N/A</v>
      </c>
      <c r="J69">
        <f t="shared" si="30"/>
        <v>0.57289683541964209</v>
      </c>
      <c r="K69">
        <f>F69/(D69+Calculations!J152)</f>
        <v>0.20714626740943803</v>
      </c>
      <c r="L69">
        <f>Calculations!F152/100</f>
        <v>0.25685405242891901</v>
      </c>
      <c r="M69">
        <f>LN(Calculations!G152/Calculations!G151)</f>
        <v>-7.2671974804650208E-2</v>
      </c>
      <c r="N69">
        <v>0.5</v>
      </c>
      <c r="O69">
        <f t="shared" ref="O69:O132" si="38">O68+(M69/N69)</f>
        <v>-0.1694454978369774</v>
      </c>
      <c r="P69">
        <f t="shared" si="31"/>
        <v>3.1898005303736723E-2</v>
      </c>
      <c r="Q69">
        <f t="shared" si="21"/>
        <v>3.1032122606322623E-2</v>
      </c>
      <c r="R69">
        <f>Calculations!J152/( (Calculations!I152/100) + Calculations!J152 )</f>
        <v>0.63842309015775045</v>
      </c>
      <c r="S69">
        <f>LN(Calculations!J152/Calculations!J151)</f>
        <v>7.3137080253851031E-2</v>
      </c>
      <c r="T69">
        <f t="shared" ref="T69:T132" si="39">T68+(R69*S69)</f>
        <v>6.5018791976323875E-2</v>
      </c>
      <c r="U69">
        <f t="shared" si="32"/>
        <v>2.5231146116594893E-2</v>
      </c>
      <c r="V69">
        <f t="shared" si="22"/>
        <v>2.8012000811485648E-2</v>
      </c>
      <c r="W69">
        <f t="shared" si="33"/>
        <v>-0.10442670586065353</v>
      </c>
      <c r="X69">
        <f t="shared" si="34"/>
        <v>2.9890021218922778E-2</v>
      </c>
      <c r="Y69">
        <f t="shared" si="23"/>
        <v>3.0541111349777866E-2</v>
      </c>
    </row>
    <row r="70" spans="1:25" x14ac:dyDescent="0.2">
      <c r="A70" s="1">
        <f t="shared" si="35"/>
        <v>38930</v>
      </c>
      <c r="B70">
        <f>'raw BLS data'!Q87</f>
        <v>4498</v>
      </c>
      <c r="C70">
        <f>'raw BLS data'!W98</f>
        <v>151716</v>
      </c>
      <c r="D70">
        <f>'raw BLS data'!J170/100</f>
        <v>4.7E-2</v>
      </c>
      <c r="E70">
        <f t="shared" si="36"/>
        <v>4.6666666666666669E-2</v>
      </c>
      <c r="F70">
        <f t="shared" si="27"/>
        <v>2.964749927496111E-2</v>
      </c>
      <c r="G70">
        <f t="shared" si="37"/>
        <v>2.8400633181775565E-2</v>
      </c>
      <c r="H70">
        <f t="shared" si="28"/>
        <v>2.964749927496111E-2</v>
      </c>
      <c r="I70" t="e">
        <f t="shared" si="29"/>
        <v>#N/A</v>
      </c>
      <c r="J70">
        <f t="shared" si="30"/>
        <v>0.6307978569140662</v>
      </c>
      <c r="K70">
        <f>F70/(D70+Calculations!J153)</f>
        <v>0.24744202630528908</v>
      </c>
      <c r="L70">
        <f>Calculations!F153/100</f>
        <v>0.30425541209580098</v>
      </c>
      <c r="M70">
        <f>LN(Calculations!G153/Calculations!G152)</f>
        <v>6.5610054229368914E-2</v>
      </c>
      <c r="N70">
        <v>0.5</v>
      </c>
      <c r="O70">
        <f t="shared" si="38"/>
        <v>-3.8225389378239577E-2</v>
      </c>
      <c r="P70">
        <f t="shared" si="31"/>
        <v>3.0802725298411646E-2</v>
      </c>
      <c r="Q70">
        <f t="shared" ref="Q70:Q133" si="40">AVERAGE(P68:P70)</f>
        <v>3.0675782263827982E-2</v>
      </c>
      <c r="R70">
        <f>Calculations!J153/( (Calculations!I153/100) + Calculations!J153 )</f>
        <v>0.60773166301514847</v>
      </c>
      <c r="S70">
        <f>LN(Calculations!J153/Calculations!J152)</f>
        <v>-0.13073914122944943</v>
      </c>
      <c r="T70">
        <f t="shared" si="39"/>
        <v>-1.4435523744221787E-2</v>
      </c>
      <c r="U70">
        <f t="shared" si="32"/>
        <v>3.0078580409826607E-2</v>
      </c>
      <c r="V70">
        <f t="shared" ref="V70:V133" si="41">AVERAGE(U68:U70)</f>
        <v>2.7806033766997904E-2</v>
      </c>
      <c r="W70">
        <f t="shared" si="33"/>
        <v>-5.2660913122461364E-2</v>
      </c>
      <c r="X70">
        <f t="shared" si="34"/>
        <v>3.1250603672754118E-2</v>
      </c>
      <c r="Y70">
        <f t="shared" ref="Y70:Y133" si="42">AVERAGE(X68:X70)</f>
        <v>2.9978228287404023E-2</v>
      </c>
    </row>
    <row r="71" spans="1:25" x14ac:dyDescent="0.2">
      <c r="A71" s="1">
        <f t="shared" si="35"/>
        <v>38961</v>
      </c>
      <c r="B71">
        <f>'raw BLS data'!Q88</f>
        <v>4563</v>
      </c>
      <c r="C71">
        <f>'raw BLS data'!W99</f>
        <v>151662</v>
      </c>
      <c r="D71">
        <f>'raw BLS data'!J171/100</f>
        <v>4.4999999999999998E-2</v>
      </c>
      <c r="E71">
        <f t="shared" si="36"/>
        <v>4.6333333333333337E-2</v>
      </c>
      <c r="F71">
        <f t="shared" si="27"/>
        <v>3.0086640028484393E-2</v>
      </c>
      <c r="G71">
        <f t="shared" si="37"/>
        <v>2.8886763522722892E-2</v>
      </c>
      <c r="H71">
        <f t="shared" si="28"/>
        <v>3.0086640028484393E-2</v>
      </c>
      <c r="I71" t="e">
        <f t="shared" si="29"/>
        <v>#N/A</v>
      </c>
      <c r="J71">
        <f t="shared" si="30"/>
        <v>0.66859200063298652</v>
      </c>
      <c r="K71">
        <f>F71/(D71+Calculations!J154)</f>
        <v>0.2451101074856106</v>
      </c>
      <c r="L71">
        <f>Calculations!F154/100</f>
        <v>0.25996279661014898</v>
      </c>
      <c r="M71">
        <f>LN(Calculations!G154/Calculations!G153)</f>
        <v>-2.0478424768623469E-2</v>
      </c>
      <c r="N71">
        <v>0.5</v>
      </c>
      <c r="O71">
        <f t="shared" si="38"/>
        <v>-7.9182238915486508E-2</v>
      </c>
      <c r="P71">
        <f t="shared" si="31"/>
        <v>3.2565826095489775E-2</v>
      </c>
      <c r="Q71">
        <f t="shared" si="40"/>
        <v>3.1755518899212715E-2</v>
      </c>
      <c r="R71">
        <f>Calculations!J154/( (Calculations!I154/100) + Calculations!J154 )</f>
        <v>0.63339359840746867</v>
      </c>
      <c r="S71">
        <f>LN(Calculations!J154/Calculations!J153)</f>
        <v>6.5530815991999017E-2</v>
      </c>
      <c r="T71">
        <f t="shared" si="39"/>
        <v>2.7071275603528164E-2</v>
      </c>
      <c r="U71">
        <f t="shared" si="32"/>
        <v>2.9283082047691367E-2</v>
      </c>
      <c r="V71">
        <f t="shared" si="41"/>
        <v>2.8197602858037619E-2</v>
      </c>
      <c r="W71">
        <f t="shared" si="33"/>
        <v>-5.2110963311958344E-2</v>
      </c>
      <c r="X71">
        <f t="shared" si="34"/>
        <v>3.1696053683702555E-2</v>
      </c>
      <c r="Y71">
        <f t="shared" si="42"/>
        <v>3.0945559525126481E-2</v>
      </c>
    </row>
    <row r="72" spans="1:25" x14ac:dyDescent="0.2">
      <c r="A72" s="1">
        <f t="shared" si="35"/>
        <v>38991</v>
      </c>
      <c r="B72">
        <f>'raw BLS data'!Q89</f>
        <v>4434</v>
      </c>
      <c r="C72">
        <f>'raw BLS data'!W100</f>
        <v>152041</v>
      </c>
      <c r="D72">
        <f>'raw BLS data'!J172/100</f>
        <v>4.4000000000000004E-2</v>
      </c>
      <c r="E72">
        <f t="shared" si="36"/>
        <v>4.5333333333333337E-2</v>
      </c>
      <c r="F72">
        <f t="shared" si="27"/>
        <v>2.9163186245815275E-2</v>
      </c>
      <c r="G72">
        <f t="shared" si="37"/>
        <v>2.9632441849753593E-2</v>
      </c>
      <c r="H72">
        <f t="shared" si="28"/>
        <v>2.9163186245815275E-2</v>
      </c>
      <c r="I72" t="e">
        <f t="shared" si="29"/>
        <v>#N/A</v>
      </c>
      <c r="J72">
        <f t="shared" si="30"/>
        <v>0.66279968740489259</v>
      </c>
      <c r="K72">
        <f>F72/(D72+Calculations!J155)</f>
        <v>0.24514036693411001</v>
      </c>
      <c r="L72">
        <f>Calculations!F155/100</f>
        <v>0.29349408450389503</v>
      </c>
      <c r="M72">
        <f>LN(Calculations!G155/Calculations!G154)</f>
        <v>-3.6144984913755202E-2</v>
      </c>
      <c r="N72">
        <v>0.5</v>
      </c>
      <c r="O72">
        <f t="shared" si="38"/>
        <v>-0.15147220874299691</v>
      </c>
      <c r="P72">
        <f t="shared" si="31"/>
        <v>3.3932707681560884E-2</v>
      </c>
      <c r="Q72">
        <f t="shared" si="40"/>
        <v>3.2433753025154104E-2</v>
      </c>
      <c r="R72">
        <f>Calculations!J155/( (Calculations!I155/100) + Calculations!J155 )</f>
        <v>0.6301441120258735</v>
      </c>
      <c r="S72">
        <f>LN(Calculations!J155/Calculations!J154)</f>
        <v>-3.6440981205798778E-2</v>
      </c>
      <c r="T72">
        <f t="shared" si="39"/>
        <v>4.1082058602485462E-3</v>
      </c>
      <c r="U72">
        <f t="shared" si="32"/>
        <v>2.9043623635243744E-2</v>
      </c>
      <c r="V72">
        <f t="shared" si="41"/>
        <v>2.9468428697587239E-2</v>
      </c>
      <c r="W72">
        <f t="shared" si="33"/>
        <v>-0.14736400288274837</v>
      </c>
      <c r="X72">
        <f t="shared" si="34"/>
        <v>3.3793591088470847E-2</v>
      </c>
      <c r="Y72">
        <f t="shared" si="42"/>
        <v>3.2246749481642502E-2</v>
      </c>
    </row>
    <row r="73" spans="1:25" x14ac:dyDescent="0.2">
      <c r="A73" s="1">
        <f t="shared" si="35"/>
        <v>39022</v>
      </c>
      <c r="B73">
        <f>'raw BLS data'!Q90</f>
        <v>4705</v>
      </c>
      <c r="C73">
        <f>'raw BLS data'!W101</f>
        <v>152406</v>
      </c>
      <c r="D73">
        <f>'raw BLS data'!J173/100</f>
        <v>4.4999999999999998E-2</v>
      </c>
      <c r="E73">
        <f t="shared" si="36"/>
        <v>4.4666666666666667E-2</v>
      </c>
      <c r="F73">
        <f t="shared" si="27"/>
        <v>3.087148799916014E-2</v>
      </c>
      <c r="G73">
        <f t="shared" si="37"/>
        <v>3.0040438091153272E-2</v>
      </c>
      <c r="H73">
        <f t="shared" si="28"/>
        <v>3.087148799916014E-2</v>
      </c>
      <c r="I73" t="e">
        <f t="shared" si="29"/>
        <v>#N/A</v>
      </c>
      <c r="J73">
        <f t="shared" si="30"/>
        <v>0.68603306664800312</v>
      </c>
      <c r="K73">
        <f>F73/(D73+Calculations!J156)</f>
        <v>0.26154610609600665</v>
      </c>
      <c r="L73">
        <f>Calculations!F156/100</f>
        <v>0.28790852463015598</v>
      </c>
      <c r="M73">
        <f>LN(Calculations!G156/Calculations!G155)</f>
        <v>0.11352235192279177</v>
      </c>
      <c r="N73">
        <v>0.5</v>
      </c>
      <c r="O73">
        <f t="shared" si="38"/>
        <v>7.5572495102586623E-2</v>
      </c>
      <c r="P73">
        <f t="shared" si="31"/>
        <v>2.862442986684488E-2</v>
      </c>
      <c r="Q73">
        <f t="shared" si="40"/>
        <v>3.1707654547965182E-2</v>
      </c>
      <c r="R73">
        <f>Calculations!J156/( (Calculations!I156/100) + Calculations!J156 )</f>
        <v>0.61875583144419566</v>
      </c>
      <c r="S73">
        <f>LN(Calculations!J156/Calculations!J155)</f>
        <v>-2.6091542635608672E-2</v>
      </c>
      <c r="T73">
        <f t="shared" si="39"/>
        <v>-1.2036088296909178E-2</v>
      </c>
      <c r="U73">
        <f t="shared" si="32"/>
        <v>3.1245305089512589E-2</v>
      </c>
      <c r="V73">
        <f t="shared" si="41"/>
        <v>2.9857336924149231E-2</v>
      </c>
      <c r="W73">
        <f t="shared" si="33"/>
        <v>6.3536406805677445E-2</v>
      </c>
      <c r="X73">
        <f t="shared" si="34"/>
        <v>2.8971037749371074E-2</v>
      </c>
      <c r="Y73">
        <f t="shared" si="42"/>
        <v>3.1486894173848153E-2</v>
      </c>
    </row>
    <row r="74" spans="1:25" x14ac:dyDescent="0.2">
      <c r="A74" s="1">
        <f t="shared" si="35"/>
        <v>39052</v>
      </c>
      <c r="B74">
        <f>'raw BLS data'!Q91</f>
        <v>4583</v>
      </c>
      <c r="C74">
        <f>'raw BLS data'!W102</f>
        <v>152732</v>
      </c>
      <c r="D74">
        <f>'raw BLS data'!J174/100</f>
        <v>4.4000000000000004E-2</v>
      </c>
      <c r="E74">
        <f t="shared" si="36"/>
        <v>4.4333333333333336E-2</v>
      </c>
      <c r="F74">
        <f t="shared" si="27"/>
        <v>3.0006809313045071E-2</v>
      </c>
      <c r="G74">
        <f t="shared" si="37"/>
        <v>3.0013827852673494E-2</v>
      </c>
      <c r="H74">
        <f t="shared" si="28"/>
        <v>3.0006809313045071E-2</v>
      </c>
      <c r="I74" t="e">
        <f t="shared" si="29"/>
        <v>#N/A</v>
      </c>
      <c r="J74">
        <f t="shared" si="30"/>
        <v>0.6819729389328425</v>
      </c>
      <c r="K74">
        <f>F74/(D74+Calculations!J157)</f>
        <v>0.25287345251258531</v>
      </c>
      <c r="L74">
        <f>Calculations!F157/100</f>
        <v>0.28404832781448702</v>
      </c>
      <c r="M74">
        <f>LN(Calculations!G157/Calculations!G156)</f>
        <v>-6.577157702254606E-2</v>
      </c>
      <c r="N74">
        <v>0.5</v>
      </c>
      <c r="O74">
        <f t="shared" si="38"/>
        <v>-5.5970658942505497E-2</v>
      </c>
      <c r="P74">
        <f t="shared" si="31"/>
        <v>3.1734200897129493E-2</v>
      </c>
      <c r="Q74">
        <f t="shared" si="40"/>
        <v>3.1430446148511752E-2</v>
      </c>
      <c r="R74">
        <f>Calculations!J157/( (Calculations!I157/100) + Calculations!J157 )</f>
        <v>0.62920309872077318</v>
      </c>
      <c r="S74">
        <f>LN(Calculations!J157/Calculations!J156)</f>
        <v>2.2056057192029917E-2</v>
      </c>
      <c r="T74">
        <f t="shared" si="39"/>
        <v>1.8416512338786401E-3</v>
      </c>
      <c r="U74">
        <f t="shared" si="32"/>
        <v>2.995159809116129E-2</v>
      </c>
      <c r="V74">
        <f t="shared" si="41"/>
        <v>3.0080175605305876E-2</v>
      </c>
      <c r="W74">
        <f t="shared" si="33"/>
        <v>-5.4129007708626858E-2</v>
      </c>
      <c r="X74">
        <f t="shared" si="34"/>
        <v>3.1675811349985129E-2</v>
      </c>
      <c r="Y74">
        <f t="shared" si="42"/>
        <v>3.1480146729275682E-2</v>
      </c>
    </row>
    <row r="75" spans="1:25" x14ac:dyDescent="0.2">
      <c r="A75" s="1">
        <f t="shared" si="35"/>
        <v>39083</v>
      </c>
      <c r="B75">
        <f>'raw BLS data'!Q92</f>
        <v>4602</v>
      </c>
      <c r="C75">
        <f>'raw BLS data'!W103</f>
        <v>153144</v>
      </c>
      <c r="D75">
        <f>'raw BLS data'!J175/100</f>
        <v>4.5999999999999999E-2</v>
      </c>
      <c r="E75">
        <f t="shared" si="36"/>
        <v>4.5000000000000005E-2</v>
      </c>
      <c r="F75">
        <f t="shared" si="27"/>
        <v>3.0050148879485972E-2</v>
      </c>
      <c r="G75">
        <f t="shared" si="37"/>
        <v>3.0309482063897063E-2</v>
      </c>
      <c r="H75">
        <f t="shared" si="28"/>
        <v>3.0050148879485972E-2</v>
      </c>
      <c r="I75" t="e">
        <f t="shared" si="29"/>
        <v>#N/A</v>
      </c>
      <c r="J75">
        <f t="shared" si="30"/>
        <v>0.653264106075782</v>
      </c>
      <c r="K75">
        <f>F75/(D75+Calculations!J158)</f>
        <v>0.27875568936330486</v>
      </c>
      <c r="L75">
        <f>Calculations!F158/100</f>
        <v>0.29373032771180901</v>
      </c>
      <c r="M75">
        <f>LN(Calculations!G158/Calculations!G157)</f>
        <v>0.17502446580458911</v>
      </c>
      <c r="N75">
        <v>0.5</v>
      </c>
      <c r="O75">
        <f t="shared" si="38"/>
        <v>0.29407827266667275</v>
      </c>
      <c r="P75">
        <f t="shared" si="31"/>
        <v>2.239391662407917E-2</v>
      </c>
      <c r="Q75">
        <f t="shared" si="40"/>
        <v>2.7584182462684514E-2</v>
      </c>
      <c r="R75">
        <f>Calculations!J158/( (Calculations!I158/100) + Calculations!J158 )</f>
        <v>0.57328791407534074</v>
      </c>
      <c r="S75">
        <f>LN(Calculations!J158/Calculations!J157)</f>
        <v>-0.18906931225532239</v>
      </c>
      <c r="T75">
        <f t="shared" si="39"/>
        <v>-0.10654950040463439</v>
      </c>
      <c r="U75">
        <f t="shared" si="32"/>
        <v>3.3428776996980075E-2</v>
      </c>
      <c r="V75">
        <f t="shared" si="41"/>
        <v>3.1541893392551319E-2</v>
      </c>
      <c r="W75">
        <f t="shared" si="33"/>
        <v>0.18752877226203835</v>
      </c>
      <c r="X75">
        <f t="shared" si="34"/>
        <v>2.4911731649567549E-2</v>
      </c>
      <c r="Y75">
        <f t="shared" si="42"/>
        <v>2.8519526916307918E-2</v>
      </c>
    </row>
    <row r="76" spans="1:25" x14ac:dyDescent="0.2">
      <c r="A76" s="1">
        <f t="shared" si="35"/>
        <v>39114</v>
      </c>
      <c r="B76">
        <f>'raw BLS data'!Q93</f>
        <v>4483</v>
      </c>
      <c r="C76">
        <f>'raw BLS data'!W104</f>
        <v>152983</v>
      </c>
      <c r="D76">
        <f>'raw BLS data'!J176/100</f>
        <v>4.4999999999999998E-2</v>
      </c>
      <c r="E76">
        <f t="shared" si="36"/>
        <v>4.5000000000000005E-2</v>
      </c>
      <c r="F76">
        <f t="shared" si="27"/>
        <v>2.9303909584725101E-2</v>
      </c>
      <c r="G76">
        <f t="shared" si="37"/>
        <v>2.9786955925752048E-2</v>
      </c>
      <c r="H76">
        <f t="shared" si="28"/>
        <v>2.9303909584725101E-2</v>
      </c>
      <c r="I76" t="e">
        <f t="shared" si="29"/>
        <v>#N/A</v>
      </c>
      <c r="J76">
        <f t="shared" si="30"/>
        <v>0.65119799077166896</v>
      </c>
      <c r="K76">
        <f>F76/(D76+Calculations!J159)</f>
        <v>0.27138899001899208</v>
      </c>
      <c r="L76">
        <f>Calculations!F159/100</f>
        <v>0.31127856419312999</v>
      </c>
      <c r="M76">
        <f>LN(Calculations!G159/Calculations!G158)</f>
        <v>-0.17745375752939199</v>
      </c>
      <c r="N76">
        <v>0.5</v>
      </c>
      <c r="O76">
        <f t="shared" si="38"/>
        <v>-6.0829242392111238E-2</v>
      </c>
      <c r="P76">
        <f t="shared" si="31"/>
        <v>3.1141775529904867E-2</v>
      </c>
      <c r="Q76">
        <f t="shared" si="40"/>
        <v>2.842329768370451E-2</v>
      </c>
      <c r="R76">
        <f>Calculations!J159/( (Calculations!I159/100) + Calculations!J159 )</f>
        <v>0.58324657958880299</v>
      </c>
      <c r="S76">
        <f>LN(Calculations!J159/Calculations!J158)</f>
        <v>1.8857866423730607E-2</v>
      </c>
      <c r="T76">
        <f t="shared" si="39"/>
        <v>-9.5550714314650981E-2</v>
      </c>
      <c r="U76">
        <f t="shared" si="32"/>
        <v>3.2242054937456799E-2</v>
      </c>
      <c r="V76">
        <f t="shared" si="41"/>
        <v>3.1874143341866057E-2</v>
      </c>
      <c r="W76">
        <f t="shared" si="33"/>
        <v>-0.15637995670676222</v>
      </c>
      <c r="X76">
        <f t="shared" si="34"/>
        <v>3.4264193812846143E-2</v>
      </c>
      <c r="Y76">
        <f t="shared" si="42"/>
        <v>3.0283912270799612E-2</v>
      </c>
    </row>
    <row r="77" spans="1:25" x14ac:dyDescent="0.2">
      <c r="A77" s="1">
        <f t="shared" si="35"/>
        <v>39142</v>
      </c>
      <c r="B77">
        <f>'raw BLS data'!Q94</f>
        <v>4707</v>
      </c>
      <c r="C77">
        <f>'raw BLS data'!W105</f>
        <v>153051</v>
      </c>
      <c r="D77">
        <f>'raw BLS data'!J177/100</f>
        <v>4.4000000000000004E-2</v>
      </c>
      <c r="E77">
        <f t="shared" si="36"/>
        <v>4.5000000000000005E-2</v>
      </c>
      <c r="F77">
        <f t="shared" si="27"/>
        <v>3.0754454397553758E-2</v>
      </c>
      <c r="G77">
        <f t="shared" si="37"/>
        <v>3.0036170953921609E-2</v>
      </c>
      <c r="H77">
        <f t="shared" si="28"/>
        <v>3.0754454397553758E-2</v>
      </c>
      <c r="I77" t="e">
        <f t="shared" si="29"/>
        <v>#N/A</v>
      </c>
      <c r="J77">
        <f t="shared" si="30"/>
        <v>0.69896487267167628</v>
      </c>
      <c r="K77">
        <f>F77/(D77+Calculations!J160)</f>
        <v>0.25661635358905471</v>
      </c>
      <c r="L77">
        <f>Calculations!F160/100</f>
        <v>0.24657274227679701</v>
      </c>
      <c r="M77">
        <f>LN(Calculations!G160/Calculations!G159)</f>
        <v>2.6452728213011169E-2</v>
      </c>
      <c r="N77">
        <v>0.5</v>
      </c>
      <c r="O77">
        <f t="shared" si="38"/>
        <v>-7.923785966088899E-3</v>
      </c>
      <c r="P77">
        <f t="shared" si="31"/>
        <v>3.0999114147342657E-2</v>
      </c>
      <c r="Q77">
        <f t="shared" si="40"/>
        <v>2.8178268767108897E-2</v>
      </c>
      <c r="R77">
        <f>Calculations!J160/( (Calculations!I160/100) + Calculations!J160 )</f>
        <v>0.63286230306799018</v>
      </c>
      <c r="S77">
        <f>LN(Calculations!J160/Calculations!J159)</f>
        <v>0.18592772070253377</v>
      </c>
      <c r="T77">
        <f t="shared" si="39"/>
        <v>2.2115931213336576E-2</v>
      </c>
      <c r="U77">
        <f t="shared" si="32"/>
        <v>3.0081757081978983E-2</v>
      </c>
      <c r="V77">
        <f t="shared" si="41"/>
        <v>3.1917529672138616E-2</v>
      </c>
      <c r="W77">
        <f t="shared" si="33"/>
        <v>1.4192145247247677E-2</v>
      </c>
      <c r="X77">
        <f t="shared" si="34"/>
        <v>3.0321065348214164E-2</v>
      </c>
      <c r="Y77">
        <f t="shared" si="42"/>
        <v>2.9832330270209286E-2</v>
      </c>
    </row>
    <row r="78" spans="1:25" x14ac:dyDescent="0.2">
      <c r="A78" s="1">
        <f t="shared" si="35"/>
        <v>39173</v>
      </c>
      <c r="B78">
        <f>'raw BLS data'!Q95</f>
        <v>4498</v>
      </c>
      <c r="C78">
        <f>'raw BLS data'!W106</f>
        <v>152435</v>
      </c>
      <c r="D78">
        <f>'raw BLS data'!J178/100</f>
        <v>4.4999999999999998E-2</v>
      </c>
      <c r="E78">
        <f t="shared" si="36"/>
        <v>4.4666666666666667E-2</v>
      </c>
      <c r="F78">
        <f t="shared" si="27"/>
        <v>2.9507659002197657E-2</v>
      </c>
      <c r="G78">
        <f t="shared" si="37"/>
        <v>2.9855340994825508E-2</v>
      </c>
      <c r="H78">
        <f t="shared" si="28"/>
        <v>2.9507659002197657E-2</v>
      </c>
      <c r="I78" t="e">
        <f t="shared" si="29"/>
        <v>#N/A</v>
      </c>
      <c r="J78">
        <f t="shared" si="30"/>
        <v>0.65572575560439239</v>
      </c>
      <c r="K78">
        <f>F78/(D78+Calculations!J161)</f>
        <v>0.27394338535575524</v>
      </c>
      <c r="L78">
        <f>Calculations!F161/100</f>
        <v>0.29649981971734701</v>
      </c>
      <c r="M78">
        <f>LN(Calculations!G161/Calculations!G160)</f>
        <v>-2.4723007318337039E-2</v>
      </c>
      <c r="N78">
        <v>0.5</v>
      </c>
      <c r="O78">
        <f t="shared" si="38"/>
        <v>-5.7369800602762977E-2</v>
      </c>
      <c r="P78">
        <f t="shared" si="31"/>
        <v>3.125000878943749E-2</v>
      </c>
      <c r="Q78">
        <f t="shared" si="40"/>
        <v>3.1130299488895008E-2</v>
      </c>
      <c r="R78">
        <f>Calculations!J161/( (Calculations!I161/100) + Calculations!J161 )</f>
        <v>0.58222872441047024</v>
      </c>
      <c r="S78">
        <f>LN(Calculations!J161/Calculations!J160)</f>
        <v>-0.19011376562547883</v>
      </c>
      <c r="T78">
        <f t="shared" si="39"/>
        <v>-8.8573764039657069E-2</v>
      </c>
      <c r="U78">
        <f t="shared" si="32"/>
        <v>3.2240506276524153E-2</v>
      </c>
      <c r="V78">
        <f t="shared" si="41"/>
        <v>3.1521439431986646E-2</v>
      </c>
      <c r="W78">
        <f t="shared" si="33"/>
        <v>-0.14594356464242003</v>
      </c>
      <c r="X78">
        <f t="shared" si="34"/>
        <v>3.4144223519807421E-2</v>
      </c>
      <c r="Y78">
        <f t="shared" si="42"/>
        <v>3.2909827560289241E-2</v>
      </c>
    </row>
    <row r="79" spans="1:25" x14ac:dyDescent="0.2">
      <c r="A79" s="1">
        <f t="shared" si="35"/>
        <v>39203</v>
      </c>
      <c r="B79">
        <f>'raw BLS data'!Q96</f>
        <v>4479</v>
      </c>
      <c r="C79">
        <f>'raw BLS data'!W107</f>
        <v>152670</v>
      </c>
      <c r="D79">
        <f>'raw BLS data'!J179/100</f>
        <v>4.4000000000000004E-2</v>
      </c>
      <c r="E79">
        <f t="shared" si="36"/>
        <v>4.4333333333333336E-2</v>
      </c>
      <c r="F79">
        <f t="shared" si="27"/>
        <v>2.9337787384554923E-2</v>
      </c>
      <c r="G79">
        <f t="shared" si="37"/>
        <v>2.9866633594768779E-2</v>
      </c>
      <c r="H79">
        <f t="shared" si="28"/>
        <v>2.9337787384554923E-2</v>
      </c>
      <c r="I79" t="e">
        <f t="shared" si="29"/>
        <v>#N/A</v>
      </c>
      <c r="J79">
        <f t="shared" si="30"/>
        <v>0.66676789510352097</v>
      </c>
      <c r="K79">
        <f>F79/(D79+Calculations!J162)</f>
        <v>0.24827017260158479</v>
      </c>
      <c r="L79">
        <f>Calculations!F162/100</f>
        <v>0.27371876315420701</v>
      </c>
      <c r="M79">
        <f>LN(Calculations!G162/Calculations!G161)</f>
        <v>8.2269239705905287E-2</v>
      </c>
      <c r="N79">
        <v>0.5</v>
      </c>
      <c r="O79">
        <f t="shared" si="38"/>
        <v>0.1071686788090476</v>
      </c>
      <c r="P79">
        <f t="shared" si="31"/>
        <v>2.6356309027962922E-2</v>
      </c>
      <c r="Q79">
        <f t="shared" si="40"/>
        <v>2.9535143988247688E-2</v>
      </c>
      <c r="R79">
        <f>Calculations!J162/( (Calculations!I162/100) + Calculations!J162 )</f>
        <v>0.62765127951603172</v>
      </c>
      <c r="S79">
        <f>LN(Calculations!J162/Calculations!J161)</f>
        <v>0.1677517605485675</v>
      </c>
      <c r="T79">
        <f t="shared" si="39"/>
        <v>1.6715843109718298E-2</v>
      </c>
      <c r="U79">
        <f t="shared" si="32"/>
        <v>2.8851457564051244E-2</v>
      </c>
      <c r="V79">
        <f t="shared" si="41"/>
        <v>3.0391240307518125E-2</v>
      </c>
      <c r="W79">
        <f t="shared" si="33"/>
        <v>0.12388452191876589</v>
      </c>
      <c r="X79">
        <f t="shared" si="34"/>
        <v>2.591940290172054E-2</v>
      </c>
      <c r="Y79">
        <f t="shared" si="42"/>
        <v>3.012823058991404E-2</v>
      </c>
    </row>
    <row r="80" spans="1:25" x14ac:dyDescent="0.2">
      <c r="A80" s="1">
        <f t="shared" si="35"/>
        <v>39234</v>
      </c>
      <c r="B80">
        <f>'raw BLS data'!Q97</f>
        <v>4690</v>
      </c>
      <c r="C80">
        <f>'raw BLS data'!W108</f>
        <v>153041</v>
      </c>
      <c r="D80">
        <f>'raw BLS data'!J180/100</f>
        <v>4.5999999999999999E-2</v>
      </c>
      <c r="E80">
        <f t="shared" si="36"/>
        <v>4.5000000000000005E-2</v>
      </c>
      <c r="F80">
        <f t="shared" si="27"/>
        <v>3.0645382609888853E-2</v>
      </c>
      <c r="G80">
        <f t="shared" si="37"/>
        <v>2.9830276332213811E-2</v>
      </c>
      <c r="H80">
        <f t="shared" si="28"/>
        <v>3.0645382609888853E-2</v>
      </c>
      <c r="I80" t="e">
        <f t="shared" si="29"/>
        <v>#N/A</v>
      </c>
      <c r="J80">
        <f t="shared" si="30"/>
        <v>0.66620396978019247</v>
      </c>
      <c r="K80">
        <f>F80/(D80+Calculations!J163)</f>
        <v>0.25549940118720682</v>
      </c>
      <c r="L80">
        <f>Calculations!F163/100</f>
        <v>0.253247188415063</v>
      </c>
      <c r="M80">
        <f>LN(Calculations!G163/Calculations!G162)</f>
        <v>-6.3792931531315433E-2</v>
      </c>
      <c r="N80">
        <v>0.5</v>
      </c>
      <c r="O80">
        <f t="shared" si="38"/>
        <v>-2.041718425358327E-2</v>
      </c>
      <c r="P80">
        <f t="shared" si="31"/>
        <v>3.1277506165872632E-2</v>
      </c>
      <c r="Q80">
        <f t="shared" si="40"/>
        <v>2.9627941327757683E-2</v>
      </c>
      <c r="R80">
        <f>Calculations!J163/( (Calculations!I163/100) + Calculations!J163 )</f>
        <v>0.61648472123108733</v>
      </c>
      <c r="S80">
        <f>LN(Calculations!J163/Calculations!J162)</f>
        <v>-3.0480475814514008E-3</v>
      </c>
      <c r="T80">
        <f t="shared" si="39"/>
        <v>1.4836768346168141E-2</v>
      </c>
      <c r="U80">
        <f t="shared" si="32"/>
        <v>3.0194060526909247E-2</v>
      </c>
      <c r="V80">
        <f t="shared" si="41"/>
        <v>3.0428674789161548E-2</v>
      </c>
      <c r="W80">
        <f t="shared" si="33"/>
        <v>-5.5804159074151292E-3</v>
      </c>
      <c r="X80">
        <f t="shared" si="34"/>
        <v>3.0816874643894696E-2</v>
      </c>
      <c r="Y80">
        <f t="shared" si="42"/>
        <v>3.0293500355140886E-2</v>
      </c>
    </row>
    <row r="81" spans="1:25" x14ac:dyDescent="0.2">
      <c r="A81" s="1">
        <f t="shared" si="35"/>
        <v>39264</v>
      </c>
      <c r="B81">
        <f>'raw BLS data'!Q98</f>
        <v>4404</v>
      </c>
      <c r="C81">
        <f>'raw BLS data'!W109</f>
        <v>153054</v>
      </c>
      <c r="D81">
        <f>'raw BLS data'!J181/100</f>
        <v>4.7E-2</v>
      </c>
      <c r="E81">
        <f t="shared" si="36"/>
        <v>4.5666666666666668E-2</v>
      </c>
      <c r="F81">
        <f t="shared" si="27"/>
        <v>2.8774158140264221E-2</v>
      </c>
      <c r="G81">
        <f t="shared" si="37"/>
        <v>2.958577604490267E-2</v>
      </c>
      <c r="H81">
        <f t="shared" si="28"/>
        <v>2.8774158140264221E-2</v>
      </c>
      <c r="I81" t="e">
        <f t="shared" si="29"/>
        <v>#N/A</v>
      </c>
      <c r="J81">
        <f t="shared" si="30"/>
        <v>0.61221613064391955</v>
      </c>
      <c r="K81">
        <f>F81/(D81+Calculations!J164)</f>
        <v>0.25745424061730388</v>
      </c>
      <c r="L81">
        <f>Calculations!F164/100</f>
        <v>0.29103256321021403</v>
      </c>
      <c r="M81">
        <f>LN(Calculations!G164/Calculations!G163)</f>
        <v>1.0306934963467894E-2</v>
      </c>
      <c r="N81">
        <v>0.5</v>
      </c>
      <c r="O81">
        <f t="shared" si="38"/>
        <v>1.966856733525181E-4</v>
      </c>
      <c r="P81">
        <f t="shared" si="31"/>
        <v>2.8768499232126574E-2</v>
      </c>
      <c r="Q81">
        <f t="shared" si="40"/>
        <v>2.8800771475320706E-2</v>
      </c>
      <c r="R81">
        <f>Calculations!J164/( (Calculations!I164/100) + Calculations!J164 )</f>
        <v>0.57947164778798388</v>
      </c>
      <c r="S81">
        <f>LN(Calculations!J164/Calculations!J163)</f>
        <v>-0.13254303950343915</v>
      </c>
      <c r="T81">
        <f t="shared" si="39"/>
        <v>-6.1968165157717588E-2</v>
      </c>
      <c r="U81">
        <f t="shared" si="32"/>
        <v>3.0613646166380386E-2</v>
      </c>
      <c r="V81">
        <f t="shared" si="41"/>
        <v>2.9886388085780296E-2</v>
      </c>
      <c r="W81">
        <f t="shared" si="33"/>
        <v>-6.1771479484365066E-2</v>
      </c>
      <c r="X81">
        <f t="shared" si="34"/>
        <v>3.0607625492879896E-2</v>
      </c>
      <c r="Y81">
        <f t="shared" si="42"/>
        <v>2.9114634346165041E-2</v>
      </c>
    </row>
    <row r="82" spans="1:25" x14ac:dyDescent="0.2">
      <c r="A82" s="1">
        <f t="shared" si="35"/>
        <v>39295</v>
      </c>
      <c r="B82">
        <f>'raw BLS data'!Q99</f>
        <v>4491</v>
      </c>
      <c r="C82">
        <f>'raw BLS data'!W110</f>
        <v>152749</v>
      </c>
      <c r="D82">
        <f>'raw BLS data'!J182/100</f>
        <v>4.5999999999999999E-2</v>
      </c>
      <c r="E82">
        <f t="shared" si="36"/>
        <v>4.6333333333333337E-2</v>
      </c>
      <c r="F82">
        <f t="shared" si="27"/>
        <v>2.9401174475773981E-2</v>
      </c>
      <c r="G82">
        <f t="shared" si="37"/>
        <v>2.9606905075309015E-2</v>
      </c>
      <c r="H82">
        <f t="shared" si="28"/>
        <v>2.9401174475773981E-2</v>
      </c>
      <c r="I82" t="e">
        <f t="shared" si="29"/>
        <v>#N/A</v>
      </c>
      <c r="J82">
        <f t="shared" si="30"/>
        <v>0.63915596686465181</v>
      </c>
      <c r="K82">
        <f>F82/(D82+Calculations!J165)</f>
        <v>0.24920707743782428</v>
      </c>
      <c r="L82">
        <f>Calculations!F165/100</f>
        <v>0.24495817145381402</v>
      </c>
      <c r="M82">
        <f>LN(Calculations!G165/Calculations!G164)</f>
        <v>-1.1952924100056262E-2</v>
      </c>
      <c r="N82">
        <v>0.5</v>
      </c>
      <c r="O82">
        <f t="shared" si="38"/>
        <v>-2.3709162526760006E-2</v>
      </c>
      <c r="P82">
        <f t="shared" si="31"/>
        <v>3.0106580954787732E-2</v>
      </c>
      <c r="Q82">
        <f t="shared" si="40"/>
        <v>3.0050862117595643E-2</v>
      </c>
      <c r="R82">
        <f>Calculations!J165/( (Calculations!I165/100) + Calculations!J165 )</f>
        <v>0.61009974034929637</v>
      </c>
      <c r="S82">
        <f>LN(Calculations!J165/Calculations!J164)</f>
        <v>0.10562045127662402</v>
      </c>
      <c r="T82">
        <f t="shared" si="39"/>
        <v>2.4708447417262289E-3</v>
      </c>
      <c r="U82">
        <f t="shared" si="32"/>
        <v>2.9328618412716723E-2</v>
      </c>
      <c r="V82">
        <f t="shared" si="41"/>
        <v>3.0045441702002119E-2</v>
      </c>
      <c r="W82">
        <f t="shared" si="33"/>
        <v>-2.1238317785033777E-2</v>
      </c>
      <c r="X82">
        <f t="shared" si="34"/>
        <v>3.0032284093347929E-2</v>
      </c>
      <c r="Y82">
        <f t="shared" si="42"/>
        <v>3.0485594743374173E-2</v>
      </c>
    </row>
    <row r="83" spans="1:25" x14ac:dyDescent="0.2">
      <c r="A83" s="1">
        <f t="shared" si="35"/>
        <v>39326</v>
      </c>
      <c r="B83">
        <f>'raw BLS data'!Q100</f>
        <v>4536</v>
      </c>
      <c r="C83">
        <f>'raw BLS data'!W111</f>
        <v>153414</v>
      </c>
      <c r="D83">
        <f>'raw BLS data'!J183/100</f>
        <v>4.7E-2</v>
      </c>
      <c r="E83">
        <f t="shared" si="36"/>
        <v>4.6666666666666669E-2</v>
      </c>
      <c r="F83">
        <f t="shared" si="27"/>
        <v>2.9567053854276663E-2</v>
      </c>
      <c r="G83">
        <f t="shared" si="37"/>
        <v>2.9247462156771622E-2</v>
      </c>
      <c r="H83">
        <f t="shared" si="28"/>
        <v>2.9567053854276663E-2</v>
      </c>
      <c r="I83" t="e">
        <f t="shared" si="29"/>
        <v>#N/A</v>
      </c>
      <c r="J83">
        <f t="shared" si="30"/>
        <v>0.62908625221865244</v>
      </c>
      <c r="K83">
        <f>F83/(D83+Calculations!J166)</f>
        <v>0.25379956626647421</v>
      </c>
      <c r="L83">
        <f>Calculations!F166/100</f>
        <v>0.26454047340464498</v>
      </c>
      <c r="M83">
        <f>LN(Calculations!G166/Calculations!G165)</f>
        <v>-3.1825430098379952E-2</v>
      </c>
      <c r="N83">
        <v>0.5</v>
      </c>
      <c r="O83">
        <f t="shared" si="38"/>
        <v>-8.7360022723519906E-2</v>
      </c>
      <c r="P83">
        <f t="shared" si="31"/>
        <v>3.2266215358549191E-2</v>
      </c>
      <c r="Q83">
        <f t="shared" si="40"/>
        <v>3.0380431848487831E-2</v>
      </c>
      <c r="R83">
        <f>Calculations!J166/( (Calculations!I166/100) + Calculations!J166 )</f>
        <v>0.59655839660876786</v>
      </c>
      <c r="S83">
        <f>LN(Calculations!J166/Calculations!J165)</f>
        <v>-3.5079901975626493E-2</v>
      </c>
      <c r="T83">
        <f t="shared" si="39"/>
        <v>-1.8456365334046258E-2</v>
      </c>
      <c r="U83">
        <f t="shared" si="32"/>
        <v>3.0117821149025083E-2</v>
      </c>
      <c r="V83">
        <f t="shared" si="41"/>
        <v>3.0020028576040733E-2</v>
      </c>
      <c r="W83">
        <f t="shared" si="33"/>
        <v>-0.10581638805756616</v>
      </c>
      <c r="X83">
        <f t="shared" si="34"/>
        <v>3.2867261923160751E-2</v>
      </c>
      <c r="Y83">
        <f t="shared" si="42"/>
        <v>3.1169057169796191E-2</v>
      </c>
    </row>
    <row r="84" spans="1:25" x14ac:dyDescent="0.2">
      <c r="A84" s="1">
        <f t="shared" si="35"/>
        <v>39356</v>
      </c>
      <c r="B84">
        <f>'raw BLS data'!Q101</f>
        <v>4275</v>
      </c>
      <c r="C84">
        <f>'raw BLS data'!W112</f>
        <v>153183</v>
      </c>
      <c r="D84">
        <f>'raw BLS data'!J184/100</f>
        <v>4.7E-2</v>
      </c>
      <c r="E84">
        <f t="shared" si="36"/>
        <v>4.6666666666666669E-2</v>
      </c>
      <c r="F84">
        <f t="shared" si="27"/>
        <v>2.7907796557059203E-2</v>
      </c>
      <c r="G84">
        <f t="shared" si="37"/>
        <v>2.8958674962369951E-2</v>
      </c>
      <c r="H84">
        <f t="shared" si="28"/>
        <v>2.7907796557059203E-2</v>
      </c>
      <c r="I84" t="e">
        <f t="shared" si="29"/>
        <v>#N/A</v>
      </c>
      <c r="J84">
        <f t="shared" si="30"/>
        <v>0.59378290546934476</v>
      </c>
      <c r="K84">
        <f>F84/(D84+Calculations!J167)</f>
        <v>0.24212321815957255</v>
      </c>
      <c r="L84">
        <f>Calculations!F167/100</f>
        <v>0.26105090782094797</v>
      </c>
      <c r="M84">
        <f>LN(Calculations!G167/Calculations!G166)</f>
        <v>8.1546816849260059E-2</v>
      </c>
      <c r="N84">
        <v>0.5</v>
      </c>
      <c r="O84">
        <f t="shared" si="38"/>
        <v>7.5733610975000212E-2</v>
      </c>
      <c r="P84">
        <f t="shared" si="31"/>
        <v>2.5872289314462005E-2</v>
      </c>
      <c r="Q84">
        <f t="shared" si="40"/>
        <v>2.9415028542599642E-2</v>
      </c>
      <c r="R84">
        <f>Calculations!J167/( (Calculations!I167/100) + Calculations!J167 )</f>
        <v>0.59223612547722182</v>
      </c>
      <c r="S84">
        <f>LN(Calculations!J167/Calculations!J166)</f>
        <v>-1.7928235435603065E-2</v>
      </c>
      <c r="T84">
        <f t="shared" si="39"/>
        <v>-2.9074114025071249E-2</v>
      </c>
      <c r="U84">
        <f t="shared" si="32"/>
        <v>2.8731101452112048E-2</v>
      </c>
      <c r="V84">
        <f t="shared" si="41"/>
        <v>2.939251367128462E-2</v>
      </c>
      <c r="W84">
        <f t="shared" si="33"/>
        <v>4.6659496949928964E-2</v>
      </c>
      <c r="X84">
        <f t="shared" si="34"/>
        <v>2.6635544929976804E-2</v>
      </c>
      <c r="Y84">
        <f t="shared" si="42"/>
        <v>2.9845030315495163E-2</v>
      </c>
    </row>
    <row r="85" spans="1:25" x14ac:dyDescent="0.2">
      <c r="A85" s="1">
        <f t="shared" si="35"/>
        <v>39387</v>
      </c>
      <c r="B85">
        <f>'raw BLS data'!Q102</f>
        <v>4396</v>
      </c>
      <c r="C85">
        <f>'raw BLS data'!W113</f>
        <v>153835</v>
      </c>
      <c r="D85">
        <f>'raw BLS data'!J185/100</f>
        <v>4.7E-2</v>
      </c>
      <c r="E85">
        <f t="shared" si="36"/>
        <v>4.7000000000000007E-2</v>
      </c>
      <c r="F85">
        <f t="shared" si="27"/>
        <v>2.8576071765202979E-2</v>
      </c>
      <c r="G85">
        <f t="shared" si="37"/>
        <v>2.8683640725512948E-2</v>
      </c>
      <c r="H85">
        <f t="shared" si="28"/>
        <v>2.8576071765202979E-2</v>
      </c>
      <c r="I85" t="e">
        <f t="shared" si="29"/>
        <v>#N/A</v>
      </c>
      <c r="J85">
        <f t="shared" si="30"/>
        <v>0.60800152691921228</v>
      </c>
      <c r="K85">
        <f>F85/(D85+Calculations!J168)</f>
        <v>0.2502707660875309</v>
      </c>
      <c r="L85">
        <f>Calculations!F168/100</f>
        <v>0.27574265011632798</v>
      </c>
      <c r="M85">
        <f>LN(Calculations!G168/Calculations!G167)</f>
        <v>-2.3772409636755094E-2</v>
      </c>
      <c r="N85">
        <v>0.5</v>
      </c>
      <c r="O85">
        <f t="shared" si="38"/>
        <v>2.8188791701490024E-2</v>
      </c>
      <c r="P85">
        <f t="shared" si="31"/>
        <v>2.7781794286012473E-2</v>
      </c>
      <c r="Q85">
        <f t="shared" si="40"/>
        <v>2.864009965300789E-2</v>
      </c>
      <c r="R85">
        <f>Calculations!J168/( (Calculations!I168/100) + Calculations!J168 )</f>
        <v>0.5883714842696679</v>
      </c>
      <c r="S85">
        <f>LN(Calculations!J168/Calculations!J167)</f>
        <v>-1.5979905387414041E-2</v>
      </c>
      <c r="T85">
        <f t="shared" si="39"/>
        <v>-3.8476234676352909E-2</v>
      </c>
      <c r="U85">
        <f t="shared" si="32"/>
        <v>2.969699762845087E-2</v>
      </c>
      <c r="V85">
        <f t="shared" si="41"/>
        <v>2.9515306743195999E-2</v>
      </c>
      <c r="W85">
        <f t="shared" si="33"/>
        <v>-1.0287442974862886E-2</v>
      </c>
      <c r="X85">
        <f t="shared" si="34"/>
        <v>2.8871563796619062E-2</v>
      </c>
      <c r="Y85">
        <f t="shared" si="42"/>
        <v>2.9458123549918874E-2</v>
      </c>
    </row>
    <row r="86" spans="1:25" x14ac:dyDescent="0.2">
      <c r="A86" s="1">
        <f t="shared" si="35"/>
        <v>39417</v>
      </c>
      <c r="B86">
        <f>'raw BLS data'!Q103</f>
        <v>4256</v>
      </c>
      <c r="C86">
        <f>'raw BLS data'!W114</f>
        <v>153918</v>
      </c>
      <c r="D86">
        <f>'raw BLS data'!J186/100</f>
        <v>0.05</v>
      </c>
      <c r="E86">
        <f t="shared" si="36"/>
        <v>4.8000000000000008E-2</v>
      </c>
      <c r="F86">
        <f t="shared" si="27"/>
        <v>2.7651086942397901E-2</v>
      </c>
      <c r="G86">
        <f t="shared" si="37"/>
        <v>2.8044985088220026E-2</v>
      </c>
      <c r="H86">
        <f t="shared" si="28"/>
        <v>2.7651086942397901E-2</v>
      </c>
      <c r="I86" t="e">
        <f t="shared" si="29"/>
        <v>#N/A</v>
      </c>
      <c r="J86">
        <f t="shared" si="30"/>
        <v>0.55302173884795802</v>
      </c>
      <c r="K86">
        <f>F86/(D86+Calculations!J169)</f>
        <v>0.2365439742951001</v>
      </c>
      <c r="L86">
        <f>Calculations!F169/100</f>
        <v>0.267610004493187</v>
      </c>
      <c r="M86">
        <f>LN(Calculations!G169/Calculations!G168)</f>
        <v>-3.3264443434373472E-2</v>
      </c>
      <c r="N86">
        <v>0.5</v>
      </c>
      <c r="O86">
        <f t="shared" si="38"/>
        <v>-3.8340095167256921E-2</v>
      </c>
      <c r="P86">
        <f t="shared" si="31"/>
        <v>2.8731817520952385E-2</v>
      </c>
      <c r="Q86">
        <f t="shared" si="40"/>
        <v>2.7461967040475623E-2</v>
      </c>
      <c r="R86">
        <f>Calculations!J169/( (Calculations!I169/100) + Calculations!J169 )</f>
        <v>0.57227002542818117</v>
      </c>
      <c r="S86">
        <f>LN(Calculations!J169/Calculations!J168)</f>
        <v>-4.2429824343997334E-3</v>
      </c>
      <c r="T86">
        <f t="shared" si="39"/>
        <v>-4.0904366341978173E-2</v>
      </c>
      <c r="U86">
        <f t="shared" si="32"/>
        <v>2.8805588236054662E-2</v>
      </c>
      <c r="V86">
        <f t="shared" si="41"/>
        <v>2.9077895772205858E-2</v>
      </c>
      <c r="W86">
        <f t="shared" si="33"/>
        <v>-7.9244461509235087E-2</v>
      </c>
      <c r="X86">
        <f t="shared" si="34"/>
        <v>2.993144199018755E-2</v>
      </c>
      <c r="Y86">
        <f t="shared" si="42"/>
        <v>2.8479516905594471E-2</v>
      </c>
    </row>
    <row r="87" spans="1:25" x14ac:dyDescent="0.2">
      <c r="A87" s="1">
        <f t="shared" si="35"/>
        <v>39448</v>
      </c>
      <c r="B87">
        <f>'raw BLS data'!Q104</f>
        <v>4224</v>
      </c>
      <c r="C87">
        <f>'raw BLS data'!W115</f>
        <v>154063</v>
      </c>
      <c r="D87">
        <f>'raw BLS data'!J187/100</f>
        <v>0.05</v>
      </c>
      <c r="E87">
        <f t="shared" si="36"/>
        <v>4.9000000000000009E-2</v>
      </c>
      <c r="F87">
        <f t="shared" si="27"/>
        <v>2.7417355237792332E-2</v>
      </c>
      <c r="G87">
        <f t="shared" si="37"/>
        <v>2.7881504648464405E-2</v>
      </c>
      <c r="H87">
        <f t="shared" si="28"/>
        <v>2.7417355237792332E-2</v>
      </c>
      <c r="I87" t="e">
        <f t="shared" si="29"/>
        <v>#N/A</v>
      </c>
      <c r="J87">
        <f t="shared" si="30"/>
        <v>0.54834710475584658</v>
      </c>
      <c r="K87">
        <f>F87/(D87+Calculations!J170)</f>
        <v>0.23954372480056546</v>
      </c>
      <c r="L87">
        <f>Calculations!F170/100</f>
        <v>0.27852864106061803</v>
      </c>
      <c r="M87">
        <f>LN(Calculations!G170/Calculations!G169)</f>
        <v>8.4352161333460018E-2</v>
      </c>
      <c r="N87">
        <v>0.5</v>
      </c>
      <c r="O87">
        <f t="shared" si="38"/>
        <v>0.13036422749966312</v>
      </c>
      <c r="P87">
        <f t="shared" si="31"/>
        <v>2.4066287162101369E-2</v>
      </c>
      <c r="Q87">
        <f t="shared" si="40"/>
        <v>2.6859966323022077E-2</v>
      </c>
      <c r="R87">
        <f>Calculations!J170/( (Calculations!I170/100) + Calculations!J170 )</f>
        <v>0.56315311465495366</v>
      </c>
      <c r="S87">
        <f>LN(Calculations!J170/Calculations!J169)</f>
        <v>-3.7150060131234598E-2</v>
      </c>
      <c r="T87">
        <f t="shared" si="39"/>
        <v>-6.1825538414501752E-2</v>
      </c>
      <c r="U87">
        <f t="shared" si="32"/>
        <v>2.9165944784187881E-2</v>
      </c>
      <c r="V87">
        <f t="shared" si="41"/>
        <v>2.9222843549564472E-2</v>
      </c>
      <c r="W87">
        <f t="shared" si="33"/>
        <v>6.8538689085161364E-2</v>
      </c>
      <c r="X87">
        <f t="shared" si="34"/>
        <v>2.5601156509900372E-2</v>
      </c>
      <c r="Y87">
        <f t="shared" si="42"/>
        <v>2.8134720765568996E-2</v>
      </c>
    </row>
    <row r="88" spans="1:25" x14ac:dyDescent="0.2">
      <c r="A88" s="1">
        <f t="shared" si="35"/>
        <v>39479</v>
      </c>
      <c r="B88">
        <f>'raw BLS data'!Q105</f>
        <v>4026</v>
      </c>
      <c r="C88">
        <f>'raw BLS data'!W116</f>
        <v>153653</v>
      </c>
      <c r="D88">
        <f>'raw BLS data'!J188/100</f>
        <v>4.9000000000000002E-2</v>
      </c>
      <c r="E88">
        <f t="shared" si="36"/>
        <v>4.9666666666666671E-2</v>
      </c>
      <c r="F88">
        <f t="shared" si="27"/>
        <v>2.6201896481031935E-2</v>
      </c>
      <c r="G88">
        <f t="shared" si="37"/>
        <v>2.7090112887074056E-2</v>
      </c>
      <c r="H88">
        <f t="shared" si="28"/>
        <v>2.6201896481031935E-2</v>
      </c>
      <c r="I88" t="e">
        <f t="shared" si="29"/>
        <v>#N/A</v>
      </c>
      <c r="J88">
        <f t="shared" si="30"/>
        <v>0.53473258124554968</v>
      </c>
      <c r="K88">
        <f>F88/(D88+Calculations!J171)</f>
        <v>0.22651190216342063</v>
      </c>
      <c r="L88">
        <f>Calculations!F171/100</f>
        <v>0.26092170587621</v>
      </c>
      <c r="M88">
        <f>LN(Calculations!G171/Calculations!G170)</f>
        <v>6.5599872510063731E-2</v>
      </c>
      <c r="N88">
        <v>0.5</v>
      </c>
      <c r="O88">
        <f t="shared" si="38"/>
        <v>0.26156397251979058</v>
      </c>
      <c r="P88">
        <f t="shared" si="31"/>
        <v>2.0171441569820491E-2</v>
      </c>
      <c r="Q88">
        <f t="shared" si="40"/>
        <v>2.4323182084291416E-2</v>
      </c>
      <c r="R88">
        <f>Calculations!J171/( (Calculations!I171/100) + Calculations!J171 )</f>
        <v>0.57640153207831901</v>
      </c>
      <c r="S88">
        <f>LN(Calculations!J171/Calculations!J170)</f>
        <v>3.3847021563151565E-2</v>
      </c>
      <c r="T88">
        <f t="shared" si="39"/>
        <v>-4.231606332921329E-2</v>
      </c>
      <c r="U88">
        <f t="shared" si="32"/>
        <v>2.7334451225366041E-2</v>
      </c>
      <c r="V88">
        <f t="shared" si="41"/>
        <v>2.8435328081869531E-2</v>
      </c>
      <c r="W88">
        <f t="shared" si="33"/>
        <v>0.21924790919057729</v>
      </c>
      <c r="X88">
        <f t="shared" si="34"/>
        <v>2.1043335017170626E-2</v>
      </c>
      <c r="Y88">
        <f t="shared" si="42"/>
        <v>2.5525311172419515E-2</v>
      </c>
    </row>
    <row r="89" spans="1:25" x14ac:dyDescent="0.2">
      <c r="A89" s="1">
        <f t="shared" si="35"/>
        <v>39508</v>
      </c>
      <c r="B89">
        <f>'raw BLS data'!Q106</f>
        <v>4003</v>
      </c>
      <c r="C89">
        <f>'raw BLS data'!W117</f>
        <v>153908</v>
      </c>
      <c r="D89">
        <f>'raw BLS data'!J189/100</f>
        <v>5.0999999999999997E-2</v>
      </c>
      <c r="E89">
        <f t="shared" si="36"/>
        <v>4.9999999999999996E-2</v>
      </c>
      <c r="F89">
        <f t="shared" si="27"/>
        <v>2.6009044364165606E-2</v>
      </c>
      <c r="G89">
        <f t="shared" si="37"/>
        <v>2.6542765360996628E-2</v>
      </c>
      <c r="H89">
        <f t="shared" si="28"/>
        <v>2.6009044364165606E-2</v>
      </c>
      <c r="I89" t="e">
        <f t="shared" si="29"/>
        <v>#N/A</v>
      </c>
      <c r="J89">
        <f t="shared" si="30"/>
        <v>0.50998126204246286</v>
      </c>
      <c r="K89">
        <f>F89/(D89+Calculations!J172)</f>
        <v>0.2149324173020756</v>
      </c>
      <c r="L89">
        <f>Calculations!F172/100</f>
        <v>0.24358886688876902</v>
      </c>
      <c r="M89">
        <f>LN(Calculations!G172/Calculations!G171)</f>
        <v>-4.2327597689766717E-2</v>
      </c>
      <c r="N89">
        <v>0.5</v>
      </c>
      <c r="O89">
        <f t="shared" si="38"/>
        <v>0.17690877714025716</v>
      </c>
      <c r="P89">
        <f t="shared" si="31"/>
        <v>2.1791839406300511E-2</v>
      </c>
      <c r="Q89">
        <f t="shared" si="40"/>
        <v>2.2009856046074125E-2</v>
      </c>
      <c r="R89">
        <f>Calculations!J172/( (Calculations!I172/100) + Calculations!J172 )</f>
        <v>0.57854840305058197</v>
      </c>
      <c r="S89">
        <f>LN(Calculations!J172/Calculations!J171)</f>
        <v>4.8804086837557506E-2</v>
      </c>
      <c r="T89">
        <f t="shared" si="39"/>
        <v>-1.4080536827002468E-2</v>
      </c>
      <c r="U89">
        <f t="shared" si="32"/>
        <v>2.6377856111454094E-2</v>
      </c>
      <c r="V89">
        <f t="shared" si="41"/>
        <v>2.7626084040336008E-2</v>
      </c>
      <c r="W89">
        <f t="shared" si="33"/>
        <v>0.16282824031325469</v>
      </c>
      <c r="X89">
        <f t="shared" si="34"/>
        <v>2.2100850620074323E-2</v>
      </c>
      <c r="Y89">
        <f t="shared" si="42"/>
        <v>2.2915114049048436E-2</v>
      </c>
    </row>
    <row r="90" spans="1:25" x14ac:dyDescent="0.2">
      <c r="A90" s="1">
        <f t="shared" si="35"/>
        <v>39539</v>
      </c>
      <c r="B90">
        <f>'raw BLS data'!Q107</f>
        <v>3906</v>
      </c>
      <c r="C90">
        <f>'raw BLS data'!W118</f>
        <v>153769</v>
      </c>
      <c r="D90">
        <f>'raw BLS data'!J190/100</f>
        <v>0.05</v>
      </c>
      <c r="E90">
        <f t="shared" si="36"/>
        <v>5.000000000000001E-2</v>
      </c>
      <c r="F90">
        <f t="shared" si="27"/>
        <v>2.5401738972094506E-2</v>
      </c>
      <c r="G90">
        <f t="shared" si="37"/>
        <v>2.5870893272430681E-2</v>
      </c>
      <c r="H90">
        <f t="shared" si="28"/>
        <v>2.5401738972094506E-2</v>
      </c>
      <c r="I90" t="e">
        <f t="shared" si="29"/>
        <v>#N/A</v>
      </c>
      <c r="J90">
        <f t="shared" si="30"/>
        <v>0.50803477944189013</v>
      </c>
      <c r="K90">
        <f>F90/(D90+Calculations!J173)</f>
        <v>0.21248613325007001</v>
      </c>
      <c r="L90">
        <f>Calculations!F173/100</f>
        <v>0.28282041164148397</v>
      </c>
      <c r="M90">
        <f>LN(Calculations!G173/Calculations!G172)</f>
        <v>6.4790921390732573E-2</v>
      </c>
      <c r="N90">
        <v>0.5</v>
      </c>
      <c r="O90">
        <f t="shared" si="38"/>
        <v>0.30649061992172233</v>
      </c>
      <c r="P90">
        <f t="shared" si="31"/>
        <v>1.8696325649595492E-2</v>
      </c>
      <c r="Q90">
        <f t="shared" si="40"/>
        <v>2.0219868875238831E-2</v>
      </c>
      <c r="R90">
        <f>Calculations!J173/( (Calculations!I173/100) + Calculations!J173 )</f>
        <v>0.58174884506233981</v>
      </c>
      <c r="S90">
        <f>LN(Calculations!J173/Calculations!J172)</f>
        <v>-6.6631890595253629E-3</v>
      </c>
      <c r="T90">
        <f t="shared" si="39"/>
        <v>-1.7956839366813367E-2</v>
      </c>
      <c r="U90">
        <f t="shared" si="32"/>
        <v>2.5861993913182873E-2</v>
      </c>
      <c r="V90">
        <f t="shared" si="41"/>
        <v>2.6524767083334334E-2</v>
      </c>
      <c r="W90">
        <f t="shared" si="33"/>
        <v>0.28853378055490897</v>
      </c>
      <c r="X90">
        <f t="shared" si="34"/>
        <v>1.9035084986894279E-2</v>
      </c>
      <c r="Y90">
        <f t="shared" si="42"/>
        <v>2.0726423541379744E-2</v>
      </c>
    </row>
    <row r="91" spans="1:25" x14ac:dyDescent="0.2">
      <c r="A91" s="1">
        <f t="shared" si="35"/>
        <v>39569</v>
      </c>
      <c r="B91">
        <f>'raw BLS data'!Q108</f>
        <v>3947</v>
      </c>
      <c r="C91">
        <f>'raw BLS data'!W119</f>
        <v>154303</v>
      </c>
      <c r="D91">
        <f>'raw BLS data'!J191/100</f>
        <v>5.4000000000000006E-2</v>
      </c>
      <c r="E91">
        <f t="shared" si="36"/>
        <v>5.1666666666666673E-2</v>
      </c>
      <c r="F91">
        <f t="shared" si="27"/>
        <v>2.5579541551363227E-2</v>
      </c>
      <c r="G91">
        <f t="shared" si="37"/>
        <v>2.5663441629207778E-2</v>
      </c>
      <c r="H91">
        <f t="shared" si="28"/>
        <v>2.5579541551363227E-2</v>
      </c>
      <c r="I91" t="e">
        <f t="shared" si="29"/>
        <v>#N/A</v>
      </c>
      <c r="J91">
        <f t="shared" si="30"/>
        <v>0.47369521391413377</v>
      </c>
      <c r="K91">
        <f>F91/(D91+Calculations!J174)</f>
        <v>0.20853394864693639</v>
      </c>
      <c r="L91">
        <f>Calculations!F174/100</f>
        <v>0.233240392633428</v>
      </c>
      <c r="M91">
        <f>LN(Calculations!G174/Calculations!G173)</f>
        <v>-0.17217198626413091</v>
      </c>
      <c r="N91">
        <v>0.5</v>
      </c>
      <c r="O91">
        <f t="shared" si="38"/>
        <v>-3.7853352606539492E-2</v>
      </c>
      <c r="P91">
        <f t="shared" si="31"/>
        <v>2.6566372557150109E-2</v>
      </c>
      <c r="Q91">
        <f t="shared" si="40"/>
        <v>2.2351512537682038E-2</v>
      </c>
      <c r="R91">
        <f>Calculations!J174/( (Calculations!I174/100) + Calculations!J174 )</f>
        <v>0.55977189019111118</v>
      </c>
      <c r="S91">
        <f>LN(Calculations!J174/Calculations!J173)</f>
        <v>-1.275933669951756E-2</v>
      </c>
      <c r="T91">
        <f t="shared" si="39"/>
        <v>-2.5099157388687125E-2</v>
      </c>
      <c r="U91">
        <f t="shared" si="32"/>
        <v>2.622969146746424E-2</v>
      </c>
      <c r="V91">
        <f t="shared" si="41"/>
        <v>2.61565138307004E-2</v>
      </c>
      <c r="W91">
        <f t="shared" si="33"/>
        <v>-6.2952509995226613E-2</v>
      </c>
      <c r="X91">
        <f t="shared" si="34"/>
        <v>2.7241604552784487E-2</v>
      </c>
      <c r="Y91">
        <f t="shared" si="42"/>
        <v>2.2792513386584362E-2</v>
      </c>
    </row>
    <row r="92" spans="1:25" x14ac:dyDescent="0.2">
      <c r="A92" s="1">
        <f t="shared" si="35"/>
        <v>39600</v>
      </c>
      <c r="B92">
        <f>'raw BLS data'!Q109</f>
        <v>3777</v>
      </c>
      <c r="C92">
        <f>'raw BLS data'!W120</f>
        <v>154313</v>
      </c>
      <c r="D92">
        <f>'raw BLS data'!J192/100</f>
        <v>5.5999999999999994E-2</v>
      </c>
      <c r="E92">
        <f t="shared" si="36"/>
        <v>5.3333333333333337E-2</v>
      </c>
      <c r="F92">
        <f t="shared" si="27"/>
        <v>2.4476226889503801E-2</v>
      </c>
      <c r="G92">
        <f t="shared" si="37"/>
        <v>2.5152502470987177E-2</v>
      </c>
      <c r="H92">
        <f t="shared" si="28"/>
        <v>2.4476226889503801E-2</v>
      </c>
      <c r="I92" t="e">
        <f t="shared" si="29"/>
        <v>#N/A</v>
      </c>
      <c r="J92">
        <f t="shared" si="30"/>
        <v>0.43707548016971076</v>
      </c>
      <c r="K92">
        <f>F92/(D92+Calculations!J175)</f>
        <v>0.19415304217502108</v>
      </c>
      <c r="L92">
        <f>Calculations!F175/100</f>
        <v>0.22900337534677701</v>
      </c>
      <c r="M92">
        <f>LN(Calculations!G175/Calculations!G174)</f>
        <v>1.7013657464056919E-2</v>
      </c>
      <c r="N92">
        <v>0.5</v>
      </c>
      <c r="O92">
        <f t="shared" si="38"/>
        <v>-3.8260376784256533E-3</v>
      </c>
      <c r="P92">
        <f t="shared" si="31"/>
        <v>2.4570053232914411E-2</v>
      </c>
      <c r="Q92">
        <f t="shared" si="40"/>
        <v>2.3277583813219999E-2</v>
      </c>
      <c r="R92">
        <f>Calculations!J175/( (Calculations!I175/100) + Calculations!J175 )</f>
        <v>0.55579058770436196</v>
      </c>
      <c r="S92">
        <f>LN(Calculations!J175/Calculations!J174)</f>
        <v>2.0226788257164761E-2</v>
      </c>
      <c r="T92">
        <f t="shared" si="39"/>
        <v>-1.3857298855865835E-2</v>
      </c>
      <c r="U92">
        <f t="shared" si="32"/>
        <v>2.4817762193513112E-2</v>
      </c>
      <c r="V92">
        <f t="shared" si="41"/>
        <v>2.5636482524720075E-2</v>
      </c>
      <c r="W92">
        <f t="shared" si="33"/>
        <v>-1.7683336534291487E-2</v>
      </c>
      <c r="X92">
        <f t="shared" si="34"/>
        <v>2.4912897766849785E-2</v>
      </c>
      <c r="Y92">
        <f t="shared" si="42"/>
        <v>2.3729862435509518E-2</v>
      </c>
    </row>
    <row r="93" spans="1:25" x14ac:dyDescent="0.2">
      <c r="A93" s="1">
        <f t="shared" si="35"/>
        <v>39630</v>
      </c>
      <c r="B93">
        <f>'raw BLS data'!Q110</f>
        <v>3784</v>
      </c>
      <c r="C93">
        <f>'raw BLS data'!W121</f>
        <v>154469</v>
      </c>
      <c r="D93">
        <f>'raw BLS data'!J193/100</f>
        <v>5.7999999999999996E-2</v>
      </c>
      <c r="E93">
        <f t="shared" si="36"/>
        <v>5.5999999999999994E-2</v>
      </c>
      <c r="F93">
        <f t="shared" si="27"/>
        <v>2.4496824605584291E-2</v>
      </c>
      <c r="G93">
        <f t="shared" si="37"/>
        <v>2.4850864348817104E-2</v>
      </c>
      <c r="H93">
        <f t="shared" si="28"/>
        <v>2.4496824605584291E-2</v>
      </c>
      <c r="I93" t="e">
        <f t="shared" si="29"/>
        <v>#N/A</v>
      </c>
      <c r="J93">
        <f t="shared" si="30"/>
        <v>0.42235904492386711</v>
      </c>
      <c r="K93">
        <f>F93/(D93+Calculations!J176)</f>
        <v>0.18026636868946494</v>
      </c>
      <c r="L93">
        <f>Calculations!F176/100</f>
        <v>0.24109396612825498</v>
      </c>
      <c r="M93">
        <f>LN(Calculations!G176/Calculations!G175)</f>
        <v>0.22314546435708227</v>
      </c>
      <c r="N93">
        <v>0.5</v>
      </c>
      <c r="O93">
        <f t="shared" si="38"/>
        <v>0.44246489103573888</v>
      </c>
      <c r="P93">
        <f t="shared" si="31"/>
        <v>1.5738006925775677E-2</v>
      </c>
      <c r="Q93">
        <f t="shared" si="40"/>
        <v>2.2291477571946734E-2</v>
      </c>
      <c r="R93">
        <f>Calculations!J176/( (Calculations!I176/100) + Calculations!J176 )</f>
        <v>0.57319164616929408</v>
      </c>
      <c r="S93">
        <f>LN(Calculations!J176/Calculations!J175)</f>
        <v>0.10588086729570524</v>
      </c>
      <c r="T93">
        <f t="shared" si="39"/>
        <v>4.6832729767192029E-2</v>
      </c>
      <c r="U93">
        <f t="shared" si="32"/>
        <v>2.33760214227107E-2</v>
      </c>
      <c r="V93">
        <f t="shared" si="41"/>
        <v>2.4807825027896014E-2</v>
      </c>
      <c r="W93">
        <f t="shared" si="33"/>
        <v>0.48929762080293093</v>
      </c>
      <c r="X93">
        <f t="shared" si="34"/>
        <v>1.5017945916297947E-2</v>
      </c>
      <c r="Y93">
        <f t="shared" si="42"/>
        <v>2.2390816078644071E-2</v>
      </c>
    </row>
    <row r="94" spans="1:25" x14ac:dyDescent="0.2">
      <c r="A94" s="1">
        <f t="shared" si="35"/>
        <v>39661</v>
      </c>
      <c r="B94">
        <f>'raw BLS data'!Q111</f>
        <v>3643</v>
      </c>
      <c r="C94">
        <f>'raw BLS data'!W122</f>
        <v>154641</v>
      </c>
      <c r="D94">
        <f>'raw BLS data'!J194/100</f>
        <v>6.0999999999999999E-2</v>
      </c>
      <c r="E94">
        <f t="shared" si="36"/>
        <v>5.8333333333333327E-2</v>
      </c>
      <c r="F94">
        <f t="shared" si="27"/>
        <v>2.3557788684760186E-2</v>
      </c>
      <c r="G94">
        <f t="shared" si="37"/>
        <v>2.4176946726616091E-2</v>
      </c>
      <c r="H94">
        <f t="shared" si="28"/>
        <v>2.3557788684760186E-2</v>
      </c>
      <c r="I94" t="e">
        <f t="shared" si="29"/>
        <v>#N/A</v>
      </c>
      <c r="J94">
        <f t="shared" si="30"/>
        <v>0.38619325712721619</v>
      </c>
      <c r="K94">
        <f>F94/(D94+Calculations!J177)</f>
        <v>0.1799317201960742</v>
      </c>
      <c r="L94">
        <f>Calculations!F177/100</f>
        <v>0.22769607377807902</v>
      </c>
      <c r="M94">
        <f>LN(Calculations!G177/Calculations!G176)</f>
        <v>-5.7380101643250657E-2</v>
      </c>
      <c r="N94">
        <v>0.5</v>
      </c>
      <c r="O94">
        <f t="shared" si="38"/>
        <v>0.32770468774923756</v>
      </c>
      <c r="P94">
        <f t="shared" si="31"/>
        <v>1.6975172030668888E-2</v>
      </c>
      <c r="Q94">
        <f t="shared" si="40"/>
        <v>1.9094410729786324E-2</v>
      </c>
      <c r="R94">
        <f>Calculations!J177/( (Calculations!I177/100) + Calculations!J177 )</f>
        <v>0.53408891306250139</v>
      </c>
      <c r="S94">
        <f>LN(Calculations!J177/Calculations!J176)</f>
        <v>-0.1078866621817836</v>
      </c>
      <c r="T94">
        <f t="shared" si="39"/>
        <v>-1.078834037141805E-2</v>
      </c>
      <c r="U94">
        <f t="shared" si="32"/>
        <v>2.381331399616447E-2</v>
      </c>
      <c r="V94">
        <f t="shared" si="41"/>
        <v>2.4002365870796096E-2</v>
      </c>
      <c r="W94">
        <f t="shared" si="33"/>
        <v>0.31691634737781949</v>
      </c>
      <c r="X94">
        <f t="shared" si="34"/>
        <v>1.7159297382047221E-2</v>
      </c>
      <c r="Y94">
        <f t="shared" si="42"/>
        <v>1.9030047021731653E-2</v>
      </c>
    </row>
    <row r="95" spans="1:25" x14ac:dyDescent="0.2">
      <c r="A95" s="1">
        <f t="shared" si="35"/>
        <v>39692</v>
      </c>
      <c r="B95">
        <f>'raw BLS data'!Q112</f>
        <v>3233</v>
      </c>
      <c r="C95">
        <f>'raw BLS data'!W123</f>
        <v>154570</v>
      </c>
      <c r="D95">
        <f>'raw BLS data'!J195/100</f>
        <v>6.0999999999999999E-2</v>
      </c>
      <c r="E95">
        <f t="shared" si="36"/>
        <v>0.06</v>
      </c>
      <c r="F95">
        <f t="shared" si="27"/>
        <v>2.091608979750275E-2</v>
      </c>
      <c r="G95">
        <f t="shared" si="37"/>
        <v>2.2990234362615741E-2</v>
      </c>
      <c r="H95">
        <f t="shared" si="28"/>
        <v>2.091608979750275E-2</v>
      </c>
      <c r="I95" t="e">
        <f t="shared" si="29"/>
        <v>#N/A</v>
      </c>
      <c r="J95">
        <f t="shared" si="30"/>
        <v>0.34288671799184839</v>
      </c>
      <c r="K95">
        <f>F95/(D95+Calculations!J178)</f>
        <v>0.15612138669088244</v>
      </c>
      <c r="L95">
        <f>Calculations!F178/100</f>
        <v>0.23686226654787099</v>
      </c>
      <c r="M95">
        <f>LN(Calculations!G178/Calculations!G177)</f>
        <v>0.18652408704153364</v>
      </c>
      <c r="N95">
        <v>0.5</v>
      </c>
      <c r="O95">
        <f t="shared" si="38"/>
        <v>0.7007528618323049</v>
      </c>
      <c r="P95">
        <f t="shared" si="31"/>
        <v>1.0378806057179168E-2</v>
      </c>
      <c r="Q95">
        <f t="shared" si="40"/>
        <v>1.4363995004541245E-2</v>
      </c>
      <c r="R95">
        <f>Calculations!J178/( (Calculations!I178/100) + Calculations!J178 )</f>
        <v>0.54468523130547741</v>
      </c>
      <c r="S95">
        <f>LN(Calculations!J178/Calculations!J177)</f>
        <v>4.2651577873706707E-2</v>
      </c>
      <c r="T95">
        <f t="shared" si="39"/>
        <v>1.2443344188265471E-2</v>
      </c>
      <c r="U95">
        <f t="shared" si="32"/>
        <v>2.0657436287818191E-2</v>
      </c>
      <c r="V95">
        <f t="shared" si="41"/>
        <v>2.2615590568897784E-2</v>
      </c>
      <c r="W95">
        <f t="shared" si="33"/>
        <v>0.71319620602057032</v>
      </c>
      <c r="X95">
        <f t="shared" si="34"/>
        <v>1.0250459189336534E-2</v>
      </c>
      <c r="Y95">
        <f t="shared" si="42"/>
        <v>1.4142567495893902E-2</v>
      </c>
    </row>
    <row r="96" spans="1:25" x14ac:dyDescent="0.2">
      <c r="A96" s="1">
        <f t="shared" si="35"/>
        <v>39722</v>
      </c>
      <c r="B96">
        <f>'raw BLS data'!Q113</f>
        <v>3384</v>
      </c>
      <c r="C96">
        <f>'raw BLS data'!W124</f>
        <v>154876</v>
      </c>
      <c r="D96">
        <f>'raw BLS data'!J196/100</f>
        <v>6.5000000000000002E-2</v>
      </c>
      <c r="E96">
        <f t="shared" si="36"/>
        <v>6.2333333333333331E-2</v>
      </c>
      <c r="F96">
        <f t="shared" si="27"/>
        <v>2.1849737854799968E-2</v>
      </c>
      <c r="G96">
        <f t="shared" si="37"/>
        <v>2.2107872112354304E-2</v>
      </c>
      <c r="H96">
        <f t="shared" si="28"/>
        <v>2.1849737854799968E-2</v>
      </c>
      <c r="I96" t="e">
        <f t="shared" si="29"/>
        <v>#N/A</v>
      </c>
      <c r="J96">
        <f t="shared" si="30"/>
        <v>0.33614981315076875</v>
      </c>
      <c r="K96">
        <f>F96/(D96+Calculations!J179)</f>
        <v>0.15641557770066525</v>
      </c>
      <c r="L96">
        <f>Calculations!F179/100</f>
        <v>0.20710025164562801</v>
      </c>
      <c r="M96">
        <f>LN(Calculations!G179/Calculations!G178)</f>
        <v>-6.7682032750112087E-2</v>
      </c>
      <c r="N96">
        <v>0.5</v>
      </c>
      <c r="O96">
        <f t="shared" si="38"/>
        <v>0.56538879633208072</v>
      </c>
      <c r="P96">
        <f t="shared" si="31"/>
        <v>1.241369287714511E-2</v>
      </c>
      <c r="Q96">
        <f t="shared" si="40"/>
        <v>1.3255890321664389E-2</v>
      </c>
      <c r="R96">
        <f>Calculations!J179/( (Calculations!I179/100) + Calculations!J179 )</f>
        <v>0.53468491850533839</v>
      </c>
      <c r="S96">
        <f>LN(Calculations!J179/Calculations!J178)</f>
        <v>2.3257179539006332E-2</v>
      </c>
      <c r="T96">
        <f t="shared" si="39"/>
        <v>2.4878607334743095E-2</v>
      </c>
      <c r="U96">
        <f t="shared" si="32"/>
        <v>2.1312852972004932E-2</v>
      </c>
      <c r="V96">
        <f t="shared" si="41"/>
        <v>2.1927867751995862E-2</v>
      </c>
      <c r="W96">
        <f t="shared" si="33"/>
        <v>0.59026740366682384</v>
      </c>
      <c r="X96">
        <f t="shared" si="34"/>
        <v>1.2108667522164225E-2</v>
      </c>
      <c r="Y96">
        <f t="shared" si="42"/>
        <v>1.317280803118266E-2</v>
      </c>
    </row>
    <row r="97" spans="1:25" x14ac:dyDescent="0.2">
      <c r="A97" s="1">
        <f t="shared" si="35"/>
        <v>39753</v>
      </c>
      <c r="B97">
        <f>'raw BLS data'!Q114</f>
        <v>3155</v>
      </c>
      <c r="C97">
        <f>'raw BLS data'!W125</f>
        <v>154639</v>
      </c>
      <c r="D97">
        <f>'raw BLS data'!J197/100</f>
        <v>6.8000000000000005E-2</v>
      </c>
      <c r="E97">
        <f t="shared" si="36"/>
        <v>6.4666666666666664E-2</v>
      </c>
      <c r="F97">
        <f t="shared" si="27"/>
        <v>2.0402356456003985E-2</v>
      </c>
      <c r="G97">
        <f t="shared" si="37"/>
        <v>2.1056061369435566E-2</v>
      </c>
      <c r="H97">
        <f t="shared" si="28"/>
        <v>2.0402356456003985E-2</v>
      </c>
      <c r="I97" t="e">
        <f t="shared" si="29"/>
        <v>#N/A</v>
      </c>
      <c r="J97">
        <f t="shared" si="30"/>
        <v>0.30003465376476446</v>
      </c>
      <c r="K97">
        <f>F97/(D97+Calculations!J180)</f>
        <v>0.13931475695946513</v>
      </c>
      <c r="L97">
        <f>Calculations!F180/100</f>
        <v>0.20414700043553702</v>
      </c>
      <c r="M97">
        <f>LN(Calculations!G180/Calculations!G179)</f>
        <v>-2.5689300014880272E-3</v>
      </c>
      <c r="N97">
        <v>0.5</v>
      </c>
      <c r="O97">
        <f t="shared" si="38"/>
        <v>0.56025093632910472</v>
      </c>
      <c r="P97">
        <f t="shared" si="31"/>
        <v>1.1651086883711611E-2</v>
      </c>
      <c r="Q97">
        <f t="shared" si="40"/>
        <v>1.1481195272678629E-2</v>
      </c>
      <c r="R97">
        <f>Calculations!J180/( (Calculations!I180/100) + Calculations!J180 )</f>
        <v>0.53567111261523881</v>
      </c>
      <c r="S97">
        <f>LN(Calculations!J180/Calculations!J179)</f>
        <v>4.9084836703408685E-2</v>
      </c>
      <c r="T97">
        <f t="shared" si="39"/>
        <v>5.1171936424195333E-2</v>
      </c>
      <c r="U97">
        <f t="shared" si="32"/>
        <v>1.9384590964943785E-2</v>
      </c>
      <c r="V97">
        <f t="shared" si="41"/>
        <v>2.0451626741588968E-2</v>
      </c>
      <c r="W97">
        <f t="shared" si="33"/>
        <v>0.6114228727533001</v>
      </c>
      <c r="X97">
        <f t="shared" si="34"/>
        <v>1.1069875875602974E-2</v>
      </c>
      <c r="Y97">
        <f t="shared" si="42"/>
        <v>1.1143000862367912E-2</v>
      </c>
    </row>
    <row r="98" spans="1:25" x14ac:dyDescent="0.2">
      <c r="A98" s="1">
        <f t="shared" si="35"/>
        <v>39783</v>
      </c>
      <c r="B98">
        <f>'raw BLS data'!Q115</f>
        <v>3011</v>
      </c>
      <c r="C98">
        <f>'raw BLS data'!W126</f>
        <v>154655</v>
      </c>
      <c r="D98">
        <f>'raw BLS data'!J198/100</f>
        <v>7.2999999999999995E-2</v>
      </c>
      <c r="E98">
        <f t="shared" si="36"/>
        <v>6.8666666666666668E-2</v>
      </c>
      <c r="F98">
        <f t="shared" ref="F98:F129" si="43">B98/C98</f>
        <v>1.9469140991238563E-2</v>
      </c>
      <c r="G98">
        <f t="shared" si="37"/>
        <v>2.057374510068084E-2</v>
      </c>
      <c r="H98">
        <f t="shared" ref="H98:H129" si="44">IF( $A98&lt;=$A$106, F98, NA() )</f>
        <v>1.9469140991238563E-2</v>
      </c>
      <c r="I98" t="e">
        <f t="shared" ref="I98:I129" si="45">IF( $A98&gt;$A$106, F98, NA() )</f>
        <v>#N/A</v>
      </c>
      <c r="J98">
        <f t="shared" si="30"/>
        <v>0.26670056152381594</v>
      </c>
      <c r="K98">
        <f>F98/(D98+Calculations!J181)</f>
        <v>0.13418941734120629</v>
      </c>
      <c r="L98">
        <f>Calculations!F181/100</f>
        <v>0.19927701584629598</v>
      </c>
      <c r="M98">
        <f>LN(Calculations!G181/Calculations!G180)</f>
        <v>0.13903982079190927</v>
      </c>
      <c r="N98">
        <v>0.5</v>
      </c>
      <c r="O98">
        <f t="shared" si="38"/>
        <v>0.83833057791292331</v>
      </c>
      <c r="P98">
        <f t="shared" si="31"/>
        <v>8.4190763146633849E-3</v>
      </c>
      <c r="Q98">
        <f t="shared" si="40"/>
        <v>1.0827952025173367E-2</v>
      </c>
      <c r="R98">
        <f>Calculations!J181/( (Calculations!I181/100) + Calculations!J181 )</f>
        <v>0.49685363774825281</v>
      </c>
      <c r="S98">
        <f>LN(Calculations!J181/Calculations!J180)</f>
        <v>-8.4561145877847813E-2</v>
      </c>
      <c r="T98">
        <f t="shared" si="39"/>
        <v>9.1574234826259718E-3</v>
      </c>
      <c r="U98">
        <f t="shared" si="32"/>
        <v>1.9291667661773686E-2</v>
      </c>
      <c r="V98">
        <f t="shared" si="41"/>
        <v>1.9996370532907468E-2</v>
      </c>
      <c r="W98">
        <f t="shared" si="33"/>
        <v>0.84748800139554925</v>
      </c>
      <c r="X98">
        <f t="shared" si="34"/>
        <v>8.342331197595582E-3</v>
      </c>
      <c r="Y98">
        <f t="shared" si="42"/>
        <v>1.0506958198454259E-2</v>
      </c>
    </row>
    <row r="99" spans="1:25" x14ac:dyDescent="0.2">
      <c r="A99" s="1">
        <f t="shared" si="35"/>
        <v>39814</v>
      </c>
      <c r="B99">
        <f>'raw BLS data'!Q116</f>
        <v>2853</v>
      </c>
      <c r="C99">
        <f>'raw BLS data'!W127</f>
        <v>154232</v>
      </c>
      <c r="D99">
        <f>'raw BLS data'!J199/100</f>
        <v>7.8E-2</v>
      </c>
      <c r="E99">
        <f t="shared" si="36"/>
        <v>7.3000000000000009E-2</v>
      </c>
      <c r="F99">
        <f t="shared" si="43"/>
        <v>1.8498106748275324E-2</v>
      </c>
      <c r="G99">
        <f t="shared" si="37"/>
        <v>1.9456534731839292E-2</v>
      </c>
      <c r="H99">
        <f t="shared" si="44"/>
        <v>1.8498106748275324E-2</v>
      </c>
      <c r="I99" t="e">
        <f t="shared" si="45"/>
        <v>#N/A</v>
      </c>
      <c r="J99">
        <f t="shared" si="30"/>
        <v>0.23715521472147852</v>
      </c>
      <c r="K99">
        <f>F99/(D99+Calculations!J182)</f>
        <v>0.11274900347035409</v>
      </c>
      <c r="L99">
        <f>Calculations!F182/100</f>
        <v>0.180629406235362</v>
      </c>
      <c r="M99">
        <f>LN(Calculations!G182/Calculations!G181)</f>
        <v>2.2138206744470351E-2</v>
      </c>
      <c r="N99">
        <v>0.5</v>
      </c>
      <c r="O99">
        <f t="shared" si="38"/>
        <v>0.88260699140186405</v>
      </c>
      <c r="P99">
        <f t="shared" si="31"/>
        <v>7.6527219691626975E-3</v>
      </c>
      <c r="Q99">
        <f t="shared" si="40"/>
        <v>9.2409617225125643E-3</v>
      </c>
      <c r="R99">
        <f>Calculations!J182/( (Calculations!I182/100) + Calculations!J182 )</f>
        <v>0.52457716941721244</v>
      </c>
      <c r="S99">
        <f>LN(Calculations!J182/Calculations!J181)</f>
        <v>0.17722296946000529</v>
      </c>
      <c r="T99">
        <f t="shared" si="39"/>
        <v>0.10212454715766864</v>
      </c>
      <c r="U99">
        <f t="shared" si="32"/>
        <v>1.6702256695471984E-2</v>
      </c>
      <c r="V99">
        <f t="shared" si="41"/>
        <v>1.8459505107396485E-2</v>
      </c>
      <c r="W99">
        <f t="shared" si="33"/>
        <v>0.98473153855953266</v>
      </c>
      <c r="X99">
        <f t="shared" si="34"/>
        <v>6.9097734426227337E-3</v>
      </c>
      <c r="Y99">
        <f t="shared" si="42"/>
        <v>8.7739935052737628E-3</v>
      </c>
    </row>
    <row r="100" spans="1:25" x14ac:dyDescent="0.2">
      <c r="A100" s="1">
        <f t="shared" si="35"/>
        <v>39845</v>
      </c>
      <c r="B100">
        <f>'raw BLS data'!Q117</f>
        <v>2807</v>
      </c>
      <c r="C100">
        <f>'raw BLS data'!W128</f>
        <v>154526</v>
      </c>
      <c r="D100">
        <f>'raw BLS data'!J200/100</f>
        <v>8.3000000000000004E-2</v>
      </c>
      <c r="E100">
        <f t="shared" si="36"/>
        <v>7.8E-2</v>
      </c>
      <c r="F100">
        <f t="shared" si="43"/>
        <v>1.8165227858095077E-2</v>
      </c>
      <c r="G100">
        <f t="shared" si="37"/>
        <v>1.8710825199202988E-2</v>
      </c>
      <c r="H100">
        <f t="shared" si="44"/>
        <v>1.8165227858095077E-2</v>
      </c>
      <c r="I100" t="e">
        <f t="shared" si="45"/>
        <v>#N/A</v>
      </c>
      <c r="J100">
        <f t="shared" si="30"/>
        <v>0.21885816696500091</v>
      </c>
      <c r="K100">
        <f>F100/(D100+Calculations!J183)</f>
        <v>0.11319702786400535</v>
      </c>
      <c r="L100">
        <f>Calculations!F183/100</f>
        <v>0.178075826115419</v>
      </c>
      <c r="M100">
        <f>LN(Calculations!G183/Calculations!G182)</f>
        <v>-4.227662880424661E-2</v>
      </c>
      <c r="N100">
        <v>0.5</v>
      </c>
      <c r="O100">
        <f t="shared" si="38"/>
        <v>0.79805373379337086</v>
      </c>
      <c r="P100">
        <f t="shared" si="31"/>
        <v>8.1780642274584502E-3</v>
      </c>
      <c r="Q100">
        <f t="shared" si="40"/>
        <v>8.0832875037615114E-3</v>
      </c>
      <c r="R100">
        <f>Calculations!J183/( (Calculations!I183/100) + Calculations!J183 )</f>
        <v>0.48278362451008083</v>
      </c>
      <c r="S100">
        <f>LN(Calculations!J183/Calculations!J182)</f>
        <v>-0.10514892499195569</v>
      </c>
      <c r="T100">
        <f t="shared" si="39"/>
        <v>5.1360368036713649E-2</v>
      </c>
      <c r="U100">
        <f t="shared" si="32"/>
        <v>1.7255809016293609E-2</v>
      </c>
      <c r="V100">
        <f t="shared" si="41"/>
        <v>1.7749911124513094E-2</v>
      </c>
      <c r="W100">
        <f t="shared" si="33"/>
        <v>0.84941410183008448</v>
      </c>
      <c r="X100">
        <f t="shared" si="34"/>
        <v>7.7686399275810909E-3</v>
      </c>
      <c r="Y100">
        <f t="shared" si="42"/>
        <v>7.6735815225998025E-3</v>
      </c>
    </row>
    <row r="101" spans="1:25" x14ac:dyDescent="0.2">
      <c r="A101" s="1">
        <f t="shared" si="35"/>
        <v>39873</v>
      </c>
      <c r="B101">
        <f>'raw BLS data'!Q118</f>
        <v>2550</v>
      </c>
      <c r="C101">
        <f>'raw BLS data'!W129</f>
        <v>154142</v>
      </c>
      <c r="D101">
        <f>'raw BLS data'!J201/100</f>
        <v>8.6999999999999994E-2</v>
      </c>
      <c r="E101">
        <f t="shared" si="36"/>
        <v>8.2666666666666666E-2</v>
      </c>
      <c r="F101">
        <f t="shared" si="43"/>
        <v>1.6543187450532626E-2</v>
      </c>
      <c r="G101">
        <f t="shared" si="37"/>
        <v>1.7735507352301009E-2</v>
      </c>
      <c r="H101">
        <f t="shared" si="44"/>
        <v>1.6543187450532626E-2</v>
      </c>
      <c r="I101" t="e">
        <f t="shared" si="45"/>
        <v>#N/A</v>
      </c>
      <c r="J101">
        <f t="shared" si="30"/>
        <v>0.19015157989117962</v>
      </c>
      <c r="K101">
        <f>F101/(D101+Calculations!J184)</f>
        <v>0.10280186695273022</v>
      </c>
      <c r="L101">
        <f>Calculations!F184/100</f>
        <v>0.19003460207130998</v>
      </c>
      <c r="M101">
        <f>LN(Calculations!G184/Calculations!G183)</f>
        <v>4.2422973375397634E-3</v>
      </c>
      <c r="N101">
        <v>0.5</v>
      </c>
      <c r="O101">
        <f t="shared" si="38"/>
        <v>0.80653832846845042</v>
      </c>
      <c r="P101">
        <f t="shared" si="31"/>
        <v>7.3848902465530868E-3</v>
      </c>
      <c r="Q101">
        <f t="shared" si="40"/>
        <v>7.7385588143914124E-3</v>
      </c>
      <c r="R101">
        <f>Calculations!J184/( (Calculations!I184/100) + Calculations!J184 )</f>
        <v>0.45936885188352422</v>
      </c>
      <c r="S101">
        <f>LN(Calculations!J184/Calculations!J183)</f>
        <v>-4.6923515467206078E-2</v>
      </c>
      <c r="T101">
        <f t="shared" si="39"/>
        <v>2.9805166610204402E-2</v>
      </c>
      <c r="U101">
        <f t="shared" si="32"/>
        <v>1.6057390583113815E-2</v>
      </c>
      <c r="V101">
        <f t="shared" si="41"/>
        <v>1.6671818764959805E-2</v>
      </c>
      <c r="W101">
        <f t="shared" si="33"/>
        <v>0.8363434950786548</v>
      </c>
      <c r="X101">
        <f t="shared" si="34"/>
        <v>7.1680301910931167E-3</v>
      </c>
      <c r="Y101">
        <f t="shared" si="42"/>
        <v>7.2821478537656468E-3</v>
      </c>
    </row>
    <row r="102" spans="1:25" x14ac:dyDescent="0.2">
      <c r="A102" s="1">
        <f t="shared" si="35"/>
        <v>39904</v>
      </c>
      <c r="B102">
        <f>'raw BLS data'!Q119</f>
        <v>2292</v>
      </c>
      <c r="C102">
        <f>'raw BLS data'!W130</f>
        <v>154479</v>
      </c>
      <c r="D102">
        <f>'raw BLS data'!J202/100</f>
        <v>0.09</v>
      </c>
      <c r="E102">
        <f t="shared" si="36"/>
        <v>8.666666666666667E-2</v>
      </c>
      <c r="F102">
        <f t="shared" si="43"/>
        <v>1.4836968131590701E-2</v>
      </c>
      <c r="G102">
        <f t="shared" si="37"/>
        <v>1.6515127813406135E-2</v>
      </c>
      <c r="H102">
        <f t="shared" si="44"/>
        <v>1.4836968131590701E-2</v>
      </c>
      <c r="I102" t="e">
        <f t="shared" si="45"/>
        <v>#N/A</v>
      </c>
      <c r="J102">
        <f t="shared" si="30"/>
        <v>0.16485520146211891</v>
      </c>
      <c r="K102">
        <f>F102/(D102+Calculations!J185)</f>
        <v>7.8388910523018648E-2</v>
      </c>
      <c r="L102">
        <f>Calculations!F185/100</f>
        <v>0.16077187255263301</v>
      </c>
      <c r="M102">
        <f>LN(Calculations!G185/Calculations!G184)</f>
        <v>-3.2196903412269988E-2</v>
      </c>
      <c r="N102">
        <v>0.5</v>
      </c>
      <c r="O102">
        <f t="shared" si="38"/>
        <v>0.74214452164391043</v>
      </c>
      <c r="P102">
        <f t="shared" si="31"/>
        <v>7.063759320337328E-3</v>
      </c>
      <c r="Q102">
        <f t="shared" si="40"/>
        <v>7.5422379314496217E-3</v>
      </c>
      <c r="R102">
        <f>Calculations!J185/( (Calculations!I185/100) + Calculations!J185 )</f>
        <v>0.52449840934481418</v>
      </c>
      <c r="S102">
        <f>LN(Calculations!J185/Calculations!J184)</f>
        <v>0.29485748323084415</v>
      </c>
      <c r="T102">
        <f t="shared" si="39"/>
        <v>0.1844574475481974</v>
      </c>
      <c r="U102">
        <f t="shared" si="32"/>
        <v>1.2337759839830707E-2</v>
      </c>
      <c r="V102">
        <f t="shared" si="41"/>
        <v>1.5216986479746045E-2</v>
      </c>
      <c r="W102">
        <f t="shared" si="33"/>
        <v>0.9266019691921078</v>
      </c>
      <c r="X102">
        <f t="shared" si="34"/>
        <v>5.8739066693232912E-3</v>
      </c>
      <c r="Y102">
        <f t="shared" si="42"/>
        <v>6.9368589293324996E-3</v>
      </c>
    </row>
    <row r="103" spans="1:25" x14ac:dyDescent="0.2">
      <c r="A103" s="1">
        <f t="shared" si="35"/>
        <v>39934</v>
      </c>
      <c r="B103">
        <f>'raw BLS data'!Q120</f>
        <v>2415</v>
      </c>
      <c r="C103">
        <f>'raw BLS data'!W131</f>
        <v>154742</v>
      </c>
      <c r="D103">
        <f>'raw BLS data'!J203/100</f>
        <v>9.4E-2</v>
      </c>
      <c r="E103">
        <f t="shared" si="36"/>
        <v>9.0333333333333335E-2</v>
      </c>
      <c r="F103">
        <f t="shared" si="43"/>
        <v>1.5606622636388311E-2</v>
      </c>
      <c r="G103">
        <f t="shared" si="37"/>
        <v>1.5662259406170546E-2</v>
      </c>
      <c r="H103">
        <f t="shared" si="44"/>
        <v>1.5606622636388311E-2</v>
      </c>
      <c r="I103" t="e">
        <f t="shared" si="45"/>
        <v>#N/A</v>
      </c>
      <c r="J103">
        <f t="shared" si="30"/>
        <v>0.16602790038710968</v>
      </c>
      <c r="K103">
        <f>F103/(D103+Calculations!J186)</f>
        <v>9.0295371711732936E-2</v>
      </c>
      <c r="L103">
        <f>Calculations!F186/100</f>
        <v>0.16429492199846499</v>
      </c>
      <c r="M103">
        <f>LN(Calculations!G186/Calculations!G185)</f>
        <v>2.6826980093074035E-2</v>
      </c>
      <c r="N103">
        <v>0.5</v>
      </c>
      <c r="O103">
        <f t="shared" si="38"/>
        <v>0.79579848183005852</v>
      </c>
      <c r="P103">
        <f t="shared" si="31"/>
        <v>7.0420327424162033E-3</v>
      </c>
      <c r="Q103">
        <f t="shared" si="40"/>
        <v>7.163560769768873E-3</v>
      </c>
      <c r="R103">
        <f>Calculations!J186/( (Calculations!I186/100) + Calculations!J186 )</f>
        <v>0.45614338613449457</v>
      </c>
      <c r="S103">
        <f>LN(Calculations!J186/Calculations!J185)</f>
        <v>-0.23046548727332714</v>
      </c>
      <c r="T103">
        <f t="shared" si="39"/>
        <v>7.9332139796205695E-2</v>
      </c>
      <c r="U103">
        <f t="shared" si="32"/>
        <v>1.441635336183226E-2</v>
      </c>
      <c r="V103">
        <f t="shared" si="41"/>
        <v>1.427050126159226E-2</v>
      </c>
      <c r="W103">
        <f t="shared" si="33"/>
        <v>0.8751306216262642</v>
      </c>
      <c r="X103">
        <f t="shared" si="34"/>
        <v>6.5049584888123221E-3</v>
      </c>
      <c r="Y103">
        <f t="shared" si="42"/>
        <v>6.5156317830762436E-3</v>
      </c>
    </row>
    <row r="104" spans="1:25" x14ac:dyDescent="0.2">
      <c r="A104" s="1">
        <f t="shared" si="35"/>
        <v>39965</v>
      </c>
      <c r="B104">
        <f>'raw BLS data'!Q121</f>
        <v>2377</v>
      </c>
      <c r="C104">
        <f>'raw BLS data'!W132</f>
        <v>154710</v>
      </c>
      <c r="D104">
        <f>'raw BLS data'!J204/100</f>
        <v>9.5000000000000001E-2</v>
      </c>
      <c r="E104">
        <f t="shared" si="36"/>
        <v>9.3000000000000013E-2</v>
      </c>
      <c r="F104">
        <f t="shared" si="43"/>
        <v>1.5364229849395644E-2</v>
      </c>
      <c r="G104">
        <f t="shared" si="37"/>
        <v>1.5269273539124885E-2</v>
      </c>
      <c r="H104">
        <f t="shared" si="44"/>
        <v>1.5364229849395644E-2</v>
      </c>
      <c r="I104" t="e">
        <f t="shared" si="45"/>
        <v>#N/A</v>
      </c>
      <c r="J104">
        <f t="shared" si="30"/>
        <v>0.16172873525679626</v>
      </c>
      <c r="K104">
        <f>F104/(D104+Calculations!J187)</f>
        <v>9.0170575401239489E-2</v>
      </c>
      <c r="L104">
        <f>Calculations!F187/100</f>
        <v>0.183416018375823</v>
      </c>
      <c r="M104">
        <f>LN(Calculations!G187/Calculations!G186)</f>
        <v>4.0064958531430578E-2</v>
      </c>
      <c r="N104">
        <v>0.5</v>
      </c>
      <c r="O104">
        <f t="shared" si="38"/>
        <v>0.87592839889291962</v>
      </c>
      <c r="P104">
        <f t="shared" si="31"/>
        <v>6.3988204694803569E-3</v>
      </c>
      <c r="Q104">
        <f t="shared" si="40"/>
        <v>6.8348708440779627E-3</v>
      </c>
      <c r="R104">
        <f>Calculations!J187/( (Calculations!I187/100) + Calculations!J187 )</f>
        <v>0.44245792030671127</v>
      </c>
      <c r="S104">
        <f>LN(Calculations!J187/Calculations!J186)</f>
        <v>-4.4732074556397723E-2</v>
      </c>
      <c r="T104">
        <f t="shared" si="39"/>
        <v>5.9540079116977201E-2</v>
      </c>
      <c r="U104">
        <f t="shared" si="32"/>
        <v>1.447614310770369E-2</v>
      </c>
      <c r="V104">
        <f t="shared" si="41"/>
        <v>1.3743418769788886E-2</v>
      </c>
      <c r="W104">
        <f t="shared" si="33"/>
        <v>0.93546847800989685</v>
      </c>
      <c r="X104">
        <f t="shared" si="34"/>
        <v>6.0289543794051614E-3</v>
      </c>
      <c r="Y104">
        <f t="shared" si="42"/>
        <v>6.1359398458469246E-3</v>
      </c>
    </row>
    <row r="105" spans="1:25" x14ac:dyDescent="0.2">
      <c r="A105" s="1">
        <f t="shared" si="35"/>
        <v>39995</v>
      </c>
      <c r="B105">
        <f>'raw BLS data'!Q122</f>
        <v>2179</v>
      </c>
      <c r="C105">
        <f>'raw BLS data'!W133</f>
        <v>154505</v>
      </c>
      <c r="D105">
        <f>'raw BLS data'!J205/100</f>
        <v>9.5000000000000001E-2</v>
      </c>
      <c r="E105">
        <f t="shared" si="36"/>
        <v>9.4666666666666677E-2</v>
      </c>
      <c r="F105">
        <f t="shared" si="43"/>
        <v>1.410310345943497E-2</v>
      </c>
      <c r="G105">
        <f t="shared" si="37"/>
        <v>1.5024651981739641E-2</v>
      </c>
      <c r="H105">
        <f t="shared" si="44"/>
        <v>1.410310345943497E-2</v>
      </c>
      <c r="I105" t="e">
        <f t="shared" si="45"/>
        <v>#N/A</v>
      </c>
      <c r="J105">
        <f t="shared" si="30"/>
        <v>0.14845372062563125</v>
      </c>
      <c r="K105">
        <f>F105/(D105+Calculations!J188)</f>
        <v>8.0205662199966984E-2</v>
      </c>
      <c r="L105">
        <f>Calculations!F188/100</f>
        <v>0.15952196530573201</v>
      </c>
      <c r="M105">
        <f>LN(Calculations!G188/Calculations!G187)</f>
        <v>-0.16478047596811524</v>
      </c>
      <c r="N105">
        <v>0.5</v>
      </c>
      <c r="O105">
        <f t="shared" si="38"/>
        <v>0.54636744695668915</v>
      </c>
      <c r="P105">
        <f t="shared" si="31"/>
        <v>8.1663939113468583E-3</v>
      </c>
      <c r="Q105">
        <f t="shared" si="40"/>
        <v>7.2024157077478059E-3</v>
      </c>
      <c r="R105">
        <f>Calculations!J188/( (Calculations!I188/100) + Calculations!J188 )</f>
        <v>0.459726156663809</v>
      </c>
      <c r="S105">
        <f>LN(Calculations!J188/Calculations!J187)</f>
        <v>6.974748748963315E-2</v>
      </c>
      <c r="T105">
        <f t="shared" si="39"/>
        <v>9.160482347754334E-2</v>
      </c>
      <c r="U105">
        <f t="shared" si="32"/>
        <v>1.2868597652910577E-2</v>
      </c>
      <c r="V105">
        <f t="shared" si="41"/>
        <v>1.3920364707482175E-2</v>
      </c>
      <c r="W105">
        <f t="shared" si="33"/>
        <v>0.63797227043423255</v>
      </c>
      <c r="X105">
        <f t="shared" si="34"/>
        <v>7.4515540372070517E-3</v>
      </c>
      <c r="Y105">
        <f t="shared" si="42"/>
        <v>6.6618223018081778E-3</v>
      </c>
    </row>
    <row r="106" spans="1:25" x14ac:dyDescent="0.2">
      <c r="A106" s="1">
        <f t="shared" si="35"/>
        <v>40026</v>
      </c>
      <c r="B106">
        <f>'raw BLS data'!Q123</f>
        <v>2282</v>
      </c>
      <c r="C106">
        <f>'raw BLS data'!W134</f>
        <v>154300</v>
      </c>
      <c r="D106">
        <f>'raw BLS data'!J206/100</f>
        <v>9.6000000000000002E-2</v>
      </c>
      <c r="E106">
        <f t="shared" si="36"/>
        <v>9.5333333333333339E-2</v>
      </c>
      <c r="F106">
        <f t="shared" si="43"/>
        <v>1.4789371354504213E-2</v>
      </c>
      <c r="G106">
        <f t="shared" si="37"/>
        <v>1.4752234887778276E-2</v>
      </c>
      <c r="H106">
        <f t="shared" si="44"/>
        <v>1.4789371354504213E-2</v>
      </c>
      <c r="I106" t="e">
        <f t="shared" si="45"/>
        <v>#N/A</v>
      </c>
      <c r="J106">
        <f t="shared" si="30"/>
        <v>0.15405595160941887</v>
      </c>
      <c r="K106">
        <f>F106/(D106+Calculations!J189)</f>
        <v>8.5858440580603199E-2</v>
      </c>
      <c r="L106">
        <f>Calculations!F189/100</f>
        <v>0.17304325284855002</v>
      </c>
      <c r="M106">
        <f>LN(Calculations!G189/Calculations!G188)</f>
        <v>0.17387478956879593</v>
      </c>
      <c r="N106">
        <v>0.5</v>
      </c>
      <c r="O106">
        <f t="shared" si="38"/>
        <v>0.89411702609428101</v>
      </c>
      <c r="P106">
        <f t="shared" si="31"/>
        <v>6.0483877260079297E-3</v>
      </c>
      <c r="Q106">
        <f t="shared" si="40"/>
        <v>6.8712007022783822E-3</v>
      </c>
      <c r="R106">
        <f>Calculations!J189/( (Calculations!I189/100) + Calculations!J189 )</f>
        <v>0.44268014520930815</v>
      </c>
      <c r="S106">
        <f>LN(Calculations!J189/Calculations!J188)</f>
        <v>-5.837540371645808E-2</v>
      </c>
      <c r="T106">
        <f t="shared" si="39"/>
        <v>6.5763191283689695E-2</v>
      </c>
      <c r="U106">
        <f t="shared" si="32"/>
        <v>1.3848065942883231E-2</v>
      </c>
      <c r="V106">
        <f t="shared" si="41"/>
        <v>1.3730935567832498E-2</v>
      </c>
      <c r="W106">
        <f t="shared" si="33"/>
        <v>0.95988021737797069</v>
      </c>
      <c r="X106">
        <f t="shared" si="34"/>
        <v>5.6634234187631039E-3</v>
      </c>
      <c r="Y106">
        <f t="shared" si="42"/>
        <v>6.381310611791772E-3</v>
      </c>
    </row>
    <row r="107" spans="1:25" x14ac:dyDescent="0.2">
      <c r="A107" s="1">
        <f t="shared" si="35"/>
        <v>40057</v>
      </c>
      <c r="B107">
        <f>'raw BLS data'!Q124</f>
        <v>2477</v>
      </c>
      <c r="C107">
        <f>'raw BLS data'!W135</f>
        <v>153815</v>
      </c>
      <c r="D107">
        <f>'raw BLS data'!J207/100</f>
        <v>9.8000000000000004E-2</v>
      </c>
      <c r="E107">
        <f t="shared" si="36"/>
        <v>9.633333333333334E-2</v>
      </c>
      <c r="F107">
        <f t="shared" si="43"/>
        <v>1.610376101160485E-2</v>
      </c>
      <c r="G107">
        <f t="shared" si="37"/>
        <v>1.4998745275181344E-2</v>
      </c>
      <c r="H107" t="e">
        <f t="shared" si="44"/>
        <v>#N/A</v>
      </c>
      <c r="I107">
        <f t="shared" si="45"/>
        <v>1.610376101160485E-2</v>
      </c>
      <c r="J107">
        <f t="shared" si="30"/>
        <v>0.16432409195515152</v>
      </c>
      <c r="K107">
        <f>F107/(D107+Calculations!J190)</f>
        <v>8.8640282722914784E-2</v>
      </c>
      <c r="L107">
        <f>Calculations!F190/100</f>
        <v>0.157431066540454</v>
      </c>
      <c r="M107">
        <f>LN(Calculations!G190/Calculations!G189)</f>
        <v>-4.6426034650659975E-2</v>
      </c>
      <c r="N107">
        <v>0.5</v>
      </c>
      <c r="O107">
        <f t="shared" si="38"/>
        <v>0.80126495679296106</v>
      </c>
      <c r="P107">
        <f t="shared" si="31"/>
        <v>7.2267389569532804E-3</v>
      </c>
      <c r="Q107">
        <f t="shared" si="40"/>
        <v>7.1471735314360225E-3</v>
      </c>
      <c r="R107">
        <f>Calculations!J190/( (Calculations!I190/100) + Calculations!J190 )</f>
        <v>0.46057646405794783</v>
      </c>
      <c r="S107">
        <f>LN(Calculations!J190/Calculations!J189)</f>
        <v>9.2888962805533479E-2</v>
      </c>
      <c r="T107">
        <f t="shared" si="39"/>
        <v>0.10854566132267254</v>
      </c>
      <c r="U107">
        <f t="shared" si="32"/>
        <v>1.4447294809137021E-2</v>
      </c>
      <c r="V107">
        <f t="shared" si="41"/>
        <v>1.3721319468310275E-2</v>
      </c>
      <c r="W107">
        <f t="shared" si="33"/>
        <v>0.90981061811563357</v>
      </c>
      <c r="X107">
        <f t="shared" si="34"/>
        <v>6.4833816239908649E-3</v>
      </c>
      <c r="Y107">
        <f t="shared" si="42"/>
        <v>6.5327863599870068E-3</v>
      </c>
    </row>
    <row r="108" spans="1:25" x14ac:dyDescent="0.2">
      <c r="A108" s="1">
        <f t="shared" si="35"/>
        <v>40087</v>
      </c>
      <c r="B108">
        <f>'raw BLS data'!Q125</f>
        <v>2409</v>
      </c>
      <c r="C108">
        <f>'raw BLS data'!W136</f>
        <v>153804</v>
      </c>
      <c r="D108">
        <f>'raw BLS data'!J208/100</f>
        <v>0.1</v>
      </c>
      <c r="E108">
        <f t="shared" si="36"/>
        <v>9.8000000000000018E-2</v>
      </c>
      <c r="F108">
        <f t="shared" si="43"/>
        <v>1.5662791604899744E-2</v>
      </c>
      <c r="G108">
        <f t="shared" si="37"/>
        <v>1.5518641323669603E-2</v>
      </c>
      <c r="H108" t="e">
        <f t="shared" si="44"/>
        <v>#N/A</v>
      </c>
      <c r="I108">
        <f t="shared" si="45"/>
        <v>1.5662791604899744E-2</v>
      </c>
      <c r="J108">
        <f t="shared" si="30"/>
        <v>0.15662791604899742</v>
      </c>
      <c r="K108">
        <f>F108/(D108+Calculations!J191)</f>
        <v>8.8774441979874816E-2</v>
      </c>
      <c r="L108">
        <f>Calculations!F191/100</f>
        <v>0.16944041571419</v>
      </c>
      <c r="M108">
        <f>LN(Calculations!G191/Calculations!G190)</f>
        <v>-5.2854197623559987E-2</v>
      </c>
      <c r="N108">
        <v>0.5</v>
      </c>
      <c r="O108">
        <f t="shared" si="38"/>
        <v>0.69555656154584111</v>
      </c>
      <c r="P108">
        <f t="shared" si="31"/>
        <v>7.8125496991488848E-3</v>
      </c>
      <c r="Q108">
        <f t="shared" si="40"/>
        <v>7.0292254607033644E-3</v>
      </c>
      <c r="R108">
        <f>Calculations!J191/( (Calculations!I191/100) + Calculations!J191 )</f>
        <v>0.43321443444281166</v>
      </c>
      <c r="S108">
        <f>LN(Calculations!J191/Calculations!J190)</f>
        <v>-9.0523342870311524E-2</v>
      </c>
      <c r="T108">
        <f t="shared" si="39"/>
        <v>6.9329642537237807E-2</v>
      </c>
      <c r="U108">
        <f t="shared" si="32"/>
        <v>1.4613683203668798E-2</v>
      </c>
      <c r="V108">
        <f t="shared" si="41"/>
        <v>1.430301465189635E-2</v>
      </c>
      <c r="W108">
        <f t="shared" si="33"/>
        <v>0.76488620408307895</v>
      </c>
      <c r="X108">
        <f t="shared" si="34"/>
        <v>7.2892578281233264E-3</v>
      </c>
      <c r="Y108">
        <f t="shared" si="42"/>
        <v>6.4786876236257651E-3</v>
      </c>
    </row>
    <row r="109" spans="1:25" x14ac:dyDescent="0.2">
      <c r="A109" s="1">
        <f t="shared" si="35"/>
        <v>40118</v>
      </c>
      <c r="B109">
        <f>'raw BLS data'!Q126</f>
        <v>2390</v>
      </c>
      <c r="C109">
        <f>'raw BLS data'!W137</f>
        <v>153887</v>
      </c>
      <c r="D109">
        <f>'raw BLS data'!J209/100</f>
        <v>9.9000000000000005E-2</v>
      </c>
      <c r="E109">
        <f t="shared" si="36"/>
        <v>9.9000000000000019E-2</v>
      </c>
      <c r="F109">
        <f t="shared" si="43"/>
        <v>1.553087655227537E-2</v>
      </c>
      <c r="G109">
        <f t="shared" si="37"/>
        <v>1.5765809722926655E-2</v>
      </c>
      <c r="H109" t="e">
        <f t="shared" si="44"/>
        <v>#N/A</v>
      </c>
      <c r="I109">
        <f t="shared" si="45"/>
        <v>1.553087655227537E-2</v>
      </c>
      <c r="J109">
        <f t="shared" si="30"/>
        <v>0.15687754093207443</v>
      </c>
      <c r="K109">
        <f>F109/(D109+Calculations!J192)</f>
        <v>8.3312552224880293E-2</v>
      </c>
      <c r="L109">
        <f>Calculations!F192/100</f>
        <v>0.15319025998125199</v>
      </c>
      <c r="M109">
        <f>LN(Calculations!G192/Calculations!G191)</f>
        <v>3.5630273100066459E-2</v>
      </c>
      <c r="N109">
        <v>0.5</v>
      </c>
      <c r="O109">
        <f t="shared" si="38"/>
        <v>0.766817107745974</v>
      </c>
      <c r="P109">
        <f t="shared" si="31"/>
        <v>7.2139234444035588E-3</v>
      </c>
      <c r="Q109">
        <f t="shared" si="40"/>
        <v>7.4177373668352408E-3</v>
      </c>
      <c r="R109">
        <f>Calculations!J192/( (Calculations!I192/100) + Calculations!J192 )</f>
        <v>0.46893257167414848</v>
      </c>
      <c r="S109">
        <f>LN(Calculations!J192/Calculations!J191)</f>
        <v>0.13426786085594131</v>
      </c>
      <c r="T109">
        <f t="shared" si="39"/>
        <v>0.13229221582160111</v>
      </c>
      <c r="U109">
        <f t="shared" si="32"/>
        <v>1.3606367235514146E-2</v>
      </c>
      <c r="V109">
        <f t="shared" si="41"/>
        <v>1.4222448416106655E-2</v>
      </c>
      <c r="W109">
        <f t="shared" si="33"/>
        <v>0.89910932356757511</v>
      </c>
      <c r="X109">
        <f t="shared" si="34"/>
        <v>6.3200097729873188E-3</v>
      </c>
      <c r="Y109">
        <f t="shared" si="42"/>
        <v>6.6975497417005037E-3</v>
      </c>
    </row>
    <row r="110" spans="1:25" x14ac:dyDescent="0.2">
      <c r="A110" s="1">
        <f t="shared" si="35"/>
        <v>40148</v>
      </c>
      <c r="B110">
        <f>'raw BLS data'!Q127</f>
        <v>2451</v>
      </c>
      <c r="C110">
        <f>'raw BLS data'!W138</f>
        <v>153120</v>
      </c>
      <c r="D110">
        <f>'raw BLS data'!J210/100</f>
        <v>9.9000000000000005E-2</v>
      </c>
      <c r="E110">
        <f t="shared" si="36"/>
        <v>9.9333333333333343E-2</v>
      </c>
      <c r="F110">
        <f t="shared" si="43"/>
        <v>1.6007053291536049E-2</v>
      </c>
      <c r="G110">
        <f t="shared" si="37"/>
        <v>1.5733573816237054E-2</v>
      </c>
      <c r="H110" t="e">
        <f t="shared" si="44"/>
        <v>#N/A</v>
      </c>
      <c r="I110">
        <f t="shared" si="45"/>
        <v>1.6007053291536049E-2</v>
      </c>
      <c r="J110">
        <f t="shared" si="30"/>
        <v>0.16168740698521261</v>
      </c>
      <c r="K110">
        <f>F110/(D110+Calculations!J193)</f>
        <v>8.5568676813108549E-2</v>
      </c>
      <c r="L110">
        <f>Calculations!F193/100</f>
        <v>0.15692441570372201</v>
      </c>
      <c r="M110">
        <f>LN(Calculations!G193/Calculations!G192)</f>
        <v>-0.10486855814109831</v>
      </c>
      <c r="N110">
        <v>0.5</v>
      </c>
      <c r="O110">
        <f t="shared" si="38"/>
        <v>0.5570799914637774</v>
      </c>
      <c r="P110">
        <f t="shared" si="31"/>
        <v>9.1701116737773671E-3</v>
      </c>
      <c r="Q110">
        <f t="shared" si="40"/>
        <v>8.06552827244327E-3</v>
      </c>
      <c r="R110">
        <f>Calculations!J193/( (Calculations!I193/100) + Calculations!J193 )</f>
        <v>0.47077710992709304</v>
      </c>
      <c r="S110">
        <f>LN(Calculations!J193/Calculations!J192)</f>
        <v>7.4050784185939762E-3</v>
      </c>
      <c r="T110">
        <f t="shared" si="39"/>
        <v>0.13577835723829026</v>
      </c>
      <c r="U110">
        <f t="shared" si="32"/>
        <v>1.3974735589129008E-2</v>
      </c>
      <c r="V110">
        <f t="shared" si="41"/>
        <v>1.4064928676103983E-2</v>
      </c>
      <c r="W110">
        <f t="shared" si="33"/>
        <v>0.69285834870206764</v>
      </c>
      <c r="X110">
        <f t="shared" si="34"/>
        <v>8.0058386531133095E-3</v>
      </c>
      <c r="Y110">
        <f t="shared" si="42"/>
        <v>7.2050354180746524E-3</v>
      </c>
    </row>
    <row r="111" spans="1:25" x14ac:dyDescent="0.2">
      <c r="A111" s="1">
        <f t="shared" si="35"/>
        <v>40179</v>
      </c>
      <c r="B111">
        <f>'raw BLS data'!Q128</f>
        <v>2751</v>
      </c>
      <c r="C111">
        <f>'raw BLS data'!W139</f>
        <v>153455</v>
      </c>
      <c r="D111">
        <f>'raw BLS data'!J211/100</f>
        <v>9.8000000000000004E-2</v>
      </c>
      <c r="E111">
        <f t="shared" si="36"/>
        <v>9.866666666666668E-2</v>
      </c>
      <c r="F111">
        <f t="shared" si="43"/>
        <v>1.7927079599882701E-2</v>
      </c>
      <c r="G111">
        <f t="shared" si="37"/>
        <v>1.648833648123137E-2</v>
      </c>
      <c r="H111" t="e">
        <f t="shared" si="44"/>
        <v>#N/A</v>
      </c>
      <c r="I111">
        <f t="shared" si="45"/>
        <v>1.7927079599882701E-2</v>
      </c>
      <c r="J111">
        <f t="shared" si="30"/>
        <v>0.18292938367227246</v>
      </c>
      <c r="K111">
        <f>F111/(D111+Calculations!J194)</f>
        <v>9.9591414976490919E-2</v>
      </c>
      <c r="L111">
        <f>Calculations!F194/100</f>
        <v>0.163364132565743</v>
      </c>
      <c r="M111">
        <f>LN(Calculations!G194/Calculations!G193)</f>
        <v>-5.3924422251945122E-3</v>
      </c>
      <c r="N111">
        <v>0.5</v>
      </c>
      <c r="O111">
        <f t="shared" si="38"/>
        <v>0.54629510701338835</v>
      </c>
      <c r="P111">
        <f t="shared" si="31"/>
        <v>1.0381416050389952E-2</v>
      </c>
      <c r="Q111">
        <f t="shared" si="40"/>
        <v>8.9218170561902923E-3</v>
      </c>
      <c r="R111">
        <f>Calculations!J194/( (Calculations!I194/100) + Calculations!J194 )</f>
        <v>0.45557453385993929</v>
      </c>
      <c r="S111">
        <f>LN(Calculations!J194/Calculations!J193)</f>
        <v>-7.1299154594499856E-2</v>
      </c>
      <c r="T111">
        <f t="shared" si="39"/>
        <v>0.10329627811929325</v>
      </c>
      <c r="U111">
        <f t="shared" si="32"/>
        <v>1.6167711214055854E-2</v>
      </c>
      <c r="V111">
        <f t="shared" si="41"/>
        <v>1.4582938012899671E-2</v>
      </c>
      <c r="W111">
        <f t="shared" si="33"/>
        <v>0.64959138513268155</v>
      </c>
      <c r="X111">
        <f t="shared" si="34"/>
        <v>9.3625811031021085E-3</v>
      </c>
      <c r="Y111">
        <f t="shared" si="42"/>
        <v>7.8961431764009125E-3</v>
      </c>
    </row>
    <row r="112" spans="1:25" x14ac:dyDescent="0.2">
      <c r="A112" s="1">
        <f t="shared" si="35"/>
        <v>40210</v>
      </c>
      <c r="B112">
        <f>'raw BLS data'!Q129</f>
        <v>2577</v>
      </c>
      <c r="C112">
        <f>'raw BLS data'!W140</f>
        <v>153702</v>
      </c>
      <c r="D112">
        <f>'raw BLS data'!J212/100</f>
        <v>9.8000000000000004E-2</v>
      </c>
      <c r="E112">
        <f t="shared" si="36"/>
        <v>9.8333333333333342E-2</v>
      </c>
      <c r="F112">
        <f t="shared" si="43"/>
        <v>1.6766209938712574E-2</v>
      </c>
      <c r="G112">
        <f t="shared" si="37"/>
        <v>1.690011427671044E-2</v>
      </c>
      <c r="H112" t="e">
        <f t="shared" si="44"/>
        <v>#N/A</v>
      </c>
      <c r="I112">
        <f t="shared" si="45"/>
        <v>1.6766209938712574E-2</v>
      </c>
      <c r="J112">
        <f t="shared" si="30"/>
        <v>0.17108377488482218</v>
      </c>
      <c r="K112">
        <f>F112/(D112+Calculations!J195)</f>
        <v>9.3972251266053755E-2</v>
      </c>
      <c r="L112">
        <f>Calculations!F195/100</f>
        <v>0.17846535675573899</v>
      </c>
      <c r="M112">
        <f>LN(Calculations!G195/Calculations!G194)</f>
        <v>1.3620322828014775E-2</v>
      </c>
      <c r="N112">
        <v>0.5</v>
      </c>
      <c r="O112">
        <f t="shared" si="38"/>
        <v>0.57353575266941792</v>
      </c>
      <c r="P112">
        <f t="shared" si="31"/>
        <v>9.4482524186553785E-3</v>
      </c>
      <c r="Q112">
        <f t="shared" si="40"/>
        <v>9.6665933809408997E-3</v>
      </c>
      <c r="R112">
        <f>Calculations!J195/( (Calculations!I195/100) + Calculations!J195 )</f>
        <v>0.45072376776045425</v>
      </c>
      <c r="S112">
        <f>LN(Calculations!J195/Calculations!J194)</f>
        <v>-1.9575092849744995E-2</v>
      </c>
      <c r="T112">
        <f t="shared" si="39"/>
        <v>9.4473318515795462E-2</v>
      </c>
      <c r="U112">
        <f t="shared" si="32"/>
        <v>1.525476982127342E-2</v>
      </c>
      <c r="V112">
        <f t="shared" si="41"/>
        <v>1.5132405541486094E-2</v>
      </c>
      <c r="W112">
        <f t="shared" si="33"/>
        <v>0.66800907118521335</v>
      </c>
      <c r="X112">
        <f t="shared" si="34"/>
        <v>8.5965114588649263E-3</v>
      </c>
      <c r="Y112">
        <f t="shared" si="42"/>
        <v>8.6549770716934493E-3</v>
      </c>
    </row>
    <row r="113" spans="1:25" x14ac:dyDescent="0.2">
      <c r="A113" s="1">
        <f t="shared" si="35"/>
        <v>40238</v>
      </c>
      <c r="B113">
        <f>'raw BLS data'!Q130</f>
        <v>2614</v>
      </c>
      <c r="C113">
        <f>'raw BLS data'!W141</f>
        <v>153960</v>
      </c>
      <c r="D113">
        <f>'raw BLS data'!J213/100</f>
        <v>9.9000000000000005E-2</v>
      </c>
      <c r="E113">
        <f t="shared" si="36"/>
        <v>9.8333333333333342E-2</v>
      </c>
      <c r="F113">
        <f t="shared" si="43"/>
        <v>1.6978435957391531E-2</v>
      </c>
      <c r="G113">
        <f t="shared" si="37"/>
        <v>1.7223908498662271E-2</v>
      </c>
      <c r="H113" t="e">
        <f t="shared" si="44"/>
        <v>#N/A</v>
      </c>
      <c r="I113">
        <f t="shared" si="45"/>
        <v>1.6978435957391531E-2</v>
      </c>
      <c r="J113">
        <f t="shared" si="30"/>
        <v>0.17149935310496495</v>
      </c>
      <c r="K113">
        <f>F113/(D113+Calculations!J196)</f>
        <v>9.5071961984472514E-2</v>
      </c>
      <c r="L113">
        <f>Calculations!F196/100</f>
        <v>0.18423801390965</v>
      </c>
      <c r="M113">
        <f>LN(Calculations!G196/Calculations!G195)</f>
        <v>-2.4220635141905745E-2</v>
      </c>
      <c r="N113">
        <v>0.5</v>
      </c>
      <c r="O113">
        <f t="shared" si="38"/>
        <v>0.52509448238560641</v>
      </c>
      <c r="P113">
        <f t="shared" si="31"/>
        <v>1.0042735962674845E-2</v>
      </c>
      <c r="Q113">
        <f t="shared" si="40"/>
        <v>9.9574681439067256E-3</v>
      </c>
      <c r="R113">
        <f>Calculations!J196/( (Calculations!I196/100) + Calculations!J196 )</f>
        <v>0.44564244550657633</v>
      </c>
      <c r="S113">
        <f>LN(Calculations!J196/Calculations!J195)</f>
        <v>-1.0393766803931911E-2</v>
      </c>
      <c r="T113">
        <f t="shared" si="39"/>
        <v>8.9841414859266167E-2</v>
      </c>
      <c r="U113">
        <f t="shared" si="32"/>
        <v>1.5519583078714554E-2</v>
      </c>
      <c r="V113">
        <f t="shared" si="41"/>
        <v>1.5647354704681277E-2</v>
      </c>
      <c r="W113">
        <f t="shared" si="33"/>
        <v>0.61493589724487263</v>
      </c>
      <c r="X113">
        <f t="shared" si="34"/>
        <v>9.1798252501858781E-3</v>
      </c>
      <c r="Y113">
        <f t="shared" si="42"/>
        <v>9.0463059373843049E-3</v>
      </c>
    </row>
    <row r="114" spans="1:25" x14ac:dyDescent="0.2">
      <c r="A114" s="1">
        <f t="shared" si="35"/>
        <v>40269</v>
      </c>
      <c r="B114">
        <f>'raw BLS data'!Q131</f>
        <v>3142</v>
      </c>
      <c r="C114">
        <f>'raw BLS data'!W142</f>
        <v>154577</v>
      </c>
      <c r="D114">
        <f>'raw BLS data'!J214/100</f>
        <v>9.9000000000000005E-2</v>
      </c>
      <c r="E114">
        <f t="shared" si="36"/>
        <v>9.866666666666668E-2</v>
      </c>
      <c r="F114">
        <f t="shared" si="43"/>
        <v>2.0326439250341253E-2</v>
      </c>
      <c r="G114">
        <f t="shared" si="37"/>
        <v>1.8023695048815121E-2</v>
      </c>
      <c r="H114" t="e">
        <f t="shared" si="44"/>
        <v>#N/A</v>
      </c>
      <c r="I114">
        <f t="shared" si="45"/>
        <v>2.0326439250341253E-2</v>
      </c>
      <c r="J114">
        <f t="shared" si="30"/>
        <v>0.20531756818526517</v>
      </c>
      <c r="K114">
        <f>F114/(D114+Calculations!J197)</f>
        <v>0.11142676749669363</v>
      </c>
      <c r="L114">
        <f>Calculations!F197/100</f>
        <v>0.16652301281274601</v>
      </c>
      <c r="M114">
        <f>LN(Calculations!G197/Calculations!G196)</f>
        <v>4.0303005200485499E-2</v>
      </c>
      <c r="N114">
        <v>0.5</v>
      </c>
      <c r="O114">
        <f t="shared" si="38"/>
        <v>0.60570049278657745</v>
      </c>
      <c r="P114">
        <f t="shared" si="31"/>
        <v>1.1091976088021222E-2</v>
      </c>
      <c r="Q114">
        <f t="shared" si="40"/>
        <v>1.0194321489783815E-2</v>
      </c>
      <c r="R114">
        <f>Calculations!J197/( (Calculations!I197/100) + Calculations!J197 )</f>
        <v>0.45729550334363306</v>
      </c>
      <c r="S114">
        <f>LN(Calculations!J197/Calculations!J196)</f>
        <v>4.7057775793640323E-2</v>
      </c>
      <c r="T114">
        <f t="shared" si="39"/>
        <v>0.11136072412705075</v>
      </c>
      <c r="U114">
        <f t="shared" si="32"/>
        <v>1.818435739320191E-2</v>
      </c>
      <c r="V114">
        <f t="shared" si="41"/>
        <v>1.6319570097729962E-2</v>
      </c>
      <c r="W114">
        <f t="shared" si="33"/>
        <v>0.71706121691362823</v>
      </c>
      <c r="X114">
        <f t="shared" si="34"/>
        <v>9.9230590708621631E-3</v>
      </c>
      <c r="Y114">
        <f t="shared" si="42"/>
        <v>9.2331319266376558E-3</v>
      </c>
    </row>
    <row r="115" spans="1:25" x14ac:dyDescent="0.2">
      <c r="A115" s="1">
        <f>DATE(YEAR(A114),MONTH(A114)+1,1)</f>
        <v>40299</v>
      </c>
      <c r="B115">
        <f>'raw BLS data'!Q132</f>
        <v>2849</v>
      </c>
      <c r="C115">
        <f>'raw BLS data'!W143</f>
        <v>154110</v>
      </c>
      <c r="D115">
        <f>'raw BLS data'!J215/100</f>
        <v>9.6000000000000002E-2</v>
      </c>
      <c r="E115">
        <f t="shared" si="36"/>
        <v>9.8000000000000018E-2</v>
      </c>
      <c r="F115">
        <f t="shared" si="43"/>
        <v>1.8486795146324054E-2</v>
      </c>
      <c r="G115">
        <f t="shared" si="37"/>
        <v>1.8597223451352281E-2</v>
      </c>
      <c r="H115" t="e">
        <f t="shared" si="44"/>
        <v>#N/A</v>
      </c>
      <c r="I115">
        <f t="shared" si="45"/>
        <v>1.8486795146324054E-2</v>
      </c>
      <c r="J115">
        <f t="shared" si="30"/>
        <v>0.19257078277420889</v>
      </c>
      <c r="K115">
        <f>F115/(D115+Calculations!J198)</f>
        <v>0.10775201115421937</v>
      </c>
      <c r="L115">
        <f>Calculations!F198/100</f>
        <v>0.14867222340283301</v>
      </c>
      <c r="M115">
        <f>LN(Calculations!G198/Calculations!G197)</f>
        <v>-8.4790725162249378E-2</v>
      </c>
      <c r="N115">
        <v>0.5</v>
      </c>
      <c r="O115">
        <f t="shared" si="38"/>
        <v>0.43611904246207867</v>
      </c>
      <c r="P115">
        <f t="shared" si="31"/>
        <v>1.1952466501616911E-2</v>
      </c>
      <c r="Q115">
        <f t="shared" si="40"/>
        <v>1.1029059517437658E-2</v>
      </c>
      <c r="R115">
        <f>Calculations!J198/( (Calculations!I198/100) + Calculations!J198 )</f>
        <v>0.44045503891127835</v>
      </c>
      <c r="S115">
        <f>LN(Calculations!J198/Calculations!J197)</f>
        <v>-9.8852001549005974E-2</v>
      </c>
      <c r="T115">
        <f t="shared" si="39"/>
        <v>6.782086193832558E-2</v>
      </c>
      <c r="U115">
        <f t="shared" si="32"/>
        <v>1.7274576245276601E-2</v>
      </c>
      <c r="V115">
        <f t="shared" si="41"/>
        <v>1.6992838905731025E-2</v>
      </c>
      <c r="W115">
        <f t="shared" si="33"/>
        <v>0.50393990440040426</v>
      </c>
      <c r="X115">
        <f t="shared" si="34"/>
        <v>1.116871757744075E-2</v>
      </c>
      <c r="Y115">
        <f t="shared" si="42"/>
        <v>1.0090533966162931E-2</v>
      </c>
    </row>
    <row r="116" spans="1:25" x14ac:dyDescent="0.2">
      <c r="A116" s="1">
        <f t="shared" ref="A116:A152" si="46">DATE(YEAR(A115),MONTH(A115)+1,1)</f>
        <v>40330</v>
      </c>
      <c r="B116">
        <f>'raw BLS data'!Q133</f>
        <v>2645</v>
      </c>
      <c r="C116">
        <f>'raw BLS data'!W144</f>
        <v>153623</v>
      </c>
      <c r="D116">
        <f>'raw BLS data'!J216/100</f>
        <v>9.4E-2</v>
      </c>
      <c r="E116">
        <f t="shared" si="36"/>
        <v>9.633333333333334E-2</v>
      </c>
      <c r="F116">
        <f t="shared" si="43"/>
        <v>1.7217473945958614E-2</v>
      </c>
      <c r="G116">
        <f t="shared" si="37"/>
        <v>1.8676902780874641E-2</v>
      </c>
      <c r="H116" t="e">
        <f t="shared" si="44"/>
        <v>#N/A</v>
      </c>
      <c r="I116">
        <f t="shared" si="45"/>
        <v>1.7217473945958614E-2</v>
      </c>
      <c r="J116">
        <f t="shared" si="30"/>
        <v>0.18316461644636822</v>
      </c>
      <c r="K116">
        <f>F116/(D116+Calculations!J199)</f>
        <v>9.5067479233537658E-2</v>
      </c>
      <c r="L116">
        <f>Calculations!F199/100</f>
        <v>0.18113379635855101</v>
      </c>
      <c r="M116">
        <f>LN(Calculations!G199/Calculations!G198)</f>
        <v>6.7982814028836727E-2</v>
      </c>
      <c r="N116">
        <v>0.5</v>
      </c>
      <c r="O116">
        <f t="shared" si="38"/>
        <v>0.57208467051975209</v>
      </c>
      <c r="P116">
        <f t="shared" si="31"/>
        <v>9.7166423804445103E-3</v>
      </c>
      <c r="Q116">
        <f t="shared" si="40"/>
        <v>1.0920361656694216E-2</v>
      </c>
      <c r="R116">
        <f>Calculations!J199/( (Calculations!I199/100) + Calculations!J199 )</f>
        <v>0.48097246576347341</v>
      </c>
      <c r="S116">
        <f>LN(Calculations!J199/Calculations!J198)</f>
        <v>0.14211519336711492</v>
      </c>
      <c r="T116">
        <f t="shared" si="39"/>
        <v>0.13617435691455965</v>
      </c>
      <c r="U116">
        <f t="shared" si="32"/>
        <v>1.5025525251170256E-2</v>
      </c>
      <c r="V116">
        <f t="shared" si="41"/>
        <v>1.6828152963216256E-2</v>
      </c>
      <c r="W116">
        <f t="shared" si="33"/>
        <v>0.70825902743431168</v>
      </c>
      <c r="X116">
        <f t="shared" si="34"/>
        <v>8.4796211048270217E-3</v>
      </c>
      <c r="Y116">
        <f t="shared" si="42"/>
        <v>9.8571325843766436E-3</v>
      </c>
    </row>
    <row r="117" spans="1:25" x14ac:dyDescent="0.2">
      <c r="A117" s="1">
        <f t="shared" si="46"/>
        <v>40360</v>
      </c>
      <c r="B117">
        <f>'raw BLS data'!Q134</f>
        <v>2922</v>
      </c>
      <c r="C117">
        <f>'raw BLS data'!W145</f>
        <v>153709</v>
      </c>
      <c r="D117">
        <f>'raw BLS data'!J217/100</f>
        <v>9.5000000000000001E-2</v>
      </c>
      <c r="E117">
        <f t="shared" si="36"/>
        <v>9.5000000000000015E-2</v>
      </c>
      <c r="F117">
        <f t="shared" si="43"/>
        <v>1.9009947368078643E-2</v>
      </c>
      <c r="G117">
        <f t="shared" si="37"/>
        <v>1.8238072153453768E-2</v>
      </c>
      <c r="H117" t="e">
        <f t="shared" si="44"/>
        <v>#N/A</v>
      </c>
      <c r="I117">
        <f t="shared" si="45"/>
        <v>1.9009947368078643E-2</v>
      </c>
      <c r="J117">
        <f t="shared" si="30"/>
        <v>0.20010470913766992</v>
      </c>
      <c r="K117">
        <f>F117/(D117+Calculations!J200)</f>
        <v>0.10577618348277285</v>
      </c>
      <c r="L117">
        <f>Calculations!F200/100</f>
        <v>0.16250482758214202</v>
      </c>
      <c r="M117">
        <f>LN(Calculations!G200/Calculations!G199)</f>
        <v>3.7536394011839676E-2</v>
      </c>
      <c r="N117">
        <v>0.5</v>
      </c>
      <c r="O117">
        <f t="shared" si="38"/>
        <v>0.64715745854343143</v>
      </c>
      <c r="P117">
        <f t="shared" si="31"/>
        <v>9.9523124311481775E-3</v>
      </c>
      <c r="Q117">
        <f t="shared" si="40"/>
        <v>1.0540473771069868E-2</v>
      </c>
      <c r="R117">
        <f>Calculations!J200/( (Calculations!I200/100) + Calculations!J200 )</f>
        <v>0.47139583101964905</v>
      </c>
      <c r="S117">
        <f>LN(Calculations!J200/Calculations!J199)</f>
        <v>-2.7812723501859413E-2</v>
      </c>
      <c r="T117">
        <f t="shared" si="39"/>
        <v>0.1230635550064809</v>
      </c>
      <c r="U117">
        <f t="shared" si="32"/>
        <v>1.680873737142511E-2</v>
      </c>
      <c r="V117">
        <f t="shared" si="41"/>
        <v>1.6369612955957322E-2</v>
      </c>
      <c r="W117">
        <f t="shared" si="33"/>
        <v>0.77022101354991235</v>
      </c>
      <c r="X117">
        <f t="shared" si="34"/>
        <v>8.799908945273785E-3</v>
      </c>
      <c r="Y117">
        <f t="shared" si="42"/>
        <v>9.4827492091805188E-3</v>
      </c>
    </row>
    <row r="118" spans="1:25" x14ac:dyDescent="0.2">
      <c r="A118" s="1">
        <f t="shared" si="46"/>
        <v>40391</v>
      </c>
      <c r="B118">
        <f>'raw BLS data'!Q135</f>
        <v>2905</v>
      </c>
      <c r="C118">
        <f>'raw BLS data'!W146</f>
        <v>154078</v>
      </c>
      <c r="D118">
        <f>'raw BLS data'!J218/100</f>
        <v>9.5000000000000001E-2</v>
      </c>
      <c r="E118">
        <f t="shared" si="36"/>
        <v>9.4666666666666677E-2</v>
      </c>
      <c r="F118">
        <f t="shared" si="43"/>
        <v>1.885408689105518E-2</v>
      </c>
      <c r="G118">
        <f t="shared" si="37"/>
        <v>1.8360502735030811E-2</v>
      </c>
      <c r="H118" t="e">
        <f t="shared" si="44"/>
        <v>#N/A</v>
      </c>
      <c r="I118">
        <f t="shared" si="45"/>
        <v>1.885408689105518E-2</v>
      </c>
      <c r="J118">
        <f t="shared" si="30"/>
        <v>0.19846407253742296</v>
      </c>
      <c r="K118">
        <f>F118/(D118+Calculations!J201)</f>
        <v>0.10391141282409883</v>
      </c>
      <c r="L118">
        <f>Calculations!F201/100</f>
        <v>0.16297928785421997</v>
      </c>
      <c r="M118">
        <f>LN(Calculations!G201/Calculations!G200)</f>
        <v>-6.8745861862349017E-2</v>
      </c>
      <c r="N118">
        <v>0.5</v>
      </c>
      <c r="O118">
        <f t="shared" si="38"/>
        <v>0.50966573481873345</v>
      </c>
      <c r="P118">
        <f t="shared" si="31"/>
        <v>1.1325580935333963E-2</v>
      </c>
      <c r="Q118">
        <f t="shared" si="40"/>
        <v>1.0331511915642216E-2</v>
      </c>
      <c r="R118">
        <f>Calculations!J201/( (Calculations!I201/100) + Calculations!J201 )</f>
        <v>0.47642204709618169</v>
      </c>
      <c r="S118">
        <f>LN(Calculations!J201/Calculations!J200)</f>
        <v>2.015993089172884E-2</v>
      </c>
      <c r="T118">
        <f t="shared" si="39"/>
        <v>0.13266819055123591</v>
      </c>
      <c r="U118">
        <f t="shared" si="32"/>
        <v>1.651157270370044E-2</v>
      </c>
      <c r="V118">
        <f t="shared" si="41"/>
        <v>1.6115278442098601E-2</v>
      </c>
      <c r="W118">
        <f t="shared" si="33"/>
        <v>0.64233392536996936</v>
      </c>
      <c r="X118">
        <f t="shared" si="34"/>
        <v>9.9184412433215765E-3</v>
      </c>
      <c r="Y118">
        <f t="shared" si="42"/>
        <v>9.0659904311407944E-3</v>
      </c>
    </row>
    <row r="119" spans="1:25" x14ac:dyDescent="0.2">
      <c r="A119" s="1">
        <f t="shared" si="46"/>
        <v>40422</v>
      </c>
      <c r="B119">
        <f>'raw BLS data'!Q136</f>
        <v>2784</v>
      </c>
      <c r="C119">
        <f>'raw BLS data'!W147</f>
        <v>153966</v>
      </c>
      <c r="D119">
        <f>'raw BLS data'!J219/100</f>
        <v>9.5000000000000001E-2</v>
      </c>
      <c r="E119">
        <f t="shared" si="36"/>
        <v>9.5000000000000015E-2</v>
      </c>
      <c r="F119">
        <f t="shared" si="43"/>
        <v>1.8081914188846887E-2</v>
      </c>
      <c r="G119">
        <f t="shared" si="37"/>
        <v>1.8648649482660238E-2</v>
      </c>
      <c r="H119" t="e">
        <f t="shared" si="44"/>
        <v>#N/A</v>
      </c>
      <c r="I119">
        <f t="shared" si="45"/>
        <v>1.8081914188846887E-2</v>
      </c>
      <c r="J119">
        <f t="shared" si="30"/>
        <v>0.19033593882996722</v>
      </c>
      <c r="K119">
        <f>F119/(D119+Calculations!J202)</f>
        <v>0.10168873535883476</v>
      </c>
      <c r="L119">
        <f>Calculations!F202/100</f>
        <v>0.16081950932526501</v>
      </c>
      <c r="M119">
        <f>LN(Calculations!G202/Calculations!G201)</f>
        <v>-1.5624460797675254E-4</v>
      </c>
      <c r="N119">
        <v>0.5</v>
      </c>
      <c r="O119">
        <f t="shared" si="38"/>
        <v>0.50935324560277995</v>
      </c>
      <c r="P119">
        <f t="shared" si="31"/>
        <v>1.0865134328363094E-2</v>
      </c>
      <c r="Q119">
        <f t="shared" si="40"/>
        <v>1.0714342564948411E-2</v>
      </c>
      <c r="R119">
        <f>Calculations!J202/( (Calculations!I202/100) + Calculations!J202 )</f>
        <v>0.46574075298687373</v>
      </c>
      <c r="S119">
        <f>LN(Calculations!J202/Calculations!J201)</f>
        <v>-4.2870235746885393E-2</v>
      </c>
      <c r="T119">
        <f t="shared" si="39"/>
        <v>0.11270177467375672</v>
      </c>
      <c r="U119">
        <f t="shared" si="32"/>
        <v>1.6154690613493995E-2</v>
      </c>
      <c r="V119">
        <f t="shared" si="41"/>
        <v>1.6491666896206514E-2</v>
      </c>
      <c r="W119">
        <f t="shared" si="33"/>
        <v>0.6220550202765367</v>
      </c>
      <c r="X119">
        <f t="shared" si="34"/>
        <v>9.7070963679842595E-3</v>
      </c>
      <c r="Y119">
        <f t="shared" si="42"/>
        <v>9.4751488521932076E-3</v>
      </c>
    </row>
    <row r="120" spans="1:25" x14ac:dyDescent="0.2">
      <c r="A120" s="1">
        <f t="shared" si="46"/>
        <v>40452</v>
      </c>
      <c r="B120">
        <f>'raw BLS data'!Q137</f>
        <v>3033</v>
      </c>
      <c r="C120">
        <f>'raw BLS data'!W148</f>
        <v>153681</v>
      </c>
      <c r="D120">
        <f>'raw BLS data'!J220/100</f>
        <v>9.5000000000000001E-2</v>
      </c>
      <c r="E120">
        <f t="shared" si="36"/>
        <v>9.5000000000000015E-2</v>
      </c>
      <c r="F120">
        <f t="shared" si="43"/>
        <v>1.9735686259199251E-2</v>
      </c>
      <c r="G120">
        <f t="shared" si="37"/>
        <v>1.8890562446367106E-2</v>
      </c>
      <c r="H120" t="e">
        <f t="shared" si="44"/>
        <v>#N/A</v>
      </c>
      <c r="I120">
        <f t="shared" si="45"/>
        <v>1.9735686259199251E-2</v>
      </c>
      <c r="J120">
        <f t="shared" si="30"/>
        <v>0.20774406588630789</v>
      </c>
      <c r="K120">
        <f>F120/(D120+Calculations!J203)</f>
        <v>0.10998577513428294</v>
      </c>
      <c r="L120">
        <f>Calculations!F203/100</f>
        <v>0.16613556157006201</v>
      </c>
      <c r="M120">
        <f>LN(Calculations!G203/Calculations!G202)</f>
        <v>0.21489925613701177</v>
      </c>
      <c r="N120">
        <v>0.5</v>
      </c>
      <c r="O120">
        <f t="shared" si="38"/>
        <v>0.93915175787680349</v>
      </c>
      <c r="P120">
        <f t="shared" si="31"/>
        <v>7.7158505371385548E-3</v>
      </c>
      <c r="Q120">
        <f t="shared" si="40"/>
        <v>9.9688552669452042E-3</v>
      </c>
      <c r="R120">
        <f>Calculations!J203/( (Calculations!I203/100) + Calculations!J203 )</f>
        <v>0.47057079746155117</v>
      </c>
      <c r="S120">
        <f>LN(Calculations!J203/Calculations!J202)</f>
        <v>1.9399017869883836E-2</v>
      </c>
      <c r="T120">
        <f t="shared" si="39"/>
        <v>0.12183038598275885</v>
      </c>
      <c r="U120">
        <f t="shared" si="32"/>
        <v>1.7471973733953428E-2</v>
      </c>
      <c r="V120">
        <f t="shared" si="41"/>
        <v>1.6712745683715956E-2</v>
      </c>
      <c r="W120">
        <f t="shared" si="33"/>
        <v>1.0609821438595624</v>
      </c>
      <c r="X120">
        <f t="shared" si="34"/>
        <v>6.830831020996634E-3</v>
      </c>
      <c r="Y120">
        <f t="shared" si="42"/>
        <v>8.8187895441008239E-3</v>
      </c>
    </row>
    <row r="121" spans="1:25" x14ac:dyDescent="0.2">
      <c r="A121" s="1">
        <f t="shared" si="46"/>
        <v>40483</v>
      </c>
      <c r="B121">
        <f>'raw BLS data'!Q138</f>
        <v>3051</v>
      </c>
      <c r="C121">
        <f>'raw BLS data'!W149</f>
        <v>154140</v>
      </c>
      <c r="D121">
        <f>'raw BLS data'!J221/100</f>
        <v>9.8000000000000004E-2</v>
      </c>
      <c r="E121">
        <f t="shared" si="36"/>
        <v>9.6000000000000016E-2</v>
      </c>
      <c r="F121">
        <f t="shared" si="43"/>
        <v>1.9793694044375244E-2</v>
      </c>
      <c r="G121">
        <f t="shared" si="37"/>
        <v>1.9203764830807126E-2</v>
      </c>
      <c r="H121" t="e">
        <f t="shared" si="44"/>
        <v>#N/A</v>
      </c>
      <c r="I121">
        <f t="shared" si="45"/>
        <v>1.9793694044375244E-2</v>
      </c>
      <c r="J121">
        <f t="shared" si="30"/>
        <v>0.20197646984056369</v>
      </c>
      <c r="K121">
        <f>F121/(D121+Calculations!J204)</f>
        <v>0.11497694904841897</v>
      </c>
      <c r="L121">
        <f>Calculations!F204/100</f>
        <v>0.18143931938929397</v>
      </c>
      <c r="M121">
        <f>LN(Calculations!G204/Calculations!G203)</f>
        <v>-0.21989293513641323</v>
      </c>
      <c r="N121">
        <v>0.5</v>
      </c>
      <c r="O121">
        <f t="shared" si="38"/>
        <v>0.49936588760397704</v>
      </c>
      <c r="P121">
        <f t="shared" si="31"/>
        <v>1.2013097546239634E-2</v>
      </c>
      <c r="Q121">
        <f t="shared" si="40"/>
        <v>1.0198027470580427E-2</v>
      </c>
      <c r="R121">
        <f>Calculations!J204/( (Calculations!I204/100) + Calculations!J204 )</f>
        <v>0.43074087224526925</v>
      </c>
      <c r="S121">
        <f>LN(Calculations!J204/Calculations!J203)</f>
        <v>-0.12988543831856381</v>
      </c>
      <c r="T121">
        <f t="shared" si="39"/>
        <v>6.5883418989461554E-2</v>
      </c>
      <c r="U121">
        <f t="shared" si="32"/>
        <v>1.8531648225633805E-2</v>
      </c>
      <c r="V121">
        <f t="shared" si="41"/>
        <v>1.7386104191027072E-2</v>
      </c>
      <c r="W121">
        <f t="shared" si="33"/>
        <v>0.56524930659343864</v>
      </c>
      <c r="X121">
        <f t="shared" si="34"/>
        <v>1.1247142515593242E-2</v>
      </c>
      <c r="Y121">
        <f t="shared" si="42"/>
        <v>9.2616899681913778E-3</v>
      </c>
    </row>
    <row r="122" spans="1:25" x14ac:dyDescent="0.2">
      <c r="A122" s="1">
        <f t="shared" si="46"/>
        <v>40513</v>
      </c>
      <c r="B122">
        <f>'raw BLS data'!Q139</f>
        <v>2930</v>
      </c>
      <c r="C122">
        <f>'raw BLS data'!W150</f>
        <v>153649</v>
      </c>
      <c r="D122">
        <f>'raw BLS data'!J222/100</f>
        <v>9.3000000000000013E-2</v>
      </c>
      <c r="E122">
        <f t="shared" si="36"/>
        <v>9.5333333333333339E-2</v>
      </c>
      <c r="F122">
        <f t="shared" si="43"/>
        <v>1.906943748413592E-2</v>
      </c>
      <c r="G122">
        <f t="shared" si="37"/>
        <v>1.9532939262570138E-2</v>
      </c>
      <c r="H122" t="e">
        <f t="shared" si="44"/>
        <v>#N/A</v>
      </c>
      <c r="I122">
        <f t="shared" si="45"/>
        <v>1.906943748413592E-2</v>
      </c>
      <c r="J122">
        <f t="shared" si="30"/>
        <v>0.20504771488318191</v>
      </c>
      <c r="K122">
        <f>F122/(D122+Calculations!J205)</f>
        <v>0.10610772234136021</v>
      </c>
      <c r="L122">
        <f>Calculations!F205/100</f>
        <v>0.158834506401305</v>
      </c>
      <c r="M122">
        <f>LN(Calculations!G205/Calculations!G204)</f>
        <v>3.2219977780606618E-2</v>
      </c>
      <c r="N122">
        <v>0.5</v>
      </c>
      <c r="O122">
        <f t="shared" si="38"/>
        <v>0.56380584316519022</v>
      </c>
      <c r="P122">
        <f t="shared" si="31"/>
        <v>1.0851258657833946E-2</v>
      </c>
      <c r="Q122">
        <f t="shared" si="40"/>
        <v>1.0193402247070712E-2</v>
      </c>
      <c r="R122">
        <f>Calculations!J205/( (Calculations!I205/100) + Calculations!J205 )</f>
        <v>0.48252180034383196</v>
      </c>
      <c r="S122">
        <f>LN(Calculations!J205/Calculations!J204)</f>
        <v>0.15651977302837114</v>
      </c>
      <c r="T122">
        <f t="shared" si="39"/>
        <v>0.14140762166051915</v>
      </c>
      <c r="U122">
        <f t="shared" si="32"/>
        <v>1.655485314280503E-2</v>
      </c>
      <c r="V122">
        <f t="shared" si="41"/>
        <v>1.7519491700797418E-2</v>
      </c>
      <c r="W122">
        <f t="shared" si="33"/>
        <v>0.70521346482570935</v>
      </c>
      <c r="X122">
        <f t="shared" si="34"/>
        <v>9.4203614366956522E-3</v>
      </c>
      <c r="Y122">
        <f t="shared" si="42"/>
        <v>9.1661116577618426E-3</v>
      </c>
    </row>
    <row r="123" spans="1:25" x14ac:dyDescent="0.2">
      <c r="A123" s="1">
        <f t="shared" si="46"/>
        <v>40544</v>
      </c>
      <c r="B123">
        <f>'raw BLS data'!Q140</f>
        <v>2868</v>
      </c>
      <c r="C123">
        <f>'raw BLS data'!W151</f>
        <v>153244</v>
      </c>
      <c r="D123">
        <f>'raw BLS data'!J223/100</f>
        <v>9.0999999999999998E-2</v>
      </c>
      <c r="E123">
        <f t="shared" si="36"/>
        <v>9.4000000000000014E-2</v>
      </c>
      <c r="F123">
        <f t="shared" si="43"/>
        <v>1.871525149434888E-2</v>
      </c>
      <c r="G123">
        <f t="shared" si="37"/>
        <v>1.9192794340953348E-2</v>
      </c>
      <c r="H123" t="e">
        <f t="shared" si="44"/>
        <v>#N/A</v>
      </c>
      <c r="I123">
        <f t="shared" si="45"/>
        <v>1.871525149434888E-2</v>
      </c>
      <c r="J123">
        <f t="shared" si="30"/>
        <v>0.20566210433350418</v>
      </c>
      <c r="K123">
        <f>F123/(D123+Calculations!J206)</f>
        <v>0.11202638950888053</v>
      </c>
      <c r="L123">
        <f>Calculations!F206/100</f>
        <v>0.153918658606611</v>
      </c>
      <c r="M123">
        <f>LN(Calculations!G206/Calculations!G205)</f>
        <v>-0.2021575168837452</v>
      </c>
      <c r="N123">
        <v>0.5</v>
      </c>
      <c r="O123">
        <f t="shared" si="38"/>
        <v>0.15949080939769983</v>
      </c>
      <c r="P123">
        <f t="shared" si="31"/>
        <v>1.5956208002840973E-2</v>
      </c>
      <c r="Q123">
        <f t="shared" si="40"/>
        <v>1.294018806897152E-2</v>
      </c>
      <c r="R123">
        <f>Calculations!J206/( (Calculations!I206/100) + Calculations!J206 )</f>
        <v>0.45528910213221807</v>
      </c>
      <c r="S123">
        <f>LN(Calculations!J206/Calculations!J205)</f>
        <v>-0.13112127528264386</v>
      </c>
      <c r="T123">
        <f t="shared" si="39"/>
        <v>8.1709533966652828E-2</v>
      </c>
      <c r="U123">
        <f t="shared" si="32"/>
        <v>1.724684529694253E-2</v>
      </c>
      <c r="V123">
        <f t="shared" si="41"/>
        <v>1.7444448888460456E-2</v>
      </c>
      <c r="W123">
        <f t="shared" si="33"/>
        <v>0.24120034336435264</v>
      </c>
      <c r="X123">
        <f t="shared" si="34"/>
        <v>1.4704277473050802E-2</v>
      </c>
      <c r="Y123">
        <f t="shared" si="42"/>
        <v>1.1790593808446567E-2</v>
      </c>
    </row>
    <row r="124" spans="1:25" x14ac:dyDescent="0.2">
      <c r="A124" s="1">
        <f t="shared" si="46"/>
        <v>40575</v>
      </c>
      <c r="B124">
        <f>'raw BLS data'!Q141</f>
        <v>3017</v>
      </c>
      <c r="C124">
        <f>'raw BLS data'!W152</f>
        <v>153269</v>
      </c>
      <c r="D124">
        <f>'raw BLS data'!J224/100</f>
        <v>0.09</v>
      </c>
      <c r="E124">
        <f t="shared" si="36"/>
        <v>9.1333333333333336E-2</v>
      </c>
      <c r="F124">
        <f t="shared" si="43"/>
        <v>1.968434582335632E-2</v>
      </c>
      <c r="G124">
        <f t="shared" si="37"/>
        <v>1.915634493394704E-2</v>
      </c>
      <c r="H124" t="e">
        <f t="shared" si="44"/>
        <v>#N/A</v>
      </c>
      <c r="I124">
        <f t="shared" si="45"/>
        <v>1.968434582335632E-2</v>
      </c>
      <c r="J124">
        <f t="shared" si="30"/>
        <v>0.21871495359284801</v>
      </c>
      <c r="K124">
        <f>F124/(D124+Calculations!J207)</f>
        <v>0.11201565784943861</v>
      </c>
      <c r="L124">
        <f>Calculations!F207/100</f>
        <v>0.16738533184891</v>
      </c>
      <c r="M124">
        <f>LN(Calculations!G207/Calculations!G206)</f>
        <v>0.15145806932186867</v>
      </c>
      <c r="N124">
        <v>0.5</v>
      </c>
      <c r="O124">
        <f t="shared" si="38"/>
        <v>0.46240694804143717</v>
      </c>
      <c r="P124">
        <f t="shared" si="31"/>
        <v>1.2396531844888193E-2</v>
      </c>
      <c r="Q124">
        <f t="shared" si="40"/>
        <v>1.3067999501854369E-2</v>
      </c>
      <c r="R124">
        <f>Calculations!J207/( (Calculations!I207/100) + Calculations!J207 )</f>
        <v>0.48784636802674702</v>
      </c>
      <c r="S124">
        <f>LN(Calculations!J207/Calculations!J206)</f>
        <v>0.11964864281764021</v>
      </c>
      <c r="T124">
        <f t="shared" si="39"/>
        <v>0.14007968980456814</v>
      </c>
      <c r="U124">
        <f t="shared" si="32"/>
        <v>1.7111384492752717E-2</v>
      </c>
      <c r="V124">
        <f t="shared" si="41"/>
        <v>1.6971027644166761E-2</v>
      </c>
      <c r="W124">
        <f t="shared" si="33"/>
        <v>0.60248663784600531</v>
      </c>
      <c r="X124">
        <f t="shared" si="34"/>
        <v>1.0776168264776341E-2</v>
      </c>
      <c r="Y124">
        <f t="shared" si="42"/>
        <v>1.1633602391507599E-2</v>
      </c>
    </row>
    <row r="125" spans="1:25" x14ac:dyDescent="0.2">
      <c r="A125" s="1">
        <f t="shared" si="46"/>
        <v>40603</v>
      </c>
      <c r="B125">
        <f>'raw BLS data'!Q142</f>
        <v>3104</v>
      </c>
      <c r="C125">
        <f>'raw BLS data'!W153</f>
        <v>153358</v>
      </c>
      <c r="D125">
        <f>'raw BLS data'!J225/100</f>
        <v>8.900000000000001E-2</v>
      </c>
      <c r="E125">
        <f t="shared" si="36"/>
        <v>9.0000000000000011E-2</v>
      </c>
      <c r="F125">
        <f t="shared" si="43"/>
        <v>2.0240222225120306E-2</v>
      </c>
      <c r="G125">
        <f t="shared" si="37"/>
        <v>1.9546606514275169E-2</v>
      </c>
      <c r="H125" t="e">
        <f t="shared" si="44"/>
        <v>#N/A</v>
      </c>
      <c r="I125">
        <f t="shared" si="45"/>
        <v>2.0240222225120306E-2</v>
      </c>
      <c r="J125">
        <f t="shared" si="30"/>
        <v>0.22741822724854274</v>
      </c>
      <c r="K125">
        <f>F125/(D125+Calculations!J208)</f>
        <v>0.11656154971521314</v>
      </c>
      <c r="L125">
        <f>Calculations!F208/100</f>
        <v>0.174281823866068</v>
      </c>
      <c r="M125">
        <f>LN(Calculations!G208/Calculations!G207)</f>
        <v>0.10704444305225948</v>
      </c>
      <c r="N125">
        <v>0.5</v>
      </c>
      <c r="O125">
        <f t="shared" si="38"/>
        <v>0.67649583414595615</v>
      </c>
      <c r="P125">
        <f t="shared" si="31"/>
        <v>1.0290035396313584E-2</v>
      </c>
      <c r="Q125">
        <f t="shared" si="40"/>
        <v>1.2880925081347583E-2</v>
      </c>
      <c r="R125">
        <f>Calculations!J208/( (Calculations!I208/100) + Calculations!J208 )</f>
        <v>0.48745731102800138</v>
      </c>
      <c r="S125">
        <f>LN(Calculations!J208/Calculations!J207)</f>
        <v>-1.273047840748775E-2</v>
      </c>
      <c r="T125">
        <f t="shared" si="39"/>
        <v>0.13387412503195412</v>
      </c>
      <c r="U125">
        <f t="shared" si="32"/>
        <v>1.7704125629450999E-2</v>
      </c>
      <c r="V125">
        <f t="shared" si="41"/>
        <v>1.7354118473048748E-2</v>
      </c>
      <c r="W125">
        <f t="shared" si="33"/>
        <v>0.81036995917791033</v>
      </c>
      <c r="X125">
        <f t="shared" si="34"/>
        <v>9.0006956130023654E-3</v>
      </c>
      <c r="Y125">
        <f t="shared" si="42"/>
        <v>1.1493713783609838E-2</v>
      </c>
    </row>
    <row r="126" spans="1:25" x14ac:dyDescent="0.2">
      <c r="A126" s="1">
        <f t="shared" si="46"/>
        <v>40634</v>
      </c>
      <c r="B126">
        <f>'raw BLS data'!Q143</f>
        <v>3025</v>
      </c>
      <c r="C126">
        <f>'raw BLS data'!W154</f>
        <v>153478</v>
      </c>
      <c r="D126">
        <f>'raw BLS data'!J226/100</f>
        <v>0.09</v>
      </c>
      <c r="E126">
        <f t="shared" si="36"/>
        <v>8.9666666666666672E-2</v>
      </c>
      <c r="F126">
        <f t="shared" si="43"/>
        <v>1.9709665228892739E-2</v>
      </c>
      <c r="G126">
        <f t="shared" si="37"/>
        <v>1.9878077759123123E-2</v>
      </c>
      <c r="H126" t="e">
        <f t="shared" si="44"/>
        <v>#N/A</v>
      </c>
      <c r="I126">
        <f t="shared" si="45"/>
        <v>1.9709665228892739E-2</v>
      </c>
      <c r="J126">
        <f t="shared" si="30"/>
        <v>0.21899628032103044</v>
      </c>
      <c r="K126">
        <f>F126/(D126+Calculations!J209)</f>
        <v>0.11009683286361407</v>
      </c>
      <c r="L126">
        <f>Calculations!F209/100</f>
        <v>0.15828148369252198</v>
      </c>
      <c r="M126">
        <f>LN(Calculations!G209/Calculations!G208)</f>
        <v>-0.11288857026495205</v>
      </c>
      <c r="N126">
        <v>0.5</v>
      </c>
      <c r="O126">
        <f t="shared" si="38"/>
        <v>0.45071869361605205</v>
      </c>
      <c r="P126">
        <f t="shared" si="31"/>
        <v>1.2558408516839049E-2</v>
      </c>
      <c r="Q126">
        <f t="shared" si="40"/>
        <v>1.1748325252680276E-2</v>
      </c>
      <c r="R126">
        <f>Calculations!J209/( (Calculations!I209/100) + Calculations!J209 )</f>
        <v>0.49726619693164997</v>
      </c>
      <c r="S126">
        <f>LN(Calculations!J209/Calculations!J208)</f>
        <v>5.0419262971583646E-2</v>
      </c>
      <c r="T126">
        <f t="shared" si="39"/>
        <v>0.15894592018193027</v>
      </c>
      <c r="U126">
        <f t="shared" si="32"/>
        <v>1.6813181905978952E-2</v>
      </c>
      <c r="V126">
        <f t="shared" si="41"/>
        <v>1.7209564009394222E-2</v>
      </c>
      <c r="W126">
        <f t="shared" si="33"/>
        <v>0.60966461379798231</v>
      </c>
      <c r="X126">
        <f t="shared" si="34"/>
        <v>1.0712856072952802E-2</v>
      </c>
      <c r="Y126">
        <f t="shared" si="42"/>
        <v>1.0163239983577169E-2</v>
      </c>
    </row>
    <row r="127" spans="1:25" x14ac:dyDescent="0.2">
      <c r="A127" s="1">
        <f t="shared" si="46"/>
        <v>40664</v>
      </c>
      <c r="B127">
        <f>'raw BLS data'!Q144</f>
        <v>2937</v>
      </c>
      <c r="C127">
        <f>'raw BLS data'!W155</f>
        <v>153552</v>
      </c>
      <c r="D127">
        <f>'raw BLS data'!J227/100</f>
        <v>0.09</v>
      </c>
      <c r="E127">
        <f t="shared" si="36"/>
        <v>8.9666666666666672E-2</v>
      </c>
      <c r="F127">
        <f t="shared" si="43"/>
        <v>1.9127070959674898E-2</v>
      </c>
      <c r="G127">
        <f t="shared" si="37"/>
        <v>1.9692319471229316E-2</v>
      </c>
      <c r="H127" t="e">
        <f t="shared" si="44"/>
        <v>#N/A</v>
      </c>
      <c r="I127">
        <f t="shared" si="45"/>
        <v>1.9127070959674898E-2</v>
      </c>
      <c r="J127">
        <f t="shared" si="30"/>
        <v>0.21252301066305443</v>
      </c>
      <c r="K127">
        <f>F127/(D127+Calculations!J210)</f>
        <v>0.11632566645299679</v>
      </c>
      <c r="L127">
        <f>Calculations!F210/100</f>
        <v>0.19329801603506203</v>
      </c>
      <c r="M127">
        <f>LN(Calculations!G210/Calculations!G209)</f>
        <v>-9.2374741703761445E-3</v>
      </c>
      <c r="N127">
        <v>0.5</v>
      </c>
      <c r="O127">
        <f t="shared" si="38"/>
        <v>0.43224374527529974</v>
      </c>
      <c r="P127">
        <f t="shared" si="31"/>
        <v>1.2414447483811441E-2</v>
      </c>
      <c r="Q127">
        <f t="shared" si="40"/>
        <v>1.1754297132321359E-2</v>
      </c>
      <c r="R127">
        <f>Calculations!J210/( (Calculations!I210/100) + Calculations!J210 )</f>
        <v>0.45264436970815441</v>
      </c>
      <c r="S127">
        <f>LN(Calculations!J210/Calculations!J209)</f>
        <v>-0.17905665537678897</v>
      </c>
      <c r="T127">
        <f t="shared" si="39"/>
        <v>7.7896933266853402E-2</v>
      </c>
      <c r="U127">
        <f t="shared" si="32"/>
        <v>1.7693683757880954E-2</v>
      </c>
      <c r="V127">
        <f t="shared" si="41"/>
        <v>1.7403663764436968E-2</v>
      </c>
      <c r="W127">
        <f t="shared" si="33"/>
        <v>0.51014067854215317</v>
      </c>
      <c r="X127">
        <f t="shared" si="34"/>
        <v>1.1484105865998946E-2</v>
      </c>
      <c r="Y127">
        <f t="shared" si="42"/>
        <v>1.0399219183984704E-2</v>
      </c>
    </row>
    <row r="128" spans="1:25" x14ac:dyDescent="0.2">
      <c r="A128" s="1">
        <f t="shared" si="46"/>
        <v>40695</v>
      </c>
      <c r="B128">
        <f>'raw BLS data'!Q145</f>
        <v>3180</v>
      </c>
      <c r="C128">
        <f>'raw BLS data'!W156</f>
        <v>153369</v>
      </c>
      <c r="D128">
        <f>'raw BLS data'!J228/100</f>
        <v>9.0999999999999998E-2</v>
      </c>
      <c r="E128">
        <f t="shared" si="36"/>
        <v>9.0333333333333335E-2</v>
      </c>
      <c r="F128">
        <f t="shared" si="43"/>
        <v>2.0734307454570351E-2</v>
      </c>
      <c r="G128">
        <f t="shared" si="37"/>
        <v>1.9857014547712663E-2</v>
      </c>
      <c r="H128" t="e">
        <f t="shared" si="44"/>
        <v>#N/A</v>
      </c>
      <c r="I128">
        <f t="shared" si="45"/>
        <v>2.0734307454570351E-2</v>
      </c>
      <c r="J128">
        <f t="shared" si="30"/>
        <v>0.22784953246780607</v>
      </c>
      <c r="K128">
        <f>F128/(D128+Calculations!J211)</f>
        <v>0.11872188190456781</v>
      </c>
      <c r="L128">
        <f>Calculations!F211/100</f>
        <v>0.17048552796636798</v>
      </c>
      <c r="M128">
        <f>LN(Calculations!G211/Calculations!G210)</f>
        <v>-4.8182961386647072E-2</v>
      </c>
      <c r="N128">
        <v>0.5</v>
      </c>
      <c r="O128">
        <f t="shared" si="38"/>
        <v>0.3358778225020056</v>
      </c>
      <c r="P128">
        <f t="shared" si="31"/>
        <v>1.4819025631004585E-2</v>
      </c>
      <c r="Q128">
        <f t="shared" si="40"/>
        <v>1.3263960543885026E-2</v>
      </c>
      <c r="R128">
        <f>Calculations!J211/( (Calculations!I211/100) + Calculations!J211 )</f>
        <v>0.47894612458183294</v>
      </c>
      <c r="S128">
        <f>LN(Calculations!J211/Calculations!J210)</f>
        <v>0.11677648499570258</v>
      </c>
      <c r="T128">
        <f t="shared" si="39"/>
        <v>0.13382657819783372</v>
      </c>
      <c r="U128">
        <f t="shared" si="32"/>
        <v>1.8137164403212121E-2</v>
      </c>
      <c r="V128">
        <f t="shared" si="41"/>
        <v>1.7548010022357344E-2</v>
      </c>
      <c r="W128">
        <f t="shared" si="33"/>
        <v>0.46970440069983932</v>
      </c>
      <c r="X128">
        <f t="shared" si="34"/>
        <v>1.2962820424740047E-2</v>
      </c>
      <c r="Y128">
        <f t="shared" si="42"/>
        <v>1.1719927454563931E-2</v>
      </c>
    </row>
    <row r="129" spans="1:25" x14ac:dyDescent="0.2">
      <c r="A129" s="1">
        <f t="shared" si="46"/>
        <v>40725</v>
      </c>
      <c r="B129">
        <f>'raw BLS data'!Q146</f>
        <v>3286</v>
      </c>
      <c r="C129">
        <f>'raw BLS data'!W157</f>
        <v>153325</v>
      </c>
      <c r="D129">
        <f>'raw BLS data'!J229/100</f>
        <v>0.09</v>
      </c>
      <c r="E129">
        <f t="shared" si="36"/>
        <v>9.0333333333333335E-2</v>
      </c>
      <c r="F129">
        <f t="shared" si="43"/>
        <v>2.1431599543453448E-2</v>
      </c>
      <c r="G129">
        <f t="shared" si="37"/>
        <v>2.0430992652566232E-2</v>
      </c>
      <c r="H129" t="e">
        <f t="shared" si="44"/>
        <v>#N/A</v>
      </c>
      <c r="I129">
        <f t="shared" si="45"/>
        <v>2.1431599543453448E-2</v>
      </c>
      <c r="J129">
        <f t="shared" si="30"/>
        <v>0.23812888381614944</v>
      </c>
      <c r="K129">
        <f>F129/(D129+Calculations!J212)</f>
        <v>0.12439039593349913</v>
      </c>
      <c r="L129">
        <f>Calculations!F212/100</f>
        <v>0.16755770138771597</v>
      </c>
      <c r="M129">
        <f>LN(Calculations!G212/Calculations!G211)</f>
        <v>-5.1381157122777119E-2</v>
      </c>
      <c r="N129">
        <v>0.5</v>
      </c>
      <c r="O129">
        <f t="shared" si="38"/>
        <v>0.23311550825645136</v>
      </c>
      <c r="P129">
        <f t="shared" si="31"/>
        <v>1.6975157280621263E-2</v>
      </c>
      <c r="Q129">
        <f t="shared" si="40"/>
        <v>1.473621013181243E-2</v>
      </c>
      <c r="R129">
        <f>Calculations!J212/( (Calculations!I212/100) + Calculations!J212 )</f>
        <v>0.47763415365631839</v>
      </c>
      <c r="S129">
        <f>LN(Calculations!J212/Calculations!J211)</f>
        <v>-1.630763531085137E-2</v>
      </c>
      <c r="T129">
        <f t="shared" si="39"/>
        <v>0.12603749460799935</v>
      </c>
      <c r="U129">
        <f t="shared" si="32"/>
        <v>1.8893707922372053E-2</v>
      </c>
      <c r="V129">
        <f t="shared" si="41"/>
        <v>1.8241518694488378E-2</v>
      </c>
      <c r="W129">
        <f t="shared" si="33"/>
        <v>0.35915300286445073</v>
      </c>
      <c r="X129">
        <f t="shared" si="34"/>
        <v>1.4964989568142368E-2</v>
      </c>
      <c r="Y129">
        <f t="shared" si="42"/>
        <v>1.3137305286293787E-2</v>
      </c>
    </row>
    <row r="130" spans="1:25" x14ac:dyDescent="0.2">
      <c r="A130" s="1">
        <f t="shared" si="46"/>
        <v>40756</v>
      </c>
      <c r="B130">
        <f>'raw BLS data'!Q147</f>
        <v>3172</v>
      </c>
      <c r="C130">
        <f>'raw BLS data'!W158</f>
        <v>153707</v>
      </c>
      <c r="D130">
        <f>'raw BLS data'!J230/100</f>
        <v>0.09</v>
      </c>
      <c r="E130">
        <f t="shared" si="36"/>
        <v>9.0333333333333335E-2</v>
      </c>
      <c r="F130">
        <f t="shared" ref="F130:F152" si="47">B130/C130</f>
        <v>2.0636665864274237E-2</v>
      </c>
      <c r="G130">
        <f t="shared" si="37"/>
        <v>2.0934190954099346E-2</v>
      </c>
      <c r="H130" t="e">
        <f t="shared" ref="H130:H152" si="48">IF( $A130&lt;=$A$106, F130, NA() )</f>
        <v>#N/A</v>
      </c>
      <c r="I130">
        <f t="shared" ref="I130:I152" si="49">IF( $A130&gt;$A$106, F130, NA() )</f>
        <v>2.0636665864274237E-2</v>
      </c>
      <c r="J130">
        <f t="shared" si="30"/>
        <v>0.22929628738082486</v>
      </c>
      <c r="K130">
        <f>F130/(D130+Calculations!J213)</f>
        <v>0.11403815742382789</v>
      </c>
      <c r="L130">
        <f>Calculations!F213/100</f>
        <v>0.16520756936512901</v>
      </c>
      <c r="M130">
        <f>LN(Calculations!G213/Calculations!G212)</f>
        <v>0.33736363623977067</v>
      </c>
      <c r="N130">
        <v>0.5</v>
      </c>
      <c r="O130">
        <f t="shared" si="38"/>
        <v>0.90784278073599267</v>
      </c>
      <c r="P130">
        <f t="shared" si="31"/>
        <v>8.3246967539003982E-3</v>
      </c>
      <c r="Q130">
        <f t="shared" si="40"/>
        <v>1.3372959888508749E-2</v>
      </c>
      <c r="R130">
        <f>Calculations!J213/( (Calculations!I213/100) + Calculations!J213 )</f>
        <v>0.50266025356778432</v>
      </c>
      <c r="S130">
        <f>LN(Calculations!J213/Calculations!J212)</f>
        <v>0.10016424161638117</v>
      </c>
      <c r="T130">
        <f t="shared" si="39"/>
        <v>0.17638607769731432</v>
      </c>
      <c r="U130">
        <f t="shared" si="32"/>
        <v>1.7299598831147164E-2</v>
      </c>
      <c r="V130">
        <f t="shared" si="41"/>
        <v>1.811015705224378E-2</v>
      </c>
      <c r="W130">
        <f t="shared" si="33"/>
        <v>1.0842288584333071</v>
      </c>
      <c r="X130">
        <f t="shared" si="34"/>
        <v>6.9785456226600911E-3</v>
      </c>
      <c r="Y130">
        <f t="shared" si="42"/>
        <v>1.1635451871847502E-2</v>
      </c>
    </row>
    <row r="131" spans="1:25" x14ac:dyDescent="0.2">
      <c r="A131" s="1">
        <f t="shared" si="46"/>
        <v>40787</v>
      </c>
      <c r="B131">
        <f>'raw BLS data'!Q148</f>
        <v>3465</v>
      </c>
      <c r="C131">
        <f>'raw BLS data'!W159</f>
        <v>154074</v>
      </c>
      <c r="D131">
        <f>'raw BLS data'!J231/100</f>
        <v>0.09</v>
      </c>
      <c r="E131">
        <f t="shared" si="36"/>
        <v>9.0000000000000011E-2</v>
      </c>
      <c r="F131">
        <f t="shared" si="47"/>
        <v>2.2489193504419955E-2</v>
      </c>
      <c r="G131">
        <f t="shared" si="37"/>
        <v>2.1519152970715882E-2</v>
      </c>
      <c r="H131" t="e">
        <f t="shared" si="48"/>
        <v>#N/A</v>
      </c>
      <c r="I131">
        <f t="shared" si="49"/>
        <v>2.2489193504419955E-2</v>
      </c>
      <c r="J131">
        <f t="shared" ref="J131:J152" si="50">F131/D131</f>
        <v>0.24987992782688839</v>
      </c>
      <c r="K131">
        <f>F131/(D131+Calculations!J214)</f>
        <v>0.1323688447196292</v>
      </c>
      <c r="L131">
        <f>Calculations!F214/100</f>
        <v>0.18054469213699101</v>
      </c>
      <c r="M131">
        <f>LN(Calculations!G214/Calculations!G213)</f>
        <v>-0.2804740199268681</v>
      </c>
      <c r="N131">
        <v>0.5</v>
      </c>
      <c r="O131">
        <f t="shared" si="38"/>
        <v>0.34689474088225647</v>
      </c>
      <c r="P131">
        <f t="shared" ref="P131:P152" si="51">F131/EXP(O131)</f>
        <v>1.5897155029593608E-2</v>
      </c>
      <c r="Q131">
        <f t="shared" si="40"/>
        <v>1.3732336354705089E-2</v>
      </c>
      <c r="R131">
        <f>Calculations!J214/( (Calculations!I214/100) + Calculations!J214 )</f>
        <v>0.47027019788747682</v>
      </c>
      <c r="S131">
        <f>LN(Calculations!J214/Calculations!J213)</f>
        <v>-0.12970076525514349</v>
      </c>
      <c r="T131">
        <f t="shared" si="39"/>
        <v>0.11539167315462082</v>
      </c>
      <c r="U131">
        <f t="shared" ref="U131:U152" si="52">F131/EXP(T131)</f>
        <v>2.0038255709568856E-2</v>
      </c>
      <c r="V131">
        <f t="shared" si="41"/>
        <v>1.874385415436269E-2</v>
      </c>
      <c r="W131">
        <f t="shared" ref="W131:W152" si="53">O131+T131</f>
        <v>0.46228641403687731</v>
      </c>
      <c r="X131">
        <f t="shared" ref="X131:X152" si="54">F131/EXP(W131)</f>
        <v>1.4164636783219832E-2</v>
      </c>
      <c r="Y131">
        <f t="shared" si="42"/>
        <v>1.2036057324674096E-2</v>
      </c>
    </row>
    <row r="132" spans="1:25" x14ac:dyDescent="0.2">
      <c r="A132" s="1">
        <f t="shared" si="46"/>
        <v>40817</v>
      </c>
      <c r="B132">
        <f>'raw BLS data'!Q149</f>
        <v>3308</v>
      </c>
      <c r="C132">
        <f>'raw BLS data'!W160</f>
        <v>154010</v>
      </c>
      <c r="D132">
        <f>'raw BLS data'!J232/100</f>
        <v>8.900000000000001E-2</v>
      </c>
      <c r="E132">
        <f t="shared" si="36"/>
        <v>8.9666666666666672E-2</v>
      </c>
      <c r="F132">
        <f t="shared" si="47"/>
        <v>2.1479124732160248E-2</v>
      </c>
      <c r="G132">
        <f t="shared" si="37"/>
        <v>2.1534994700284815E-2</v>
      </c>
      <c r="H132" t="e">
        <f t="shared" si="48"/>
        <v>#N/A</v>
      </c>
      <c r="I132">
        <f t="shared" si="49"/>
        <v>2.1479124732160248E-2</v>
      </c>
      <c r="J132">
        <f t="shared" si="50"/>
        <v>0.24133848013663198</v>
      </c>
      <c r="K132">
        <f>F132/(D132+Calculations!J215)</f>
        <v>0.12447599425513231</v>
      </c>
      <c r="L132">
        <f>Calculations!F215/100</f>
        <v>0.180590330994888</v>
      </c>
      <c r="M132">
        <f>LN(Calculations!G215/Calculations!G214)</f>
        <v>2.9269584968586063E-2</v>
      </c>
      <c r="N132">
        <v>0.5</v>
      </c>
      <c r="O132">
        <f t="shared" si="38"/>
        <v>0.40543391081942859</v>
      </c>
      <c r="P132">
        <f t="shared" si="51"/>
        <v>1.4319863222045948E-2</v>
      </c>
      <c r="Q132">
        <f t="shared" si="40"/>
        <v>1.2847238335179985E-2</v>
      </c>
      <c r="R132">
        <f>Calculations!J215/( (Calculations!I215/100) + Calculations!J215 )</f>
        <v>0.48422649307867871</v>
      </c>
      <c r="S132">
        <f>LN(Calculations!J215/Calculations!J214)</f>
        <v>4.4771379095512716E-2</v>
      </c>
      <c r="T132">
        <f t="shared" si="39"/>
        <v>0.137071161044337</v>
      </c>
      <c r="U132">
        <f t="shared" si="52"/>
        <v>1.8727824510852219E-2</v>
      </c>
      <c r="V132">
        <f t="shared" si="41"/>
        <v>1.868855968385608E-2</v>
      </c>
      <c r="W132">
        <f t="shared" si="53"/>
        <v>0.54250507186376562</v>
      </c>
      <c r="X132">
        <f t="shared" si="54"/>
        <v>1.2485605851543062E-2</v>
      </c>
      <c r="Y132">
        <f t="shared" si="42"/>
        <v>1.1209596085807662E-2</v>
      </c>
    </row>
    <row r="133" spans="1:25" x14ac:dyDescent="0.2">
      <c r="A133" s="1">
        <f t="shared" si="46"/>
        <v>40848</v>
      </c>
      <c r="B133">
        <f>'raw BLS data'!Q150</f>
        <v>3118</v>
      </c>
      <c r="C133">
        <f>'raw BLS data'!W161</f>
        <v>154096</v>
      </c>
      <c r="D133">
        <f>'raw BLS data'!J233/100</f>
        <v>8.5999999999999993E-2</v>
      </c>
      <c r="E133">
        <f t="shared" ref="E133:E152" si="55">AVERAGE(D131:D133)</f>
        <v>8.8333333333333333E-2</v>
      </c>
      <c r="F133">
        <f t="shared" si="47"/>
        <v>2.0234139757034576E-2</v>
      </c>
      <c r="G133">
        <f t="shared" ref="G133:G152" si="56">AVERAGE(F131:F133)</f>
        <v>2.1400819331204926E-2</v>
      </c>
      <c r="H133" t="e">
        <f t="shared" si="48"/>
        <v>#N/A</v>
      </c>
      <c r="I133">
        <f t="shared" si="49"/>
        <v>2.0234139757034576E-2</v>
      </c>
      <c r="J133">
        <f t="shared" si="50"/>
        <v>0.23528069484923927</v>
      </c>
      <c r="K133">
        <f>F133/(D133+Calculations!J216)</f>
        <v>0.12793766110236068</v>
      </c>
      <c r="L133">
        <f>Calculations!F216/100</f>
        <v>0.18873959499992801</v>
      </c>
      <c r="M133">
        <f>LN(Calculations!G216/Calculations!G215)</f>
        <v>-2.9311861176247223E-2</v>
      </c>
      <c r="N133">
        <v>0.5</v>
      </c>
      <c r="O133">
        <f t="shared" ref="O133:O152" si="57">O132+(M133/N133)</f>
        <v>0.34681018846693412</v>
      </c>
      <c r="P133">
        <f t="shared" si="51"/>
        <v>1.4304312658834653E-2</v>
      </c>
      <c r="Q133">
        <f t="shared" si="40"/>
        <v>1.4840443636824735E-2</v>
      </c>
      <c r="R133">
        <f>Calculations!J216/( (Calculations!I216/100) + Calculations!J216 )</f>
        <v>0.45623392015082564</v>
      </c>
      <c r="S133">
        <f>LN(Calculations!J216/Calculations!J215)</f>
        <v>-0.14668759592932212</v>
      </c>
      <c r="T133">
        <f t="shared" ref="T133:T152" si="58">T132+(R133*S133)</f>
        <v>7.0147304116002077E-2</v>
      </c>
      <c r="U133">
        <f t="shared" si="52"/>
        <v>1.8863407998268408E-2</v>
      </c>
      <c r="V133">
        <f t="shared" si="41"/>
        <v>1.9209829406229829E-2</v>
      </c>
      <c r="W133">
        <f t="shared" si="53"/>
        <v>0.41695749258293618</v>
      </c>
      <c r="X133">
        <f t="shared" si="54"/>
        <v>1.3335288233569978E-2</v>
      </c>
      <c r="Y133">
        <f t="shared" si="42"/>
        <v>1.332851028944429E-2</v>
      </c>
    </row>
    <row r="134" spans="1:25" x14ac:dyDescent="0.2">
      <c r="A134" s="1">
        <f t="shared" si="46"/>
        <v>40878</v>
      </c>
      <c r="B134">
        <f>'raw BLS data'!Q151</f>
        <v>3384</v>
      </c>
      <c r="C134">
        <f>'raw BLS data'!W162</f>
        <v>153945</v>
      </c>
      <c r="D134">
        <f>'raw BLS data'!J234/100</f>
        <v>8.5000000000000006E-2</v>
      </c>
      <c r="E134">
        <f t="shared" si="55"/>
        <v>8.666666666666667E-2</v>
      </c>
      <c r="F134">
        <f t="shared" si="47"/>
        <v>2.1981876644256066E-2</v>
      </c>
      <c r="G134">
        <f t="shared" si="56"/>
        <v>2.1231713711150294E-2</v>
      </c>
      <c r="H134" t="e">
        <f t="shared" si="48"/>
        <v>#N/A</v>
      </c>
      <c r="I134">
        <f t="shared" si="49"/>
        <v>2.1981876644256066E-2</v>
      </c>
      <c r="J134">
        <f t="shared" si="50"/>
        <v>0.25861031346183605</v>
      </c>
      <c r="K134">
        <f>F134/(D134+Calculations!J217)</f>
        <v>0.12980957344136565</v>
      </c>
      <c r="L134">
        <f>Calculations!F217/100</f>
        <v>0.18587459774653697</v>
      </c>
      <c r="M134">
        <f>LN(Calculations!G217/Calculations!G216)</f>
        <v>-5.5703519468587891E-2</v>
      </c>
      <c r="N134">
        <v>0.5</v>
      </c>
      <c r="O134">
        <f t="shared" si="57"/>
        <v>0.23540314952975833</v>
      </c>
      <c r="P134">
        <f t="shared" si="51"/>
        <v>1.7371226281518395E-2</v>
      </c>
      <c r="Q134">
        <f t="shared" ref="Q134:Q152" si="59">AVERAGE(P132:P134)</f>
        <v>1.5331800720799664E-2</v>
      </c>
      <c r="R134">
        <f>Calculations!J217/( (Calculations!I217/100) + Calculations!J217 )</f>
        <v>0.49804951046346391</v>
      </c>
      <c r="S134">
        <f>LN(Calculations!J217/Calculations!J216)</f>
        <v>0.15601545584597737</v>
      </c>
      <c r="T134">
        <f t="shared" si="58"/>
        <v>0.14785072552482525</v>
      </c>
      <c r="U134">
        <f t="shared" si="52"/>
        <v>1.8960684517815903E-2</v>
      </c>
      <c r="V134">
        <f t="shared" ref="V134:V152" si="60">AVERAGE(U132:U134)</f>
        <v>1.8850639008978844E-2</v>
      </c>
      <c r="W134">
        <f t="shared" si="53"/>
        <v>0.38325387505458358</v>
      </c>
      <c r="X134">
        <f t="shared" si="54"/>
        <v>1.4983722570271455E-2</v>
      </c>
      <c r="Y134">
        <f t="shared" ref="Y134:Y152" si="61">AVERAGE(X132:X134)</f>
        <v>1.3601538885128163E-2</v>
      </c>
    </row>
    <row r="135" spans="1:25" x14ac:dyDescent="0.2">
      <c r="A135" s="1">
        <f t="shared" si="46"/>
        <v>40909</v>
      </c>
      <c r="B135">
        <f>'raw BLS data'!Q152</f>
        <v>3415</v>
      </c>
      <c r="C135">
        <f>'raw BLS data'!W163</f>
        <v>154356</v>
      </c>
      <c r="D135">
        <f>'raw BLS data'!J235/100</f>
        <v>8.3000000000000004E-2</v>
      </c>
      <c r="E135">
        <f t="shared" si="55"/>
        <v>8.4666666666666668E-2</v>
      </c>
      <c r="F135">
        <f t="shared" si="47"/>
        <v>2.2124180465935887E-2</v>
      </c>
      <c r="G135">
        <f t="shared" si="56"/>
        <v>2.144673228907551E-2</v>
      </c>
      <c r="H135" t="e">
        <f t="shared" si="48"/>
        <v>#N/A</v>
      </c>
      <c r="I135">
        <f t="shared" si="49"/>
        <v>2.2124180465935887E-2</v>
      </c>
      <c r="J135">
        <f t="shared" si="50"/>
        <v>0.26655639115585406</v>
      </c>
      <c r="K135">
        <f>F135/(D135+Calculations!J218)</f>
        <v>0.1374179387385922</v>
      </c>
      <c r="L135">
        <f>Calculations!F218/100</f>
        <v>0.187075919048938</v>
      </c>
      <c r="M135">
        <f>LN(Calculations!G218/Calculations!G217)</f>
        <v>4.936484331096052E-2</v>
      </c>
      <c r="N135">
        <v>0.5</v>
      </c>
      <c r="O135">
        <f t="shared" si="57"/>
        <v>0.33413283615167938</v>
      </c>
      <c r="P135">
        <f t="shared" si="51"/>
        <v>1.5839998837064505E-2</v>
      </c>
      <c r="Q135">
        <f t="shared" si="59"/>
        <v>1.5838512592472518E-2</v>
      </c>
      <c r="R135">
        <f>Calculations!J218/( (Calculations!I218/100) + Calculations!J218 )</f>
        <v>0.48446954078754506</v>
      </c>
      <c r="S135">
        <f>LN(Calculations!J218/Calculations!J217)</f>
        <v>-7.815047737595518E-2</v>
      </c>
      <c r="T135">
        <f t="shared" si="58"/>
        <v>0.10998919963816882</v>
      </c>
      <c r="U135">
        <f t="shared" si="52"/>
        <v>1.9819810136810955E-2</v>
      </c>
      <c r="V135">
        <f t="shared" si="60"/>
        <v>1.9214634217631754E-2</v>
      </c>
      <c r="W135">
        <f t="shared" si="53"/>
        <v>0.44412203578984821</v>
      </c>
      <c r="X135">
        <f t="shared" si="54"/>
        <v>1.4190164919387646E-2</v>
      </c>
      <c r="Y135">
        <f t="shared" si="61"/>
        <v>1.416972524107636E-2</v>
      </c>
    </row>
    <row r="136" spans="1:25" x14ac:dyDescent="0.2">
      <c r="A136" s="1">
        <f t="shared" si="46"/>
        <v>40940</v>
      </c>
      <c r="B136">
        <f>'raw BLS data'!Q153</f>
        <v>3526</v>
      </c>
      <c r="C136">
        <f>'raw BLS data'!W164</f>
        <v>154825</v>
      </c>
      <c r="D136">
        <f>'raw BLS data'!J236/100</f>
        <v>8.3000000000000004E-2</v>
      </c>
      <c r="E136">
        <f t="shared" si="55"/>
        <v>8.3666666666666667E-2</v>
      </c>
      <c r="F136">
        <f t="shared" si="47"/>
        <v>2.2774099790085579E-2</v>
      </c>
      <c r="G136">
        <f t="shared" si="56"/>
        <v>2.2293385633425849E-2</v>
      </c>
      <c r="H136" t="e">
        <f t="shared" si="48"/>
        <v>#N/A</v>
      </c>
      <c r="I136">
        <f t="shared" si="49"/>
        <v>2.2774099790085579E-2</v>
      </c>
      <c r="J136">
        <f t="shared" si="50"/>
        <v>0.27438674445886241</v>
      </c>
      <c r="K136">
        <f>F136/(D136+Calculations!J219)</f>
        <v>0.14292955200729068</v>
      </c>
      <c r="L136">
        <f>Calculations!F219/100</f>
        <v>0.18832071808421699</v>
      </c>
      <c r="M136">
        <f>LN(Calculations!G219/Calculations!G218)</f>
        <v>4.8407955064055591E-3</v>
      </c>
      <c r="N136">
        <v>0.5</v>
      </c>
      <c r="O136">
        <f t="shared" si="57"/>
        <v>0.34381442716449051</v>
      </c>
      <c r="P136">
        <f t="shared" si="51"/>
        <v>1.614821454340612E-2</v>
      </c>
      <c r="Q136">
        <f t="shared" si="59"/>
        <v>1.645314655399634E-2</v>
      </c>
      <c r="R136">
        <f>Calculations!J219/( (Calculations!I219/100) + Calculations!J219 )</f>
        <v>0.47909454485794406</v>
      </c>
      <c r="S136">
        <f>LN(Calculations!J219/Calculations!J218)</f>
        <v>-2.1528773228248026E-2</v>
      </c>
      <c r="T136">
        <f t="shared" si="58"/>
        <v>9.9674881827031436E-2</v>
      </c>
      <c r="U136">
        <f t="shared" si="52"/>
        <v>2.0613558405274096E-2</v>
      </c>
      <c r="V136">
        <f t="shared" si="60"/>
        <v>1.979801768663365E-2</v>
      </c>
      <c r="W136">
        <f t="shared" si="53"/>
        <v>0.44348930899152195</v>
      </c>
      <c r="X136">
        <f t="shared" si="54"/>
        <v>1.4616259992691805E-2</v>
      </c>
      <c r="Y136">
        <f t="shared" si="61"/>
        <v>1.4596715827450301E-2</v>
      </c>
    </row>
    <row r="137" spans="1:25" x14ac:dyDescent="0.2">
      <c r="A137" s="1">
        <f t="shared" si="46"/>
        <v>40969</v>
      </c>
      <c r="B137">
        <f>'raw BLS data'!Q154</f>
        <v>3848</v>
      </c>
      <c r="C137">
        <f>'raw BLS data'!W165</f>
        <v>154707</v>
      </c>
      <c r="D137">
        <f>'raw BLS data'!J237/100</f>
        <v>8.199999999999999E-2</v>
      </c>
      <c r="E137">
        <f t="shared" si="55"/>
        <v>8.2666666666666666E-2</v>
      </c>
      <c r="F137">
        <f t="shared" si="47"/>
        <v>2.4872824112677511E-2</v>
      </c>
      <c r="G137">
        <f t="shared" si="56"/>
        <v>2.3257034789566325E-2</v>
      </c>
      <c r="H137" t="e">
        <f t="shared" si="48"/>
        <v>#N/A</v>
      </c>
      <c r="I137">
        <f t="shared" si="49"/>
        <v>2.4872824112677511E-2</v>
      </c>
      <c r="J137">
        <f t="shared" si="50"/>
        <v>0.30332712332533557</v>
      </c>
      <c r="K137">
        <f>F137/(D137+Calculations!J220)</f>
        <v>0.15081178938018086</v>
      </c>
      <c r="L137">
        <f>Calculations!F220/100</f>
        <v>0.16751628999725401</v>
      </c>
      <c r="M137">
        <f>LN(Calculations!G220/Calculations!G219)</f>
        <v>-7.9491046447470348E-2</v>
      </c>
      <c r="N137">
        <v>0.5</v>
      </c>
      <c r="O137">
        <f t="shared" si="57"/>
        <v>0.18483233426954981</v>
      </c>
      <c r="P137">
        <f t="shared" si="51"/>
        <v>2.0675376933127789E-2</v>
      </c>
      <c r="Q137">
        <f t="shared" si="59"/>
        <v>1.7554530104532808E-2</v>
      </c>
      <c r="R137">
        <f>Calculations!J220/( (Calculations!I220/100) + Calculations!J220 )</f>
        <v>0.50280809798065218</v>
      </c>
      <c r="S137">
        <f>LN(Calculations!J220/Calculations!J219)</f>
        <v>8.2781749121364739E-2</v>
      </c>
      <c r="T137">
        <f t="shared" si="58"/>
        <v>0.14129821565025635</v>
      </c>
      <c r="U137">
        <f t="shared" si="52"/>
        <v>2.1595340864617913E-2</v>
      </c>
      <c r="V137">
        <f t="shared" si="60"/>
        <v>2.0676236468900988E-2</v>
      </c>
      <c r="W137">
        <f t="shared" si="53"/>
        <v>0.32613054991980617</v>
      </c>
      <c r="X137">
        <f t="shared" si="54"/>
        <v>1.7950989817347652E-2</v>
      </c>
      <c r="Y137">
        <f t="shared" si="61"/>
        <v>1.5585804909809034E-2</v>
      </c>
    </row>
    <row r="138" spans="1:25" x14ac:dyDescent="0.2">
      <c r="A138" s="1">
        <f t="shared" si="46"/>
        <v>41000</v>
      </c>
      <c r="B138">
        <f>'raw BLS data'!Q155</f>
        <v>3523</v>
      </c>
      <c r="C138">
        <f>'raw BLS data'!W166</f>
        <v>154451</v>
      </c>
      <c r="D138">
        <f>'raw BLS data'!J238/100</f>
        <v>8.1000000000000003E-2</v>
      </c>
      <c r="E138">
        <f t="shared" si="55"/>
        <v>8.2000000000000003E-2</v>
      </c>
      <c r="F138">
        <f t="shared" si="47"/>
        <v>2.2809823180167173E-2</v>
      </c>
      <c r="G138">
        <f t="shared" si="56"/>
        <v>2.3485582360976753E-2</v>
      </c>
      <c r="H138" t="e">
        <f t="shared" si="48"/>
        <v>#N/A</v>
      </c>
      <c r="I138">
        <f t="shared" si="49"/>
        <v>2.2809823180167173E-2</v>
      </c>
      <c r="J138">
        <f t="shared" si="50"/>
        <v>0.28160275531070583</v>
      </c>
      <c r="K138">
        <f>F138/(D138+Calculations!J221)</f>
        <v>0.14900140377201826</v>
      </c>
      <c r="L138">
        <f>Calculations!F221/100</f>
        <v>0.183442157506537</v>
      </c>
      <c r="M138">
        <f>LN(Calculations!G221/Calculations!G220)</f>
        <v>5.1724704957451045E-2</v>
      </c>
      <c r="N138">
        <v>0.5</v>
      </c>
      <c r="O138">
        <f t="shared" si="57"/>
        <v>0.2882817441844519</v>
      </c>
      <c r="P138">
        <f t="shared" si="51"/>
        <v>1.7097111655826919E-2</v>
      </c>
      <c r="Q138">
        <f t="shared" si="59"/>
        <v>1.7973567710786943E-2</v>
      </c>
      <c r="R138">
        <f>Calculations!J221/( (Calculations!I221/100) + Calculations!J221 )</f>
        <v>0.47088087398996559</v>
      </c>
      <c r="S138">
        <f>LN(Calculations!J221/Calculations!J220)</f>
        <v>-0.14011105950326322</v>
      </c>
      <c r="T138">
        <f t="shared" si="58"/>
        <v>7.5322597495699695E-2</v>
      </c>
      <c r="U138">
        <f t="shared" si="52"/>
        <v>2.1154839280630881E-2</v>
      </c>
      <c r="V138">
        <f t="shared" si="60"/>
        <v>2.1121246183507626E-2</v>
      </c>
      <c r="W138">
        <f t="shared" si="53"/>
        <v>0.3636043416801516</v>
      </c>
      <c r="X138">
        <f t="shared" si="54"/>
        <v>1.585661784333782E-2</v>
      </c>
      <c r="Y138">
        <f t="shared" si="61"/>
        <v>1.6141289217792426E-2</v>
      </c>
    </row>
    <row r="139" spans="1:25" x14ac:dyDescent="0.2">
      <c r="A139" s="1">
        <f t="shared" si="46"/>
        <v>41030</v>
      </c>
      <c r="B139">
        <f>'raw BLS data'!Q156</f>
        <v>3774</v>
      </c>
      <c r="C139">
        <f>'raw BLS data'!W167</f>
        <v>154998</v>
      </c>
      <c r="D139">
        <f>'raw BLS data'!J239/100</f>
        <v>8.199999999999999E-2</v>
      </c>
      <c r="E139">
        <f t="shared" si="55"/>
        <v>8.1666666666666651E-2</v>
      </c>
      <c r="F139">
        <f t="shared" si="47"/>
        <v>2.434870127356482E-2</v>
      </c>
      <c r="G139">
        <f t="shared" si="56"/>
        <v>2.4010449522136504E-2</v>
      </c>
      <c r="H139" t="e">
        <f t="shared" si="48"/>
        <v>#N/A</v>
      </c>
      <c r="I139">
        <f t="shared" si="49"/>
        <v>2.434870127356482E-2</v>
      </c>
      <c r="J139">
        <f t="shared" si="50"/>
        <v>0.29693538138493686</v>
      </c>
      <c r="K139">
        <f>F139/(D139+Calculations!J222)</f>
        <v>0.14989804942388124</v>
      </c>
      <c r="L139">
        <f>Calculations!F222/100</f>
        <v>0.18818972769798101</v>
      </c>
      <c r="M139">
        <f>LN(Calculations!G222/Calculations!G221)</f>
        <v>6.4462201003794364E-2</v>
      </c>
      <c r="N139">
        <v>0.5</v>
      </c>
      <c r="O139">
        <f t="shared" si="57"/>
        <v>0.41720614619204066</v>
      </c>
      <c r="P139">
        <f t="shared" si="51"/>
        <v>1.6042995969314244E-2</v>
      </c>
      <c r="Q139">
        <f t="shared" si="59"/>
        <v>1.793849485275632E-2</v>
      </c>
      <c r="R139">
        <f>Calculations!J222/( (Calculations!I222/100) + Calculations!J222 )</f>
        <v>0.49518292927996155</v>
      </c>
      <c r="S139">
        <f>LN(Calculations!J222/Calculations!J221)</f>
        <v>0.10960967042962282</v>
      </c>
      <c r="T139">
        <f t="shared" si="58"/>
        <v>0.12959943517645151</v>
      </c>
      <c r="U139">
        <f t="shared" si="52"/>
        <v>2.1389049322203865E-2</v>
      </c>
      <c r="V139">
        <f t="shared" si="60"/>
        <v>2.1379743155817556E-2</v>
      </c>
      <c r="W139">
        <f t="shared" si="53"/>
        <v>0.54680558136849222</v>
      </c>
      <c r="X139">
        <f t="shared" si="54"/>
        <v>1.4092925458662106E-2</v>
      </c>
      <c r="Y139">
        <f t="shared" si="61"/>
        <v>1.5966844373115859E-2</v>
      </c>
    </row>
    <row r="140" spans="1:25" x14ac:dyDescent="0.2">
      <c r="A140" s="1">
        <f t="shared" si="46"/>
        <v>41061</v>
      </c>
      <c r="B140">
        <f>'raw BLS data'!Q157</f>
        <v>3792</v>
      </c>
      <c r="C140">
        <f>'raw BLS data'!W168</f>
        <v>155149</v>
      </c>
      <c r="D140">
        <f>'raw BLS data'!J240/100</f>
        <v>8.199999999999999E-2</v>
      </c>
      <c r="E140">
        <f t="shared" si="55"/>
        <v>8.1666666666666651E-2</v>
      </c>
      <c r="F140">
        <f t="shared" si="47"/>
        <v>2.4441021211867302E-2</v>
      </c>
      <c r="G140">
        <f t="shared" si="56"/>
        <v>2.3866515221866429E-2</v>
      </c>
      <c r="H140" t="e">
        <f t="shared" si="48"/>
        <v>#N/A</v>
      </c>
      <c r="I140">
        <f t="shared" si="49"/>
        <v>2.4441021211867302E-2</v>
      </c>
      <c r="J140">
        <f t="shared" si="50"/>
        <v>0.29806123429106468</v>
      </c>
      <c r="K140">
        <f>F140/(D140+Calculations!J223)</f>
        <v>0.14597224889194799</v>
      </c>
      <c r="L140">
        <f>Calculations!F223/100</f>
        <v>0.17031919091174999</v>
      </c>
      <c r="M140">
        <f>LN(Calculations!G223/Calculations!G222)</f>
        <v>-3.3672267254918217E-2</v>
      </c>
      <c r="N140">
        <v>0.5</v>
      </c>
      <c r="O140">
        <f t="shared" si="57"/>
        <v>0.3498616116822042</v>
      </c>
      <c r="P140">
        <f t="shared" si="51"/>
        <v>1.7225680216533673E-2</v>
      </c>
      <c r="Q140">
        <f t="shared" si="59"/>
        <v>1.6788595947224944E-2</v>
      </c>
      <c r="R140">
        <f>Calculations!J223/( (Calculations!I223/100) + Calculations!J223 )</f>
        <v>0.51026087226961492</v>
      </c>
      <c r="S140">
        <f>LN(Calculations!J223/Calculations!J222)</f>
        <v>6.0318131299853556E-2</v>
      </c>
      <c r="T140">
        <f t="shared" si="58"/>
        <v>0.16037741746718795</v>
      </c>
      <c r="U140">
        <f t="shared" si="52"/>
        <v>2.081940533146991E-2</v>
      </c>
      <c r="V140">
        <f t="shared" si="60"/>
        <v>2.112109797810155E-2</v>
      </c>
      <c r="W140">
        <f t="shared" si="53"/>
        <v>0.51023902914939212</v>
      </c>
      <c r="X140">
        <f t="shared" si="54"/>
        <v>1.4673217433491094E-2</v>
      </c>
      <c r="Y140">
        <f t="shared" si="61"/>
        <v>1.4874253578497006E-2</v>
      </c>
    </row>
    <row r="141" spans="1:25" x14ac:dyDescent="0.2">
      <c r="A141" s="1">
        <f t="shared" si="46"/>
        <v>41091</v>
      </c>
      <c r="B141">
        <f>'raw BLS data'!Q158</f>
        <v>3499</v>
      </c>
      <c r="C141">
        <f>'raw BLS data'!W169</f>
        <v>154995</v>
      </c>
      <c r="D141">
        <f>'raw BLS data'!J241/100</f>
        <v>8.199999999999999E-2</v>
      </c>
      <c r="E141">
        <f t="shared" si="55"/>
        <v>8.199999999999999E-2</v>
      </c>
      <c r="F141">
        <f t="shared" si="47"/>
        <v>2.2574921771670056E-2</v>
      </c>
      <c r="G141">
        <f t="shared" si="56"/>
        <v>2.3788214752367393E-2</v>
      </c>
      <c r="H141" t="e">
        <f t="shared" si="48"/>
        <v>#N/A</v>
      </c>
      <c r="I141">
        <f t="shared" si="49"/>
        <v>2.2574921771670056E-2</v>
      </c>
      <c r="J141">
        <f t="shared" si="50"/>
        <v>0.27530392404475679</v>
      </c>
      <c r="K141">
        <f>F141/(D141+Calculations!J224)</f>
        <v>0.13567321579061667</v>
      </c>
      <c r="L141">
        <f>Calculations!F224/100</f>
        <v>0.18530953395834099</v>
      </c>
      <c r="M141">
        <f>LN(Calculations!G224/Calculations!G223)</f>
        <v>6.9316948744014104E-2</v>
      </c>
      <c r="N141">
        <v>0.5</v>
      </c>
      <c r="O141">
        <f t="shared" si="57"/>
        <v>0.48849550917023243</v>
      </c>
      <c r="P141">
        <f t="shared" si="51"/>
        <v>1.3850815681399484E-2</v>
      </c>
      <c r="Q141">
        <f t="shared" si="59"/>
        <v>1.5706497289082466E-2</v>
      </c>
      <c r="R141">
        <f>Calculations!J224/( (Calculations!I224/100) + Calculations!J224 )</f>
        <v>0.50718749737631796</v>
      </c>
      <c r="S141">
        <f>LN(Calculations!J224/Calculations!J223)</f>
        <v>-1.2297282192486084E-2</v>
      </c>
      <c r="T141">
        <f t="shared" si="58"/>
        <v>0.15414038968745059</v>
      </c>
      <c r="U141">
        <f t="shared" si="52"/>
        <v>1.9350132061685513E-2</v>
      </c>
      <c r="V141">
        <f t="shared" si="60"/>
        <v>2.0519528905119763E-2</v>
      </c>
      <c r="W141">
        <f t="shared" si="53"/>
        <v>0.64263589885768302</v>
      </c>
      <c r="X141">
        <f t="shared" si="54"/>
        <v>1.1872249893396521E-2</v>
      </c>
      <c r="Y141">
        <f t="shared" si="61"/>
        <v>1.3546130928516573E-2</v>
      </c>
    </row>
    <row r="142" spans="1:25" x14ac:dyDescent="0.2">
      <c r="A142" s="1">
        <f t="shared" si="46"/>
        <v>41122</v>
      </c>
      <c r="B142">
        <f>'raw BLS data'!Q159</f>
        <v>3632</v>
      </c>
      <c r="C142">
        <f>'raw BLS data'!W170</f>
        <v>154647</v>
      </c>
      <c r="D142">
        <f>'raw BLS data'!J242/100</f>
        <v>8.1000000000000003E-2</v>
      </c>
      <c r="E142">
        <f t="shared" si="55"/>
        <v>8.1666666666666665E-2</v>
      </c>
      <c r="F142">
        <f t="shared" si="47"/>
        <v>2.3485744954638628E-2</v>
      </c>
      <c r="G142">
        <f t="shared" si="56"/>
        <v>2.3500562646058664E-2</v>
      </c>
      <c r="H142" t="e">
        <f t="shared" si="48"/>
        <v>#N/A</v>
      </c>
      <c r="I142">
        <f t="shared" si="49"/>
        <v>2.3485744954638628E-2</v>
      </c>
      <c r="J142">
        <f t="shared" si="50"/>
        <v>0.28994746857578552</v>
      </c>
      <c r="K142">
        <f>F142/(D142+Calculations!J225)</f>
        <v>0.15207284278527472</v>
      </c>
      <c r="L142">
        <f>Calculations!F225/100</f>
        <v>0.18509501642939599</v>
      </c>
      <c r="M142">
        <f>LN(Calculations!G225/Calculations!G224)</f>
        <v>-0.13877318159634874</v>
      </c>
      <c r="N142">
        <v>0.5</v>
      </c>
      <c r="O142">
        <f t="shared" si="57"/>
        <v>0.21094914597753495</v>
      </c>
      <c r="P142">
        <f t="shared" si="51"/>
        <v>1.9019114379531511E-2</v>
      </c>
      <c r="Q142">
        <f t="shared" si="59"/>
        <v>1.6698536759154888E-2</v>
      </c>
      <c r="R142">
        <f>Calculations!J225/( (Calculations!I225/100) + Calculations!J225 )</f>
        <v>0.47551588040325848</v>
      </c>
      <c r="S142">
        <f>LN(Calculations!J225/Calculations!J224)</f>
        <v>-0.13903693410119114</v>
      </c>
      <c r="T142">
        <f t="shared" si="58"/>
        <v>8.8026119559752841E-2</v>
      </c>
      <c r="U142">
        <f t="shared" si="52"/>
        <v>2.1506764635599942E-2</v>
      </c>
      <c r="V142">
        <f t="shared" si="60"/>
        <v>2.0558767342918453E-2</v>
      </c>
      <c r="W142">
        <f t="shared" si="53"/>
        <v>0.29897526553728782</v>
      </c>
      <c r="X142">
        <f t="shared" si="54"/>
        <v>1.7416505941292272E-2</v>
      </c>
      <c r="Y142">
        <f t="shared" si="61"/>
        <v>1.4653991089393296E-2</v>
      </c>
    </row>
    <row r="143" spans="1:25" x14ac:dyDescent="0.2">
      <c r="A143" s="1">
        <f t="shared" si="46"/>
        <v>41153</v>
      </c>
      <c r="B143">
        <f>'raw BLS data'!Q160</f>
        <v>3603</v>
      </c>
      <c r="C143">
        <f>'raw BLS data'!W171</f>
        <v>155056</v>
      </c>
      <c r="D143">
        <f>'raw BLS data'!J243/100</f>
        <v>7.8E-2</v>
      </c>
      <c r="E143">
        <f t="shared" si="55"/>
        <v>8.0333333333333326E-2</v>
      </c>
      <c r="F143">
        <f t="shared" si="47"/>
        <v>2.3236766071612836E-2</v>
      </c>
      <c r="G143">
        <f t="shared" si="56"/>
        <v>2.3099144265973839E-2</v>
      </c>
      <c r="H143" t="e">
        <f t="shared" si="48"/>
        <v>#N/A</v>
      </c>
      <c r="I143">
        <f t="shared" si="49"/>
        <v>2.3236766071612836E-2</v>
      </c>
      <c r="J143">
        <f t="shared" si="50"/>
        <v>0.2979072573283697</v>
      </c>
      <c r="K143">
        <f>F143/(D143+Calculations!J226)</f>
        <v>0.14742216335896111</v>
      </c>
      <c r="L143">
        <f>Calculations!F226/100</f>
        <v>0.18500647906654202</v>
      </c>
      <c r="M143">
        <f>LN(Calculations!G226/Calculations!G225)</f>
        <v>6.7836525531124764E-2</v>
      </c>
      <c r="N143">
        <v>0.5</v>
      </c>
      <c r="O143">
        <f t="shared" si="57"/>
        <v>0.34662219703978447</v>
      </c>
      <c r="P143">
        <f t="shared" si="51"/>
        <v>1.6430076229904628E-2</v>
      </c>
      <c r="Q143">
        <f t="shared" si="59"/>
        <v>1.6433335430278542E-2</v>
      </c>
      <c r="R143">
        <f>Calculations!J226/( (Calculations!I226/100) + Calculations!J226 )</f>
        <v>0.50514074520694097</v>
      </c>
      <c r="S143">
        <f>LN(Calculations!J226/Calculations!J225)</f>
        <v>8.0838248909953447E-2</v>
      </c>
      <c r="T143">
        <f t="shared" si="58"/>
        <v>0.12886081285535089</v>
      </c>
      <c r="U143">
        <f t="shared" si="52"/>
        <v>2.0427355447837088E-2</v>
      </c>
      <c r="V143">
        <f t="shared" si="60"/>
        <v>2.0428084048374182E-2</v>
      </c>
      <c r="W143">
        <f t="shared" si="53"/>
        <v>0.47548300989513537</v>
      </c>
      <c r="X143">
        <f t="shared" si="54"/>
        <v>1.4443619484267839E-2</v>
      </c>
      <c r="Y143">
        <f t="shared" si="61"/>
        <v>1.457745843965221E-2</v>
      </c>
    </row>
    <row r="144" spans="1:25" x14ac:dyDescent="0.2">
      <c r="A144" s="1">
        <f t="shared" si="46"/>
        <v>41183</v>
      </c>
      <c r="B144">
        <f>'raw BLS data'!Q161</f>
        <v>3646</v>
      </c>
      <c r="C144">
        <f>'raw BLS data'!W172</f>
        <v>155576</v>
      </c>
      <c r="D144">
        <f>'raw BLS data'!J244/100</f>
        <v>7.9000000000000001E-2</v>
      </c>
      <c r="E144">
        <f t="shared" si="55"/>
        <v>7.9333333333333325E-2</v>
      </c>
      <c r="F144">
        <f t="shared" si="47"/>
        <v>2.3435491335424486E-2</v>
      </c>
      <c r="G144">
        <f t="shared" si="56"/>
        <v>2.3386000787225317E-2</v>
      </c>
      <c r="H144" t="e">
        <f t="shared" si="48"/>
        <v>#N/A</v>
      </c>
      <c r="I144">
        <f t="shared" si="49"/>
        <v>2.3435491335424486E-2</v>
      </c>
      <c r="J144">
        <f t="shared" si="50"/>
        <v>0.29665178905600614</v>
      </c>
      <c r="K144">
        <f>F144/(D144+Calculations!J227)</f>
        <v>0.14525966974632576</v>
      </c>
      <c r="L144">
        <f>Calculations!F227/100</f>
        <v>0.17238643518378902</v>
      </c>
      <c r="M144">
        <f>LN(Calculations!G227/Calculations!G226)</f>
        <v>-5.3028850276553553E-2</v>
      </c>
      <c r="N144">
        <v>0.5</v>
      </c>
      <c r="O144">
        <f t="shared" si="57"/>
        <v>0.24056449648667738</v>
      </c>
      <c r="P144">
        <f t="shared" si="51"/>
        <v>1.8424606860276846E-2</v>
      </c>
      <c r="Q144">
        <f t="shared" si="59"/>
        <v>1.7957932489904328E-2</v>
      </c>
      <c r="R144">
        <f>Calculations!J227/( (Calculations!I227/100) + Calculations!J227 )</f>
        <v>0.51033610749975444</v>
      </c>
      <c r="S144">
        <f>LN(Calculations!J227/Calculations!J226)</f>
        <v>3.3525641231648994E-2</v>
      </c>
      <c r="T144">
        <f t="shared" si="58"/>
        <v>0.14597015810294392</v>
      </c>
      <c r="U144">
        <f t="shared" si="52"/>
        <v>2.0252564731358096E-2</v>
      </c>
      <c r="V144">
        <f t="shared" si="60"/>
        <v>2.0728894938265043E-2</v>
      </c>
      <c r="W144">
        <f t="shared" si="53"/>
        <v>0.38653465458962133</v>
      </c>
      <c r="X144">
        <f t="shared" si="54"/>
        <v>1.5922241089246725E-2</v>
      </c>
      <c r="Y144">
        <f t="shared" si="61"/>
        <v>1.5927455504935611E-2</v>
      </c>
    </row>
    <row r="145" spans="1:25" x14ac:dyDescent="0.2">
      <c r="A145" s="1">
        <f t="shared" si="46"/>
        <v>41214</v>
      </c>
      <c r="B145">
        <f>'raw BLS data'!Q162</f>
        <v>3789</v>
      </c>
      <c r="C145">
        <f>'raw BLS data'!W173</f>
        <v>155319</v>
      </c>
      <c r="D145">
        <f>'raw BLS data'!J245/100</f>
        <v>7.8E-2</v>
      </c>
      <c r="E145">
        <f t="shared" si="55"/>
        <v>7.8333333333333324E-2</v>
      </c>
      <c r="F145">
        <f t="shared" si="47"/>
        <v>2.439495489927182E-2</v>
      </c>
      <c r="G145">
        <f t="shared" si="56"/>
        <v>2.3689070768769711E-2</v>
      </c>
      <c r="H145" t="e">
        <f t="shared" si="48"/>
        <v>#N/A</v>
      </c>
      <c r="I145">
        <f t="shared" si="49"/>
        <v>2.439495489927182E-2</v>
      </c>
      <c r="J145">
        <f t="shared" si="50"/>
        <v>0.3127558320419464</v>
      </c>
      <c r="K145">
        <f>F145/(D145+Calculations!J228)</f>
        <v>0.14407289403383849</v>
      </c>
      <c r="L145">
        <f>Calculations!F228/100</f>
        <v>0.173947747451213</v>
      </c>
      <c r="M145">
        <f>LN(Calculations!G228/Calculations!G227)</f>
        <v>4.7424022607472992E-2</v>
      </c>
      <c r="N145">
        <v>0.5</v>
      </c>
      <c r="O145">
        <f t="shared" si="57"/>
        <v>0.33541254170162338</v>
      </c>
      <c r="P145">
        <f t="shared" si="51"/>
        <v>1.7443442722199706E-2</v>
      </c>
      <c r="Q145">
        <f t="shared" si="59"/>
        <v>1.7432708604127059E-2</v>
      </c>
      <c r="R145">
        <f>Calculations!J228/( (Calculations!I228/100) + Calculations!J228 )</f>
        <v>0.53934386101386722</v>
      </c>
      <c r="S145">
        <f>LN(Calculations!J228/Calculations!J227)</f>
        <v>0.10361211963647148</v>
      </c>
      <c r="T145">
        <f t="shared" si="58"/>
        <v>0.20185271875550917</v>
      </c>
      <c r="U145">
        <f t="shared" si="52"/>
        <v>1.993592988792646E-2</v>
      </c>
      <c r="V145">
        <f t="shared" si="60"/>
        <v>2.0205283355707215E-2</v>
      </c>
      <c r="W145">
        <f t="shared" si="53"/>
        <v>0.53726526045713252</v>
      </c>
      <c r="X145">
        <f t="shared" si="54"/>
        <v>1.4255047920757363E-2</v>
      </c>
      <c r="Y145">
        <f t="shared" si="61"/>
        <v>1.4873636164757309E-2</v>
      </c>
    </row>
    <row r="146" spans="1:25" x14ac:dyDescent="0.2">
      <c r="A146" s="1">
        <f t="shared" si="46"/>
        <v>41244</v>
      </c>
      <c r="B146">
        <f>'raw BLS data'!Q163</f>
        <v>3612</v>
      </c>
      <c r="C146">
        <f>'raw BLS data'!W174</f>
        <v>155511</v>
      </c>
      <c r="D146">
        <f>'raw BLS data'!J246/100</f>
        <v>7.8E-2</v>
      </c>
      <c r="E146">
        <f t="shared" si="55"/>
        <v>7.8333333333333324E-2</v>
      </c>
      <c r="F146">
        <f t="shared" si="47"/>
        <v>2.3226652776973975E-2</v>
      </c>
      <c r="G146">
        <f t="shared" si="56"/>
        <v>2.3685699670556757E-2</v>
      </c>
      <c r="H146" t="e">
        <f t="shared" si="48"/>
        <v>#N/A</v>
      </c>
      <c r="I146">
        <f t="shared" si="49"/>
        <v>2.3226652776973975E-2</v>
      </c>
      <c r="J146">
        <f t="shared" si="50"/>
        <v>0.29777759970479456</v>
      </c>
      <c r="K146">
        <f>F146/(D146+Calculations!J229)</f>
        <v>0.15400813742719616</v>
      </c>
      <c r="L146">
        <f>Calculations!F229/100</f>
        <v>0.19029264916576399</v>
      </c>
      <c r="M146">
        <f>LN(Calculations!G229/Calculations!G228)</f>
        <v>9.8247121216533864E-3</v>
      </c>
      <c r="N146">
        <v>0.5</v>
      </c>
      <c r="O146">
        <f t="shared" si="57"/>
        <v>0.35506196594493017</v>
      </c>
      <c r="P146">
        <f t="shared" si="51"/>
        <v>1.6284902961174852E-2</v>
      </c>
      <c r="Q146">
        <f t="shared" si="59"/>
        <v>1.7384317514550468E-2</v>
      </c>
      <c r="R146">
        <f>Calculations!J229/( (Calculations!I229/100) + Calculations!J229 )</f>
        <v>0.48280818443068246</v>
      </c>
      <c r="S146">
        <f>LN(Calculations!J229/Calculations!J228)</f>
        <v>-0.22649584748986087</v>
      </c>
      <c r="T146">
        <f t="shared" si="58"/>
        <v>9.2498669847840692E-2</v>
      </c>
      <c r="U146">
        <f t="shared" si="52"/>
        <v>2.1174587842878855E-2</v>
      </c>
      <c r="V146">
        <f t="shared" si="60"/>
        <v>2.0454360820721138E-2</v>
      </c>
      <c r="W146">
        <f t="shared" si="53"/>
        <v>0.44756063579277083</v>
      </c>
      <c r="X146">
        <f t="shared" si="54"/>
        <v>1.4846138682798174E-2</v>
      </c>
      <c r="Y146">
        <f t="shared" si="61"/>
        <v>1.5007809230934088E-2</v>
      </c>
    </row>
    <row r="147" spans="1:25" x14ac:dyDescent="0.2">
      <c r="A147" s="1">
        <f t="shared" si="46"/>
        <v>41275</v>
      </c>
      <c r="B147">
        <f>'raw BLS data'!Q164</f>
        <v>3611</v>
      </c>
      <c r="C147">
        <f>'raw BLS data'!W175</f>
        <v>155654</v>
      </c>
      <c r="D147">
        <f>'raw BLS data'!J247/100</f>
        <v>7.9000000000000001E-2</v>
      </c>
      <c r="E147">
        <f t="shared" si="55"/>
        <v>7.8333333333333324E-2</v>
      </c>
      <c r="F147">
        <f t="shared" si="47"/>
        <v>2.3198889845426396E-2</v>
      </c>
      <c r="G147">
        <f t="shared" si="56"/>
        <v>2.3606832507224063E-2</v>
      </c>
      <c r="H147" t="e">
        <f t="shared" si="48"/>
        <v>#N/A</v>
      </c>
      <c r="I147">
        <f t="shared" si="49"/>
        <v>2.3198889845426396E-2</v>
      </c>
      <c r="J147">
        <f t="shared" si="50"/>
        <v>0.29365683348641008</v>
      </c>
      <c r="K147">
        <f>F147/(D147+Calculations!J230)</f>
        <v>0.14945871429272709</v>
      </c>
      <c r="L147">
        <f>Calculations!F230/100</f>
        <v>0.19287763784513601</v>
      </c>
      <c r="M147">
        <f>LN(Calculations!G230/Calculations!G229)</f>
        <v>-7.7154756839315108E-2</v>
      </c>
      <c r="N147">
        <v>0.5</v>
      </c>
      <c r="O147">
        <f t="shared" si="57"/>
        <v>0.20075245226629995</v>
      </c>
      <c r="P147">
        <f t="shared" si="51"/>
        <v>1.8979358118433726E-2</v>
      </c>
      <c r="Q147">
        <f t="shared" si="59"/>
        <v>1.7569234600602762E-2</v>
      </c>
      <c r="R147">
        <f>Calculations!J230/( (Calculations!I230/100) + Calculations!J230 )</f>
        <v>0.4910429547363358</v>
      </c>
      <c r="S147">
        <f>LN(Calculations!J230/Calculations!J229)</f>
        <v>4.570139257236857E-2</v>
      </c>
      <c r="T147">
        <f t="shared" si="58"/>
        <v>0.11494001669214178</v>
      </c>
      <c r="U147">
        <f t="shared" si="52"/>
        <v>2.067994539876597E-2</v>
      </c>
      <c r="V147">
        <f t="shared" si="60"/>
        <v>2.0596821043190428E-2</v>
      </c>
      <c r="W147">
        <f t="shared" si="53"/>
        <v>0.31569246895844172</v>
      </c>
      <c r="X147">
        <f t="shared" si="54"/>
        <v>1.6918572061335683E-2</v>
      </c>
      <c r="Y147">
        <f t="shared" si="61"/>
        <v>1.533991955496374E-2</v>
      </c>
    </row>
    <row r="148" spans="1:25" x14ac:dyDescent="0.2">
      <c r="A148" s="1">
        <f t="shared" si="46"/>
        <v>41306</v>
      </c>
      <c r="B148">
        <f>'raw BLS data'!Q165</f>
        <v>3899</v>
      </c>
      <c r="C148">
        <f>'raw BLS data'!W176</f>
        <v>155524</v>
      </c>
      <c r="D148">
        <f>'raw BLS data'!J248/100</f>
        <v>7.6999999999999999E-2</v>
      </c>
      <c r="E148">
        <f t="shared" si="55"/>
        <v>7.8E-2</v>
      </c>
      <c r="F148">
        <f t="shared" si="47"/>
        <v>2.507008564594532E-2</v>
      </c>
      <c r="G148">
        <f t="shared" si="56"/>
        <v>2.3831876089448562E-2</v>
      </c>
      <c r="H148" t="e">
        <f t="shared" si="48"/>
        <v>#N/A</v>
      </c>
      <c r="I148">
        <f t="shared" si="49"/>
        <v>2.507008564594532E-2</v>
      </c>
      <c r="J148">
        <f t="shared" si="50"/>
        <v>0.32558552786941974</v>
      </c>
      <c r="K148">
        <f>F148/(D148+Calculations!J231)</f>
        <v>0.15633495367564004</v>
      </c>
      <c r="L148">
        <f>Calculations!F231/100</f>
        <v>0.17297736079609302</v>
      </c>
      <c r="M148">
        <f>LN(Calculations!G231/Calculations!G230)</f>
        <v>-3.723227780561732E-3</v>
      </c>
      <c r="N148">
        <v>0.5</v>
      </c>
      <c r="O148">
        <f t="shared" si="57"/>
        <v>0.19330599670517648</v>
      </c>
      <c r="P148">
        <f t="shared" si="51"/>
        <v>2.0663509771795915E-2</v>
      </c>
      <c r="Q148">
        <f t="shared" si="59"/>
        <v>1.8642590283801497E-2</v>
      </c>
      <c r="R148">
        <f>Calculations!J231/( (Calculations!I231/100) + Calculations!J231 )</f>
        <v>0.51983445118500426</v>
      </c>
      <c r="S148">
        <f>LN(Calculations!J231/Calculations!J230)</f>
        <v>8.956904375233822E-2</v>
      </c>
      <c r="T148">
        <f t="shared" si="58"/>
        <v>0.16150109139430416</v>
      </c>
      <c r="U148">
        <f t="shared" si="52"/>
        <v>2.1331273536262196E-2</v>
      </c>
      <c r="V148">
        <f t="shared" si="60"/>
        <v>2.1061935592635677E-2</v>
      </c>
      <c r="W148">
        <f t="shared" si="53"/>
        <v>0.35480708809948064</v>
      </c>
      <c r="X148">
        <f t="shared" si="54"/>
        <v>1.7581869698665924E-2</v>
      </c>
      <c r="Y148">
        <f t="shared" si="61"/>
        <v>1.6448860147599925E-2</v>
      </c>
    </row>
    <row r="149" spans="1:25" x14ac:dyDescent="0.2">
      <c r="A149" s="1">
        <f t="shared" si="46"/>
        <v>41334</v>
      </c>
      <c r="B149">
        <f>'raw BLS data'!Q166</f>
        <v>3875</v>
      </c>
      <c r="C149">
        <f>'raw BLS data'!W177</f>
        <v>155028</v>
      </c>
      <c r="D149">
        <f>'raw BLS data'!J249/100</f>
        <v>7.5999999999999998E-2</v>
      </c>
      <c r="E149">
        <f t="shared" si="55"/>
        <v>7.7333333333333323E-2</v>
      </c>
      <c r="F149">
        <f t="shared" si="47"/>
        <v>2.4995484686637252E-2</v>
      </c>
      <c r="G149">
        <f t="shared" si="56"/>
        <v>2.442148672600299E-2</v>
      </c>
      <c r="H149" t="e">
        <f t="shared" si="48"/>
        <v>#N/A</v>
      </c>
      <c r="I149">
        <f t="shared" si="49"/>
        <v>2.4995484686637252E-2</v>
      </c>
      <c r="J149">
        <f t="shared" si="50"/>
        <v>0.32888795640312174</v>
      </c>
      <c r="K149">
        <f>F149/(D149+Calculations!J232)</f>
        <v>0.16043125229460281</v>
      </c>
      <c r="L149">
        <f>Calculations!F232/100</f>
        <v>0.17559116012435902</v>
      </c>
      <c r="M149">
        <f>LN(Calculations!G232/Calculations!G231)</f>
        <v>8.1108647551654964E-2</v>
      </c>
      <c r="N149">
        <v>0.5</v>
      </c>
      <c r="O149">
        <f t="shared" si="57"/>
        <v>0.35552329180848641</v>
      </c>
      <c r="P149">
        <f t="shared" si="51"/>
        <v>1.7517001160383683E-2</v>
      </c>
      <c r="Q149">
        <f t="shared" si="59"/>
        <v>1.9053289683537773E-2</v>
      </c>
      <c r="R149">
        <f>Calculations!J232/( (Calculations!I232/100) + Calculations!J232 )</f>
        <v>0.51220089039088923</v>
      </c>
      <c r="S149">
        <f>LN(Calculations!J232/Calculations!J231)</f>
        <v>-4.3638289875313756E-2</v>
      </c>
      <c r="T149">
        <f t="shared" si="58"/>
        <v>0.13914952046503273</v>
      </c>
      <c r="U149">
        <f t="shared" si="52"/>
        <v>2.174851926737504E-2</v>
      </c>
      <c r="V149">
        <f t="shared" si="60"/>
        <v>2.125324606746774E-2</v>
      </c>
      <c r="W149">
        <f t="shared" si="53"/>
        <v>0.49467281227351911</v>
      </c>
      <c r="X149">
        <f t="shared" si="54"/>
        <v>1.5241506296811435E-2</v>
      </c>
      <c r="Y149">
        <f t="shared" si="61"/>
        <v>1.6580649352271017E-2</v>
      </c>
    </row>
    <row r="150" spans="1:25" x14ac:dyDescent="0.2">
      <c r="A150" s="1">
        <f t="shared" si="46"/>
        <v>41365</v>
      </c>
      <c r="B150">
        <f>'raw BLS data'!Q167</f>
        <v>3800</v>
      </c>
      <c r="C150">
        <f>'raw BLS data'!W178</f>
        <v>155238</v>
      </c>
      <c r="D150">
        <f>'raw BLS data'!J250/100</f>
        <v>7.4999999999999997E-2</v>
      </c>
      <c r="E150">
        <f t="shared" si="55"/>
        <v>7.5999999999999998E-2</v>
      </c>
      <c r="F150">
        <f t="shared" si="47"/>
        <v>2.4478542624872777E-2</v>
      </c>
      <c r="G150">
        <f t="shared" si="56"/>
        <v>2.4848037652485121E-2</v>
      </c>
      <c r="H150" t="e">
        <f t="shared" si="48"/>
        <v>#N/A</v>
      </c>
      <c r="I150">
        <f t="shared" si="49"/>
        <v>2.4478542624872777E-2</v>
      </c>
      <c r="J150">
        <f t="shared" si="50"/>
        <v>0.32638056833163703</v>
      </c>
      <c r="K150">
        <f>F150/(D150+Calculations!J233)</f>
        <v>0.16449027496252563</v>
      </c>
      <c r="L150">
        <f>Calculations!F233/100</f>
        <v>0.22248749839246201</v>
      </c>
      <c r="M150">
        <f>LN(Calculations!G233/Calculations!G232)</f>
        <v>-3.5862469133905367E-2</v>
      </c>
      <c r="N150">
        <v>0.5</v>
      </c>
      <c r="O150">
        <f t="shared" si="57"/>
        <v>0.28379835354067567</v>
      </c>
      <c r="P150">
        <f t="shared" si="51"/>
        <v>1.8430346438450831E-2</v>
      </c>
      <c r="Q150">
        <f t="shared" si="59"/>
        <v>1.8870285790210144E-2</v>
      </c>
      <c r="R150">
        <f>Calculations!J233/( (Calculations!I233/100) + Calculations!J233 )</f>
        <v>0.49601694793488388</v>
      </c>
      <c r="S150">
        <f>LN(Calculations!J233/Calculations!J232)</f>
        <v>-7.7991023705329052E-2</v>
      </c>
      <c r="T150">
        <f t="shared" si="58"/>
        <v>0.10046465092039825</v>
      </c>
      <c r="U150">
        <f t="shared" si="52"/>
        <v>2.2138812096295743E-2</v>
      </c>
      <c r="V150">
        <f t="shared" si="60"/>
        <v>2.1739534966644325E-2</v>
      </c>
      <c r="W150">
        <f t="shared" si="53"/>
        <v>0.38426300446107392</v>
      </c>
      <c r="X150">
        <f t="shared" si="54"/>
        <v>1.6668720149045926E-2</v>
      </c>
      <c r="Y150">
        <f t="shared" si="61"/>
        <v>1.6497365381507759E-2</v>
      </c>
    </row>
    <row r="151" spans="1:25" x14ac:dyDescent="0.2">
      <c r="A151" s="1">
        <f t="shared" si="46"/>
        <v>41395</v>
      </c>
      <c r="B151">
        <f>'raw BLS data'!Q168</f>
        <v>3907</v>
      </c>
      <c r="C151">
        <f>'raw BLS data'!W179</f>
        <v>155658</v>
      </c>
      <c r="D151">
        <f>'raw BLS data'!J251/100</f>
        <v>7.5999999999999998E-2</v>
      </c>
      <c r="E151">
        <f t="shared" si="55"/>
        <v>7.566666666666666E-2</v>
      </c>
      <c r="F151">
        <f t="shared" si="47"/>
        <v>2.5099898495419444E-2</v>
      </c>
      <c r="G151">
        <f t="shared" si="56"/>
        <v>2.4857975268976495E-2</v>
      </c>
      <c r="H151" t="e">
        <f t="shared" si="48"/>
        <v>#N/A</v>
      </c>
      <c r="I151">
        <f t="shared" si="49"/>
        <v>2.5099898495419444E-2</v>
      </c>
      <c r="J151">
        <f t="shared" si="50"/>
        <v>0.3302618223081506</v>
      </c>
      <c r="K151">
        <f>F151/(D151+Calculations!J234)</f>
        <v>0.16676297893214498</v>
      </c>
      <c r="L151">
        <f>Calculations!F234/100</f>
        <v>0.19247067890233599</v>
      </c>
      <c r="M151">
        <f>LN(Calculations!G234/Calculations!G233)</f>
        <v>-8.1599994358805324E-3</v>
      </c>
      <c r="N151">
        <v>0.5</v>
      </c>
      <c r="O151">
        <f t="shared" si="57"/>
        <v>0.26747835466891462</v>
      </c>
      <c r="P151">
        <f t="shared" si="51"/>
        <v>1.9209125401538185E-2</v>
      </c>
      <c r="Q151">
        <f t="shared" si="59"/>
        <v>1.8385491000124234E-2</v>
      </c>
      <c r="R151">
        <f>Calculations!J234/( (Calculations!I234/100) + Calculations!J234 )</f>
        <v>0.49505826084691423</v>
      </c>
      <c r="S151">
        <f>LN(Calculations!J234/Calculations!J233)</f>
        <v>9.4101717534479795E-3</v>
      </c>
      <c r="T151">
        <f t="shared" si="58"/>
        <v>0.10512323418293096</v>
      </c>
      <c r="U151">
        <f t="shared" si="52"/>
        <v>2.259526944870319E-2</v>
      </c>
      <c r="V151">
        <f t="shared" si="60"/>
        <v>2.2160866937457991E-2</v>
      </c>
      <c r="W151">
        <f t="shared" si="53"/>
        <v>0.37260158885184558</v>
      </c>
      <c r="X151">
        <f t="shared" si="54"/>
        <v>1.7292315520753707E-2</v>
      </c>
      <c r="Y151">
        <f t="shared" si="61"/>
        <v>1.640084732220369E-2</v>
      </c>
    </row>
    <row r="152" spans="1:25" x14ac:dyDescent="0.2">
      <c r="A152" s="1">
        <f t="shared" si="46"/>
        <v>41426</v>
      </c>
      <c r="B152">
        <f>'raw BLS data'!Q169</f>
        <v>3869</v>
      </c>
      <c r="C152">
        <f>'raw BLS data'!W180</f>
        <v>155835</v>
      </c>
      <c r="D152">
        <f>'raw BLS data'!J252/100</f>
        <v>7.5999999999999998E-2</v>
      </c>
      <c r="E152">
        <f t="shared" si="55"/>
        <v>7.566666666666666E-2</v>
      </c>
      <c r="F152">
        <f t="shared" si="47"/>
        <v>2.482754195142298E-2</v>
      </c>
      <c r="G152">
        <f t="shared" si="56"/>
        <v>2.4801994357238399E-2</v>
      </c>
      <c r="H152" t="e">
        <f t="shared" si="48"/>
        <v>#N/A</v>
      </c>
      <c r="I152">
        <f t="shared" si="49"/>
        <v>2.482754195142298E-2</v>
      </c>
      <c r="J152">
        <f t="shared" si="50"/>
        <v>0.32667818357135503</v>
      </c>
      <c r="K152">
        <f>F152/(D152+Calculations!J235)</f>
        <v>0.16540442193755184</v>
      </c>
      <c r="L152">
        <f>Calculations!F235/100</f>
        <v>0.18663836312798099</v>
      </c>
      <c r="M152">
        <f>LN(Calculations!G235/Calculations!G234)</f>
        <v>-2.2762564784518595E-2</v>
      </c>
      <c r="N152">
        <v>0.5</v>
      </c>
      <c r="O152">
        <f t="shared" si="57"/>
        <v>0.22195322509987742</v>
      </c>
      <c r="P152">
        <f t="shared" si="51"/>
        <v>1.9885689936965118E-2</v>
      </c>
      <c r="Q152">
        <f t="shared" si="59"/>
        <v>1.9175053925651376E-2</v>
      </c>
      <c r="R152">
        <f>Calculations!J235/( (Calculations!I235/100) + Calculations!J235 )</f>
        <v>0.49367778365455739</v>
      </c>
      <c r="S152">
        <f>LN(Calculations!J235/Calculations!J234)</f>
        <v>-5.522612970262175E-3</v>
      </c>
      <c r="T152">
        <f t="shared" si="58"/>
        <v>0.10239684285179002</v>
      </c>
      <c r="U152">
        <f t="shared" si="52"/>
        <v>2.2411108624243736E-2</v>
      </c>
      <c r="V152">
        <f t="shared" si="60"/>
        <v>2.2381730056414223E-2</v>
      </c>
      <c r="W152">
        <f t="shared" si="53"/>
        <v>0.32435006795166743</v>
      </c>
      <c r="X152">
        <f t="shared" si="54"/>
        <v>1.7950240830015517E-2</v>
      </c>
      <c r="Y152">
        <f t="shared" si="61"/>
        <v>1.7303758833271718E-2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raw FF data</vt:lpstr>
      <vt:lpstr>raw BLS data</vt:lpstr>
      <vt:lpstr>Calculations</vt:lpstr>
      <vt:lpstr>3m MA</vt:lpstr>
      <vt:lpstr>Beveridge curve</vt:lpstr>
      <vt:lpstr>Chart - EE rate</vt:lpstr>
      <vt:lpstr>Chart - Search intensity</vt:lpstr>
      <vt:lpstr>Chart - BC s constant</vt:lpstr>
      <vt:lpstr>X12Dates_1</vt:lpstr>
      <vt:lpstr>X12Dates_2</vt:lpstr>
      <vt:lpstr>X12Dates_3</vt:lpstr>
      <vt:lpstr>X12Header_1</vt:lpstr>
      <vt:lpstr>X12Header_2</vt:lpstr>
      <vt:lpstr>X12Header_3</vt:lpstr>
      <vt:lpstr>X12NSA_1</vt:lpstr>
      <vt:lpstr>X12NSA_2</vt:lpstr>
      <vt:lpstr>X12NSA_3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McNair</dc:creator>
  <cp:lastModifiedBy>Mike ELSBY </cp:lastModifiedBy>
  <dcterms:created xsi:type="dcterms:W3CDTF">2013-08-08T13:56:08Z</dcterms:created>
  <dcterms:modified xsi:type="dcterms:W3CDTF">2014-06-09T12:05:21Z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RBCheckedInAs">
    <vt:lpwstr/>
  </property>
</Properties>
</file>